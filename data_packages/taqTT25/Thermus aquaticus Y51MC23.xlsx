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8F0C05-4B08-49C4-9846-33CA2BCB2FAD}" xr6:coauthVersionLast="47" xr6:coauthVersionMax="47" xr10:uidLastSave="{00000000-0000-0000-0000-000000000000}"/>
  <bookViews>
    <workbookView xWindow="-120" yWindow="-120" windowWidth="29040" windowHeight="15840" activeTab="5" xr2:uid="{0C089967-DF13-4B0B-A550-339A579A7D50}"/>
  </bookViews>
  <sheets>
    <sheet name="Information" sheetId="6" r:id="rId1"/>
    <sheet name="Peptides" sheetId="1" r:id="rId2"/>
    <sheet name="EC number" sheetId="2" r:id="rId3"/>
    <sheet name="Metabolites" sheetId="4" r:id="rId4"/>
    <sheet name="Enzymes" sheetId="5" r:id="rId5"/>
    <sheet name="Reactions" sheetId="7" r:id="rId6"/>
  </sheets>
  <definedNames>
    <definedName name="_xlnm._FilterDatabase" localSheetId="2" hidden="1">'EC number'!$A$1:$J$3552</definedName>
    <definedName name="_xlnm._FilterDatabase" localSheetId="4" hidden="1">Enzymes!$A$1:$B$432</definedName>
    <definedName name="_xlnm._FilterDatabase" localSheetId="3" hidden="1">Metabolites!$D$1:$D$7565</definedName>
    <definedName name="_xlnm._FilterDatabase" localSheetId="5" hidden="1">Reactions!$A$1:$K$1621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1044" i="4"/>
  <c r="D1043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42" i="4"/>
  <c r="D1041" i="4"/>
  <c r="D1039" i="4"/>
  <c r="D1034" i="4"/>
  <c r="D1032" i="4"/>
  <c r="D1002" i="4"/>
  <c r="D966" i="4"/>
  <c r="D946" i="4"/>
  <c r="D877" i="4"/>
  <c r="D799" i="4"/>
  <c r="D770" i="4"/>
  <c r="D762" i="4"/>
  <c r="D656" i="4"/>
  <c r="D645" i="4"/>
  <c r="D624" i="4"/>
  <c r="D622" i="4"/>
  <c r="D606" i="4"/>
  <c r="D603" i="4"/>
  <c r="D576" i="4"/>
  <c r="D534" i="4"/>
  <c r="D479" i="4"/>
  <c r="D462" i="4"/>
  <c r="D433" i="4"/>
  <c r="D432" i="4"/>
  <c r="D415" i="4"/>
  <c r="D270" i="4"/>
  <c r="D197" i="4"/>
  <c r="D180" i="4"/>
  <c r="D68" i="4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1308" i="7"/>
  <c r="K1309" i="7"/>
  <c r="K1310" i="7"/>
  <c r="K1311" i="7"/>
  <c r="K1312" i="7"/>
  <c r="K1313" i="7"/>
  <c r="K1314" i="7"/>
  <c r="K1315" i="7"/>
  <c r="K1316" i="7"/>
  <c r="K1317" i="7"/>
  <c r="K1318" i="7"/>
  <c r="K1319" i="7"/>
  <c r="K1320" i="7"/>
  <c r="K1321" i="7"/>
  <c r="K1322" i="7"/>
  <c r="K1323" i="7"/>
  <c r="K1324" i="7"/>
  <c r="K1325" i="7"/>
  <c r="K1326" i="7"/>
  <c r="K1327" i="7"/>
  <c r="K1328" i="7"/>
  <c r="K1329" i="7"/>
  <c r="K1330" i="7"/>
  <c r="K1331" i="7"/>
  <c r="K1332" i="7"/>
  <c r="K1333" i="7"/>
  <c r="K1334" i="7"/>
  <c r="K1335" i="7"/>
  <c r="K1336" i="7"/>
  <c r="K1337" i="7"/>
  <c r="K1338" i="7"/>
  <c r="K1339" i="7"/>
  <c r="K1340" i="7"/>
  <c r="K1341" i="7"/>
  <c r="K1342" i="7"/>
  <c r="K1343" i="7"/>
  <c r="K1344" i="7"/>
  <c r="K1345" i="7"/>
  <c r="K1346" i="7"/>
  <c r="K1347" i="7"/>
  <c r="K1348" i="7"/>
  <c r="K1349" i="7"/>
  <c r="K1350" i="7"/>
  <c r="K1351" i="7"/>
  <c r="K1352" i="7"/>
  <c r="K1353" i="7"/>
  <c r="K1354" i="7"/>
  <c r="K1355" i="7"/>
  <c r="K1356" i="7"/>
  <c r="K1357" i="7"/>
  <c r="K1358" i="7"/>
  <c r="K1359" i="7"/>
  <c r="K1360" i="7"/>
  <c r="K1361" i="7"/>
  <c r="K1362" i="7"/>
  <c r="K1363" i="7"/>
  <c r="K1364" i="7"/>
  <c r="K1365" i="7"/>
  <c r="K1366" i="7"/>
  <c r="K1367" i="7"/>
  <c r="K1368" i="7"/>
  <c r="K1369" i="7"/>
  <c r="K1370" i="7"/>
  <c r="K1371" i="7"/>
  <c r="K1372" i="7"/>
  <c r="K1373" i="7"/>
  <c r="K1374" i="7"/>
  <c r="K1375" i="7"/>
  <c r="K1376" i="7"/>
  <c r="K1377" i="7"/>
  <c r="K1378" i="7"/>
  <c r="K1379" i="7"/>
  <c r="K1380" i="7"/>
  <c r="K1381" i="7"/>
  <c r="K1382" i="7"/>
  <c r="K1383" i="7"/>
  <c r="K1384" i="7"/>
  <c r="K1385" i="7"/>
  <c r="K1386" i="7"/>
  <c r="K1387" i="7"/>
  <c r="K1388" i="7"/>
  <c r="K1389" i="7"/>
  <c r="K1390" i="7"/>
  <c r="K1391" i="7"/>
  <c r="K1392" i="7"/>
  <c r="K1393" i="7"/>
  <c r="K1394" i="7"/>
  <c r="K1395" i="7"/>
  <c r="K1396" i="7"/>
  <c r="K1397" i="7"/>
  <c r="K1398" i="7"/>
  <c r="K1399" i="7"/>
  <c r="K1400" i="7"/>
  <c r="K1401" i="7"/>
  <c r="K1402" i="7"/>
  <c r="K1403" i="7"/>
  <c r="K1404" i="7"/>
  <c r="K1405" i="7"/>
  <c r="K1406" i="7"/>
  <c r="K1407" i="7"/>
  <c r="K1408" i="7"/>
  <c r="K1409" i="7"/>
  <c r="K1410" i="7"/>
  <c r="K1411" i="7"/>
  <c r="K1412" i="7"/>
  <c r="K1413" i="7"/>
  <c r="K1414" i="7"/>
  <c r="K1415" i="7"/>
  <c r="K1416" i="7"/>
  <c r="K1417" i="7"/>
  <c r="K1418" i="7"/>
  <c r="K1419" i="7"/>
  <c r="K1420" i="7"/>
  <c r="K1421" i="7"/>
  <c r="K1422" i="7"/>
  <c r="K1423" i="7"/>
  <c r="K1424" i="7"/>
  <c r="K1425" i="7"/>
  <c r="K1426" i="7"/>
  <c r="K1427" i="7"/>
  <c r="K1428" i="7"/>
  <c r="K1429" i="7"/>
  <c r="K1430" i="7"/>
  <c r="K1431" i="7"/>
  <c r="K1432" i="7"/>
  <c r="K1433" i="7"/>
  <c r="K1434" i="7"/>
  <c r="K1435" i="7"/>
  <c r="K1436" i="7"/>
  <c r="K1437" i="7"/>
  <c r="K1438" i="7"/>
  <c r="K1439" i="7"/>
  <c r="K1440" i="7"/>
  <c r="K1441" i="7"/>
  <c r="K1442" i="7"/>
  <c r="K1443" i="7"/>
  <c r="K1444" i="7"/>
  <c r="K1445" i="7"/>
  <c r="K1446" i="7"/>
  <c r="K1447" i="7"/>
  <c r="K1448" i="7"/>
  <c r="K1449" i="7"/>
  <c r="K1450" i="7"/>
  <c r="K1451" i="7"/>
  <c r="K1452" i="7"/>
  <c r="K1453" i="7"/>
  <c r="K1454" i="7"/>
  <c r="K1455" i="7"/>
  <c r="K1456" i="7"/>
  <c r="K1457" i="7"/>
  <c r="K1458" i="7"/>
  <c r="K1459" i="7"/>
  <c r="K1460" i="7"/>
  <c r="K1461" i="7"/>
  <c r="K1462" i="7"/>
  <c r="K1463" i="7"/>
  <c r="K1464" i="7"/>
  <c r="K1465" i="7"/>
  <c r="K1466" i="7"/>
  <c r="K1467" i="7"/>
  <c r="K1468" i="7"/>
  <c r="K1469" i="7"/>
  <c r="K1470" i="7"/>
  <c r="K1471" i="7"/>
  <c r="K1472" i="7"/>
  <c r="K1473" i="7"/>
  <c r="K1474" i="7"/>
  <c r="K1475" i="7"/>
  <c r="K1476" i="7"/>
  <c r="K1477" i="7"/>
  <c r="K1478" i="7"/>
  <c r="K1479" i="7"/>
  <c r="K1480" i="7"/>
  <c r="K1481" i="7"/>
  <c r="K1482" i="7"/>
  <c r="K1483" i="7"/>
  <c r="K1484" i="7"/>
  <c r="K1485" i="7"/>
  <c r="K1486" i="7"/>
  <c r="K1487" i="7"/>
  <c r="K1488" i="7"/>
  <c r="K1489" i="7"/>
  <c r="K1490" i="7"/>
  <c r="K1491" i="7"/>
  <c r="K1492" i="7"/>
  <c r="K1493" i="7"/>
  <c r="K1494" i="7"/>
  <c r="K1495" i="7"/>
  <c r="K1496" i="7"/>
  <c r="K1497" i="7"/>
  <c r="K1498" i="7"/>
  <c r="K1499" i="7"/>
  <c r="K1500" i="7"/>
  <c r="K1501" i="7"/>
  <c r="K1502" i="7"/>
  <c r="K1503" i="7"/>
  <c r="K1504" i="7"/>
  <c r="K1505" i="7"/>
  <c r="K1506" i="7"/>
  <c r="K1507" i="7"/>
  <c r="K1508" i="7"/>
  <c r="K1509" i="7"/>
  <c r="K1510" i="7"/>
  <c r="K1511" i="7"/>
  <c r="K1512" i="7"/>
  <c r="K1513" i="7"/>
  <c r="K1514" i="7"/>
  <c r="K1515" i="7"/>
  <c r="K1516" i="7"/>
  <c r="K1517" i="7"/>
  <c r="K1518" i="7"/>
  <c r="K1519" i="7"/>
  <c r="K1520" i="7"/>
  <c r="K1521" i="7"/>
  <c r="K1522" i="7"/>
  <c r="K1523" i="7"/>
  <c r="K1524" i="7"/>
  <c r="K1525" i="7"/>
  <c r="K1526" i="7"/>
  <c r="K1527" i="7"/>
  <c r="K1528" i="7"/>
  <c r="K1529" i="7"/>
  <c r="K1530" i="7"/>
  <c r="K1531" i="7"/>
  <c r="K1532" i="7"/>
  <c r="K1533" i="7"/>
  <c r="K1534" i="7"/>
  <c r="K1535" i="7"/>
  <c r="K1536" i="7"/>
  <c r="K1537" i="7"/>
  <c r="K1538" i="7"/>
  <c r="K1539" i="7"/>
  <c r="K1540" i="7"/>
  <c r="K1541" i="7"/>
  <c r="K1542" i="7"/>
  <c r="K1543" i="7"/>
  <c r="K1544" i="7"/>
  <c r="K1545" i="7"/>
  <c r="K1546" i="7"/>
  <c r="K1547" i="7"/>
  <c r="K1548" i="7"/>
  <c r="K1549" i="7"/>
  <c r="K1550" i="7"/>
  <c r="K1551" i="7"/>
  <c r="K1552" i="7"/>
  <c r="K1553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J1114" i="7"/>
  <c r="J1115" i="7"/>
  <c r="J1116" i="7"/>
  <c r="J1117" i="7"/>
  <c r="J1118" i="7"/>
  <c r="J1119" i="7"/>
  <c r="J1120" i="7"/>
  <c r="J1121" i="7"/>
  <c r="J1122" i="7"/>
  <c r="J1123" i="7"/>
  <c r="J1124" i="7"/>
  <c r="J1125" i="7"/>
  <c r="J1126" i="7"/>
  <c r="J1127" i="7"/>
  <c r="J1128" i="7"/>
  <c r="J1129" i="7"/>
  <c r="J1130" i="7"/>
  <c r="J1131" i="7"/>
  <c r="J1132" i="7"/>
  <c r="J1133" i="7"/>
  <c r="J1134" i="7"/>
  <c r="J1135" i="7"/>
  <c r="J1136" i="7"/>
  <c r="J1137" i="7"/>
  <c r="J1138" i="7"/>
  <c r="J1139" i="7"/>
  <c r="J1140" i="7"/>
  <c r="J1141" i="7"/>
  <c r="J1142" i="7"/>
  <c r="J1143" i="7"/>
  <c r="J1144" i="7"/>
  <c r="J1145" i="7"/>
  <c r="J1146" i="7"/>
  <c r="J1147" i="7"/>
  <c r="J1148" i="7"/>
  <c r="J1149" i="7"/>
  <c r="J1150" i="7"/>
  <c r="J1151" i="7"/>
  <c r="J1152" i="7"/>
  <c r="J1153" i="7"/>
  <c r="J1154" i="7"/>
  <c r="J1155" i="7"/>
  <c r="J1156" i="7"/>
  <c r="J1157" i="7"/>
  <c r="J1158" i="7"/>
  <c r="J1159" i="7"/>
  <c r="J1160" i="7"/>
  <c r="J1161" i="7"/>
  <c r="J1162" i="7"/>
  <c r="J1163" i="7"/>
  <c r="J1164" i="7"/>
  <c r="J1165" i="7"/>
  <c r="J1166" i="7"/>
  <c r="J1167" i="7"/>
  <c r="J1168" i="7"/>
  <c r="J1169" i="7"/>
  <c r="J1170" i="7"/>
  <c r="J1171" i="7"/>
  <c r="J1172" i="7"/>
  <c r="J1173" i="7"/>
  <c r="J1174" i="7"/>
  <c r="J1175" i="7"/>
  <c r="J1176" i="7"/>
  <c r="J1177" i="7"/>
  <c r="J1178" i="7"/>
  <c r="J1179" i="7"/>
  <c r="J1180" i="7"/>
  <c r="J1181" i="7"/>
  <c r="J1182" i="7"/>
  <c r="J1183" i="7"/>
  <c r="J1184" i="7"/>
  <c r="J1185" i="7"/>
  <c r="J1186" i="7"/>
  <c r="J1187" i="7"/>
  <c r="J1188" i="7"/>
  <c r="J1189" i="7"/>
  <c r="J1190" i="7"/>
  <c r="J1191" i="7"/>
  <c r="J1192" i="7"/>
  <c r="J1193" i="7"/>
  <c r="J1194" i="7"/>
  <c r="J1195" i="7"/>
  <c r="J1196" i="7"/>
  <c r="J1197" i="7"/>
  <c r="J1198" i="7"/>
  <c r="J1199" i="7"/>
  <c r="J1200" i="7"/>
  <c r="J1201" i="7"/>
  <c r="J1202" i="7"/>
  <c r="J1203" i="7"/>
  <c r="J1204" i="7"/>
  <c r="J1205" i="7"/>
  <c r="J1206" i="7"/>
  <c r="J1207" i="7"/>
  <c r="J1208" i="7"/>
  <c r="J1209" i="7"/>
  <c r="J1210" i="7"/>
  <c r="J1211" i="7"/>
  <c r="J1212" i="7"/>
  <c r="J1213" i="7"/>
  <c r="J1214" i="7"/>
  <c r="J1215" i="7"/>
  <c r="J1216" i="7"/>
  <c r="J1217" i="7"/>
  <c r="J1218" i="7"/>
  <c r="J1219" i="7"/>
  <c r="J1220" i="7"/>
  <c r="J1221" i="7"/>
  <c r="J1222" i="7"/>
  <c r="J1223" i="7"/>
  <c r="J1224" i="7"/>
  <c r="J1225" i="7"/>
  <c r="J1226" i="7"/>
  <c r="J1227" i="7"/>
  <c r="J1228" i="7"/>
  <c r="J1229" i="7"/>
  <c r="J1230" i="7"/>
  <c r="J1231" i="7"/>
  <c r="J1232" i="7"/>
  <c r="J1233" i="7"/>
  <c r="J1234" i="7"/>
  <c r="J1235" i="7"/>
  <c r="J1236" i="7"/>
  <c r="J1237" i="7"/>
  <c r="J1238" i="7"/>
  <c r="J1239" i="7"/>
  <c r="J1240" i="7"/>
  <c r="J1241" i="7"/>
  <c r="J1242" i="7"/>
  <c r="J1243" i="7"/>
  <c r="J1244" i="7"/>
  <c r="J1245" i="7"/>
  <c r="J1246" i="7"/>
  <c r="J1247" i="7"/>
  <c r="J1248" i="7"/>
  <c r="J1249" i="7"/>
  <c r="J1250" i="7"/>
  <c r="J1251" i="7"/>
  <c r="J1252" i="7"/>
  <c r="J1253" i="7"/>
  <c r="J1254" i="7"/>
  <c r="J1255" i="7"/>
  <c r="J1256" i="7"/>
  <c r="J1257" i="7"/>
  <c r="J1258" i="7"/>
  <c r="J1259" i="7"/>
  <c r="J1260" i="7"/>
  <c r="J1261" i="7"/>
  <c r="J1262" i="7"/>
  <c r="J1263" i="7"/>
  <c r="J1264" i="7"/>
  <c r="J1265" i="7"/>
  <c r="J1266" i="7"/>
  <c r="J1267" i="7"/>
  <c r="J1268" i="7"/>
  <c r="J1269" i="7"/>
  <c r="J1270" i="7"/>
  <c r="J1271" i="7"/>
  <c r="J1272" i="7"/>
  <c r="J1273" i="7"/>
  <c r="J1274" i="7"/>
  <c r="J1275" i="7"/>
  <c r="J1276" i="7"/>
  <c r="J1277" i="7"/>
  <c r="J1278" i="7"/>
  <c r="J1279" i="7"/>
  <c r="J1280" i="7"/>
  <c r="J1281" i="7"/>
  <c r="J1282" i="7"/>
  <c r="J1283" i="7"/>
  <c r="J1284" i="7"/>
  <c r="J1285" i="7"/>
  <c r="J1286" i="7"/>
  <c r="J1287" i="7"/>
  <c r="J1288" i="7"/>
  <c r="J1289" i="7"/>
  <c r="J1290" i="7"/>
  <c r="J1291" i="7"/>
  <c r="J1292" i="7"/>
  <c r="J1293" i="7"/>
  <c r="J1294" i="7"/>
  <c r="J1295" i="7"/>
  <c r="J1296" i="7"/>
  <c r="J1297" i="7"/>
  <c r="J1298" i="7"/>
  <c r="J1299" i="7"/>
  <c r="J1300" i="7"/>
  <c r="J1301" i="7"/>
  <c r="J1302" i="7"/>
  <c r="J1303" i="7"/>
  <c r="J1304" i="7"/>
  <c r="J1305" i="7"/>
  <c r="J1306" i="7"/>
  <c r="J1307" i="7"/>
  <c r="J1308" i="7"/>
  <c r="J1309" i="7"/>
  <c r="J1310" i="7"/>
  <c r="J1311" i="7"/>
  <c r="J1312" i="7"/>
  <c r="J1313" i="7"/>
  <c r="J1314" i="7"/>
  <c r="J1315" i="7"/>
  <c r="J1316" i="7"/>
  <c r="J1317" i="7"/>
  <c r="J1318" i="7"/>
  <c r="J1319" i="7"/>
  <c r="J1320" i="7"/>
  <c r="J1321" i="7"/>
  <c r="J1322" i="7"/>
  <c r="J1323" i="7"/>
  <c r="J1324" i="7"/>
  <c r="J1325" i="7"/>
  <c r="J1326" i="7"/>
  <c r="J1327" i="7"/>
  <c r="J1328" i="7"/>
  <c r="J1329" i="7"/>
  <c r="J1330" i="7"/>
  <c r="J1331" i="7"/>
  <c r="J1332" i="7"/>
  <c r="J1333" i="7"/>
  <c r="J1334" i="7"/>
  <c r="J1335" i="7"/>
  <c r="J1336" i="7"/>
  <c r="J1337" i="7"/>
  <c r="J1338" i="7"/>
  <c r="J1339" i="7"/>
  <c r="J1340" i="7"/>
  <c r="J1341" i="7"/>
  <c r="J1342" i="7"/>
  <c r="J1343" i="7"/>
  <c r="J1344" i="7"/>
  <c r="J1345" i="7"/>
  <c r="J1346" i="7"/>
  <c r="J1347" i="7"/>
  <c r="J1348" i="7"/>
  <c r="J1349" i="7"/>
  <c r="J1350" i="7"/>
  <c r="J1351" i="7"/>
  <c r="J1352" i="7"/>
  <c r="J1353" i="7"/>
  <c r="J1354" i="7"/>
  <c r="J1355" i="7"/>
  <c r="J1356" i="7"/>
  <c r="J1357" i="7"/>
  <c r="J1358" i="7"/>
  <c r="J1359" i="7"/>
  <c r="J1360" i="7"/>
  <c r="J1361" i="7"/>
  <c r="J1362" i="7"/>
  <c r="J1363" i="7"/>
  <c r="J1364" i="7"/>
  <c r="J1365" i="7"/>
  <c r="J1366" i="7"/>
  <c r="J1367" i="7"/>
  <c r="J1368" i="7"/>
  <c r="J1369" i="7"/>
  <c r="J1370" i="7"/>
  <c r="J1371" i="7"/>
  <c r="J1372" i="7"/>
  <c r="J1373" i="7"/>
  <c r="J1374" i="7"/>
  <c r="J1375" i="7"/>
  <c r="J1376" i="7"/>
  <c r="J1377" i="7"/>
  <c r="J1378" i="7"/>
  <c r="J1379" i="7"/>
  <c r="J1380" i="7"/>
  <c r="J1381" i="7"/>
  <c r="J1382" i="7"/>
  <c r="J1383" i="7"/>
  <c r="J1384" i="7"/>
  <c r="J1385" i="7"/>
  <c r="J1386" i="7"/>
  <c r="J1387" i="7"/>
  <c r="J1388" i="7"/>
  <c r="J1389" i="7"/>
  <c r="J1390" i="7"/>
  <c r="J1391" i="7"/>
  <c r="J1392" i="7"/>
  <c r="J1393" i="7"/>
  <c r="J1394" i="7"/>
  <c r="J1395" i="7"/>
  <c r="J1396" i="7"/>
  <c r="J1397" i="7"/>
  <c r="J1398" i="7"/>
  <c r="J1399" i="7"/>
  <c r="J1400" i="7"/>
  <c r="J1401" i="7"/>
  <c r="J1402" i="7"/>
  <c r="J1403" i="7"/>
  <c r="J1404" i="7"/>
  <c r="J1405" i="7"/>
  <c r="J1406" i="7"/>
  <c r="J1407" i="7"/>
  <c r="J1408" i="7"/>
  <c r="J1409" i="7"/>
  <c r="J1410" i="7"/>
  <c r="J1411" i="7"/>
  <c r="J1412" i="7"/>
  <c r="J1413" i="7"/>
  <c r="J1414" i="7"/>
  <c r="J1415" i="7"/>
  <c r="J1416" i="7"/>
  <c r="J1417" i="7"/>
  <c r="J1418" i="7"/>
  <c r="J1419" i="7"/>
  <c r="J1420" i="7"/>
  <c r="J1421" i="7"/>
  <c r="J1422" i="7"/>
  <c r="J1423" i="7"/>
  <c r="J1424" i="7"/>
  <c r="J1425" i="7"/>
  <c r="J1426" i="7"/>
  <c r="J1427" i="7"/>
  <c r="J1428" i="7"/>
  <c r="J1429" i="7"/>
  <c r="J1430" i="7"/>
  <c r="J1431" i="7"/>
  <c r="J1432" i="7"/>
  <c r="J1433" i="7"/>
  <c r="J1434" i="7"/>
  <c r="J1435" i="7"/>
  <c r="J1436" i="7"/>
  <c r="J1437" i="7"/>
  <c r="J1438" i="7"/>
  <c r="J1439" i="7"/>
  <c r="J1440" i="7"/>
  <c r="J1441" i="7"/>
  <c r="J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2" i="7"/>
  <c r="H69" i="2" l="1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4" i="4"/>
  <c r="D605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3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6" i="4"/>
  <c r="D647" i="4"/>
  <c r="D648" i="4"/>
  <c r="D649" i="4"/>
  <c r="D650" i="4"/>
  <c r="D651" i="4"/>
  <c r="D652" i="4"/>
  <c r="D653" i="4"/>
  <c r="D654" i="4"/>
  <c r="D655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3" i="4"/>
  <c r="D764" i="4"/>
  <c r="D765" i="4"/>
  <c r="D766" i="4"/>
  <c r="D767" i="4"/>
  <c r="D768" i="4"/>
  <c r="D769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3" i="4"/>
  <c r="D1035" i="4"/>
  <c r="D1036" i="4"/>
  <c r="D1037" i="4"/>
  <c r="D1038" i="4"/>
  <c r="D1040" i="4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2" i="5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2" i="5"/>
  <c r="H2" i="5" s="1"/>
  <c r="C385" i="5" l="1"/>
  <c r="H385" i="5"/>
  <c r="J385" i="5"/>
  <c r="C338" i="5"/>
  <c r="H338" i="5"/>
  <c r="J338" i="5"/>
  <c r="C307" i="5"/>
  <c r="H307" i="5"/>
  <c r="J307" i="5"/>
  <c r="C264" i="5"/>
  <c r="H264" i="5"/>
  <c r="J264" i="5"/>
  <c r="C211" i="5"/>
  <c r="H211" i="5"/>
  <c r="J211" i="5"/>
  <c r="C173" i="5"/>
  <c r="J173" i="5"/>
  <c r="H173" i="5"/>
  <c r="C118" i="5"/>
  <c r="J118" i="5"/>
  <c r="H118" i="5"/>
  <c r="C71" i="5"/>
  <c r="J71" i="5"/>
  <c r="H71" i="5"/>
  <c r="C26" i="5"/>
  <c r="J26" i="5"/>
  <c r="H26" i="5"/>
  <c r="C400" i="5"/>
  <c r="H400" i="5"/>
  <c r="J400" i="5"/>
  <c r="C360" i="5"/>
  <c r="H360" i="5"/>
  <c r="J360" i="5"/>
  <c r="C314" i="5"/>
  <c r="H314" i="5"/>
  <c r="J314" i="5"/>
  <c r="C271" i="5"/>
  <c r="H271" i="5"/>
  <c r="J271" i="5"/>
  <c r="C225" i="5"/>
  <c r="H225" i="5"/>
  <c r="J225" i="5"/>
  <c r="C195" i="5"/>
  <c r="J195" i="5"/>
  <c r="H195" i="5"/>
  <c r="C148" i="5"/>
  <c r="J148" i="5"/>
  <c r="H148" i="5"/>
  <c r="C109" i="5"/>
  <c r="J109" i="5"/>
  <c r="H109" i="5"/>
  <c r="C101" i="5"/>
  <c r="J101" i="5"/>
  <c r="H101" i="5"/>
  <c r="C94" i="5"/>
  <c r="J94" i="5"/>
  <c r="H94" i="5"/>
  <c r="C86" i="5"/>
  <c r="J86" i="5"/>
  <c r="H86" i="5"/>
  <c r="C56" i="5"/>
  <c r="J56" i="5"/>
  <c r="H56" i="5"/>
  <c r="C33" i="5"/>
  <c r="J33" i="5"/>
  <c r="H33" i="5"/>
  <c r="C25" i="5"/>
  <c r="J25" i="5"/>
  <c r="H25" i="5"/>
  <c r="C17" i="5"/>
  <c r="J17" i="5"/>
  <c r="H17" i="5"/>
  <c r="C9" i="5"/>
  <c r="J9" i="5"/>
  <c r="H9" i="5"/>
  <c r="C431" i="5"/>
  <c r="J431" i="5"/>
  <c r="H431" i="5"/>
  <c r="C423" i="5"/>
  <c r="J423" i="5"/>
  <c r="H423" i="5"/>
  <c r="C415" i="5"/>
  <c r="J415" i="5"/>
  <c r="H415" i="5"/>
  <c r="C407" i="5"/>
  <c r="J407" i="5"/>
  <c r="H407" i="5"/>
  <c r="C399" i="5"/>
  <c r="J399" i="5"/>
  <c r="H399" i="5"/>
  <c r="C391" i="5"/>
  <c r="J391" i="5"/>
  <c r="H391" i="5"/>
  <c r="C383" i="5"/>
  <c r="J383" i="5"/>
  <c r="H383" i="5"/>
  <c r="C375" i="5"/>
  <c r="J375" i="5"/>
  <c r="H375" i="5"/>
  <c r="C367" i="5"/>
  <c r="J367" i="5"/>
  <c r="H367" i="5"/>
  <c r="C359" i="5"/>
  <c r="J359" i="5"/>
  <c r="H359" i="5"/>
  <c r="C351" i="5"/>
  <c r="J351" i="5"/>
  <c r="H351" i="5"/>
  <c r="C329" i="5"/>
  <c r="J329" i="5"/>
  <c r="H329" i="5"/>
  <c r="C321" i="5"/>
  <c r="J321" i="5"/>
  <c r="H321" i="5"/>
  <c r="C313" i="5"/>
  <c r="J313" i="5"/>
  <c r="H313" i="5"/>
  <c r="C305" i="5"/>
  <c r="J305" i="5"/>
  <c r="H305" i="5"/>
  <c r="C297" i="5"/>
  <c r="J297" i="5"/>
  <c r="H297" i="5"/>
  <c r="C289" i="5"/>
  <c r="J289" i="5"/>
  <c r="H289" i="5"/>
  <c r="C285" i="5"/>
  <c r="J285" i="5"/>
  <c r="H285" i="5"/>
  <c r="C277" i="5"/>
  <c r="J277" i="5"/>
  <c r="H277" i="5"/>
  <c r="C270" i="5"/>
  <c r="J270" i="5"/>
  <c r="H270" i="5"/>
  <c r="C262" i="5"/>
  <c r="J262" i="5"/>
  <c r="H262" i="5"/>
  <c r="C255" i="5"/>
  <c r="J255" i="5"/>
  <c r="H255" i="5"/>
  <c r="C247" i="5"/>
  <c r="J247" i="5"/>
  <c r="H247" i="5"/>
  <c r="C240" i="5"/>
  <c r="J240" i="5"/>
  <c r="H240" i="5"/>
  <c r="C232" i="5"/>
  <c r="J232" i="5"/>
  <c r="H232" i="5"/>
  <c r="C217" i="5"/>
  <c r="J217" i="5"/>
  <c r="H217" i="5"/>
  <c r="C209" i="5"/>
  <c r="J209" i="5"/>
  <c r="H209" i="5"/>
  <c r="C202" i="5"/>
  <c r="J202" i="5"/>
  <c r="H202" i="5"/>
  <c r="C194" i="5"/>
  <c r="J194" i="5"/>
  <c r="H194" i="5"/>
  <c r="C186" i="5"/>
  <c r="J186" i="5"/>
  <c r="H186" i="5"/>
  <c r="C179" i="5"/>
  <c r="J179" i="5"/>
  <c r="H179" i="5"/>
  <c r="C171" i="5"/>
  <c r="J171" i="5"/>
  <c r="H171" i="5"/>
  <c r="C163" i="5"/>
  <c r="J163" i="5"/>
  <c r="H163" i="5"/>
  <c r="C155" i="5"/>
  <c r="J155" i="5"/>
  <c r="H155" i="5"/>
  <c r="C147" i="5"/>
  <c r="J147" i="5"/>
  <c r="H147" i="5"/>
  <c r="C140" i="5"/>
  <c r="J140" i="5"/>
  <c r="H140" i="5"/>
  <c r="C132" i="5"/>
  <c r="J132" i="5"/>
  <c r="H132" i="5"/>
  <c r="C124" i="5"/>
  <c r="J124" i="5"/>
  <c r="H124" i="5"/>
  <c r="C116" i="5"/>
  <c r="J116" i="5"/>
  <c r="H116" i="5"/>
  <c r="C108" i="5"/>
  <c r="J108" i="5"/>
  <c r="H108" i="5"/>
  <c r="C100" i="5"/>
  <c r="J100" i="5"/>
  <c r="H100" i="5"/>
  <c r="C93" i="5"/>
  <c r="J93" i="5"/>
  <c r="H93" i="5"/>
  <c r="C85" i="5"/>
  <c r="J85" i="5"/>
  <c r="H85" i="5"/>
  <c r="C77" i="5"/>
  <c r="J77" i="5"/>
  <c r="H77" i="5"/>
  <c r="C69" i="5"/>
  <c r="J69" i="5"/>
  <c r="H69" i="5"/>
  <c r="C62" i="5"/>
  <c r="J62" i="5"/>
  <c r="H62" i="5"/>
  <c r="C55" i="5"/>
  <c r="J55" i="5"/>
  <c r="H55" i="5"/>
  <c r="C47" i="5"/>
  <c r="J47" i="5"/>
  <c r="H47" i="5"/>
  <c r="C40" i="5"/>
  <c r="J40" i="5"/>
  <c r="H40" i="5"/>
  <c r="C32" i="5"/>
  <c r="J32" i="5"/>
  <c r="H32" i="5"/>
  <c r="C24" i="5"/>
  <c r="J24" i="5"/>
  <c r="H24" i="5"/>
  <c r="C16" i="5"/>
  <c r="J16" i="5"/>
  <c r="H16" i="5"/>
  <c r="C8" i="5"/>
  <c r="J8" i="5"/>
  <c r="H8" i="5"/>
  <c r="C401" i="5"/>
  <c r="H401" i="5"/>
  <c r="J401" i="5"/>
  <c r="C353" i="5"/>
  <c r="H353" i="5"/>
  <c r="J353" i="5"/>
  <c r="C315" i="5"/>
  <c r="H315" i="5"/>
  <c r="J315" i="5"/>
  <c r="C234" i="5"/>
  <c r="H234" i="5"/>
  <c r="J234" i="5"/>
  <c r="C196" i="5"/>
  <c r="J196" i="5"/>
  <c r="H196" i="5"/>
  <c r="C149" i="5"/>
  <c r="J149" i="5"/>
  <c r="H149" i="5"/>
  <c r="C102" i="5"/>
  <c r="J102" i="5"/>
  <c r="H102" i="5"/>
  <c r="C34" i="5"/>
  <c r="J34" i="5"/>
  <c r="H34" i="5"/>
  <c r="C416" i="5"/>
  <c r="J416" i="5"/>
  <c r="H416" i="5"/>
  <c r="C392" i="5"/>
  <c r="H392" i="5"/>
  <c r="J392" i="5"/>
  <c r="C344" i="5"/>
  <c r="H344" i="5"/>
  <c r="J344" i="5"/>
  <c r="C306" i="5"/>
  <c r="H306" i="5"/>
  <c r="J306" i="5"/>
  <c r="C263" i="5"/>
  <c r="H263" i="5"/>
  <c r="J263" i="5"/>
  <c r="C218" i="5"/>
  <c r="H218" i="5"/>
  <c r="J218" i="5"/>
  <c r="C180" i="5"/>
  <c r="J180" i="5"/>
  <c r="H180" i="5"/>
  <c r="C141" i="5"/>
  <c r="J141" i="5"/>
  <c r="H141" i="5"/>
  <c r="C78" i="5"/>
  <c r="J78" i="5"/>
  <c r="H78" i="5"/>
  <c r="C390" i="5"/>
  <c r="H390" i="5"/>
  <c r="J390" i="5"/>
  <c r="C350" i="5"/>
  <c r="H350" i="5"/>
  <c r="J350" i="5"/>
  <c r="C336" i="5"/>
  <c r="H336" i="5"/>
  <c r="J336" i="5"/>
  <c r="C304" i="5"/>
  <c r="H304" i="5"/>
  <c r="J304" i="5"/>
  <c r="C288" i="5"/>
  <c r="H288" i="5"/>
  <c r="J288" i="5"/>
  <c r="C284" i="5"/>
  <c r="H284" i="5"/>
  <c r="J284" i="5"/>
  <c r="C276" i="5"/>
  <c r="H276" i="5"/>
  <c r="J276" i="5"/>
  <c r="C269" i="5"/>
  <c r="H269" i="5"/>
  <c r="J269" i="5"/>
  <c r="C261" i="5"/>
  <c r="H261" i="5"/>
  <c r="J261" i="5"/>
  <c r="C254" i="5"/>
  <c r="H254" i="5"/>
  <c r="J254" i="5"/>
  <c r="C246" i="5"/>
  <c r="H246" i="5"/>
  <c r="J246" i="5"/>
  <c r="C239" i="5"/>
  <c r="H239" i="5"/>
  <c r="J239" i="5"/>
  <c r="C231" i="5"/>
  <c r="H231" i="5"/>
  <c r="J231" i="5"/>
  <c r="C224" i="5"/>
  <c r="H224" i="5"/>
  <c r="J224" i="5"/>
  <c r="C216" i="5"/>
  <c r="H216" i="5"/>
  <c r="J216" i="5"/>
  <c r="C201" i="5"/>
  <c r="H201" i="5"/>
  <c r="J201" i="5"/>
  <c r="C193" i="5"/>
  <c r="J193" i="5"/>
  <c r="H193" i="5"/>
  <c r="C185" i="5"/>
  <c r="H185" i="5"/>
  <c r="J185" i="5"/>
  <c r="C178" i="5"/>
  <c r="H178" i="5"/>
  <c r="J178" i="5"/>
  <c r="C170" i="5"/>
  <c r="H170" i="5"/>
  <c r="J170" i="5"/>
  <c r="C162" i="5"/>
  <c r="J162" i="5"/>
  <c r="H162" i="5"/>
  <c r="C154" i="5"/>
  <c r="H154" i="5"/>
  <c r="J154" i="5"/>
  <c r="C146" i="5"/>
  <c r="H146" i="5"/>
  <c r="J146" i="5"/>
  <c r="C139" i="5"/>
  <c r="H139" i="5"/>
  <c r="J139" i="5"/>
  <c r="C131" i="5"/>
  <c r="J131" i="5"/>
  <c r="H131" i="5"/>
  <c r="C123" i="5"/>
  <c r="H123" i="5"/>
  <c r="J123" i="5"/>
  <c r="C115" i="5"/>
  <c r="H115" i="5"/>
  <c r="J115" i="5"/>
  <c r="C107" i="5"/>
  <c r="H107" i="5"/>
  <c r="J107" i="5"/>
  <c r="C99" i="5"/>
  <c r="J99" i="5"/>
  <c r="H99" i="5"/>
  <c r="C92" i="5"/>
  <c r="H92" i="5"/>
  <c r="J92" i="5"/>
  <c r="C84" i="5"/>
  <c r="H84" i="5"/>
  <c r="J84" i="5"/>
  <c r="C76" i="5"/>
  <c r="H76" i="5"/>
  <c r="J76" i="5"/>
  <c r="C68" i="5"/>
  <c r="J68" i="5"/>
  <c r="H68" i="5"/>
  <c r="C61" i="5"/>
  <c r="H61" i="5"/>
  <c r="J61" i="5"/>
  <c r="C54" i="5"/>
  <c r="H54" i="5"/>
  <c r="J54" i="5"/>
  <c r="C39" i="5"/>
  <c r="J39" i="5"/>
  <c r="H39" i="5"/>
  <c r="C31" i="5"/>
  <c r="H31" i="5"/>
  <c r="J31" i="5"/>
  <c r="C23" i="5"/>
  <c r="H23" i="5"/>
  <c r="J23" i="5"/>
  <c r="C15" i="5"/>
  <c r="H15" i="5"/>
  <c r="J15" i="5"/>
  <c r="C7" i="5"/>
  <c r="J7" i="5"/>
  <c r="H7" i="5"/>
  <c r="C417" i="5"/>
  <c r="J417" i="5"/>
  <c r="H417" i="5"/>
  <c r="C369" i="5"/>
  <c r="H369" i="5"/>
  <c r="J369" i="5"/>
  <c r="C323" i="5"/>
  <c r="H323" i="5"/>
  <c r="J323" i="5"/>
  <c r="C279" i="5"/>
  <c r="H279" i="5"/>
  <c r="J279" i="5"/>
  <c r="C226" i="5"/>
  <c r="H226" i="5"/>
  <c r="J226" i="5"/>
  <c r="C181" i="5"/>
  <c r="J181" i="5"/>
  <c r="H181" i="5"/>
  <c r="C142" i="5"/>
  <c r="J142" i="5"/>
  <c r="H142" i="5"/>
  <c r="C95" i="5"/>
  <c r="J95" i="5"/>
  <c r="H95" i="5"/>
  <c r="C57" i="5"/>
  <c r="J57" i="5"/>
  <c r="H57" i="5"/>
  <c r="C18" i="5"/>
  <c r="J18" i="5"/>
  <c r="H18" i="5"/>
  <c r="C384" i="5"/>
  <c r="H384" i="5"/>
  <c r="J384" i="5"/>
  <c r="C337" i="5"/>
  <c r="H337" i="5"/>
  <c r="J337" i="5"/>
  <c r="C286" i="5"/>
  <c r="H286" i="5"/>
  <c r="J286" i="5"/>
  <c r="C172" i="5"/>
  <c r="J172" i="5"/>
  <c r="H172" i="5"/>
  <c r="C125" i="5"/>
  <c r="J125" i="5"/>
  <c r="H125" i="5"/>
  <c r="C48" i="5"/>
  <c r="J48" i="5"/>
  <c r="H48" i="5"/>
  <c r="C406" i="5"/>
  <c r="H406" i="5"/>
  <c r="J406" i="5"/>
  <c r="C366" i="5"/>
  <c r="H366" i="5"/>
  <c r="J366" i="5"/>
  <c r="C312" i="5"/>
  <c r="H312" i="5"/>
  <c r="J312" i="5"/>
  <c r="C429" i="5"/>
  <c r="J429" i="5"/>
  <c r="H429" i="5"/>
  <c r="C421" i="5"/>
  <c r="J421" i="5"/>
  <c r="H421" i="5"/>
  <c r="C413" i="5"/>
  <c r="J413" i="5"/>
  <c r="H413" i="5"/>
  <c r="C405" i="5"/>
  <c r="H405" i="5"/>
  <c r="J405" i="5"/>
  <c r="C397" i="5"/>
  <c r="H397" i="5"/>
  <c r="J397" i="5"/>
  <c r="C389" i="5"/>
  <c r="H389" i="5"/>
  <c r="J389" i="5"/>
  <c r="C381" i="5"/>
  <c r="H381" i="5"/>
  <c r="J381" i="5"/>
  <c r="C373" i="5"/>
  <c r="H373" i="5"/>
  <c r="J373" i="5"/>
  <c r="C365" i="5"/>
  <c r="H365" i="5"/>
  <c r="J365" i="5"/>
  <c r="C357" i="5"/>
  <c r="H357" i="5"/>
  <c r="J357" i="5"/>
  <c r="C349" i="5"/>
  <c r="H349" i="5"/>
  <c r="J349" i="5"/>
  <c r="C342" i="5"/>
  <c r="H342" i="5"/>
  <c r="J342" i="5"/>
  <c r="C335" i="5"/>
  <c r="H335" i="5"/>
  <c r="J335" i="5"/>
  <c r="C327" i="5"/>
  <c r="H327" i="5"/>
  <c r="J327" i="5"/>
  <c r="C319" i="5"/>
  <c r="H319" i="5"/>
  <c r="J319" i="5"/>
  <c r="C311" i="5"/>
  <c r="H311" i="5"/>
  <c r="J311" i="5"/>
  <c r="C303" i="5"/>
  <c r="H303" i="5"/>
  <c r="J303" i="5"/>
  <c r="C295" i="5"/>
  <c r="H295" i="5"/>
  <c r="J295" i="5"/>
  <c r="C283" i="5"/>
  <c r="H283" i="5"/>
  <c r="J283" i="5"/>
  <c r="C275" i="5"/>
  <c r="H275" i="5"/>
  <c r="J275" i="5"/>
  <c r="C268" i="5"/>
  <c r="H268" i="5"/>
  <c r="J268" i="5"/>
  <c r="C260" i="5"/>
  <c r="H260" i="5"/>
  <c r="J260" i="5"/>
  <c r="C253" i="5"/>
  <c r="H253" i="5"/>
  <c r="J253" i="5"/>
  <c r="C245" i="5"/>
  <c r="H245" i="5"/>
  <c r="J245" i="5"/>
  <c r="C238" i="5"/>
  <c r="H238" i="5"/>
  <c r="J238" i="5"/>
  <c r="C230" i="5"/>
  <c r="H230" i="5"/>
  <c r="J230" i="5"/>
  <c r="C223" i="5"/>
  <c r="H223" i="5"/>
  <c r="J223" i="5"/>
  <c r="C215" i="5"/>
  <c r="H215" i="5"/>
  <c r="J215" i="5"/>
  <c r="C208" i="5"/>
  <c r="H208" i="5"/>
  <c r="J208" i="5"/>
  <c r="C200" i="5"/>
  <c r="H200" i="5"/>
  <c r="J200" i="5"/>
  <c r="C192" i="5"/>
  <c r="J192" i="5"/>
  <c r="H192" i="5"/>
  <c r="C184" i="5"/>
  <c r="H184" i="5"/>
  <c r="J184" i="5"/>
  <c r="C177" i="5"/>
  <c r="H177" i="5"/>
  <c r="J177" i="5"/>
  <c r="C169" i="5"/>
  <c r="H169" i="5"/>
  <c r="J169" i="5"/>
  <c r="C161" i="5"/>
  <c r="J161" i="5"/>
  <c r="H161" i="5"/>
  <c r="C153" i="5"/>
  <c r="H153" i="5"/>
  <c r="J153" i="5"/>
  <c r="C145" i="5"/>
  <c r="H145" i="5"/>
  <c r="J145" i="5"/>
  <c r="C138" i="5"/>
  <c r="H138" i="5"/>
  <c r="J138" i="5"/>
  <c r="C130" i="5"/>
  <c r="J130" i="5"/>
  <c r="H130" i="5"/>
  <c r="C122" i="5"/>
  <c r="H122" i="5"/>
  <c r="J122" i="5"/>
  <c r="C114" i="5"/>
  <c r="H114" i="5"/>
  <c r="J114" i="5"/>
  <c r="C106" i="5"/>
  <c r="H106" i="5"/>
  <c r="J106" i="5"/>
  <c r="C98" i="5"/>
  <c r="J98" i="5"/>
  <c r="H98" i="5"/>
  <c r="C91" i="5"/>
  <c r="H91" i="5"/>
  <c r="J91" i="5"/>
  <c r="C83" i="5"/>
  <c r="H83" i="5"/>
  <c r="J83" i="5"/>
  <c r="C75" i="5"/>
  <c r="H75" i="5"/>
  <c r="J75" i="5"/>
  <c r="C67" i="5"/>
  <c r="J67" i="5"/>
  <c r="H67" i="5"/>
  <c r="C60" i="5"/>
  <c r="H60" i="5"/>
  <c r="J60" i="5"/>
  <c r="C53" i="5"/>
  <c r="H53" i="5"/>
  <c r="J53" i="5"/>
  <c r="C46" i="5"/>
  <c r="H46" i="5"/>
  <c r="J46" i="5"/>
  <c r="C38" i="5"/>
  <c r="J38" i="5"/>
  <c r="H38" i="5"/>
  <c r="C30" i="5"/>
  <c r="H30" i="5"/>
  <c r="J30" i="5"/>
  <c r="C22" i="5"/>
  <c r="H22" i="5"/>
  <c r="J22" i="5"/>
  <c r="C14" i="5"/>
  <c r="H14" i="5"/>
  <c r="J14" i="5"/>
  <c r="C6" i="5"/>
  <c r="J6" i="5"/>
  <c r="H6" i="5"/>
  <c r="C425" i="5"/>
  <c r="H425" i="5"/>
  <c r="J425" i="5"/>
  <c r="C377" i="5"/>
  <c r="H377" i="5"/>
  <c r="J377" i="5"/>
  <c r="C331" i="5"/>
  <c r="H331" i="5"/>
  <c r="J331" i="5"/>
  <c r="C291" i="5"/>
  <c r="H291" i="5"/>
  <c r="J291" i="5"/>
  <c r="C241" i="5"/>
  <c r="H241" i="5"/>
  <c r="J241" i="5"/>
  <c r="C188" i="5"/>
  <c r="J188" i="5"/>
  <c r="H188" i="5"/>
  <c r="C134" i="5"/>
  <c r="J134" i="5"/>
  <c r="H134" i="5"/>
  <c r="C87" i="5"/>
  <c r="J87" i="5"/>
  <c r="H87" i="5"/>
  <c r="C49" i="5"/>
  <c r="J49" i="5"/>
  <c r="H49" i="5"/>
  <c r="C432" i="5"/>
  <c r="H432" i="5"/>
  <c r="J432" i="5"/>
  <c r="C352" i="5"/>
  <c r="H352" i="5"/>
  <c r="J352" i="5"/>
  <c r="C298" i="5"/>
  <c r="H298" i="5"/>
  <c r="J298" i="5"/>
  <c r="C248" i="5"/>
  <c r="H248" i="5"/>
  <c r="J248" i="5"/>
  <c r="C203" i="5"/>
  <c r="H203" i="5"/>
  <c r="J203" i="5"/>
  <c r="C156" i="5"/>
  <c r="J156" i="5"/>
  <c r="H156" i="5"/>
  <c r="C70" i="5"/>
  <c r="J70" i="5"/>
  <c r="H70" i="5"/>
  <c r="C414" i="5"/>
  <c r="J414" i="5"/>
  <c r="H414" i="5"/>
  <c r="C374" i="5"/>
  <c r="H374" i="5"/>
  <c r="J374" i="5"/>
  <c r="C320" i="5"/>
  <c r="H320" i="5"/>
  <c r="J320" i="5"/>
  <c r="C428" i="5"/>
  <c r="J428" i="5"/>
  <c r="H428" i="5"/>
  <c r="C420" i="5"/>
  <c r="J420" i="5"/>
  <c r="H420" i="5"/>
  <c r="C412" i="5"/>
  <c r="J412" i="5"/>
  <c r="H412" i="5"/>
  <c r="C404" i="5"/>
  <c r="J404" i="5"/>
  <c r="H404" i="5"/>
  <c r="C396" i="5"/>
  <c r="J396" i="5"/>
  <c r="H396" i="5"/>
  <c r="C388" i="5"/>
  <c r="J388" i="5"/>
  <c r="H388" i="5"/>
  <c r="C380" i="5"/>
  <c r="J380" i="5"/>
  <c r="H380" i="5"/>
  <c r="C372" i="5"/>
  <c r="J372" i="5"/>
  <c r="H372" i="5"/>
  <c r="C364" i="5"/>
  <c r="J364" i="5"/>
  <c r="H364" i="5"/>
  <c r="C356" i="5"/>
  <c r="J356" i="5"/>
  <c r="H356" i="5"/>
  <c r="C348" i="5"/>
  <c r="J348" i="5"/>
  <c r="H348" i="5"/>
  <c r="C341" i="5"/>
  <c r="J341" i="5"/>
  <c r="H341" i="5"/>
  <c r="C334" i="5"/>
  <c r="J334" i="5"/>
  <c r="H334" i="5"/>
  <c r="C326" i="5"/>
  <c r="J326" i="5"/>
  <c r="H326" i="5"/>
  <c r="C318" i="5"/>
  <c r="J318" i="5"/>
  <c r="H318" i="5"/>
  <c r="C310" i="5"/>
  <c r="J310" i="5"/>
  <c r="H310" i="5"/>
  <c r="C302" i="5"/>
  <c r="J302" i="5"/>
  <c r="H302" i="5"/>
  <c r="C294" i="5"/>
  <c r="J294" i="5"/>
  <c r="H294" i="5"/>
  <c r="C282" i="5"/>
  <c r="J282" i="5"/>
  <c r="H282" i="5"/>
  <c r="C274" i="5"/>
  <c r="J274" i="5"/>
  <c r="H274" i="5"/>
  <c r="C267" i="5"/>
  <c r="J267" i="5"/>
  <c r="H267" i="5"/>
  <c r="C259" i="5"/>
  <c r="J259" i="5"/>
  <c r="H259" i="5"/>
  <c r="C252" i="5"/>
  <c r="J252" i="5"/>
  <c r="H252" i="5"/>
  <c r="C244" i="5"/>
  <c r="J244" i="5"/>
  <c r="H244" i="5"/>
  <c r="C237" i="5"/>
  <c r="J237" i="5"/>
  <c r="H237" i="5"/>
  <c r="C229" i="5"/>
  <c r="J229" i="5"/>
  <c r="H229" i="5"/>
  <c r="C222" i="5"/>
  <c r="J222" i="5"/>
  <c r="H222" i="5"/>
  <c r="C214" i="5"/>
  <c r="J214" i="5"/>
  <c r="H214" i="5"/>
  <c r="C207" i="5"/>
  <c r="J207" i="5"/>
  <c r="H207" i="5"/>
  <c r="C199" i="5"/>
  <c r="J199" i="5"/>
  <c r="H199" i="5"/>
  <c r="C191" i="5"/>
  <c r="J191" i="5"/>
  <c r="H191" i="5"/>
  <c r="C183" i="5"/>
  <c r="J183" i="5"/>
  <c r="H183" i="5"/>
  <c r="C176" i="5"/>
  <c r="J176" i="5"/>
  <c r="H176" i="5"/>
  <c r="C168" i="5"/>
  <c r="J168" i="5"/>
  <c r="H168" i="5"/>
  <c r="C160" i="5"/>
  <c r="J160" i="5"/>
  <c r="H160" i="5"/>
  <c r="C152" i="5"/>
  <c r="J152" i="5"/>
  <c r="H152" i="5"/>
  <c r="C144" i="5"/>
  <c r="J144" i="5"/>
  <c r="H144" i="5"/>
  <c r="C137" i="5"/>
  <c r="J137" i="5"/>
  <c r="H137" i="5"/>
  <c r="C129" i="5"/>
  <c r="J129" i="5"/>
  <c r="H129" i="5"/>
  <c r="C121" i="5"/>
  <c r="J121" i="5"/>
  <c r="H121" i="5"/>
  <c r="C113" i="5"/>
  <c r="J113" i="5"/>
  <c r="H113" i="5"/>
  <c r="C105" i="5"/>
  <c r="J105" i="5"/>
  <c r="H105" i="5"/>
  <c r="C97" i="5"/>
  <c r="J97" i="5"/>
  <c r="H97" i="5"/>
  <c r="C90" i="5"/>
  <c r="J90" i="5"/>
  <c r="H90" i="5"/>
  <c r="C82" i="5"/>
  <c r="J82" i="5"/>
  <c r="H82" i="5"/>
  <c r="C74" i="5"/>
  <c r="J74" i="5"/>
  <c r="H74" i="5"/>
  <c r="C66" i="5"/>
  <c r="J66" i="5"/>
  <c r="H66" i="5"/>
  <c r="C52" i="5"/>
  <c r="J52" i="5"/>
  <c r="H52" i="5"/>
  <c r="C45" i="5"/>
  <c r="J45" i="5"/>
  <c r="H45" i="5"/>
  <c r="C37" i="5"/>
  <c r="J37" i="5"/>
  <c r="H37" i="5"/>
  <c r="C29" i="5"/>
  <c r="J29" i="5"/>
  <c r="H29" i="5"/>
  <c r="C21" i="5"/>
  <c r="J21" i="5"/>
  <c r="H21" i="5"/>
  <c r="C13" i="5"/>
  <c r="J13" i="5"/>
  <c r="H13" i="5"/>
  <c r="C5" i="5"/>
  <c r="J5" i="5"/>
  <c r="H5" i="5"/>
  <c r="C393" i="5"/>
  <c r="H393" i="5"/>
  <c r="J393" i="5"/>
  <c r="C345" i="5"/>
  <c r="H345" i="5"/>
  <c r="J345" i="5"/>
  <c r="C299" i="5"/>
  <c r="H299" i="5"/>
  <c r="J299" i="5"/>
  <c r="C219" i="5"/>
  <c r="H219" i="5"/>
  <c r="J219" i="5"/>
  <c r="C165" i="5"/>
  <c r="J165" i="5"/>
  <c r="H165" i="5"/>
  <c r="C126" i="5"/>
  <c r="J126" i="5"/>
  <c r="H126" i="5"/>
  <c r="C79" i="5"/>
  <c r="J79" i="5"/>
  <c r="H79" i="5"/>
  <c r="C42" i="5"/>
  <c r="J42" i="5"/>
  <c r="H42" i="5"/>
  <c r="C408" i="5"/>
  <c r="H408" i="5"/>
  <c r="J408" i="5"/>
  <c r="C368" i="5"/>
  <c r="H368" i="5"/>
  <c r="J368" i="5"/>
  <c r="C322" i="5"/>
  <c r="H322" i="5"/>
  <c r="J322" i="5"/>
  <c r="C278" i="5"/>
  <c r="H278" i="5"/>
  <c r="J278" i="5"/>
  <c r="C233" i="5"/>
  <c r="H233" i="5"/>
  <c r="J233" i="5"/>
  <c r="C187" i="5"/>
  <c r="J187" i="5"/>
  <c r="H187" i="5"/>
  <c r="C133" i="5"/>
  <c r="J133" i="5"/>
  <c r="H133" i="5"/>
  <c r="C63" i="5"/>
  <c r="J63" i="5"/>
  <c r="H63" i="5"/>
  <c r="C422" i="5"/>
  <c r="J422" i="5"/>
  <c r="H422" i="5"/>
  <c r="C382" i="5"/>
  <c r="H382" i="5"/>
  <c r="J382" i="5"/>
  <c r="C343" i="5"/>
  <c r="H343" i="5"/>
  <c r="J343" i="5"/>
  <c r="C296" i="5"/>
  <c r="H296" i="5"/>
  <c r="J296" i="5"/>
  <c r="C2" i="5"/>
  <c r="J2" i="5"/>
  <c r="C427" i="5"/>
  <c r="J427" i="5"/>
  <c r="H427" i="5"/>
  <c r="C419" i="5"/>
  <c r="J419" i="5"/>
  <c r="H419" i="5"/>
  <c r="C411" i="5"/>
  <c r="J411" i="5"/>
  <c r="H411" i="5"/>
  <c r="C403" i="5"/>
  <c r="J403" i="5"/>
  <c r="H403" i="5"/>
  <c r="C395" i="5"/>
  <c r="J395" i="5"/>
  <c r="H395" i="5"/>
  <c r="C387" i="5"/>
  <c r="J387" i="5"/>
  <c r="H387" i="5"/>
  <c r="C379" i="5"/>
  <c r="J379" i="5"/>
  <c r="H379" i="5"/>
  <c r="C371" i="5"/>
  <c r="J371" i="5"/>
  <c r="H371" i="5"/>
  <c r="C363" i="5"/>
  <c r="J363" i="5"/>
  <c r="H363" i="5"/>
  <c r="C355" i="5"/>
  <c r="J355" i="5"/>
  <c r="H355" i="5"/>
  <c r="C347" i="5"/>
  <c r="J347" i="5"/>
  <c r="H347" i="5"/>
  <c r="C340" i="5"/>
  <c r="J340" i="5"/>
  <c r="H340" i="5"/>
  <c r="C333" i="5"/>
  <c r="J333" i="5"/>
  <c r="H333" i="5"/>
  <c r="C325" i="5"/>
  <c r="J325" i="5"/>
  <c r="H325" i="5"/>
  <c r="C317" i="5"/>
  <c r="J317" i="5"/>
  <c r="H317" i="5"/>
  <c r="C309" i="5"/>
  <c r="J309" i="5"/>
  <c r="H309" i="5"/>
  <c r="C301" i="5"/>
  <c r="J301" i="5"/>
  <c r="H301" i="5"/>
  <c r="C293" i="5"/>
  <c r="J293" i="5"/>
  <c r="H293" i="5"/>
  <c r="C281" i="5"/>
  <c r="J281" i="5"/>
  <c r="H281" i="5"/>
  <c r="C273" i="5"/>
  <c r="J273" i="5"/>
  <c r="H273" i="5"/>
  <c r="C266" i="5"/>
  <c r="J266" i="5"/>
  <c r="H266" i="5"/>
  <c r="C258" i="5"/>
  <c r="J258" i="5"/>
  <c r="H258" i="5"/>
  <c r="C251" i="5"/>
  <c r="J251" i="5"/>
  <c r="H251" i="5"/>
  <c r="C243" i="5"/>
  <c r="J243" i="5"/>
  <c r="H243" i="5"/>
  <c r="C236" i="5"/>
  <c r="J236" i="5"/>
  <c r="H236" i="5"/>
  <c r="C228" i="5"/>
  <c r="J228" i="5"/>
  <c r="H228" i="5"/>
  <c r="C221" i="5"/>
  <c r="J221" i="5"/>
  <c r="H221" i="5"/>
  <c r="C213" i="5"/>
  <c r="J213" i="5"/>
  <c r="H213" i="5"/>
  <c r="C206" i="5"/>
  <c r="J206" i="5"/>
  <c r="H206" i="5"/>
  <c r="C198" i="5"/>
  <c r="J198" i="5"/>
  <c r="H198" i="5"/>
  <c r="C190" i="5"/>
  <c r="J190" i="5"/>
  <c r="H190" i="5"/>
  <c r="C182" i="5"/>
  <c r="J182" i="5"/>
  <c r="H182" i="5"/>
  <c r="C175" i="5"/>
  <c r="J175" i="5"/>
  <c r="H175" i="5"/>
  <c r="C167" i="5"/>
  <c r="J167" i="5"/>
  <c r="H167" i="5"/>
  <c r="C159" i="5"/>
  <c r="J159" i="5"/>
  <c r="H159" i="5"/>
  <c r="C151" i="5"/>
  <c r="J151" i="5"/>
  <c r="H151" i="5"/>
  <c r="C143" i="5"/>
  <c r="J143" i="5"/>
  <c r="H143" i="5"/>
  <c r="C136" i="5"/>
  <c r="J136" i="5"/>
  <c r="H136" i="5"/>
  <c r="C128" i="5"/>
  <c r="J128" i="5"/>
  <c r="H128" i="5"/>
  <c r="C120" i="5"/>
  <c r="J120" i="5"/>
  <c r="H120" i="5"/>
  <c r="C112" i="5"/>
  <c r="J112" i="5"/>
  <c r="H112" i="5"/>
  <c r="C104" i="5"/>
  <c r="J104" i="5"/>
  <c r="H104" i="5"/>
  <c r="C89" i="5"/>
  <c r="J89" i="5"/>
  <c r="H89" i="5"/>
  <c r="C81" i="5"/>
  <c r="J81" i="5"/>
  <c r="H81" i="5"/>
  <c r="C73" i="5"/>
  <c r="J73" i="5"/>
  <c r="H73" i="5"/>
  <c r="C65" i="5"/>
  <c r="J65" i="5"/>
  <c r="H65" i="5"/>
  <c r="C59" i="5"/>
  <c r="J59" i="5"/>
  <c r="H59" i="5"/>
  <c r="C51" i="5"/>
  <c r="J51" i="5"/>
  <c r="H51" i="5"/>
  <c r="C44" i="5"/>
  <c r="J44" i="5"/>
  <c r="H44" i="5"/>
  <c r="C36" i="5"/>
  <c r="J36" i="5"/>
  <c r="H36" i="5"/>
  <c r="C28" i="5"/>
  <c r="J28" i="5"/>
  <c r="H28" i="5"/>
  <c r="C20" i="5"/>
  <c r="J20" i="5"/>
  <c r="H20" i="5"/>
  <c r="C12" i="5"/>
  <c r="J12" i="5"/>
  <c r="H12" i="5"/>
  <c r="C4" i="5"/>
  <c r="J4" i="5"/>
  <c r="H4" i="5"/>
  <c r="C409" i="5"/>
  <c r="H409" i="5"/>
  <c r="J409" i="5"/>
  <c r="C361" i="5"/>
  <c r="H361" i="5"/>
  <c r="J361" i="5"/>
  <c r="C287" i="5"/>
  <c r="H287" i="5"/>
  <c r="J287" i="5"/>
  <c r="C249" i="5"/>
  <c r="H249" i="5"/>
  <c r="J249" i="5"/>
  <c r="C204" i="5"/>
  <c r="H204" i="5"/>
  <c r="J204" i="5"/>
  <c r="C157" i="5"/>
  <c r="J157" i="5"/>
  <c r="H157" i="5"/>
  <c r="C110" i="5"/>
  <c r="J110" i="5"/>
  <c r="H110" i="5"/>
  <c r="C10" i="5"/>
  <c r="J10" i="5"/>
  <c r="H10" i="5"/>
  <c r="C424" i="5"/>
  <c r="H424" i="5"/>
  <c r="J424" i="5"/>
  <c r="C376" i="5"/>
  <c r="H376" i="5"/>
  <c r="J376" i="5"/>
  <c r="C330" i="5"/>
  <c r="H330" i="5"/>
  <c r="J330" i="5"/>
  <c r="C290" i="5"/>
  <c r="H290" i="5"/>
  <c r="J290" i="5"/>
  <c r="C256" i="5"/>
  <c r="H256" i="5"/>
  <c r="J256" i="5"/>
  <c r="C210" i="5"/>
  <c r="H210" i="5"/>
  <c r="J210" i="5"/>
  <c r="C164" i="5"/>
  <c r="J164" i="5"/>
  <c r="H164" i="5"/>
  <c r="C117" i="5"/>
  <c r="J117" i="5"/>
  <c r="H117" i="5"/>
  <c r="C41" i="5"/>
  <c r="J41" i="5"/>
  <c r="H41" i="5"/>
  <c r="C430" i="5"/>
  <c r="J430" i="5"/>
  <c r="H430" i="5"/>
  <c r="C398" i="5"/>
  <c r="H398" i="5"/>
  <c r="J398" i="5"/>
  <c r="C358" i="5"/>
  <c r="H358" i="5"/>
  <c r="J358" i="5"/>
  <c r="C328" i="5"/>
  <c r="H328" i="5"/>
  <c r="J328" i="5"/>
  <c r="C426" i="5"/>
  <c r="J426" i="5"/>
  <c r="H426" i="5"/>
  <c r="C418" i="5"/>
  <c r="J418" i="5"/>
  <c r="H418" i="5"/>
  <c r="C410" i="5"/>
  <c r="J410" i="5"/>
  <c r="H410" i="5"/>
  <c r="C402" i="5"/>
  <c r="J402" i="5"/>
  <c r="H402" i="5"/>
  <c r="C394" i="5"/>
  <c r="J394" i="5"/>
  <c r="H394" i="5"/>
  <c r="C386" i="5"/>
  <c r="J386" i="5"/>
  <c r="H386" i="5"/>
  <c r="C378" i="5"/>
  <c r="J378" i="5"/>
  <c r="H378" i="5"/>
  <c r="C370" i="5"/>
  <c r="J370" i="5"/>
  <c r="H370" i="5"/>
  <c r="C362" i="5"/>
  <c r="J362" i="5"/>
  <c r="H362" i="5"/>
  <c r="C354" i="5"/>
  <c r="J354" i="5"/>
  <c r="H354" i="5"/>
  <c r="C346" i="5"/>
  <c r="J346" i="5"/>
  <c r="H346" i="5"/>
  <c r="C339" i="5"/>
  <c r="J339" i="5"/>
  <c r="H339" i="5"/>
  <c r="C332" i="5"/>
  <c r="J332" i="5"/>
  <c r="H332" i="5"/>
  <c r="C324" i="5"/>
  <c r="J324" i="5"/>
  <c r="H324" i="5"/>
  <c r="C316" i="5"/>
  <c r="J316" i="5"/>
  <c r="H316" i="5"/>
  <c r="C308" i="5"/>
  <c r="J308" i="5"/>
  <c r="H308" i="5"/>
  <c r="C300" i="5"/>
  <c r="J300" i="5"/>
  <c r="H300" i="5"/>
  <c r="C292" i="5"/>
  <c r="J292" i="5"/>
  <c r="H292" i="5"/>
  <c r="C280" i="5"/>
  <c r="J280" i="5"/>
  <c r="H280" i="5"/>
  <c r="C272" i="5"/>
  <c r="J272" i="5"/>
  <c r="H272" i="5"/>
  <c r="C265" i="5"/>
  <c r="J265" i="5"/>
  <c r="H265" i="5"/>
  <c r="C257" i="5"/>
  <c r="J257" i="5"/>
  <c r="H257" i="5"/>
  <c r="C250" i="5"/>
  <c r="J250" i="5"/>
  <c r="H250" i="5"/>
  <c r="C242" i="5"/>
  <c r="J242" i="5"/>
  <c r="H242" i="5"/>
  <c r="C235" i="5"/>
  <c r="J235" i="5"/>
  <c r="H235" i="5"/>
  <c r="C227" i="5"/>
  <c r="J227" i="5"/>
  <c r="H227" i="5"/>
  <c r="C220" i="5"/>
  <c r="J220" i="5"/>
  <c r="H220" i="5"/>
  <c r="C212" i="5"/>
  <c r="J212" i="5"/>
  <c r="H212" i="5"/>
  <c r="C205" i="5"/>
  <c r="J205" i="5"/>
  <c r="H205" i="5"/>
  <c r="C197" i="5"/>
  <c r="J197" i="5"/>
  <c r="H197" i="5"/>
  <c r="C189" i="5"/>
  <c r="J189" i="5"/>
  <c r="H189" i="5"/>
  <c r="C174" i="5"/>
  <c r="J174" i="5"/>
  <c r="H174" i="5"/>
  <c r="C166" i="5"/>
  <c r="J166" i="5"/>
  <c r="H166" i="5"/>
  <c r="C158" i="5"/>
  <c r="J158" i="5"/>
  <c r="H158" i="5"/>
  <c r="C150" i="5"/>
  <c r="J150" i="5"/>
  <c r="H150" i="5"/>
  <c r="C135" i="5"/>
  <c r="J135" i="5"/>
  <c r="H135" i="5"/>
  <c r="C127" i="5"/>
  <c r="J127" i="5"/>
  <c r="H127" i="5"/>
  <c r="C119" i="5"/>
  <c r="J119" i="5"/>
  <c r="H119" i="5"/>
  <c r="C111" i="5"/>
  <c r="J111" i="5"/>
  <c r="H111" i="5"/>
  <c r="C103" i="5"/>
  <c r="J103" i="5"/>
  <c r="H103" i="5"/>
  <c r="C96" i="5"/>
  <c r="J96" i="5"/>
  <c r="H96" i="5"/>
  <c r="C88" i="5"/>
  <c r="J88" i="5"/>
  <c r="H88" i="5"/>
  <c r="C80" i="5"/>
  <c r="J80" i="5"/>
  <c r="H80" i="5"/>
  <c r="C72" i="5"/>
  <c r="J72" i="5"/>
  <c r="H72" i="5"/>
  <c r="C64" i="5"/>
  <c r="J64" i="5"/>
  <c r="H64" i="5"/>
  <c r="C58" i="5"/>
  <c r="J58" i="5"/>
  <c r="H58" i="5"/>
  <c r="C50" i="5"/>
  <c r="J50" i="5"/>
  <c r="H50" i="5"/>
  <c r="C43" i="5"/>
  <c r="J43" i="5"/>
  <c r="H43" i="5"/>
  <c r="C35" i="5"/>
  <c r="J35" i="5"/>
  <c r="H35" i="5"/>
  <c r="C27" i="5"/>
  <c r="J27" i="5"/>
  <c r="H27" i="5"/>
  <c r="C19" i="5"/>
  <c r="J19" i="5"/>
  <c r="H19" i="5"/>
  <c r="C11" i="5"/>
  <c r="J11" i="5"/>
  <c r="H11" i="5"/>
  <c r="C3" i="5"/>
  <c r="J3" i="5"/>
  <c r="H3" i="5"/>
  <c r="A268" i="5"/>
  <c r="A309" i="5"/>
  <c r="A192" i="5"/>
  <c r="A417" i="5"/>
  <c r="A377" i="5"/>
  <c r="A209" i="5"/>
  <c r="A53" i="5"/>
  <c r="A422" i="5"/>
  <c r="A104" i="5"/>
  <c r="A287" i="5"/>
  <c r="A157" i="5"/>
  <c r="A45" i="5"/>
  <c r="A66" i="5"/>
  <c r="A396" i="5"/>
  <c r="A297" i="5"/>
  <c r="A115" i="5"/>
  <c r="A184" i="5"/>
  <c r="A312" i="5"/>
  <c r="A303" i="5"/>
  <c r="A195" i="5"/>
  <c r="A291" i="5"/>
  <c r="A279" i="5"/>
  <c r="A421" i="5"/>
  <c r="A390" i="5"/>
  <c r="A329" i="5"/>
  <c r="A274" i="5"/>
  <c r="A57" i="5"/>
  <c r="A123" i="5"/>
  <c r="A175" i="5"/>
  <c r="A128" i="5"/>
  <c r="A127" i="5"/>
  <c r="A162" i="5"/>
  <c r="A334" i="5"/>
  <c r="A217" i="5"/>
  <c r="A60" i="5"/>
  <c r="A212" i="5"/>
  <c r="A316" i="5"/>
  <c r="A288" i="5"/>
  <c r="A101" i="5"/>
  <c r="A62" i="5"/>
  <c r="A311" i="5"/>
  <c r="A378" i="5"/>
  <c r="A174" i="5"/>
  <c r="A320" i="5"/>
  <c r="A253" i="5"/>
  <c r="A106" i="5"/>
  <c r="A402" i="5"/>
  <c r="A228" i="5"/>
  <c r="A129" i="5"/>
  <c r="A83" i="5"/>
  <c r="A56" i="5"/>
  <c r="A338" i="5"/>
  <c r="A153" i="5"/>
  <c r="A5" i="5"/>
  <c r="A159" i="5"/>
  <c r="A74" i="5"/>
  <c r="A138" i="5"/>
  <c r="A38" i="5"/>
  <c r="A187" i="5"/>
  <c r="A107" i="5"/>
  <c r="A152" i="5"/>
  <c r="A302" i="5"/>
  <c r="A7" i="5"/>
  <c r="A176" i="5"/>
  <c r="A208" i="5"/>
  <c r="A75" i="5"/>
  <c r="A215" i="5"/>
  <c r="A165" i="5"/>
  <c r="A256" i="5"/>
  <c r="A133" i="5"/>
  <c r="A394" i="5"/>
  <c r="A412" i="5"/>
  <c r="A365" i="5"/>
  <c r="A406" i="5"/>
  <c r="A405" i="5"/>
  <c r="A404" i="5"/>
  <c r="A118" i="5"/>
  <c r="A379" i="5"/>
  <c r="A40" i="5"/>
  <c r="A308" i="5"/>
  <c r="A2" i="5"/>
  <c r="A17" i="5"/>
  <c r="A361" i="5"/>
  <c r="A86" i="5"/>
  <c r="A340" i="5"/>
  <c r="A257" i="5"/>
  <c r="A372" i="5"/>
  <c r="A272" i="5"/>
  <c r="A221" i="5"/>
  <c r="A250" i="5"/>
  <c r="A225" i="5"/>
  <c r="A199" i="5"/>
  <c r="A30" i="5"/>
  <c r="A113" i="5"/>
  <c r="A357" i="5"/>
  <c r="A322" i="5"/>
  <c r="A21" i="5"/>
  <c r="A112" i="5"/>
  <c r="A79" i="5"/>
  <c r="A198" i="5"/>
  <c r="A102" i="5"/>
  <c r="A211" i="5"/>
  <c r="A20" i="5"/>
  <c r="A355" i="5"/>
  <c r="A163" i="5"/>
  <c r="A349" i="5"/>
  <c r="A37" i="5"/>
  <c r="A36" i="5"/>
  <c r="A35" i="5"/>
  <c r="A34" i="5"/>
  <c r="A33" i="5"/>
  <c r="A32" i="5"/>
  <c r="A388" i="5"/>
  <c r="A408" i="5"/>
  <c r="A283" i="5"/>
  <c r="A6" i="5"/>
  <c r="A68" i="5"/>
  <c r="A375" i="5"/>
  <c r="A326" i="5"/>
  <c r="A80" i="5"/>
  <c r="A14" i="5"/>
  <c r="A233" i="5"/>
  <c r="A214" i="5"/>
  <c r="A255" i="5"/>
  <c r="A423" i="5"/>
  <c r="A119" i="5"/>
  <c r="A8" i="5"/>
  <c r="A419" i="5"/>
  <c r="A410" i="5"/>
  <c r="A418" i="5"/>
  <c r="A12" i="5"/>
  <c r="A428" i="5"/>
  <c r="A207" i="5"/>
  <c r="A318" i="5"/>
  <c r="A351" i="5"/>
  <c r="A103" i="5"/>
  <c r="A213" i="5"/>
  <c r="A190" i="5"/>
  <c r="A347" i="5"/>
  <c r="A194" i="5"/>
  <c r="A269" i="5"/>
  <c r="A125" i="5"/>
  <c r="A330" i="5"/>
  <c r="A69" i="5"/>
  <c r="A420" i="5"/>
  <c r="A314" i="5"/>
  <c r="A206" i="5"/>
  <c r="A416" i="5"/>
  <c r="A277" i="5"/>
  <c r="A251" i="5"/>
  <c r="A22" i="5"/>
  <c r="A73" i="5"/>
  <c r="A298" i="5"/>
  <c r="A116" i="5"/>
  <c r="A23" i="5"/>
  <c r="A71" i="5"/>
  <c r="A31" i="5"/>
  <c r="A64" i="5"/>
  <c r="A173" i="5"/>
  <c r="A391" i="5"/>
  <c r="A114" i="5"/>
  <c r="A427" i="5"/>
  <c r="A359" i="5"/>
  <c r="A24" i="5"/>
  <c r="A352" i="5"/>
  <c r="A315" i="5"/>
  <c r="A4" i="5"/>
  <c r="A386" i="5"/>
  <c r="A9" i="5"/>
  <c r="A148" i="5"/>
  <c r="A432" i="5"/>
  <c r="A411" i="5"/>
  <c r="A47" i="5"/>
  <c r="A415" i="5"/>
  <c r="A43" i="5"/>
  <c r="A348" i="5"/>
  <c r="A93" i="5"/>
  <c r="A120" i="5"/>
  <c r="A25" i="5"/>
  <c r="A139" i="5"/>
  <c r="A141" i="5"/>
  <c r="A117" i="5"/>
  <c r="A52" i="5"/>
  <c r="A131" i="5"/>
  <c r="A335" i="5"/>
  <c r="A264" i="5"/>
  <c r="A143" i="5"/>
  <c r="A328" i="5"/>
  <c r="A385" i="5"/>
  <c r="A426" i="5"/>
  <c r="A366" i="5"/>
  <c r="A85" i="5"/>
  <c r="A336" i="5"/>
  <c r="A137" i="5"/>
  <c r="A343" i="5"/>
  <c r="A168" i="5"/>
  <c r="A254" i="5"/>
  <c r="A67" i="5"/>
  <c r="A147" i="5"/>
  <c r="A241" i="5"/>
  <c r="A161" i="5"/>
  <c r="A234" i="5"/>
  <c r="A196" i="5"/>
  <c r="A178" i="5"/>
  <c r="A319" i="5"/>
  <c r="A286" i="5"/>
  <c r="A98" i="5"/>
  <c r="A189" i="5"/>
  <c r="A339" i="5"/>
  <c r="A324" i="5"/>
  <c r="A105" i="5"/>
  <c r="A247" i="5"/>
  <c r="A48" i="5"/>
  <c r="A210" i="5"/>
  <c r="A384" i="5"/>
  <c r="A182" i="5"/>
  <c r="A397" i="5"/>
  <c r="A130" i="5"/>
  <c r="A171" i="5"/>
  <c r="A231" i="5"/>
  <c r="A50" i="5"/>
  <c r="A399" i="5"/>
  <c r="A305" i="5"/>
  <c r="A409" i="5"/>
  <c r="A282" i="5"/>
  <c r="A413" i="5"/>
  <c r="A172" i="5"/>
  <c r="A276" i="5"/>
  <c r="A49" i="5"/>
  <c r="A84" i="5"/>
  <c r="A204" i="5"/>
  <c r="A185" i="5"/>
  <c r="A392" i="5"/>
  <c r="A61" i="5"/>
  <c r="A72" i="5"/>
  <c r="A295" i="5"/>
  <c r="A154" i="5"/>
  <c r="A177" i="5"/>
  <c r="A77" i="5"/>
  <c r="A400" i="5"/>
  <c r="A99" i="5"/>
  <c r="A100" i="5"/>
  <c r="A376" i="5"/>
  <c r="A371" i="5"/>
  <c r="A331" i="5"/>
  <c r="A54" i="5"/>
  <c r="A42" i="5"/>
  <c r="A39" i="5"/>
  <c r="A431" i="5"/>
  <c r="A51" i="5"/>
  <c r="A202" i="5"/>
  <c r="A259" i="5"/>
  <c r="A373" i="5"/>
  <c r="A18" i="5"/>
  <c r="A135" i="5"/>
  <c r="A296" i="5"/>
  <c r="A429" i="5"/>
  <c r="A389" i="5"/>
  <c r="A218" i="5"/>
  <c r="A342" i="5"/>
  <c r="A78" i="5"/>
  <c r="A166" i="5"/>
  <c r="A95" i="5"/>
  <c r="A65" i="5"/>
  <c r="A94" i="5"/>
  <c r="A97" i="5"/>
  <c r="A232" i="5"/>
  <c r="A164" i="5"/>
  <c r="A242" i="5"/>
  <c r="A156" i="5"/>
  <c r="A267" i="5"/>
  <c r="A260" i="5"/>
  <c r="A332" i="5"/>
  <c r="A237" i="5"/>
  <c r="A245" i="5"/>
  <c r="A293" i="5"/>
  <c r="A321" i="5"/>
  <c r="A317" i="5"/>
  <c r="A301" i="5"/>
  <c r="A310" i="5"/>
  <c r="A186" i="5"/>
  <c r="A63" i="5"/>
  <c r="A96" i="5"/>
  <c r="A91" i="5"/>
  <c r="A90" i="5"/>
  <c r="A89" i="5"/>
  <c r="A88" i="5"/>
  <c r="A87" i="5"/>
  <c r="A382" i="5"/>
  <c r="A19" i="5"/>
  <c r="A136" i="5"/>
  <c r="A110" i="5"/>
  <c r="A243" i="5"/>
  <c r="A16" i="5"/>
  <c r="A354" i="5"/>
  <c r="A145" i="5"/>
  <c r="A11" i="5"/>
  <c r="A15" i="5"/>
  <c r="A82" i="5"/>
  <c r="A300" i="5"/>
  <c r="A381" i="5"/>
  <c r="A197" i="5"/>
  <c r="A239" i="5"/>
  <c r="A183" i="5"/>
  <c r="A13" i="5"/>
  <c r="A191" i="5"/>
  <c r="A424" i="5"/>
  <c r="A398" i="5"/>
  <c r="A341" i="5"/>
  <c r="A180" i="5"/>
  <c r="A304" i="5"/>
  <c r="A367" i="5"/>
  <c r="A306" i="5"/>
  <c r="A299" i="5"/>
  <c r="A126" i="5"/>
  <c r="A132" i="5"/>
  <c r="A3" i="5"/>
  <c r="A430" i="5"/>
  <c r="A258" i="5"/>
  <c r="A414" i="5"/>
  <c r="A393" i="5"/>
  <c r="A149" i="5"/>
  <c r="A266" i="5"/>
  <c r="A142" i="5"/>
  <c r="A160" i="5"/>
  <c r="A380" i="5"/>
  <c r="A289" i="5"/>
  <c r="A108" i="5"/>
  <c r="A344" i="5"/>
  <c r="A403" i="5"/>
  <c r="A294" i="5"/>
  <c r="A200" i="5"/>
  <c r="A26" i="5"/>
  <c r="A364" i="5"/>
  <c r="A205" i="5"/>
  <c r="A363" i="5"/>
  <c r="A244" i="5"/>
  <c r="A201" i="5"/>
  <c r="A407" i="5"/>
  <c r="A222" i="5"/>
  <c r="A262" i="5"/>
  <c r="A350" i="5"/>
  <c r="A281" i="5"/>
  <c r="A220" i="5"/>
  <c r="A158" i="5"/>
  <c r="A44" i="5"/>
  <c r="A387" i="5"/>
  <c r="A263" i="5"/>
  <c r="A246" i="5"/>
  <c r="A55" i="5"/>
  <c r="A358" i="5"/>
  <c r="A327" i="5"/>
  <c r="A370" i="5"/>
  <c r="A151" i="5"/>
  <c r="A111" i="5"/>
  <c r="A325" i="5"/>
  <c r="A219" i="5"/>
  <c r="A270" i="5"/>
  <c r="A109" i="5"/>
  <c r="A169" i="5"/>
  <c r="A28" i="5"/>
  <c r="A76" i="5"/>
  <c r="A275" i="5"/>
  <c r="A216" i="5"/>
  <c r="A181" i="5"/>
  <c r="A46" i="5"/>
  <c r="A146" i="5"/>
  <c r="A230" i="5"/>
  <c r="A284" i="5"/>
  <c r="A290" i="5"/>
  <c r="A29" i="5"/>
  <c r="A360" i="5"/>
  <c r="A252" i="5"/>
  <c r="A273" i="5"/>
  <c r="A235" i="5"/>
  <c r="A356" i="5"/>
  <c r="A401" i="5"/>
  <c r="A425" i="5"/>
  <c r="A337" i="5"/>
  <c r="A248" i="5"/>
  <c r="A249" i="5"/>
  <c r="A27" i="5"/>
  <c r="A150" i="5"/>
  <c r="A323" i="5"/>
  <c r="A240" i="5"/>
  <c r="A223" i="5"/>
  <c r="A227" i="5"/>
  <c r="A278" i="5"/>
  <c r="A307" i="5"/>
  <c r="A193" i="5"/>
  <c r="A236" i="5"/>
  <c r="A313" i="5"/>
  <c r="A188" i="5"/>
  <c r="A155" i="5"/>
  <c r="A333" i="5"/>
  <c r="A226" i="5"/>
  <c r="A285" i="5"/>
  <c r="A368" i="5"/>
  <c r="A122" i="5"/>
  <c r="A369" i="5"/>
  <c r="A134" i="5"/>
  <c r="A58" i="5"/>
  <c r="A346" i="5"/>
  <c r="A224" i="5"/>
  <c r="A229" i="5"/>
  <c r="A59" i="5"/>
  <c r="A124" i="5"/>
  <c r="A92" i="5"/>
  <c r="A41" i="5"/>
  <c r="A362" i="5"/>
  <c r="A271" i="5"/>
  <c r="A280" i="5"/>
  <c r="A144" i="5"/>
  <c r="A353" i="5"/>
  <c r="A140" i="5"/>
  <c r="A167" i="5"/>
  <c r="A70" i="5"/>
  <c r="A81" i="5"/>
  <c r="A292" i="5"/>
  <c r="A261" i="5"/>
  <c r="A179" i="5"/>
  <c r="A10" i="5"/>
  <c r="A395" i="5"/>
  <c r="A374" i="5"/>
  <c r="A265" i="5"/>
  <c r="A383" i="5"/>
  <c r="A170" i="5"/>
  <c r="A121" i="5"/>
  <c r="A203" i="5"/>
  <c r="A345" i="5"/>
  <c r="A238" i="5"/>
  <c r="N249" i="5" l="1"/>
  <c r="M249" i="5"/>
  <c r="N430" i="5"/>
  <c r="M430" i="5"/>
  <c r="N166" i="5"/>
  <c r="M166" i="5"/>
  <c r="N330" i="5"/>
  <c r="M330" i="5"/>
  <c r="L258" i="5"/>
  <c r="K258" i="5"/>
  <c r="I258" i="5"/>
  <c r="G258" i="5"/>
  <c r="L379" i="5"/>
  <c r="K379" i="5"/>
  <c r="I379" i="5"/>
  <c r="G379" i="5"/>
  <c r="L130" i="5"/>
  <c r="K130" i="5"/>
  <c r="I130" i="5"/>
  <c r="G130" i="5"/>
  <c r="L16" i="5"/>
  <c r="K16" i="5"/>
  <c r="I16" i="5"/>
  <c r="G16" i="5"/>
  <c r="N383" i="5"/>
  <c r="M383" i="5"/>
  <c r="N261" i="5"/>
  <c r="M261" i="5"/>
  <c r="N346" i="5"/>
  <c r="M346" i="5"/>
  <c r="N368" i="5"/>
  <c r="M368" i="5"/>
  <c r="N188" i="5"/>
  <c r="M188" i="5"/>
  <c r="N248" i="5"/>
  <c r="M248" i="5"/>
  <c r="N252" i="5"/>
  <c r="M252" i="5"/>
  <c r="N181" i="5"/>
  <c r="M181" i="5"/>
  <c r="N219" i="5"/>
  <c r="M219" i="5"/>
  <c r="N358" i="5"/>
  <c r="M358" i="5"/>
  <c r="N220" i="5"/>
  <c r="M220" i="5"/>
  <c r="N244" i="5"/>
  <c r="M244" i="5"/>
  <c r="N344" i="5"/>
  <c r="M344" i="5"/>
  <c r="N160" i="5"/>
  <c r="M160" i="5"/>
  <c r="N3" i="5"/>
  <c r="M3" i="5"/>
  <c r="N341" i="5"/>
  <c r="M341" i="5"/>
  <c r="N381" i="5"/>
  <c r="M381" i="5"/>
  <c r="N145" i="5"/>
  <c r="M145" i="5"/>
  <c r="N91" i="5"/>
  <c r="M91" i="5"/>
  <c r="N293" i="5"/>
  <c r="M293" i="5"/>
  <c r="N242" i="5"/>
  <c r="M242" i="5"/>
  <c r="N78" i="5"/>
  <c r="M78" i="5"/>
  <c r="N373" i="5"/>
  <c r="M373" i="5"/>
  <c r="N331" i="5"/>
  <c r="M331" i="5"/>
  <c r="N154" i="5"/>
  <c r="M154" i="5"/>
  <c r="N49" i="5"/>
  <c r="M49" i="5"/>
  <c r="N50" i="5"/>
  <c r="M50" i="5"/>
  <c r="N48" i="5"/>
  <c r="M48" i="5"/>
  <c r="N286" i="5"/>
  <c r="M286" i="5"/>
  <c r="N137" i="5"/>
  <c r="M137" i="5"/>
  <c r="N264" i="5"/>
  <c r="M264" i="5"/>
  <c r="N120" i="5"/>
  <c r="M120" i="5"/>
  <c r="N148" i="5"/>
  <c r="M148" i="5"/>
  <c r="N359" i="5"/>
  <c r="M359" i="5"/>
  <c r="N71" i="5"/>
  <c r="M71" i="5"/>
  <c r="N277" i="5"/>
  <c r="M277" i="5"/>
  <c r="N125" i="5"/>
  <c r="M125" i="5"/>
  <c r="N351" i="5"/>
  <c r="M351" i="5"/>
  <c r="N8" i="5"/>
  <c r="M8" i="5"/>
  <c r="N80" i="5"/>
  <c r="M80" i="5"/>
  <c r="N32" i="5"/>
  <c r="M32" i="5"/>
  <c r="N163" i="5"/>
  <c r="M163" i="5"/>
  <c r="N21" i="5"/>
  <c r="M21" i="5"/>
  <c r="N250" i="5"/>
  <c r="M250" i="5"/>
  <c r="N86" i="5"/>
  <c r="M86" i="5"/>
  <c r="N404" i="5"/>
  <c r="M404" i="5"/>
  <c r="N165" i="5"/>
  <c r="M165" i="5"/>
  <c r="N107" i="5"/>
  <c r="M107" i="5"/>
  <c r="N153" i="5"/>
  <c r="M153" i="5"/>
  <c r="N253" i="5"/>
  <c r="M253" i="5"/>
  <c r="N316" i="5"/>
  <c r="M316" i="5"/>
  <c r="N175" i="5"/>
  <c r="M175" i="5"/>
  <c r="N279" i="5"/>
  <c r="M279" i="5"/>
  <c r="N396" i="5"/>
  <c r="M396" i="5"/>
  <c r="N209" i="5"/>
  <c r="M209" i="5"/>
  <c r="L3" i="5"/>
  <c r="K3" i="5"/>
  <c r="I3" i="5"/>
  <c r="G3" i="5"/>
  <c r="L64" i="5"/>
  <c r="K64" i="5"/>
  <c r="I64" i="5"/>
  <c r="G64" i="5"/>
  <c r="L127" i="5"/>
  <c r="K127" i="5"/>
  <c r="I127" i="5"/>
  <c r="G127" i="5"/>
  <c r="L189" i="5"/>
  <c r="K189" i="5"/>
  <c r="I189" i="5"/>
  <c r="G189" i="5"/>
  <c r="L250" i="5"/>
  <c r="K250" i="5"/>
  <c r="I250" i="5"/>
  <c r="G250" i="5"/>
  <c r="L308" i="5"/>
  <c r="K308" i="5"/>
  <c r="I308" i="5"/>
  <c r="G308" i="5"/>
  <c r="L370" i="5"/>
  <c r="K370" i="5"/>
  <c r="I370" i="5"/>
  <c r="G370" i="5"/>
  <c r="L430" i="5"/>
  <c r="K430" i="5"/>
  <c r="I430" i="5"/>
  <c r="G430" i="5"/>
  <c r="L376" i="5"/>
  <c r="K376" i="5"/>
  <c r="I376" i="5"/>
  <c r="G376" i="5"/>
  <c r="L287" i="5"/>
  <c r="K287" i="5"/>
  <c r="I287" i="5"/>
  <c r="G287" i="5"/>
  <c r="L36" i="5"/>
  <c r="K36" i="5"/>
  <c r="I36" i="5"/>
  <c r="G36" i="5"/>
  <c r="L159" i="5"/>
  <c r="K159" i="5"/>
  <c r="I159" i="5"/>
  <c r="G159" i="5"/>
  <c r="L221" i="5"/>
  <c r="K221" i="5"/>
  <c r="I221" i="5"/>
  <c r="G221" i="5"/>
  <c r="L281" i="5"/>
  <c r="K281" i="5"/>
  <c r="I281" i="5"/>
  <c r="G281" i="5"/>
  <c r="L340" i="5"/>
  <c r="K340" i="5"/>
  <c r="I340" i="5"/>
  <c r="G340" i="5"/>
  <c r="L403" i="5"/>
  <c r="K403" i="5"/>
  <c r="I403" i="5"/>
  <c r="G403" i="5"/>
  <c r="L63" i="5"/>
  <c r="I63" i="5"/>
  <c r="K63" i="5"/>
  <c r="G63" i="5"/>
  <c r="L345" i="5"/>
  <c r="K345" i="5"/>
  <c r="I345" i="5"/>
  <c r="G345" i="5"/>
  <c r="L45" i="5"/>
  <c r="K45" i="5"/>
  <c r="I45" i="5"/>
  <c r="G45" i="5"/>
  <c r="L105" i="5"/>
  <c r="K105" i="5"/>
  <c r="I105" i="5"/>
  <c r="G105" i="5"/>
  <c r="L168" i="5"/>
  <c r="K168" i="5"/>
  <c r="I168" i="5"/>
  <c r="G168" i="5"/>
  <c r="L229" i="5"/>
  <c r="K229" i="5"/>
  <c r="I229" i="5"/>
  <c r="G229" i="5"/>
  <c r="L348" i="5"/>
  <c r="K348" i="5"/>
  <c r="I348" i="5"/>
  <c r="G348" i="5"/>
  <c r="L412" i="5"/>
  <c r="K412" i="5"/>
  <c r="I412" i="5"/>
  <c r="G412" i="5"/>
  <c r="L248" i="5"/>
  <c r="I248" i="5"/>
  <c r="K248" i="5"/>
  <c r="G248" i="5"/>
  <c r="L241" i="5"/>
  <c r="I241" i="5"/>
  <c r="K241" i="5"/>
  <c r="G241" i="5"/>
  <c r="L30" i="5"/>
  <c r="K30" i="5"/>
  <c r="G30" i="5"/>
  <c r="I30" i="5"/>
  <c r="L91" i="5"/>
  <c r="K91" i="5"/>
  <c r="G91" i="5"/>
  <c r="I91" i="5"/>
  <c r="L153" i="5"/>
  <c r="K153" i="5"/>
  <c r="G153" i="5"/>
  <c r="I153" i="5"/>
  <c r="L215" i="5"/>
  <c r="K215" i="5"/>
  <c r="I215" i="5"/>
  <c r="G215" i="5"/>
  <c r="L275" i="5"/>
  <c r="K275" i="5"/>
  <c r="I275" i="5"/>
  <c r="G275" i="5"/>
  <c r="L335" i="5"/>
  <c r="K335" i="5"/>
  <c r="I335" i="5"/>
  <c r="G335" i="5"/>
  <c r="L397" i="5"/>
  <c r="K397" i="5"/>
  <c r="I397" i="5"/>
  <c r="G397" i="5"/>
  <c r="L406" i="5"/>
  <c r="K406" i="5"/>
  <c r="I406" i="5"/>
  <c r="G406" i="5"/>
  <c r="L384" i="5"/>
  <c r="I384" i="5"/>
  <c r="K384" i="5"/>
  <c r="G384" i="5"/>
  <c r="L279" i="5"/>
  <c r="I279" i="5"/>
  <c r="K279" i="5"/>
  <c r="G279" i="5"/>
  <c r="L31" i="5"/>
  <c r="K31" i="5"/>
  <c r="G31" i="5"/>
  <c r="I31" i="5"/>
  <c r="L92" i="5"/>
  <c r="K92" i="5"/>
  <c r="G92" i="5"/>
  <c r="I92" i="5"/>
  <c r="L154" i="5"/>
  <c r="K154" i="5"/>
  <c r="G154" i="5"/>
  <c r="I154" i="5"/>
  <c r="L216" i="5"/>
  <c r="K216" i="5"/>
  <c r="I216" i="5"/>
  <c r="G216" i="5"/>
  <c r="L276" i="5"/>
  <c r="K276" i="5"/>
  <c r="I276" i="5"/>
  <c r="G276" i="5"/>
  <c r="L78" i="5"/>
  <c r="I78" i="5"/>
  <c r="K78" i="5"/>
  <c r="G78" i="5"/>
  <c r="L416" i="5"/>
  <c r="I416" i="5"/>
  <c r="K416" i="5"/>
  <c r="G416" i="5"/>
  <c r="L315" i="5"/>
  <c r="K315" i="5"/>
  <c r="I315" i="5"/>
  <c r="G315" i="5"/>
  <c r="L40" i="5"/>
  <c r="K40" i="5"/>
  <c r="I40" i="5"/>
  <c r="G40" i="5"/>
  <c r="L100" i="5"/>
  <c r="K100" i="5"/>
  <c r="I100" i="5"/>
  <c r="G100" i="5"/>
  <c r="L163" i="5"/>
  <c r="K163" i="5"/>
  <c r="I163" i="5"/>
  <c r="G163" i="5"/>
  <c r="L285" i="5"/>
  <c r="K285" i="5"/>
  <c r="I285" i="5"/>
  <c r="G285" i="5"/>
  <c r="L407" i="5"/>
  <c r="K407" i="5"/>
  <c r="I407" i="5"/>
  <c r="G407" i="5"/>
  <c r="L9" i="5"/>
  <c r="K9" i="5"/>
  <c r="I9" i="5"/>
  <c r="G9" i="5"/>
  <c r="L109" i="5"/>
  <c r="I109" i="5"/>
  <c r="K109" i="5"/>
  <c r="G109" i="5"/>
  <c r="L338" i="5"/>
  <c r="I338" i="5"/>
  <c r="G338" i="5"/>
  <c r="K338" i="5"/>
  <c r="N224" i="5"/>
  <c r="M224" i="5"/>
  <c r="N46" i="5"/>
  <c r="M46" i="5"/>
  <c r="N201" i="5"/>
  <c r="M201" i="5"/>
  <c r="N11" i="5"/>
  <c r="M11" i="5"/>
  <c r="N54" i="5"/>
  <c r="M54" i="5"/>
  <c r="N241" i="5"/>
  <c r="M241" i="5"/>
  <c r="N24" i="5"/>
  <c r="M24" i="5"/>
  <c r="N419" i="5"/>
  <c r="M419" i="5"/>
  <c r="N118" i="5"/>
  <c r="M118" i="5"/>
  <c r="N288" i="5"/>
  <c r="M288" i="5"/>
  <c r="L166" i="5"/>
  <c r="K166" i="5"/>
  <c r="I166" i="5"/>
  <c r="G166" i="5"/>
  <c r="L136" i="5"/>
  <c r="K136" i="5"/>
  <c r="I136" i="5"/>
  <c r="G136" i="5"/>
  <c r="L317" i="5"/>
  <c r="K317" i="5"/>
  <c r="I317" i="5"/>
  <c r="G317" i="5"/>
  <c r="L219" i="5"/>
  <c r="I219" i="5"/>
  <c r="G219" i="5"/>
  <c r="K219" i="5"/>
  <c r="L267" i="5"/>
  <c r="K267" i="5"/>
  <c r="I267" i="5"/>
  <c r="G267" i="5"/>
  <c r="L388" i="5"/>
  <c r="K388" i="5"/>
  <c r="I388" i="5"/>
  <c r="G388" i="5"/>
  <c r="L311" i="5"/>
  <c r="K311" i="5"/>
  <c r="I311" i="5"/>
  <c r="G311" i="5"/>
  <c r="L131" i="5"/>
  <c r="K131" i="5"/>
  <c r="I131" i="5"/>
  <c r="G131" i="5"/>
  <c r="N265" i="5"/>
  <c r="M265" i="5"/>
  <c r="N292" i="5"/>
  <c r="M292" i="5"/>
  <c r="N144" i="5"/>
  <c r="M144" i="5"/>
  <c r="N41" i="5"/>
  <c r="M41" i="5"/>
  <c r="N58" i="5"/>
  <c r="M58" i="5"/>
  <c r="N285" i="5"/>
  <c r="M285" i="5"/>
  <c r="N313" i="5"/>
  <c r="M313" i="5"/>
  <c r="N227" i="5"/>
  <c r="M227" i="5"/>
  <c r="N360" i="5"/>
  <c r="M360" i="5"/>
  <c r="N216" i="5"/>
  <c r="M216" i="5"/>
  <c r="N325" i="5"/>
  <c r="M325" i="5"/>
  <c r="N55" i="5"/>
  <c r="M55" i="5"/>
  <c r="N281" i="5"/>
  <c r="M281" i="5"/>
  <c r="N363" i="5"/>
  <c r="M363" i="5"/>
  <c r="N108" i="5"/>
  <c r="M108" i="5"/>
  <c r="N142" i="5"/>
  <c r="M142" i="5"/>
  <c r="N132" i="5"/>
  <c r="M132" i="5"/>
  <c r="N398" i="5"/>
  <c r="M398" i="5"/>
  <c r="N354" i="5"/>
  <c r="M354" i="5"/>
  <c r="N136" i="5"/>
  <c r="M136" i="5"/>
  <c r="N96" i="5"/>
  <c r="M96" i="5"/>
  <c r="N245" i="5"/>
  <c r="M245" i="5"/>
  <c r="N164" i="5"/>
  <c r="M164" i="5"/>
  <c r="N342" i="5"/>
  <c r="M342" i="5"/>
  <c r="N259" i="5"/>
  <c r="M259" i="5"/>
  <c r="N371" i="5"/>
  <c r="M371" i="5"/>
  <c r="N295" i="5"/>
  <c r="M295" i="5"/>
  <c r="N276" i="5"/>
  <c r="M276" i="5"/>
  <c r="N231" i="5"/>
  <c r="M231" i="5"/>
  <c r="N247" i="5"/>
  <c r="M247" i="5"/>
  <c r="N319" i="5"/>
  <c r="M319" i="5"/>
  <c r="N147" i="5"/>
  <c r="M147" i="5"/>
  <c r="N336" i="5"/>
  <c r="M336" i="5"/>
  <c r="N335" i="5"/>
  <c r="M335" i="5"/>
  <c r="N93" i="5"/>
  <c r="M93" i="5"/>
  <c r="N9" i="5"/>
  <c r="M9" i="5"/>
  <c r="N427" i="5"/>
  <c r="M427" i="5"/>
  <c r="N23" i="5"/>
  <c r="M23" i="5"/>
  <c r="N416" i="5"/>
  <c r="M416" i="5"/>
  <c r="N269" i="5"/>
  <c r="M269" i="5"/>
  <c r="N318" i="5"/>
  <c r="M318" i="5"/>
  <c r="N326" i="5"/>
  <c r="M326" i="5"/>
  <c r="N33" i="5"/>
  <c r="M33" i="5"/>
  <c r="N355" i="5"/>
  <c r="M355" i="5"/>
  <c r="N322" i="5"/>
  <c r="M322" i="5"/>
  <c r="N221" i="5"/>
  <c r="M221" i="5"/>
  <c r="N361" i="5"/>
  <c r="M361" i="5"/>
  <c r="N405" i="5"/>
  <c r="M405" i="5"/>
  <c r="N215" i="5"/>
  <c r="M215" i="5"/>
  <c r="N187" i="5"/>
  <c r="M187" i="5"/>
  <c r="N338" i="5"/>
  <c r="M338" i="5"/>
  <c r="N320" i="5"/>
  <c r="M320" i="5"/>
  <c r="N212" i="5"/>
  <c r="M212" i="5"/>
  <c r="N123" i="5"/>
  <c r="M123" i="5"/>
  <c r="N291" i="5"/>
  <c r="M291" i="5"/>
  <c r="N66" i="5"/>
  <c r="M66" i="5"/>
  <c r="N377" i="5"/>
  <c r="M377" i="5"/>
  <c r="L27" i="5"/>
  <c r="K27" i="5"/>
  <c r="I27" i="5"/>
  <c r="G27" i="5"/>
  <c r="L88" i="5"/>
  <c r="K88" i="5"/>
  <c r="I88" i="5"/>
  <c r="G88" i="5"/>
  <c r="L150" i="5"/>
  <c r="K150" i="5"/>
  <c r="I150" i="5"/>
  <c r="G150" i="5"/>
  <c r="L212" i="5"/>
  <c r="K212" i="5"/>
  <c r="I212" i="5"/>
  <c r="G212" i="5"/>
  <c r="L272" i="5"/>
  <c r="K272" i="5"/>
  <c r="I272" i="5"/>
  <c r="G272" i="5"/>
  <c r="L332" i="5"/>
  <c r="K332" i="5"/>
  <c r="I332" i="5"/>
  <c r="G332" i="5"/>
  <c r="L394" i="5"/>
  <c r="K394" i="5"/>
  <c r="I394" i="5"/>
  <c r="G394" i="5"/>
  <c r="L164" i="5"/>
  <c r="K164" i="5"/>
  <c r="I164" i="5"/>
  <c r="G164" i="5"/>
  <c r="L59" i="5"/>
  <c r="K59" i="5"/>
  <c r="I59" i="5"/>
  <c r="G59" i="5"/>
  <c r="L120" i="5"/>
  <c r="K120" i="5"/>
  <c r="I120" i="5"/>
  <c r="G120" i="5"/>
  <c r="L182" i="5"/>
  <c r="K182" i="5"/>
  <c r="I182" i="5"/>
  <c r="G182" i="5"/>
  <c r="L243" i="5"/>
  <c r="K243" i="5"/>
  <c r="I243" i="5"/>
  <c r="G243" i="5"/>
  <c r="L301" i="5"/>
  <c r="K301" i="5"/>
  <c r="I301" i="5"/>
  <c r="G301" i="5"/>
  <c r="L363" i="5"/>
  <c r="K363" i="5"/>
  <c r="I363" i="5"/>
  <c r="G363" i="5"/>
  <c r="L427" i="5"/>
  <c r="K427" i="5"/>
  <c r="I427" i="5"/>
  <c r="G427" i="5"/>
  <c r="L296" i="5"/>
  <c r="K296" i="5"/>
  <c r="G296" i="5"/>
  <c r="I296" i="5"/>
  <c r="L233" i="5"/>
  <c r="I233" i="5"/>
  <c r="K233" i="5"/>
  <c r="G233" i="5"/>
  <c r="L126" i="5"/>
  <c r="I126" i="5"/>
  <c r="G126" i="5"/>
  <c r="K126" i="5"/>
  <c r="L5" i="5"/>
  <c r="K5" i="5"/>
  <c r="I5" i="5"/>
  <c r="G5" i="5"/>
  <c r="L66" i="5"/>
  <c r="K66" i="5"/>
  <c r="I66" i="5"/>
  <c r="G66" i="5"/>
  <c r="L129" i="5"/>
  <c r="K129" i="5"/>
  <c r="I129" i="5"/>
  <c r="G129" i="5"/>
  <c r="L191" i="5"/>
  <c r="K191" i="5"/>
  <c r="I191" i="5"/>
  <c r="G191" i="5"/>
  <c r="L252" i="5"/>
  <c r="K252" i="5"/>
  <c r="I252" i="5"/>
  <c r="G252" i="5"/>
  <c r="L310" i="5"/>
  <c r="K310" i="5"/>
  <c r="I310" i="5"/>
  <c r="G310" i="5"/>
  <c r="L372" i="5"/>
  <c r="K372" i="5"/>
  <c r="I372" i="5"/>
  <c r="G372" i="5"/>
  <c r="L414" i="5"/>
  <c r="K414" i="5"/>
  <c r="G414" i="5"/>
  <c r="I414" i="5"/>
  <c r="L432" i="5"/>
  <c r="I432" i="5"/>
  <c r="K432" i="5"/>
  <c r="G432" i="5"/>
  <c r="L377" i="5"/>
  <c r="K377" i="5"/>
  <c r="I377" i="5"/>
  <c r="G377" i="5"/>
  <c r="L53" i="5"/>
  <c r="K53" i="5"/>
  <c r="G53" i="5"/>
  <c r="I53" i="5"/>
  <c r="L114" i="5"/>
  <c r="K114" i="5"/>
  <c r="G114" i="5"/>
  <c r="I114" i="5"/>
  <c r="L177" i="5"/>
  <c r="K177" i="5"/>
  <c r="I177" i="5"/>
  <c r="G177" i="5"/>
  <c r="L238" i="5"/>
  <c r="K238" i="5"/>
  <c r="I238" i="5"/>
  <c r="G238" i="5"/>
  <c r="L295" i="5"/>
  <c r="K295" i="5"/>
  <c r="I295" i="5"/>
  <c r="G295" i="5"/>
  <c r="L357" i="5"/>
  <c r="K357" i="5"/>
  <c r="I357" i="5"/>
  <c r="G357" i="5"/>
  <c r="L421" i="5"/>
  <c r="K421" i="5"/>
  <c r="I421" i="5"/>
  <c r="G421" i="5"/>
  <c r="L125" i="5"/>
  <c r="I125" i="5"/>
  <c r="K125" i="5"/>
  <c r="G125" i="5"/>
  <c r="L57" i="5"/>
  <c r="I57" i="5"/>
  <c r="K57" i="5"/>
  <c r="G57" i="5"/>
  <c r="L417" i="5"/>
  <c r="I417" i="5"/>
  <c r="K417" i="5"/>
  <c r="G417" i="5"/>
  <c r="L54" i="5"/>
  <c r="K54" i="5"/>
  <c r="G54" i="5"/>
  <c r="I54" i="5"/>
  <c r="L115" i="5"/>
  <c r="K115" i="5"/>
  <c r="G115" i="5"/>
  <c r="I115" i="5"/>
  <c r="L178" i="5"/>
  <c r="K178" i="5"/>
  <c r="G178" i="5"/>
  <c r="I178" i="5"/>
  <c r="L239" i="5"/>
  <c r="K239" i="5"/>
  <c r="I239" i="5"/>
  <c r="G239" i="5"/>
  <c r="L304" i="5"/>
  <c r="K304" i="5"/>
  <c r="G304" i="5"/>
  <c r="I304" i="5"/>
  <c r="L218" i="5"/>
  <c r="I218" i="5"/>
  <c r="K218" i="5"/>
  <c r="G218" i="5"/>
  <c r="L102" i="5"/>
  <c r="K102" i="5"/>
  <c r="I102" i="5"/>
  <c r="G102" i="5"/>
  <c r="L62" i="5"/>
  <c r="K62" i="5"/>
  <c r="I62" i="5"/>
  <c r="G62" i="5"/>
  <c r="L124" i="5"/>
  <c r="K124" i="5"/>
  <c r="I124" i="5"/>
  <c r="G124" i="5"/>
  <c r="L186" i="5"/>
  <c r="K186" i="5"/>
  <c r="I186" i="5"/>
  <c r="G186" i="5"/>
  <c r="L247" i="5"/>
  <c r="K247" i="5"/>
  <c r="I247" i="5"/>
  <c r="G247" i="5"/>
  <c r="L305" i="5"/>
  <c r="K305" i="5"/>
  <c r="I305" i="5"/>
  <c r="G305" i="5"/>
  <c r="L367" i="5"/>
  <c r="K367" i="5"/>
  <c r="I367" i="5"/>
  <c r="G367" i="5"/>
  <c r="L431" i="5"/>
  <c r="K431" i="5"/>
  <c r="I431" i="5"/>
  <c r="G431" i="5"/>
  <c r="L33" i="5"/>
  <c r="I33" i="5"/>
  <c r="K33" i="5"/>
  <c r="G33" i="5"/>
  <c r="L225" i="5"/>
  <c r="K225" i="5"/>
  <c r="I225" i="5"/>
  <c r="G225" i="5"/>
  <c r="L118" i="5"/>
  <c r="I118" i="5"/>
  <c r="K118" i="5"/>
  <c r="G118" i="5"/>
  <c r="N273" i="5"/>
  <c r="M273" i="5"/>
  <c r="N403" i="5"/>
  <c r="M403" i="5"/>
  <c r="N321" i="5"/>
  <c r="M321" i="5"/>
  <c r="N399" i="5"/>
  <c r="M399" i="5"/>
  <c r="N432" i="5"/>
  <c r="M432" i="5"/>
  <c r="N106" i="5"/>
  <c r="M106" i="5"/>
  <c r="L43" i="5"/>
  <c r="K43" i="5"/>
  <c r="I43" i="5"/>
  <c r="G43" i="5"/>
  <c r="L227" i="5"/>
  <c r="K227" i="5"/>
  <c r="I227" i="5"/>
  <c r="G227" i="5"/>
  <c r="L346" i="5"/>
  <c r="K346" i="5"/>
  <c r="I346" i="5"/>
  <c r="G346" i="5"/>
  <c r="L12" i="5"/>
  <c r="K12" i="5"/>
  <c r="I12" i="5"/>
  <c r="G12" i="5"/>
  <c r="L144" i="5"/>
  <c r="K144" i="5"/>
  <c r="I144" i="5"/>
  <c r="G144" i="5"/>
  <c r="L67" i="5"/>
  <c r="K67" i="5"/>
  <c r="I67" i="5"/>
  <c r="G67" i="5"/>
  <c r="L142" i="5"/>
  <c r="I142" i="5"/>
  <c r="K142" i="5"/>
  <c r="G142" i="5"/>
  <c r="L306" i="5"/>
  <c r="I306" i="5"/>
  <c r="K306" i="5"/>
  <c r="G306" i="5"/>
  <c r="L321" i="5"/>
  <c r="K321" i="5"/>
  <c r="I321" i="5"/>
  <c r="G321" i="5"/>
  <c r="L86" i="5"/>
  <c r="I86" i="5"/>
  <c r="K86" i="5"/>
  <c r="G86" i="5"/>
  <c r="L211" i="5"/>
  <c r="I211" i="5"/>
  <c r="K211" i="5"/>
  <c r="G211" i="5"/>
  <c r="N374" i="5"/>
  <c r="M374" i="5"/>
  <c r="N81" i="5"/>
  <c r="M81" i="5"/>
  <c r="N92" i="5"/>
  <c r="M92" i="5"/>
  <c r="N134" i="5"/>
  <c r="M134" i="5"/>
  <c r="N236" i="5"/>
  <c r="M236" i="5"/>
  <c r="N223" i="5"/>
  <c r="M223" i="5"/>
  <c r="N337" i="5"/>
  <c r="M337" i="5"/>
  <c r="N29" i="5"/>
  <c r="M29" i="5"/>
  <c r="N275" i="5"/>
  <c r="M275" i="5"/>
  <c r="N111" i="5"/>
  <c r="M111" i="5"/>
  <c r="N246" i="5"/>
  <c r="M246" i="5"/>
  <c r="N350" i="5"/>
  <c r="M350" i="5"/>
  <c r="N205" i="5"/>
  <c r="M205" i="5"/>
  <c r="N266" i="5"/>
  <c r="M266" i="5"/>
  <c r="N126" i="5"/>
  <c r="M126" i="5"/>
  <c r="N424" i="5"/>
  <c r="M424" i="5"/>
  <c r="N16" i="5"/>
  <c r="M16" i="5"/>
  <c r="N19" i="5"/>
  <c r="M19" i="5"/>
  <c r="N63" i="5"/>
  <c r="M63" i="5"/>
  <c r="N237" i="5"/>
  <c r="M237" i="5"/>
  <c r="N232" i="5"/>
  <c r="M232" i="5"/>
  <c r="N218" i="5"/>
  <c r="M218" i="5"/>
  <c r="N202" i="5"/>
  <c r="M202" i="5"/>
  <c r="N376" i="5"/>
  <c r="M376" i="5"/>
  <c r="N72" i="5"/>
  <c r="M72" i="5"/>
  <c r="N172" i="5"/>
  <c r="M172" i="5"/>
  <c r="N171" i="5"/>
  <c r="M171" i="5"/>
  <c r="N105" i="5"/>
  <c r="M105" i="5"/>
  <c r="N178" i="5"/>
  <c r="M178" i="5"/>
  <c r="N85" i="5"/>
  <c r="M85" i="5"/>
  <c r="N131" i="5"/>
  <c r="M131" i="5"/>
  <c r="N348" i="5"/>
  <c r="M348" i="5"/>
  <c r="N116" i="5"/>
  <c r="M116" i="5"/>
  <c r="N206" i="5"/>
  <c r="M206" i="5"/>
  <c r="N194" i="5"/>
  <c r="M194" i="5"/>
  <c r="N207" i="5"/>
  <c r="M207" i="5"/>
  <c r="N119" i="5"/>
  <c r="M119" i="5"/>
  <c r="N375" i="5"/>
  <c r="M375" i="5"/>
  <c r="N34" i="5"/>
  <c r="M34" i="5"/>
  <c r="N20" i="5"/>
  <c r="M20" i="5"/>
  <c r="N357" i="5"/>
  <c r="M357" i="5"/>
  <c r="N272" i="5"/>
  <c r="M272" i="5"/>
  <c r="N17" i="5"/>
  <c r="M17" i="5"/>
  <c r="N406" i="5"/>
  <c r="M406" i="5"/>
  <c r="N75" i="5"/>
  <c r="M75" i="5"/>
  <c r="N38" i="5"/>
  <c r="M38" i="5"/>
  <c r="N56" i="5"/>
  <c r="M56" i="5"/>
  <c r="N174" i="5"/>
  <c r="M174" i="5"/>
  <c r="N60" i="5"/>
  <c r="M60" i="5"/>
  <c r="N57" i="5"/>
  <c r="M57" i="5"/>
  <c r="N195" i="5"/>
  <c r="M195" i="5"/>
  <c r="N45" i="5"/>
  <c r="M45" i="5"/>
  <c r="N417" i="5"/>
  <c r="M417" i="5"/>
  <c r="L50" i="5"/>
  <c r="K50" i="5"/>
  <c r="I50" i="5"/>
  <c r="G50" i="5"/>
  <c r="L111" i="5"/>
  <c r="K111" i="5"/>
  <c r="I111" i="5"/>
  <c r="G111" i="5"/>
  <c r="L174" i="5"/>
  <c r="K174" i="5"/>
  <c r="I174" i="5"/>
  <c r="G174" i="5"/>
  <c r="L235" i="5"/>
  <c r="K235" i="5"/>
  <c r="I235" i="5"/>
  <c r="G235" i="5"/>
  <c r="L292" i="5"/>
  <c r="K292" i="5"/>
  <c r="I292" i="5"/>
  <c r="G292" i="5"/>
  <c r="L354" i="5"/>
  <c r="K354" i="5"/>
  <c r="I354" i="5"/>
  <c r="G354" i="5"/>
  <c r="L418" i="5"/>
  <c r="K418" i="5"/>
  <c r="I418" i="5"/>
  <c r="G418" i="5"/>
  <c r="L358" i="5"/>
  <c r="K358" i="5"/>
  <c r="I358" i="5"/>
  <c r="G358" i="5"/>
  <c r="L290" i="5"/>
  <c r="I290" i="5"/>
  <c r="K290" i="5"/>
  <c r="G290" i="5"/>
  <c r="L204" i="5"/>
  <c r="I204" i="5"/>
  <c r="K204" i="5"/>
  <c r="G204" i="5"/>
  <c r="L20" i="5"/>
  <c r="K20" i="5"/>
  <c r="I20" i="5"/>
  <c r="G20" i="5"/>
  <c r="L81" i="5"/>
  <c r="K81" i="5"/>
  <c r="I81" i="5"/>
  <c r="G81" i="5"/>
  <c r="L143" i="5"/>
  <c r="K143" i="5"/>
  <c r="I143" i="5"/>
  <c r="G143" i="5"/>
  <c r="L206" i="5"/>
  <c r="K206" i="5"/>
  <c r="I206" i="5"/>
  <c r="G206" i="5"/>
  <c r="L266" i="5"/>
  <c r="K266" i="5"/>
  <c r="I266" i="5"/>
  <c r="G266" i="5"/>
  <c r="L325" i="5"/>
  <c r="K325" i="5"/>
  <c r="I325" i="5"/>
  <c r="G325" i="5"/>
  <c r="L387" i="5"/>
  <c r="K387" i="5"/>
  <c r="I387" i="5"/>
  <c r="G387" i="5"/>
  <c r="L422" i="5"/>
  <c r="K422" i="5"/>
  <c r="I422" i="5"/>
  <c r="G422" i="5"/>
  <c r="L368" i="5"/>
  <c r="I368" i="5"/>
  <c r="K368" i="5"/>
  <c r="G368" i="5"/>
  <c r="L29" i="5"/>
  <c r="K29" i="5"/>
  <c r="I29" i="5"/>
  <c r="G29" i="5"/>
  <c r="L90" i="5"/>
  <c r="K90" i="5"/>
  <c r="I90" i="5"/>
  <c r="G90" i="5"/>
  <c r="L152" i="5"/>
  <c r="K152" i="5"/>
  <c r="I152" i="5"/>
  <c r="G152" i="5"/>
  <c r="L214" i="5"/>
  <c r="K214" i="5"/>
  <c r="I214" i="5"/>
  <c r="G214" i="5"/>
  <c r="L274" i="5"/>
  <c r="K274" i="5"/>
  <c r="I274" i="5"/>
  <c r="G274" i="5"/>
  <c r="L334" i="5"/>
  <c r="K334" i="5"/>
  <c r="I334" i="5"/>
  <c r="G334" i="5"/>
  <c r="L396" i="5"/>
  <c r="K396" i="5"/>
  <c r="I396" i="5"/>
  <c r="G396" i="5"/>
  <c r="L156" i="5"/>
  <c r="I156" i="5"/>
  <c r="K156" i="5"/>
  <c r="G156" i="5"/>
  <c r="L134" i="5"/>
  <c r="K134" i="5"/>
  <c r="I134" i="5"/>
  <c r="G134" i="5"/>
  <c r="L14" i="5"/>
  <c r="K14" i="5"/>
  <c r="I14" i="5"/>
  <c r="G14" i="5"/>
  <c r="L75" i="5"/>
  <c r="K75" i="5"/>
  <c r="I75" i="5"/>
  <c r="G75" i="5"/>
  <c r="L138" i="5"/>
  <c r="K138" i="5"/>
  <c r="I138" i="5"/>
  <c r="G138" i="5"/>
  <c r="L200" i="5"/>
  <c r="K200" i="5"/>
  <c r="I200" i="5"/>
  <c r="G200" i="5"/>
  <c r="L260" i="5"/>
  <c r="K260" i="5"/>
  <c r="I260" i="5"/>
  <c r="G260" i="5"/>
  <c r="L319" i="5"/>
  <c r="K319" i="5"/>
  <c r="I319" i="5"/>
  <c r="G319" i="5"/>
  <c r="L381" i="5"/>
  <c r="K381" i="5"/>
  <c r="I381" i="5"/>
  <c r="G381" i="5"/>
  <c r="L312" i="5"/>
  <c r="K312" i="5"/>
  <c r="I312" i="5"/>
  <c r="G312" i="5"/>
  <c r="L286" i="5"/>
  <c r="K286" i="5"/>
  <c r="I286" i="5"/>
  <c r="G286" i="5"/>
  <c r="L181" i="5"/>
  <c r="I181" i="5"/>
  <c r="K181" i="5"/>
  <c r="G181" i="5"/>
  <c r="L15" i="5"/>
  <c r="K15" i="5"/>
  <c r="I15" i="5"/>
  <c r="G15" i="5"/>
  <c r="L76" i="5"/>
  <c r="K76" i="5"/>
  <c r="I76" i="5"/>
  <c r="G76" i="5"/>
  <c r="L139" i="5"/>
  <c r="K139" i="5"/>
  <c r="I139" i="5"/>
  <c r="G139" i="5"/>
  <c r="L201" i="5"/>
  <c r="K201" i="5"/>
  <c r="I201" i="5"/>
  <c r="G201" i="5"/>
  <c r="L261" i="5"/>
  <c r="K261" i="5"/>
  <c r="I261" i="5"/>
  <c r="G261" i="5"/>
  <c r="L390" i="5"/>
  <c r="K390" i="5"/>
  <c r="I390" i="5"/>
  <c r="G390" i="5"/>
  <c r="L344" i="5"/>
  <c r="K344" i="5"/>
  <c r="I344" i="5"/>
  <c r="G344" i="5"/>
  <c r="L234" i="5"/>
  <c r="I234" i="5"/>
  <c r="K234" i="5"/>
  <c r="G234" i="5"/>
  <c r="L24" i="5"/>
  <c r="K24" i="5"/>
  <c r="I24" i="5"/>
  <c r="G24" i="5"/>
  <c r="L85" i="5"/>
  <c r="K85" i="5"/>
  <c r="I85" i="5"/>
  <c r="G85" i="5"/>
  <c r="L147" i="5"/>
  <c r="K147" i="5"/>
  <c r="I147" i="5"/>
  <c r="G147" i="5"/>
  <c r="L209" i="5"/>
  <c r="K209" i="5"/>
  <c r="I209" i="5"/>
  <c r="G209" i="5"/>
  <c r="L270" i="5"/>
  <c r="K270" i="5"/>
  <c r="I270" i="5"/>
  <c r="G270" i="5"/>
  <c r="L329" i="5"/>
  <c r="K329" i="5"/>
  <c r="I329" i="5"/>
  <c r="G329" i="5"/>
  <c r="L391" i="5"/>
  <c r="K391" i="5"/>
  <c r="I391" i="5"/>
  <c r="G391" i="5"/>
  <c r="L94" i="5"/>
  <c r="I94" i="5"/>
  <c r="K94" i="5"/>
  <c r="G94" i="5"/>
  <c r="L360" i="5"/>
  <c r="I360" i="5"/>
  <c r="K360" i="5"/>
  <c r="G360" i="5"/>
  <c r="L264" i="5"/>
  <c r="I264" i="5"/>
  <c r="K264" i="5"/>
  <c r="G264" i="5"/>
  <c r="N179" i="5"/>
  <c r="M179" i="5"/>
  <c r="N110" i="5"/>
  <c r="M110" i="5"/>
  <c r="N84" i="5"/>
  <c r="M84" i="5"/>
  <c r="N25" i="5"/>
  <c r="M25" i="5"/>
  <c r="N14" i="5"/>
  <c r="M14" i="5"/>
  <c r="N152" i="5"/>
  <c r="M152" i="5"/>
  <c r="L256" i="5"/>
  <c r="K256" i="5"/>
  <c r="I256" i="5"/>
  <c r="G256" i="5"/>
  <c r="L207" i="5"/>
  <c r="K207" i="5"/>
  <c r="I207" i="5"/>
  <c r="G207" i="5"/>
  <c r="L70" i="5"/>
  <c r="K70" i="5"/>
  <c r="I70" i="5"/>
  <c r="G70" i="5"/>
  <c r="L373" i="5"/>
  <c r="K373" i="5"/>
  <c r="I373" i="5"/>
  <c r="G373" i="5"/>
  <c r="L68" i="5"/>
  <c r="K68" i="5"/>
  <c r="I68" i="5"/>
  <c r="G68" i="5"/>
  <c r="L193" i="5"/>
  <c r="K193" i="5"/>
  <c r="I193" i="5"/>
  <c r="G193" i="5"/>
  <c r="L140" i="5"/>
  <c r="K140" i="5"/>
  <c r="I140" i="5"/>
  <c r="G140" i="5"/>
  <c r="L383" i="5"/>
  <c r="K383" i="5"/>
  <c r="I383" i="5"/>
  <c r="G383" i="5"/>
  <c r="N238" i="5"/>
  <c r="M238" i="5"/>
  <c r="N395" i="5"/>
  <c r="M395" i="5"/>
  <c r="N70" i="5"/>
  <c r="M70" i="5"/>
  <c r="N124" i="5"/>
  <c r="M124" i="5"/>
  <c r="N226" i="5"/>
  <c r="M226" i="5"/>
  <c r="N193" i="5"/>
  <c r="M193" i="5"/>
  <c r="N240" i="5"/>
  <c r="M240" i="5"/>
  <c r="N425" i="5"/>
  <c r="M425" i="5"/>
  <c r="N290" i="5"/>
  <c r="M290" i="5"/>
  <c r="N76" i="5"/>
  <c r="M76" i="5"/>
  <c r="N151" i="5"/>
  <c r="M151" i="5"/>
  <c r="N263" i="5"/>
  <c r="M263" i="5"/>
  <c r="N262" i="5"/>
  <c r="M262" i="5"/>
  <c r="N364" i="5"/>
  <c r="M364" i="5"/>
  <c r="N149" i="5"/>
  <c r="M149" i="5"/>
  <c r="N299" i="5"/>
  <c r="M299" i="5"/>
  <c r="N191" i="5"/>
  <c r="M191" i="5"/>
  <c r="N300" i="5"/>
  <c r="M300" i="5"/>
  <c r="N243" i="5"/>
  <c r="M243" i="5"/>
  <c r="N382" i="5"/>
  <c r="M382" i="5"/>
  <c r="N186" i="5"/>
  <c r="M186" i="5"/>
  <c r="N332" i="5"/>
  <c r="M332" i="5"/>
  <c r="N97" i="5"/>
  <c r="M97" i="5"/>
  <c r="N389" i="5"/>
  <c r="M389" i="5"/>
  <c r="N51" i="5"/>
  <c r="M51" i="5"/>
  <c r="N100" i="5"/>
  <c r="M100" i="5"/>
  <c r="N61" i="5"/>
  <c r="M61" i="5"/>
  <c r="N413" i="5"/>
  <c r="M413" i="5"/>
  <c r="N130" i="5"/>
  <c r="M130" i="5"/>
  <c r="N324" i="5"/>
  <c r="M324" i="5"/>
  <c r="N196" i="5"/>
  <c r="M196" i="5"/>
  <c r="N67" i="5"/>
  <c r="M67" i="5"/>
  <c r="N366" i="5"/>
  <c r="M366" i="5"/>
  <c r="N52" i="5"/>
  <c r="M52" i="5"/>
  <c r="N43" i="5"/>
  <c r="M43" i="5"/>
  <c r="N386" i="5"/>
  <c r="M386" i="5"/>
  <c r="N114" i="5"/>
  <c r="M114" i="5"/>
  <c r="N298" i="5"/>
  <c r="M298" i="5"/>
  <c r="N347" i="5"/>
  <c r="M347" i="5"/>
  <c r="N428" i="5"/>
  <c r="M428" i="5"/>
  <c r="N423" i="5"/>
  <c r="M423" i="5"/>
  <c r="N68" i="5"/>
  <c r="M68" i="5"/>
  <c r="N35" i="5"/>
  <c r="M35" i="5"/>
  <c r="N211" i="5"/>
  <c r="M211" i="5"/>
  <c r="N113" i="5"/>
  <c r="M113" i="5"/>
  <c r="N372" i="5"/>
  <c r="M372" i="5"/>
  <c r="N2" i="5"/>
  <c r="M2" i="5"/>
  <c r="N365" i="5"/>
  <c r="M365" i="5"/>
  <c r="N208" i="5"/>
  <c r="M208" i="5"/>
  <c r="N138" i="5"/>
  <c r="M138" i="5"/>
  <c r="N83" i="5"/>
  <c r="M83" i="5"/>
  <c r="N378" i="5"/>
  <c r="M378" i="5"/>
  <c r="N217" i="5"/>
  <c r="M217" i="5"/>
  <c r="N274" i="5"/>
  <c r="M274" i="5"/>
  <c r="N303" i="5"/>
  <c r="M303" i="5"/>
  <c r="N157" i="5"/>
  <c r="M157" i="5"/>
  <c r="N192" i="5"/>
  <c r="M192" i="5"/>
  <c r="L11" i="5"/>
  <c r="K11" i="5"/>
  <c r="I11" i="5"/>
  <c r="G11" i="5"/>
  <c r="L72" i="5"/>
  <c r="K72" i="5"/>
  <c r="I72" i="5"/>
  <c r="G72" i="5"/>
  <c r="L135" i="5"/>
  <c r="K135" i="5"/>
  <c r="I135" i="5"/>
  <c r="G135" i="5"/>
  <c r="L197" i="5"/>
  <c r="K197" i="5"/>
  <c r="I197" i="5"/>
  <c r="G197" i="5"/>
  <c r="L257" i="5"/>
  <c r="K257" i="5"/>
  <c r="I257" i="5"/>
  <c r="G257" i="5"/>
  <c r="L316" i="5"/>
  <c r="K316" i="5"/>
  <c r="I316" i="5"/>
  <c r="G316" i="5"/>
  <c r="L378" i="5"/>
  <c r="K378" i="5"/>
  <c r="I378" i="5"/>
  <c r="G378" i="5"/>
  <c r="L41" i="5"/>
  <c r="K41" i="5"/>
  <c r="I41" i="5"/>
  <c r="G41" i="5"/>
  <c r="L424" i="5"/>
  <c r="I424" i="5"/>
  <c r="K424" i="5"/>
  <c r="G424" i="5"/>
  <c r="L361" i="5"/>
  <c r="I361" i="5"/>
  <c r="K361" i="5"/>
  <c r="G361" i="5"/>
  <c r="L44" i="5"/>
  <c r="K44" i="5"/>
  <c r="I44" i="5"/>
  <c r="G44" i="5"/>
  <c r="L104" i="5"/>
  <c r="K104" i="5"/>
  <c r="I104" i="5"/>
  <c r="G104" i="5"/>
  <c r="L167" i="5"/>
  <c r="K167" i="5"/>
  <c r="I167" i="5"/>
  <c r="G167" i="5"/>
  <c r="L228" i="5"/>
  <c r="K228" i="5"/>
  <c r="I228" i="5"/>
  <c r="G228" i="5"/>
  <c r="L347" i="5"/>
  <c r="K347" i="5"/>
  <c r="I347" i="5"/>
  <c r="G347" i="5"/>
  <c r="L411" i="5"/>
  <c r="K411" i="5"/>
  <c r="I411" i="5"/>
  <c r="G411" i="5"/>
  <c r="L2" i="5"/>
  <c r="K2" i="5"/>
  <c r="I2" i="5"/>
  <c r="G2" i="5"/>
  <c r="L133" i="5"/>
  <c r="K133" i="5"/>
  <c r="I133" i="5"/>
  <c r="G133" i="5"/>
  <c r="L42" i="5"/>
  <c r="K42" i="5"/>
  <c r="I42" i="5"/>
  <c r="G42" i="5"/>
  <c r="L393" i="5"/>
  <c r="I393" i="5"/>
  <c r="K393" i="5"/>
  <c r="G393" i="5"/>
  <c r="L52" i="5"/>
  <c r="K52" i="5"/>
  <c r="I52" i="5"/>
  <c r="G52" i="5"/>
  <c r="L113" i="5"/>
  <c r="K113" i="5"/>
  <c r="I113" i="5"/>
  <c r="G113" i="5"/>
  <c r="L176" i="5"/>
  <c r="K176" i="5"/>
  <c r="I176" i="5"/>
  <c r="G176" i="5"/>
  <c r="L237" i="5"/>
  <c r="K237" i="5"/>
  <c r="I237" i="5"/>
  <c r="G237" i="5"/>
  <c r="L294" i="5"/>
  <c r="K294" i="5"/>
  <c r="I294" i="5"/>
  <c r="G294" i="5"/>
  <c r="L356" i="5"/>
  <c r="K356" i="5"/>
  <c r="I356" i="5"/>
  <c r="G356" i="5"/>
  <c r="L420" i="5"/>
  <c r="K420" i="5"/>
  <c r="I420" i="5"/>
  <c r="G420" i="5"/>
  <c r="L320" i="5"/>
  <c r="K320" i="5"/>
  <c r="I320" i="5"/>
  <c r="G320" i="5"/>
  <c r="L298" i="5"/>
  <c r="I298" i="5"/>
  <c r="K298" i="5"/>
  <c r="G298" i="5"/>
  <c r="L291" i="5"/>
  <c r="I291" i="5"/>
  <c r="K291" i="5"/>
  <c r="G291" i="5"/>
  <c r="L38" i="5"/>
  <c r="K38" i="5"/>
  <c r="I38" i="5"/>
  <c r="G38" i="5"/>
  <c r="L98" i="5"/>
  <c r="K98" i="5"/>
  <c r="I98" i="5"/>
  <c r="G98" i="5"/>
  <c r="L161" i="5"/>
  <c r="K161" i="5"/>
  <c r="I161" i="5"/>
  <c r="G161" i="5"/>
  <c r="L223" i="5"/>
  <c r="K223" i="5"/>
  <c r="I223" i="5"/>
  <c r="G223" i="5"/>
  <c r="L283" i="5"/>
  <c r="K283" i="5"/>
  <c r="I283" i="5"/>
  <c r="G283" i="5"/>
  <c r="L342" i="5"/>
  <c r="K342" i="5"/>
  <c r="I342" i="5"/>
  <c r="G342" i="5"/>
  <c r="L405" i="5"/>
  <c r="K405" i="5"/>
  <c r="I405" i="5"/>
  <c r="G405" i="5"/>
  <c r="L323" i="5"/>
  <c r="I323" i="5"/>
  <c r="K323" i="5"/>
  <c r="G323" i="5"/>
  <c r="L39" i="5"/>
  <c r="K39" i="5"/>
  <c r="I39" i="5"/>
  <c r="G39" i="5"/>
  <c r="L99" i="5"/>
  <c r="K99" i="5"/>
  <c r="I99" i="5"/>
  <c r="G99" i="5"/>
  <c r="L162" i="5"/>
  <c r="K162" i="5"/>
  <c r="I162" i="5"/>
  <c r="G162" i="5"/>
  <c r="L224" i="5"/>
  <c r="K224" i="5"/>
  <c r="I224" i="5"/>
  <c r="G224" i="5"/>
  <c r="L284" i="5"/>
  <c r="K284" i="5"/>
  <c r="I284" i="5"/>
  <c r="G284" i="5"/>
  <c r="L141" i="5"/>
  <c r="I141" i="5"/>
  <c r="K141" i="5"/>
  <c r="G141" i="5"/>
  <c r="L353" i="5"/>
  <c r="I353" i="5"/>
  <c r="K353" i="5"/>
  <c r="G353" i="5"/>
  <c r="L47" i="5"/>
  <c r="K47" i="5"/>
  <c r="I47" i="5"/>
  <c r="G47" i="5"/>
  <c r="L108" i="5"/>
  <c r="K108" i="5"/>
  <c r="I108" i="5"/>
  <c r="G108" i="5"/>
  <c r="L171" i="5"/>
  <c r="K171" i="5"/>
  <c r="I171" i="5"/>
  <c r="G171" i="5"/>
  <c r="L232" i="5"/>
  <c r="K232" i="5"/>
  <c r="I232" i="5"/>
  <c r="G232" i="5"/>
  <c r="L289" i="5"/>
  <c r="K289" i="5"/>
  <c r="I289" i="5"/>
  <c r="G289" i="5"/>
  <c r="L351" i="5"/>
  <c r="K351" i="5"/>
  <c r="I351" i="5"/>
  <c r="G351" i="5"/>
  <c r="L415" i="5"/>
  <c r="K415" i="5"/>
  <c r="I415" i="5"/>
  <c r="G415" i="5"/>
  <c r="L17" i="5"/>
  <c r="I17" i="5"/>
  <c r="K17" i="5"/>
  <c r="G17" i="5"/>
  <c r="L148" i="5"/>
  <c r="I148" i="5"/>
  <c r="K148" i="5"/>
  <c r="G148" i="5"/>
  <c r="L26" i="5"/>
  <c r="I26" i="5"/>
  <c r="K26" i="5"/>
  <c r="G26" i="5"/>
  <c r="L385" i="5"/>
  <c r="I385" i="5"/>
  <c r="K385" i="5"/>
  <c r="G385" i="5"/>
  <c r="N156" i="5"/>
  <c r="M156" i="5"/>
  <c r="N210" i="5"/>
  <c r="M210" i="5"/>
  <c r="N112" i="5"/>
  <c r="M112" i="5"/>
  <c r="N53" i="5"/>
  <c r="M53" i="5"/>
  <c r="L157" i="5"/>
  <c r="I157" i="5"/>
  <c r="K157" i="5"/>
  <c r="G157" i="5"/>
  <c r="L73" i="5"/>
  <c r="K73" i="5"/>
  <c r="I73" i="5"/>
  <c r="G73" i="5"/>
  <c r="L198" i="5"/>
  <c r="K198" i="5"/>
  <c r="I198" i="5"/>
  <c r="G198" i="5"/>
  <c r="L21" i="5"/>
  <c r="K21" i="5"/>
  <c r="I21" i="5"/>
  <c r="G21" i="5"/>
  <c r="L6" i="5"/>
  <c r="K6" i="5"/>
  <c r="I6" i="5"/>
  <c r="G6" i="5"/>
  <c r="L7" i="5"/>
  <c r="K7" i="5"/>
  <c r="I7" i="5"/>
  <c r="G7" i="5"/>
  <c r="L254" i="5"/>
  <c r="K254" i="5"/>
  <c r="I254" i="5"/>
  <c r="G254" i="5"/>
  <c r="N345" i="5"/>
  <c r="M345" i="5"/>
  <c r="N10" i="5"/>
  <c r="M10" i="5"/>
  <c r="N167" i="5"/>
  <c r="M167" i="5"/>
  <c r="N59" i="5"/>
  <c r="M59" i="5"/>
  <c r="N369" i="5"/>
  <c r="M369" i="5"/>
  <c r="N307" i="5"/>
  <c r="M307" i="5"/>
  <c r="N323" i="5"/>
  <c r="M323" i="5"/>
  <c r="N401" i="5"/>
  <c r="M401" i="5"/>
  <c r="N284" i="5"/>
  <c r="M284" i="5"/>
  <c r="N28" i="5"/>
  <c r="M28" i="5"/>
  <c r="N387" i="5"/>
  <c r="M387" i="5"/>
  <c r="N26" i="5"/>
  <c r="M26" i="5"/>
  <c r="N289" i="5"/>
  <c r="M289" i="5"/>
  <c r="N393" i="5"/>
  <c r="M393" i="5"/>
  <c r="N306" i="5"/>
  <c r="M306" i="5"/>
  <c r="N13" i="5"/>
  <c r="M13" i="5"/>
  <c r="N87" i="5"/>
  <c r="M87" i="5"/>
  <c r="N310" i="5"/>
  <c r="M310" i="5"/>
  <c r="N260" i="5"/>
  <c r="M260" i="5"/>
  <c r="N94" i="5"/>
  <c r="M94" i="5"/>
  <c r="N429" i="5"/>
  <c r="M429" i="5"/>
  <c r="N431" i="5"/>
  <c r="M431" i="5"/>
  <c r="N99" i="5"/>
  <c r="M99" i="5"/>
  <c r="N392" i="5"/>
  <c r="M392" i="5"/>
  <c r="N282" i="5"/>
  <c r="M282" i="5"/>
  <c r="N397" i="5"/>
  <c r="M397" i="5"/>
  <c r="N339" i="5"/>
  <c r="M339" i="5"/>
  <c r="N234" i="5"/>
  <c r="M234" i="5"/>
  <c r="N254" i="5"/>
  <c r="M254" i="5"/>
  <c r="N426" i="5"/>
  <c r="M426" i="5"/>
  <c r="N117" i="5"/>
  <c r="M117" i="5"/>
  <c r="N415" i="5"/>
  <c r="M415" i="5"/>
  <c r="N4" i="5"/>
  <c r="M4" i="5"/>
  <c r="N391" i="5"/>
  <c r="M391" i="5"/>
  <c r="N73" i="5"/>
  <c r="M73" i="5"/>
  <c r="N314" i="5"/>
  <c r="M314" i="5"/>
  <c r="N190" i="5"/>
  <c r="M190" i="5"/>
  <c r="N12" i="5"/>
  <c r="M12" i="5"/>
  <c r="N255" i="5"/>
  <c r="M255" i="5"/>
  <c r="N6" i="5"/>
  <c r="M6" i="5"/>
  <c r="N36" i="5"/>
  <c r="M36" i="5"/>
  <c r="N102" i="5"/>
  <c r="M102" i="5"/>
  <c r="N30" i="5"/>
  <c r="M30" i="5"/>
  <c r="N308" i="5"/>
  <c r="M308" i="5"/>
  <c r="N412" i="5"/>
  <c r="M412" i="5"/>
  <c r="N176" i="5"/>
  <c r="M176" i="5"/>
  <c r="N74" i="5"/>
  <c r="M74" i="5"/>
  <c r="N129" i="5"/>
  <c r="M129" i="5"/>
  <c r="N311" i="5"/>
  <c r="M311" i="5"/>
  <c r="N334" i="5"/>
  <c r="M334" i="5"/>
  <c r="N329" i="5"/>
  <c r="M329" i="5"/>
  <c r="N312" i="5"/>
  <c r="M312" i="5"/>
  <c r="N287" i="5"/>
  <c r="M287" i="5"/>
  <c r="N309" i="5"/>
  <c r="M309" i="5"/>
  <c r="L35" i="5"/>
  <c r="K35" i="5"/>
  <c r="I35" i="5"/>
  <c r="G35" i="5"/>
  <c r="L96" i="5"/>
  <c r="K96" i="5"/>
  <c r="I96" i="5"/>
  <c r="G96" i="5"/>
  <c r="L158" i="5"/>
  <c r="K158" i="5"/>
  <c r="I158" i="5"/>
  <c r="G158" i="5"/>
  <c r="L220" i="5"/>
  <c r="K220" i="5"/>
  <c r="I220" i="5"/>
  <c r="G220" i="5"/>
  <c r="L280" i="5"/>
  <c r="K280" i="5"/>
  <c r="I280" i="5"/>
  <c r="G280" i="5"/>
  <c r="L339" i="5"/>
  <c r="K339" i="5"/>
  <c r="I339" i="5"/>
  <c r="G339" i="5"/>
  <c r="L402" i="5"/>
  <c r="K402" i="5"/>
  <c r="I402" i="5"/>
  <c r="G402" i="5"/>
  <c r="L210" i="5"/>
  <c r="I210" i="5"/>
  <c r="K210" i="5"/>
  <c r="G210" i="5"/>
  <c r="L110" i="5"/>
  <c r="I110" i="5"/>
  <c r="K110" i="5"/>
  <c r="G110" i="5"/>
  <c r="L4" i="5"/>
  <c r="K4" i="5"/>
  <c r="I4" i="5"/>
  <c r="G4" i="5"/>
  <c r="L65" i="5"/>
  <c r="K65" i="5"/>
  <c r="I65" i="5"/>
  <c r="G65" i="5"/>
  <c r="L128" i="5"/>
  <c r="K128" i="5"/>
  <c r="I128" i="5"/>
  <c r="G128" i="5"/>
  <c r="L190" i="5"/>
  <c r="K190" i="5"/>
  <c r="I190" i="5"/>
  <c r="G190" i="5"/>
  <c r="L251" i="5"/>
  <c r="K251" i="5"/>
  <c r="I251" i="5"/>
  <c r="G251" i="5"/>
  <c r="L309" i="5"/>
  <c r="K309" i="5"/>
  <c r="I309" i="5"/>
  <c r="G309" i="5"/>
  <c r="L371" i="5"/>
  <c r="K371" i="5"/>
  <c r="I371" i="5"/>
  <c r="G371" i="5"/>
  <c r="L343" i="5"/>
  <c r="K343" i="5"/>
  <c r="I343" i="5"/>
  <c r="G343" i="5"/>
  <c r="L278" i="5"/>
  <c r="I278" i="5"/>
  <c r="K278" i="5"/>
  <c r="G278" i="5"/>
  <c r="L165" i="5"/>
  <c r="K165" i="5"/>
  <c r="I165" i="5"/>
  <c r="G165" i="5"/>
  <c r="L13" i="5"/>
  <c r="K13" i="5"/>
  <c r="I13" i="5"/>
  <c r="G13" i="5"/>
  <c r="L74" i="5"/>
  <c r="K74" i="5"/>
  <c r="I74" i="5"/>
  <c r="G74" i="5"/>
  <c r="L137" i="5"/>
  <c r="K137" i="5"/>
  <c r="I137" i="5"/>
  <c r="G137" i="5"/>
  <c r="L199" i="5"/>
  <c r="K199" i="5"/>
  <c r="I199" i="5"/>
  <c r="G199" i="5"/>
  <c r="L259" i="5"/>
  <c r="K259" i="5"/>
  <c r="I259" i="5"/>
  <c r="G259" i="5"/>
  <c r="L318" i="5"/>
  <c r="K318" i="5"/>
  <c r="I318" i="5"/>
  <c r="G318" i="5"/>
  <c r="L380" i="5"/>
  <c r="K380" i="5"/>
  <c r="I380" i="5"/>
  <c r="G380" i="5"/>
  <c r="L49" i="5"/>
  <c r="I49" i="5"/>
  <c r="K49" i="5"/>
  <c r="G49" i="5"/>
  <c r="L425" i="5"/>
  <c r="I425" i="5"/>
  <c r="K425" i="5"/>
  <c r="G425" i="5"/>
  <c r="L60" i="5"/>
  <c r="K60" i="5"/>
  <c r="G60" i="5"/>
  <c r="I60" i="5"/>
  <c r="L122" i="5"/>
  <c r="K122" i="5"/>
  <c r="G122" i="5"/>
  <c r="I122" i="5"/>
  <c r="L184" i="5"/>
  <c r="K184" i="5"/>
  <c r="I184" i="5"/>
  <c r="G184" i="5"/>
  <c r="L245" i="5"/>
  <c r="K245" i="5"/>
  <c r="I245" i="5"/>
  <c r="G245" i="5"/>
  <c r="L303" i="5"/>
  <c r="K303" i="5"/>
  <c r="I303" i="5"/>
  <c r="G303" i="5"/>
  <c r="L365" i="5"/>
  <c r="K365" i="5"/>
  <c r="I365" i="5"/>
  <c r="G365" i="5"/>
  <c r="L429" i="5"/>
  <c r="K429" i="5"/>
  <c r="I429" i="5"/>
  <c r="G429" i="5"/>
  <c r="L172" i="5"/>
  <c r="I172" i="5"/>
  <c r="K172" i="5"/>
  <c r="G172" i="5"/>
  <c r="L95" i="5"/>
  <c r="I95" i="5"/>
  <c r="G95" i="5"/>
  <c r="K95" i="5"/>
  <c r="L61" i="5"/>
  <c r="K61" i="5"/>
  <c r="G61" i="5"/>
  <c r="I61" i="5"/>
  <c r="L123" i="5"/>
  <c r="K123" i="5"/>
  <c r="G123" i="5"/>
  <c r="I123" i="5"/>
  <c r="L185" i="5"/>
  <c r="K185" i="5"/>
  <c r="G185" i="5"/>
  <c r="I185" i="5"/>
  <c r="L246" i="5"/>
  <c r="K246" i="5"/>
  <c r="G246" i="5"/>
  <c r="I246" i="5"/>
  <c r="L336" i="5"/>
  <c r="K336" i="5"/>
  <c r="I336" i="5"/>
  <c r="G336" i="5"/>
  <c r="L263" i="5"/>
  <c r="I263" i="5"/>
  <c r="K263" i="5"/>
  <c r="G263" i="5"/>
  <c r="L149" i="5"/>
  <c r="I149" i="5"/>
  <c r="K149" i="5"/>
  <c r="G149" i="5"/>
  <c r="L8" i="5"/>
  <c r="K8" i="5"/>
  <c r="I8" i="5"/>
  <c r="G8" i="5"/>
  <c r="L69" i="5"/>
  <c r="K69" i="5"/>
  <c r="I69" i="5"/>
  <c r="G69" i="5"/>
  <c r="L132" i="5"/>
  <c r="K132" i="5"/>
  <c r="I132" i="5"/>
  <c r="G132" i="5"/>
  <c r="L194" i="5"/>
  <c r="K194" i="5"/>
  <c r="I194" i="5"/>
  <c r="G194" i="5"/>
  <c r="L255" i="5"/>
  <c r="K255" i="5"/>
  <c r="I255" i="5"/>
  <c r="G255" i="5"/>
  <c r="L313" i="5"/>
  <c r="K313" i="5"/>
  <c r="I313" i="5"/>
  <c r="G313" i="5"/>
  <c r="L375" i="5"/>
  <c r="K375" i="5"/>
  <c r="I375" i="5"/>
  <c r="G375" i="5"/>
  <c r="L56" i="5"/>
  <c r="I56" i="5"/>
  <c r="K56" i="5"/>
  <c r="G56" i="5"/>
  <c r="L271" i="5"/>
  <c r="I271" i="5"/>
  <c r="K271" i="5"/>
  <c r="G271" i="5"/>
  <c r="L173" i="5"/>
  <c r="I173" i="5"/>
  <c r="K173" i="5"/>
  <c r="G173" i="5"/>
  <c r="N170" i="5"/>
  <c r="M170" i="5"/>
  <c r="N327" i="5"/>
  <c r="M327" i="5"/>
  <c r="N180" i="5"/>
  <c r="M180" i="5"/>
  <c r="N90" i="5"/>
  <c r="M90" i="5"/>
  <c r="N177" i="5"/>
  <c r="M177" i="5"/>
  <c r="N31" i="5"/>
  <c r="M31" i="5"/>
  <c r="N388" i="5"/>
  <c r="M388" i="5"/>
  <c r="N256" i="5"/>
  <c r="M256" i="5"/>
  <c r="N128" i="5"/>
  <c r="M128" i="5"/>
  <c r="L328" i="5"/>
  <c r="K328" i="5"/>
  <c r="I328" i="5"/>
  <c r="G328" i="5"/>
  <c r="L382" i="5"/>
  <c r="K382" i="5"/>
  <c r="I382" i="5"/>
  <c r="G382" i="5"/>
  <c r="L87" i="5"/>
  <c r="I87" i="5"/>
  <c r="K87" i="5"/>
  <c r="G87" i="5"/>
  <c r="L192" i="5"/>
  <c r="K192" i="5"/>
  <c r="I192" i="5"/>
  <c r="G192" i="5"/>
  <c r="L77" i="5"/>
  <c r="K77" i="5"/>
  <c r="I77" i="5"/>
  <c r="G77" i="5"/>
  <c r="L202" i="5"/>
  <c r="K202" i="5"/>
  <c r="I202" i="5"/>
  <c r="G202" i="5"/>
  <c r="L314" i="5"/>
  <c r="K314" i="5"/>
  <c r="I314" i="5"/>
  <c r="G314" i="5"/>
  <c r="N203" i="5"/>
  <c r="M203" i="5"/>
  <c r="N140" i="5"/>
  <c r="M140" i="5"/>
  <c r="N280" i="5"/>
  <c r="M280" i="5"/>
  <c r="N122" i="5"/>
  <c r="M122" i="5"/>
  <c r="N333" i="5"/>
  <c r="M333" i="5"/>
  <c r="N278" i="5"/>
  <c r="M278" i="5"/>
  <c r="N150" i="5"/>
  <c r="M150" i="5"/>
  <c r="N356" i="5"/>
  <c r="M356" i="5"/>
  <c r="N230" i="5"/>
  <c r="M230" i="5"/>
  <c r="N169" i="5"/>
  <c r="M169" i="5"/>
  <c r="N44" i="5"/>
  <c r="M44" i="5"/>
  <c r="N222" i="5"/>
  <c r="M222" i="5"/>
  <c r="N200" i="5"/>
  <c r="M200" i="5"/>
  <c r="N414" i="5"/>
  <c r="M414" i="5"/>
  <c r="N367" i="5"/>
  <c r="M367" i="5"/>
  <c r="N183" i="5"/>
  <c r="M183" i="5"/>
  <c r="N82" i="5"/>
  <c r="M82" i="5"/>
  <c r="N88" i="5"/>
  <c r="M88" i="5"/>
  <c r="N301" i="5"/>
  <c r="M301" i="5"/>
  <c r="N65" i="5"/>
  <c r="M65" i="5"/>
  <c r="N296" i="5"/>
  <c r="M296" i="5"/>
  <c r="N39" i="5"/>
  <c r="M39" i="5"/>
  <c r="N400" i="5"/>
  <c r="M400" i="5"/>
  <c r="N185" i="5"/>
  <c r="M185" i="5"/>
  <c r="N409" i="5"/>
  <c r="M409" i="5"/>
  <c r="N182" i="5"/>
  <c r="M182" i="5"/>
  <c r="N189" i="5"/>
  <c r="M189" i="5"/>
  <c r="N161" i="5"/>
  <c r="M161" i="5"/>
  <c r="N168" i="5"/>
  <c r="M168" i="5"/>
  <c r="N385" i="5"/>
  <c r="M385" i="5"/>
  <c r="N141" i="5"/>
  <c r="M141" i="5"/>
  <c r="N47" i="5"/>
  <c r="M47" i="5"/>
  <c r="N315" i="5"/>
  <c r="M315" i="5"/>
  <c r="N173" i="5"/>
  <c r="M173" i="5"/>
  <c r="N22" i="5"/>
  <c r="M22" i="5"/>
  <c r="N420" i="5"/>
  <c r="M420" i="5"/>
  <c r="N213" i="5"/>
  <c r="M213" i="5"/>
  <c r="N418" i="5"/>
  <c r="M418" i="5"/>
  <c r="N214" i="5"/>
  <c r="M214" i="5"/>
  <c r="N283" i="5"/>
  <c r="M283" i="5"/>
  <c r="N37" i="5"/>
  <c r="M37" i="5"/>
  <c r="N198" i="5"/>
  <c r="M198" i="5"/>
  <c r="N199" i="5"/>
  <c r="M199" i="5"/>
  <c r="N257" i="5"/>
  <c r="M257" i="5"/>
  <c r="N40" i="5"/>
  <c r="M40" i="5"/>
  <c r="N394" i="5"/>
  <c r="M394" i="5"/>
  <c r="N7" i="5"/>
  <c r="M7" i="5"/>
  <c r="N159" i="5"/>
  <c r="M159" i="5"/>
  <c r="N228" i="5"/>
  <c r="M228" i="5"/>
  <c r="N62" i="5"/>
  <c r="M62" i="5"/>
  <c r="N162" i="5"/>
  <c r="M162" i="5"/>
  <c r="N390" i="5"/>
  <c r="M390" i="5"/>
  <c r="N184" i="5"/>
  <c r="M184" i="5"/>
  <c r="N104" i="5"/>
  <c r="M104" i="5"/>
  <c r="N268" i="5"/>
  <c r="M268" i="5"/>
  <c r="L58" i="5"/>
  <c r="K58" i="5"/>
  <c r="I58" i="5"/>
  <c r="G58" i="5"/>
  <c r="L119" i="5"/>
  <c r="K119" i="5"/>
  <c r="I119" i="5"/>
  <c r="G119" i="5"/>
  <c r="L242" i="5"/>
  <c r="K242" i="5"/>
  <c r="I242" i="5"/>
  <c r="G242" i="5"/>
  <c r="L300" i="5"/>
  <c r="K300" i="5"/>
  <c r="I300" i="5"/>
  <c r="G300" i="5"/>
  <c r="L362" i="5"/>
  <c r="K362" i="5"/>
  <c r="I362" i="5"/>
  <c r="G362" i="5"/>
  <c r="L426" i="5"/>
  <c r="K426" i="5"/>
  <c r="I426" i="5"/>
  <c r="G426" i="5"/>
  <c r="L398" i="5"/>
  <c r="K398" i="5"/>
  <c r="G398" i="5"/>
  <c r="I398" i="5"/>
  <c r="L330" i="5"/>
  <c r="I330" i="5"/>
  <c r="K330" i="5"/>
  <c r="G330" i="5"/>
  <c r="L249" i="5"/>
  <c r="I249" i="5"/>
  <c r="K249" i="5"/>
  <c r="G249" i="5"/>
  <c r="L28" i="5"/>
  <c r="K28" i="5"/>
  <c r="I28" i="5"/>
  <c r="G28" i="5"/>
  <c r="L89" i="5"/>
  <c r="K89" i="5"/>
  <c r="I89" i="5"/>
  <c r="G89" i="5"/>
  <c r="L151" i="5"/>
  <c r="K151" i="5"/>
  <c r="I151" i="5"/>
  <c r="G151" i="5"/>
  <c r="L213" i="5"/>
  <c r="K213" i="5"/>
  <c r="I213" i="5"/>
  <c r="G213" i="5"/>
  <c r="L273" i="5"/>
  <c r="K273" i="5"/>
  <c r="I273" i="5"/>
  <c r="G273" i="5"/>
  <c r="L333" i="5"/>
  <c r="K333" i="5"/>
  <c r="I333" i="5"/>
  <c r="G333" i="5"/>
  <c r="L395" i="5"/>
  <c r="K395" i="5"/>
  <c r="I395" i="5"/>
  <c r="G395" i="5"/>
  <c r="L408" i="5"/>
  <c r="K408" i="5"/>
  <c r="I408" i="5"/>
  <c r="G408" i="5"/>
  <c r="L299" i="5"/>
  <c r="I299" i="5"/>
  <c r="K299" i="5"/>
  <c r="G299" i="5"/>
  <c r="L37" i="5"/>
  <c r="K37" i="5"/>
  <c r="I37" i="5"/>
  <c r="G37" i="5"/>
  <c r="L97" i="5"/>
  <c r="K97" i="5"/>
  <c r="I97" i="5"/>
  <c r="G97" i="5"/>
  <c r="L160" i="5"/>
  <c r="K160" i="5"/>
  <c r="I160" i="5"/>
  <c r="G160" i="5"/>
  <c r="L222" i="5"/>
  <c r="K222" i="5"/>
  <c r="I222" i="5"/>
  <c r="G222" i="5"/>
  <c r="L282" i="5"/>
  <c r="K282" i="5"/>
  <c r="I282" i="5"/>
  <c r="G282" i="5"/>
  <c r="L341" i="5"/>
  <c r="K341" i="5"/>
  <c r="I341" i="5"/>
  <c r="G341" i="5"/>
  <c r="L404" i="5"/>
  <c r="K404" i="5"/>
  <c r="I404" i="5"/>
  <c r="G404" i="5"/>
  <c r="L203" i="5"/>
  <c r="I203" i="5"/>
  <c r="K203" i="5"/>
  <c r="G203" i="5"/>
  <c r="L188" i="5"/>
  <c r="I188" i="5"/>
  <c r="K188" i="5"/>
  <c r="G188" i="5"/>
  <c r="L22" i="5"/>
  <c r="K22" i="5"/>
  <c r="G22" i="5"/>
  <c r="I22" i="5"/>
  <c r="L83" i="5"/>
  <c r="K83" i="5"/>
  <c r="G83" i="5"/>
  <c r="I83" i="5"/>
  <c r="L145" i="5"/>
  <c r="K145" i="5"/>
  <c r="G145" i="5"/>
  <c r="I145" i="5"/>
  <c r="L208" i="5"/>
  <c r="K208" i="5"/>
  <c r="I208" i="5"/>
  <c r="G208" i="5"/>
  <c r="L268" i="5"/>
  <c r="K268" i="5"/>
  <c r="I268" i="5"/>
  <c r="G268" i="5"/>
  <c r="L327" i="5"/>
  <c r="K327" i="5"/>
  <c r="I327" i="5"/>
  <c r="G327" i="5"/>
  <c r="L389" i="5"/>
  <c r="K389" i="5"/>
  <c r="I389" i="5"/>
  <c r="G389" i="5"/>
  <c r="L366" i="5"/>
  <c r="K366" i="5"/>
  <c r="G366" i="5"/>
  <c r="I366" i="5"/>
  <c r="L337" i="5"/>
  <c r="I337" i="5"/>
  <c r="K337" i="5"/>
  <c r="G337" i="5"/>
  <c r="L226" i="5"/>
  <c r="K226" i="5"/>
  <c r="I226" i="5"/>
  <c r="G226" i="5"/>
  <c r="L23" i="5"/>
  <c r="K23" i="5"/>
  <c r="G23" i="5"/>
  <c r="I23" i="5"/>
  <c r="L84" i="5"/>
  <c r="K84" i="5"/>
  <c r="G84" i="5"/>
  <c r="I84" i="5"/>
  <c r="L146" i="5"/>
  <c r="K146" i="5"/>
  <c r="G146" i="5"/>
  <c r="I146" i="5"/>
  <c r="L269" i="5"/>
  <c r="K269" i="5"/>
  <c r="I269" i="5"/>
  <c r="G269" i="5"/>
  <c r="L392" i="5"/>
  <c r="I392" i="5"/>
  <c r="K392" i="5"/>
  <c r="G392" i="5"/>
  <c r="L32" i="5"/>
  <c r="K32" i="5"/>
  <c r="I32" i="5"/>
  <c r="G32" i="5"/>
  <c r="L93" i="5"/>
  <c r="K93" i="5"/>
  <c r="I93" i="5"/>
  <c r="G93" i="5"/>
  <c r="L155" i="5"/>
  <c r="K155" i="5"/>
  <c r="I155" i="5"/>
  <c r="G155" i="5"/>
  <c r="L217" i="5"/>
  <c r="K217" i="5"/>
  <c r="I217" i="5"/>
  <c r="G217" i="5"/>
  <c r="L277" i="5"/>
  <c r="K277" i="5"/>
  <c r="I277" i="5"/>
  <c r="G277" i="5"/>
  <c r="L399" i="5"/>
  <c r="K399" i="5"/>
  <c r="I399" i="5"/>
  <c r="G399" i="5"/>
  <c r="L101" i="5"/>
  <c r="K101" i="5"/>
  <c r="I101" i="5"/>
  <c r="G101" i="5"/>
  <c r="L400" i="5"/>
  <c r="I400" i="5"/>
  <c r="K400" i="5"/>
  <c r="G400" i="5"/>
  <c r="L307" i="5"/>
  <c r="I307" i="5"/>
  <c r="K307" i="5"/>
  <c r="G307" i="5"/>
  <c r="N362" i="5"/>
  <c r="M362" i="5"/>
  <c r="N270" i="5"/>
  <c r="M270" i="5"/>
  <c r="N197" i="5"/>
  <c r="M197" i="5"/>
  <c r="N18" i="5"/>
  <c r="M18" i="5"/>
  <c r="N143" i="5"/>
  <c r="M143" i="5"/>
  <c r="N340" i="5"/>
  <c r="M340" i="5"/>
  <c r="N297" i="5"/>
  <c r="M297" i="5"/>
  <c r="L103" i="5"/>
  <c r="K103" i="5"/>
  <c r="I103" i="5"/>
  <c r="G103" i="5"/>
  <c r="L410" i="5"/>
  <c r="K410" i="5"/>
  <c r="I410" i="5"/>
  <c r="G410" i="5"/>
  <c r="L322" i="5"/>
  <c r="I322" i="5"/>
  <c r="K322" i="5"/>
  <c r="G322" i="5"/>
  <c r="L82" i="5"/>
  <c r="K82" i="5"/>
  <c r="I82" i="5"/>
  <c r="G82" i="5"/>
  <c r="L326" i="5"/>
  <c r="K326" i="5"/>
  <c r="I326" i="5"/>
  <c r="G326" i="5"/>
  <c r="L253" i="5"/>
  <c r="K253" i="5"/>
  <c r="I253" i="5"/>
  <c r="G253" i="5"/>
  <c r="L350" i="5"/>
  <c r="K350" i="5"/>
  <c r="I350" i="5"/>
  <c r="G350" i="5"/>
  <c r="L196" i="5"/>
  <c r="K196" i="5"/>
  <c r="I196" i="5"/>
  <c r="G196" i="5"/>
  <c r="L262" i="5"/>
  <c r="K262" i="5"/>
  <c r="I262" i="5"/>
  <c r="G262" i="5"/>
  <c r="N121" i="5"/>
  <c r="M121" i="5"/>
  <c r="N353" i="5"/>
  <c r="M353" i="5"/>
  <c r="N271" i="5"/>
  <c r="M271" i="5"/>
  <c r="N229" i="5"/>
  <c r="M229" i="5"/>
  <c r="N155" i="5"/>
  <c r="M155" i="5"/>
  <c r="N27" i="5"/>
  <c r="M27" i="5"/>
  <c r="N235" i="5"/>
  <c r="M235" i="5"/>
  <c r="N146" i="5"/>
  <c r="M146" i="5"/>
  <c r="N109" i="5"/>
  <c r="M109" i="5"/>
  <c r="N370" i="5"/>
  <c r="M370" i="5"/>
  <c r="N158" i="5"/>
  <c r="M158" i="5"/>
  <c r="N407" i="5"/>
  <c r="M407" i="5"/>
  <c r="N294" i="5"/>
  <c r="M294" i="5"/>
  <c r="N380" i="5"/>
  <c r="M380" i="5"/>
  <c r="N258" i="5"/>
  <c r="M258" i="5"/>
  <c r="N304" i="5"/>
  <c r="M304" i="5"/>
  <c r="N239" i="5"/>
  <c r="M239" i="5"/>
  <c r="N15" i="5"/>
  <c r="M15" i="5"/>
  <c r="N89" i="5"/>
  <c r="M89" i="5"/>
  <c r="N317" i="5"/>
  <c r="M317" i="5"/>
  <c r="N267" i="5"/>
  <c r="M267" i="5"/>
  <c r="N95" i="5"/>
  <c r="M95" i="5"/>
  <c r="N135" i="5"/>
  <c r="M135" i="5"/>
  <c r="N42" i="5"/>
  <c r="M42" i="5"/>
  <c r="N77" i="5"/>
  <c r="M77" i="5"/>
  <c r="N204" i="5"/>
  <c r="M204" i="5"/>
  <c r="N305" i="5"/>
  <c r="M305" i="5"/>
  <c r="N384" i="5"/>
  <c r="M384" i="5"/>
  <c r="N98" i="5"/>
  <c r="M98" i="5"/>
  <c r="N343" i="5"/>
  <c r="M343" i="5"/>
  <c r="N328" i="5"/>
  <c r="M328" i="5"/>
  <c r="N139" i="5"/>
  <c r="M139" i="5"/>
  <c r="N411" i="5"/>
  <c r="M411" i="5"/>
  <c r="N352" i="5"/>
  <c r="M352" i="5"/>
  <c r="N64" i="5"/>
  <c r="M64" i="5"/>
  <c r="N251" i="5"/>
  <c r="M251" i="5"/>
  <c r="N69" i="5"/>
  <c r="M69" i="5"/>
  <c r="N103" i="5"/>
  <c r="M103" i="5"/>
  <c r="N410" i="5"/>
  <c r="M410" i="5"/>
  <c r="N233" i="5"/>
  <c r="M233" i="5"/>
  <c r="N408" i="5"/>
  <c r="M408" i="5"/>
  <c r="N349" i="5"/>
  <c r="M349" i="5"/>
  <c r="N79" i="5"/>
  <c r="M79" i="5"/>
  <c r="N225" i="5"/>
  <c r="M225" i="5"/>
  <c r="N379" i="5"/>
  <c r="M379" i="5"/>
  <c r="N133" i="5"/>
  <c r="M133" i="5"/>
  <c r="N302" i="5"/>
  <c r="M302" i="5"/>
  <c r="N5" i="5"/>
  <c r="M5" i="5"/>
  <c r="N402" i="5"/>
  <c r="M402" i="5"/>
  <c r="N101" i="5"/>
  <c r="M101" i="5"/>
  <c r="N127" i="5"/>
  <c r="M127" i="5"/>
  <c r="N421" i="5"/>
  <c r="M421" i="5"/>
  <c r="N115" i="5"/>
  <c r="M115" i="5"/>
  <c r="N422" i="5"/>
  <c r="M422" i="5"/>
  <c r="L19" i="5"/>
  <c r="K19" i="5"/>
  <c r="I19" i="5"/>
  <c r="G19" i="5"/>
  <c r="L80" i="5"/>
  <c r="K80" i="5"/>
  <c r="I80" i="5"/>
  <c r="G80" i="5"/>
  <c r="L205" i="5"/>
  <c r="K205" i="5"/>
  <c r="I205" i="5"/>
  <c r="G205" i="5"/>
  <c r="L265" i="5"/>
  <c r="K265" i="5"/>
  <c r="I265" i="5"/>
  <c r="G265" i="5"/>
  <c r="L324" i="5"/>
  <c r="K324" i="5"/>
  <c r="I324" i="5"/>
  <c r="G324" i="5"/>
  <c r="L386" i="5"/>
  <c r="K386" i="5"/>
  <c r="I386" i="5"/>
  <c r="G386" i="5"/>
  <c r="L117" i="5"/>
  <c r="I117" i="5"/>
  <c r="K117" i="5"/>
  <c r="G117" i="5"/>
  <c r="L10" i="5"/>
  <c r="K10" i="5"/>
  <c r="I10" i="5"/>
  <c r="G10" i="5"/>
  <c r="L409" i="5"/>
  <c r="K409" i="5"/>
  <c r="I409" i="5"/>
  <c r="G409" i="5"/>
  <c r="L51" i="5"/>
  <c r="K51" i="5"/>
  <c r="I51" i="5"/>
  <c r="G51" i="5"/>
  <c r="L112" i="5"/>
  <c r="K112" i="5"/>
  <c r="I112" i="5"/>
  <c r="G112" i="5"/>
  <c r="L175" i="5"/>
  <c r="K175" i="5"/>
  <c r="I175" i="5"/>
  <c r="G175" i="5"/>
  <c r="L236" i="5"/>
  <c r="K236" i="5"/>
  <c r="I236" i="5"/>
  <c r="G236" i="5"/>
  <c r="L293" i="5"/>
  <c r="K293" i="5"/>
  <c r="I293" i="5"/>
  <c r="G293" i="5"/>
  <c r="L355" i="5"/>
  <c r="K355" i="5"/>
  <c r="I355" i="5"/>
  <c r="G355" i="5"/>
  <c r="L419" i="5"/>
  <c r="K419" i="5"/>
  <c r="I419" i="5"/>
  <c r="G419" i="5"/>
  <c r="L187" i="5"/>
  <c r="I187" i="5"/>
  <c r="K187" i="5"/>
  <c r="G187" i="5"/>
  <c r="L79" i="5"/>
  <c r="I79" i="5"/>
  <c r="K79" i="5"/>
  <c r="G79" i="5"/>
  <c r="L121" i="5"/>
  <c r="K121" i="5"/>
  <c r="I121" i="5"/>
  <c r="G121" i="5"/>
  <c r="L183" i="5"/>
  <c r="K183" i="5"/>
  <c r="I183" i="5"/>
  <c r="G183" i="5"/>
  <c r="L244" i="5"/>
  <c r="K244" i="5"/>
  <c r="I244" i="5"/>
  <c r="G244" i="5"/>
  <c r="L302" i="5"/>
  <c r="K302" i="5"/>
  <c r="I302" i="5"/>
  <c r="G302" i="5"/>
  <c r="L364" i="5"/>
  <c r="K364" i="5"/>
  <c r="I364" i="5"/>
  <c r="G364" i="5"/>
  <c r="L428" i="5"/>
  <c r="K428" i="5"/>
  <c r="I428" i="5"/>
  <c r="G428" i="5"/>
  <c r="L374" i="5"/>
  <c r="K374" i="5"/>
  <c r="I374" i="5"/>
  <c r="G374" i="5"/>
  <c r="L352" i="5"/>
  <c r="I352" i="5"/>
  <c r="K352" i="5"/>
  <c r="G352" i="5"/>
  <c r="L331" i="5"/>
  <c r="I331" i="5"/>
  <c r="K331" i="5"/>
  <c r="G331" i="5"/>
  <c r="L46" i="5"/>
  <c r="K46" i="5"/>
  <c r="I46" i="5"/>
  <c r="G46" i="5"/>
  <c r="L106" i="5"/>
  <c r="K106" i="5"/>
  <c r="I106" i="5"/>
  <c r="G106" i="5"/>
  <c r="L169" i="5"/>
  <c r="K169" i="5"/>
  <c r="I169" i="5"/>
  <c r="G169" i="5"/>
  <c r="L230" i="5"/>
  <c r="K230" i="5"/>
  <c r="I230" i="5"/>
  <c r="G230" i="5"/>
  <c r="L349" i="5"/>
  <c r="K349" i="5"/>
  <c r="I349" i="5"/>
  <c r="G349" i="5"/>
  <c r="L413" i="5"/>
  <c r="K413" i="5"/>
  <c r="I413" i="5"/>
  <c r="G413" i="5"/>
  <c r="L48" i="5"/>
  <c r="I48" i="5"/>
  <c r="K48" i="5"/>
  <c r="G48" i="5"/>
  <c r="L18" i="5"/>
  <c r="I18" i="5"/>
  <c r="K18" i="5"/>
  <c r="G18" i="5"/>
  <c r="L369" i="5"/>
  <c r="I369" i="5"/>
  <c r="G369" i="5"/>
  <c r="K369" i="5"/>
  <c r="L107" i="5"/>
  <c r="K107" i="5"/>
  <c r="I107" i="5"/>
  <c r="G107" i="5"/>
  <c r="L170" i="5"/>
  <c r="K170" i="5"/>
  <c r="I170" i="5"/>
  <c r="G170" i="5"/>
  <c r="L231" i="5"/>
  <c r="K231" i="5"/>
  <c r="I231" i="5"/>
  <c r="G231" i="5"/>
  <c r="L288" i="5"/>
  <c r="K288" i="5"/>
  <c r="I288" i="5"/>
  <c r="G288" i="5"/>
  <c r="L180" i="5"/>
  <c r="I180" i="5"/>
  <c r="K180" i="5"/>
  <c r="G180" i="5"/>
  <c r="L34" i="5"/>
  <c r="I34" i="5"/>
  <c r="K34" i="5"/>
  <c r="G34" i="5"/>
  <c r="L401" i="5"/>
  <c r="I401" i="5"/>
  <c r="K401" i="5"/>
  <c r="G401" i="5"/>
  <c r="L55" i="5"/>
  <c r="K55" i="5"/>
  <c r="I55" i="5"/>
  <c r="G55" i="5"/>
  <c r="L116" i="5"/>
  <c r="K116" i="5"/>
  <c r="I116" i="5"/>
  <c r="G116" i="5"/>
  <c r="L179" i="5"/>
  <c r="K179" i="5"/>
  <c r="I179" i="5"/>
  <c r="G179" i="5"/>
  <c r="L240" i="5"/>
  <c r="K240" i="5"/>
  <c r="I240" i="5"/>
  <c r="G240" i="5"/>
  <c r="L297" i="5"/>
  <c r="K297" i="5"/>
  <c r="I297" i="5"/>
  <c r="G297" i="5"/>
  <c r="L359" i="5"/>
  <c r="K359" i="5"/>
  <c r="I359" i="5"/>
  <c r="G359" i="5"/>
  <c r="L423" i="5"/>
  <c r="K423" i="5"/>
  <c r="I423" i="5"/>
  <c r="G423" i="5"/>
  <c r="L25" i="5"/>
  <c r="I25" i="5"/>
  <c r="K25" i="5"/>
  <c r="G25" i="5"/>
  <c r="L195" i="5"/>
  <c r="K195" i="5"/>
  <c r="I195" i="5"/>
  <c r="G195" i="5"/>
  <c r="L71" i="5"/>
  <c r="K71" i="5"/>
  <c r="I71" i="5"/>
  <c r="G71" i="5"/>
  <c r="H9" i="2" l="1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1737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956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49" i="2"/>
  <c r="H1736" i="2"/>
  <c r="H1847" i="2"/>
  <c r="H1738" i="2"/>
  <c r="H1739" i="2"/>
  <c r="H1740" i="2"/>
  <c r="H1741" i="2"/>
  <c r="H1742" i="2"/>
  <c r="H1743" i="2"/>
  <c r="H1744" i="2"/>
  <c r="H1745" i="2"/>
  <c r="H1748" i="2"/>
  <c r="H1747" i="2"/>
  <c r="H1746" i="2"/>
  <c r="H1861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58" i="2"/>
  <c r="H1834" i="2"/>
  <c r="H508" i="2"/>
  <c r="H1836" i="2"/>
  <c r="H1837" i="2"/>
  <c r="H1838" i="2"/>
  <c r="H1839" i="2"/>
  <c r="H1840" i="2"/>
  <c r="H1841" i="2"/>
  <c r="H1842" i="2"/>
  <c r="H1843" i="2"/>
  <c r="H1844" i="2"/>
  <c r="H1845" i="2"/>
  <c r="H1846" i="2"/>
  <c r="H1833" i="2"/>
  <c r="H1848" i="2"/>
  <c r="H1849" i="2"/>
  <c r="H1850" i="2"/>
  <c r="H1851" i="2"/>
  <c r="H1852" i="2"/>
  <c r="H1853" i="2"/>
  <c r="H1854" i="2"/>
  <c r="H1855" i="2"/>
  <c r="H1856" i="2"/>
  <c r="H1857" i="2"/>
  <c r="H1858" i="2"/>
  <c r="H1835" i="2"/>
  <c r="H1860" i="2"/>
  <c r="H1859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063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735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42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106" i="2"/>
  <c r="H107" i="2"/>
  <c r="H108" i="2"/>
  <c r="H109" i="2"/>
  <c r="H110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319" i="2"/>
  <c r="F3318" i="2"/>
  <c r="F3313" i="2"/>
  <c r="F3312" i="2"/>
  <c r="F3311" i="2"/>
  <c r="F3310" i="2"/>
  <c r="F3309" i="2"/>
  <c r="F3308" i="2"/>
  <c r="F3307" i="2"/>
  <c r="F3306" i="2"/>
  <c r="F3305" i="2"/>
  <c r="F3286" i="2"/>
  <c r="F3285" i="2"/>
  <c r="F3284" i="2"/>
  <c r="F3283" i="2"/>
  <c r="F3282" i="2"/>
  <c r="F3273" i="2"/>
  <c r="F3272" i="2"/>
  <c r="F3271" i="2"/>
  <c r="F3270" i="2"/>
  <c r="F3269" i="2"/>
  <c r="F3268" i="2"/>
  <c r="F3254" i="2"/>
  <c r="F3253" i="2"/>
  <c r="F3252" i="2"/>
  <c r="F3251" i="2"/>
  <c r="F3250" i="2"/>
  <c r="F3249" i="2"/>
  <c r="F3248" i="2"/>
  <c r="F3247" i="2"/>
  <c r="F3235" i="2"/>
  <c r="F3234" i="2"/>
  <c r="F3233" i="2"/>
  <c r="F3232" i="2"/>
  <c r="F3231" i="2"/>
  <c r="F3230" i="2"/>
  <c r="F3229" i="2"/>
  <c r="F3228" i="2"/>
  <c r="F3220" i="2"/>
  <c r="F3216" i="2"/>
  <c r="F3208" i="2"/>
  <c r="F3207" i="2"/>
  <c r="F3206" i="2"/>
  <c r="F3187" i="2"/>
  <c r="F3186" i="2"/>
  <c r="F3185" i="2"/>
  <c r="F3182" i="2"/>
  <c r="F3181" i="2"/>
  <c r="F3180" i="2"/>
  <c r="F3179" i="2"/>
  <c r="F3176" i="2"/>
  <c r="F3175" i="2"/>
  <c r="F3172" i="2"/>
  <c r="F3145" i="2"/>
  <c r="F3143" i="2"/>
  <c r="F3126" i="2"/>
  <c r="F3125" i="2"/>
  <c r="F3124" i="2"/>
  <c r="F3123" i="2"/>
  <c r="F3119" i="2"/>
  <c r="F3117" i="2"/>
  <c r="F3087" i="2"/>
  <c r="F3081" i="2"/>
  <c r="F3080" i="2"/>
  <c r="F3075" i="2"/>
  <c r="F3069" i="2"/>
  <c r="F3068" i="2"/>
  <c r="F3067" i="2"/>
  <c r="F3066" i="2"/>
  <c r="F3065" i="2"/>
  <c r="F3064" i="2"/>
  <c r="F3063" i="2"/>
  <c r="F3062" i="2"/>
  <c r="F3058" i="2"/>
  <c r="F3043" i="2"/>
  <c r="F3041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42" i="2"/>
  <c r="F3011" i="2"/>
  <c r="F3010" i="2"/>
  <c r="F3009" i="2"/>
  <c r="F3008" i="2"/>
  <c r="F3007" i="2"/>
  <c r="F3006" i="2"/>
  <c r="F3000" i="2"/>
  <c r="F2978" i="2"/>
  <c r="F2977" i="2"/>
  <c r="F2975" i="2"/>
  <c r="F2970" i="2"/>
  <c r="F2958" i="2"/>
  <c r="F2957" i="2"/>
  <c r="F2956" i="2"/>
  <c r="F2955" i="2"/>
  <c r="F2954" i="2"/>
  <c r="F2953" i="2"/>
  <c r="F2939" i="2"/>
  <c r="F2938" i="2"/>
  <c r="F2937" i="2"/>
  <c r="F2936" i="2"/>
  <c r="F2935" i="2"/>
  <c r="F2929" i="2"/>
  <c r="F2928" i="2"/>
  <c r="F2924" i="2"/>
  <c r="F2905" i="2"/>
  <c r="F2902" i="2"/>
  <c r="F2901" i="2"/>
  <c r="F2900" i="2"/>
  <c r="F2899" i="2"/>
  <c r="F2898" i="2"/>
  <c r="F2897" i="2"/>
  <c r="F2896" i="2"/>
  <c r="F2895" i="2"/>
  <c r="F2887" i="2"/>
  <c r="F2886" i="2"/>
  <c r="F2885" i="2"/>
  <c r="F2875" i="2"/>
  <c r="F2874" i="2"/>
  <c r="F2873" i="2"/>
  <c r="F2842" i="2"/>
  <c r="F2841" i="2"/>
  <c r="F2840" i="2"/>
  <c r="F2839" i="2"/>
  <c r="F2838" i="2"/>
  <c r="F2837" i="2"/>
  <c r="F2835" i="2"/>
  <c r="F2833" i="2"/>
  <c r="F2828" i="2"/>
  <c r="F2827" i="2"/>
  <c r="F2824" i="2"/>
  <c r="F2823" i="2"/>
  <c r="F2822" i="2"/>
  <c r="F2821" i="2"/>
  <c r="F2820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4" i="2"/>
  <c r="F2793" i="2"/>
  <c r="F2792" i="2"/>
  <c r="F2774" i="2"/>
  <c r="F2773" i="2"/>
  <c r="F2770" i="2"/>
  <c r="F2769" i="2"/>
  <c r="F2768" i="2"/>
  <c r="F2756" i="2"/>
  <c r="F2734" i="2"/>
  <c r="F2730" i="2"/>
  <c r="F2729" i="2"/>
  <c r="F2706" i="2"/>
  <c r="F2705" i="2"/>
  <c r="F2703" i="2"/>
  <c r="F2702" i="2"/>
  <c r="F2701" i="2"/>
  <c r="F2700" i="2"/>
  <c r="F2699" i="2"/>
  <c r="F2698" i="2"/>
  <c r="F2697" i="2"/>
  <c r="F2696" i="2"/>
  <c r="F2695" i="2"/>
  <c r="F2694" i="2"/>
  <c r="F2693" i="2"/>
  <c r="F2689" i="2"/>
  <c r="F2686" i="2"/>
  <c r="F2682" i="2"/>
  <c r="F2681" i="2"/>
  <c r="F2659" i="2"/>
  <c r="F2650" i="2"/>
  <c r="F2649" i="2"/>
  <c r="F2645" i="2"/>
  <c r="F2644" i="2"/>
  <c r="F2643" i="2"/>
  <c r="F2642" i="2"/>
  <c r="F2641" i="2"/>
  <c r="F2636" i="2"/>
  <c r="F2615" i="2"/>
  <c r="F2614" i="2"/>
  <c r="F2613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87" i="2"/>
  <c r="F2581" i="2"/>
  <c r="F2580" i="2"/>
  <c r="F2579" i="2"/>
  <c r="F2578" i="2"/>
  <c r="F2577" i="2"/>
  <c r="F2569" i="2"/>
  <c r="F2566" i="2"/>
  <c r="F2558" i="2"/>
  <c r="F2539" i="2"/>
  <c r="F2527" i="2"/>
  <c r="F2526" i="2"/>
  <c r="F2525" i="2"/>
  <c r="F2513" i="2"/>
  <c r="F2512" i="2"/>
  <c r="F2506" i="2"/>
  <c r="F2496" i="2"/>
  <c r="F2492" i="2"/>
  <c r="F2479" i="2"/>
  <c r="F2476" i="2"/>
  <c r="F2458" i="2"/>
  <c r="F2457" i="2"/>
  <c r="F2455" i="2"/>
  <c r="F2448" i="2"/>
  <c r="F2442" i="2"/>
  <c r="F2441" i="2"/>
  <c r="F2439" i="2"/>
  <c r="F2438" i="2"/>
  <c r="F2432" i="2"/>
  <c r="F2429" i="2"/>
  <c r="F2430" i="2"/>
  <c r="F2431" i="2"/>
  <c r="F2433" i="2"/>
  <c r="F2434" i="2"/>
  <c r="F2427" i="2"/>
  <c r="F2421" i="2"/>
  <c r="F2412" i="2"/>
  <c r="F2411" i="2"/>
  <c r="F2399" i="2"/>
  <c r="F2379" i="2"/>
  <c r="F2378" i="2"/>
  <c r="F2377" i="2"/>
  <c r="F2352" i="2"/>
  <c r="F2351" i="2"/>
  <c r="F2350" i="2"/>
  <c r="F2340" i="2"/>
  <c r="F2325" i="2"/>
  <c r="F2324" i="2"/>
  <c r="F2323" i="2"/>
  <c r="F2322" i="2"/>
  <c r="F2303" i="2"/>
  <c r="F2302" i="2"/>
  <c r="F2292" i="2"/>
  <c r="F2270" i="2"/>
  <c r="F2269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42" i="2"/>
  <c r="F2235" i="2"/>
  <c r="F2234" i="2"/>
  <c r="F2230" i="2"/>
  <c r="F2228" i="2"/>
  <c r="F2227" i="2"/>
  <c r="F2226" i="2"/>
  <c r="F2225" i="2"/>
  <c r="F2224" i="2"/>
  <c r="F2223" i="2"/>
  <c r="F2222" i="2"/>
  <c r="F2221" i="2"/>
  <c r="F2218" i="2"/>
  <c r="F2217" i="2"/>
  <c r="F2216" i="2"/>
  <c r="F2215" i="2"/>
  <c r="F2214" i="2"/>
  <c r="F2213" i="2"/>
  <c r="F2212" i="2"/>
  <c r="F2211" i="2"/>
  <c r="F2210" i="2"/>
  <c r="F2209" i="2"/>
  <c r="F2203" i="2"/>
  <c r="F2202" i="2"/>
  <c r="F2200" i="2"/>
  <c r="F2190" i="2"/>
  <c r="F2188" i="2"/>
  <c r="F2186" i="2"/>
  <c r="F2177" i="2"/>
  <c r="F2173" i="2"/>
  <c r="F2172" i="2"/>
  <c r="F2151" i="2"/>
  <c r="F2150" i="2"/>
  <c r="F2132" i="2"/>
  <c r="F2131" i="2"/>
  <c r="F2128" i="2"/>
  <c r="F2127" i="2"/>
  <c r="F2126" i="2"/>
  <c r="F2125" i="2"/>
  <c r="F2124" i="2"/>
  <c r="F2123" i="2"/>
  <c r="F2121" i="2"/>
  <c r="F2120" i="2"/>
  <c r="F2119" i="2"/>
  <c r="F2110" i="2"/>
  <c r="F2109" i="2"/>
  <c r="F2093" i="2"/>
  <c r="F2090" i="2"/>
  <c r="F2088" i="2"/>
  <c r="F2087" i="2"/>
  <c r="F2086" i="2"/>
  <c r="F2085" i="2"/>
  <c r="F2084" i="2"/>
  <c r="F2083" i="2"/>
  <c r="F2074" i="2"/>
  <c r="F2073" i="2"/>
  <c r="F2072" i="2"/>
  <c r="F2071" i="2"/>
  <c r="F2070" i="2"/>
  <c r="F2068" i="2"/>
  <c r="F2067" i="2"/>
  <c r="F2066" i="2"/>
  <c r="F2065" i="2"/>
  <c r="F2064" i="2"/>
  <c r="F2062" i="2"/>
  <c r="F2061" i="2"/>
  <c r="F2060" i="2"/>
  <c r="F2059" i="2"/>
  <c r="F2058" i="2"/>
  <c r="F2044" i="2"/>
  <c r="F2043" i="2"/>
  <c r="F2038" i="2"/>
  <c r="F2037" i="2"/>
  <c r="F2036" i="2"/>
  <c r="F2034" i="2"/>
  <c r="F2033" i="2"/>
  <c r="F2031" i="2"/>
  <c r="F2030" i="2"/>
  <c r="F2013" i="2"/>
  <c r="F2012" i="2"/>
  <c r="F2007" i="2"/>
  <c r="F2006" i="2"/>
  <c r="F2005" i="2"/>
  <c r="F2004" i="2"/>
  <c r="F2003" i="2"/>
  <c r="F2002" i="2"/>
  <c r="F2001" i="2"/>
  <c r="F2000" i="2"/>
  <c r="F1999" i="2"/>
  <c r="F1998" i="2"/>
  <c r="F1997" i="2"/>
  <c r="F1991" i="2"/>
  <c r="F1990" i="2"/>
  <c r="F1989" i="2"/>
  <c r="F1958" i="2"/>
  <c r="F1957" i="2"/>
  <c r="F1955" i="2"/>
  <c r="F1953" i="2"/>
  <c r="F1951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06" i="2"/>
  <c r="F1905" i="2"/>
  <c r="F1904" i="2"/>
  <c r="F1903" i="2"/>
  <c r="F1902" i="2"/>
  <c r="F1901" i="2"/>
  <c r="F1900" i="2"/>
  <c r="F1899" i="2"/>
  <c r="F1898" i="2"/>
  <c r="F1897" i="2"/>
  <c r="F1895" i="2"/>
  <c r="F1894" i="2"/>
  <c r="F1893" i="2"/>
  <c r="F1892" i="2"/>
  <c r="F1891" i="2"/>
  <c r="F1890" i="2"/>
  <c r="F1888" i="2"/>
  <c r="F1887" i="2"/>
  <c r="F1886" i="2"/>
  <c r="F1885" i="2"/>
  <c r="F1884" i="2"/>
  <c r="F1859" i="2"/>
  <c r="F1860" i="2"/>
  <c r="F1835" i="2"/>
  <c r="F1858" i="2"/>
  <c r="F1849" i="2"/>
  <c r="F1848" i="2"/>
  <c r="F1833" i="2"/>
  <c r="F1846" i="2"/>
  <c r="F1834" i="2"/>
  <c r="F158" i="2"/>
  <c r="F1832" i="2"/>
  <c r="F1806" i="2"/>
  <c r="F1795" i="2"/>
  <c r="F1794" i="2"/>
  <c r="F1793" i="2"/>
  <c r="F1792" i="2"/>
  <c r="F1791" i="2"/>
  <c r="F1790" i="2"/>
  <c r="F1789" i="2"/>
  <c r="F1774" i="2"/>
  <c r="F1772" i="2"/>
  <c r="F1771" i="2"/>
  <c r="F1770" i="2"/>
  <c r="F1769" i="2"/>
  <c r="F1751" i="2"/>
  <c r="F1746" i="2"/>
  <c r="F1747" i="2"/>
  <c r="F1748" i="2"/>
  <c r="F1745" i="2"/>
  <c r="F1741" i="2"/>
  <c r="F1738" i="2"/>
  <c r="F1736" i="2"/>
  <c r="F1749" i="2"/>
  <c r="F1734" i="2"/>
  <c r="F1673" i="2"/>
  <c r="F1672" i="2"/>
  <c r="F1668" i="2"/>
  <c r="F1667" i="2"/>
  <c r="F1666" i="2"/>
  <c r="F1665" i="2"/>
  <c r="F1664" i="2"/>
  <c r="F1663" i="2"/>
  <c r="F1610" i="2"/>
  <c r="F1609" i="2"/>
  <c r="F1608" i="2"/>
  <c r="F1607" i="2"/>
  <c r="F1605" i="2"/>
  <c r="F1604" i="2"/>
  <c r="F1603" i="2"/>
  <c r="F1602" i="2"/>
  <c r="F1601" i="2"/>
  <c r="F1600" i="2"/>
  <c r="F1599" i="2"/>
  <c r="F1598" i="2"/>
  <c r="F1648" i="2"/>
  <c r="F1647" i="2"/>
  <c r="F1646" i="2"/>
  <c r="F1645" i="2"/>
  <c r="F1644" i="2"/>
  <c r="F1643" i="2"/>
  <c r="F1634" i="2"/>
  <c r="F1631" i="2"/>
  <c r="F1630" i="2"/>
  <c r="F1588" i="2"/>
  <c r="F1587" i="2"/>
  <c r="F1586" i="2"/>
  <c r="F1585" i="2"/>
  <c r="F1584" i="2"/>
  <c r="F1583" i="2"/>
  <c r="F1577" i="2"/>
  <c r="F1576" i="2"/>
  <c r="F1575" i="2"/>
  <c r="F1574" i="2"/>
  <c r="F1573" i="2"/>
  <c r="F1572" i="2"/>
  <c r="F1571" i="2"/>
  <c r="F1562" i="2"/>
  <c r="F1561" i="2"/>
  <c r="F1560" i="2"/>
  <c r="F1559" i="2"/>
  <c r="F1558" i="2"/>
  <c r="F1557" i="2"/>
  <c r="F1556" i="2"/>
  <c r="F1549" i="2"/>
  <c r="F1540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1" i="2"/>
  <c r="F1510" i="2"/>
  <c r="F1509" i="2"/>
  <c r="F1508" i="2"/>
  <c r="F1507" i="2"/>
  <c r="F1506" i="2"/>
  <c r="F1505" i="2"/>
  <c r="F1504" i="2"/>
  <c r="F1496" i="2"/>
  <c r="F1495" i="2"/>
  <c r="F1485" i="2"/>
  <c r="F1484" i="2"/>
  <c r="F1483" i="2"/>
  <c r="F1482" i="2"/>
  <c r="F1481" i="2"/>
  <c r="F1480" i="2"/>
  <c r="F1467" i="2"/>
  <c r="F1462" i="2"/>
  <c r="F1460" i="2"/>
  <c r="F1459" i="2"/>
  <c r="F1458" i="2"/>
  <c r="F1457" i="2"/>
  <c r="F1456" i="2"/>
  <c r="F1455" i="2"/>
  <c r="F1454" i="2"/>
  <c r="F1453" i="2"/>
  <c r="F1452" i="2"/>
  <c r="F1451" i="2"/>
  <c r="F1448" i="2"/>
  <c r="F1442" i="2"/>
  <c r="F1440" i="2"/>
  <c r="F1439" i="2"/>
  <c r="F1427" i="2"/>
  <c r="F1426" i="2"/>
  <c r="F1425" i="2"/>
  <c r="F1421" i="2"/>
  <c r="F1418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71" i="2"/>
  <c r="F1370" i="2"/>
  <c r="F1337" i="2"/>
  <c r="F1329" i="2"/>
  <c r="F1325" i="2"/>
  <c r="F1324" i="2"/>
  <c r="F1323" i="2"/>
  <c r="F1322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297" i="2"/>
  <c r="F1288" i="2"/>
  <c r="F1364" i="2"/>
  <c r="F1363" i="2"/>
  <c r="F1362" i="2"/>
  <c r="F1361" i="2"/>
  <c r="F1360" i="2"/>
  <c r="F1359" i="2"/>
  <c r="F1358" i="2"/>
  <c r="F1357" i="2"/>
  <c r="F1356" i="2"/>
  <c r="F1355" i="2"/>
  <c r="F1354" i="2"/>
  <c r="F1351" i="2"/>
  <c r="F1350" i="2"/>
  <c r="F1349" i="2"/>
  <c r="F1348" i="2"/>
  <c r="F1347" i="2"/>
  <c r="F1276" i="2"/>
  <c r="F1275" i="2"/>
  <c r="F1274" i="2"/>
  <c r="F1273" i="2"/>
  <c r="F1272" i="2"/>
  <c r="F1271" i="2"/>
  <c r="F1270" i="2"/>
  <c r="F1269" i="2"/>
  <c r="F1268" i="2"/>
  <c r="F1267" i="2"/>
  <c r="F1255" i="2"/>
  <c r="F1248" i="2"/>
  <c r="F1247" i="2"/>
  <c r="F1246" i="2"/>
  <c r="F1245" i="2"/>
  <c r="F1244" i="2"/>
  <c r="F1236" i="2"/>
  <c r="F1225" i="2"/>
  <c r="F1224" i="2"/>
  <c r="F1223" i="2"/>
  <c r="F1222" i="2"/>
  <c r="F1221" i="2"/>
  <c r="F1217" i="2"/>
  <c r="F1216" i="2"/>
  <c r="F1209" i="2"/>
  <c r="F1203" i="2"/>
  <c r="F1202" i="2"/>
  <c r="F1201" i="2"/>
  <c r="F1199" i="2"/>
  <c r="F1195" i="2"/>
  <c r="F1194" i="2"/>
  <c r="F1193" i="2"/>
  <c r="F1192" i="2"/>
  <c r="F1190" i="2"/>
  <c r="F1186" i="2"/>
  <c r="F1184" i="2"/>
  <c r="F1180" i="2"/>
  <c r="F1179" i="2"/>
  <c r="F1156" i="2"/>
  <c r="F1147" i="2"/>
  <c r="F1142" i="2"/>
  <c r="F1146" i="2"/>
  <c r="F1145" i="2"/>
  <c r="F1144" i="2"/>
  <c r="F1143" i="2"/>
  <c r="F1141" i="2"/>
  <c r="F1149" i="2"/>
  <c r="F1139" i="2"/>
  <c r="F1138" i="2"/>
  <c r="F1137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0" i="2"/>
  <c r="F1119" i="2"/>
  <c r="F1117" i="2"/>
  <c r="F1116" i="2"/>
  <c r="F1115" i="2"/>
  <c r="F1114" i="2"/>
  <c r="F1113" i="2"/>
  <c r="F1066" i="2"/>
  <c r="F1065" i="2"/>
  <c r="F1062" i="2"/>
  <c r="F1042" i="2"/>
  <c r="F1041" i="2"/>
  <c r="F1020" i="2"/>
  <c r="F1018" i="2"/>
  <c r="F1013" i="2"/>
  <c r="F1012" i="2"/>
  <c r="F1011" i="2"/>
  <c r="F1010" i="2"/>
  <c r="F1002" i="2"/>
  <c r="F1001" i="2"/>
  <c r="F994" i="2"/>
  <c r="F993" i="2"/>
  <c r="F992" i="2"/>
  <c r="F983" i="2"/>
  <c r="F982" i="2"/>
  <c r="F981" i="2"/>
  <c r="F980" i="2"/>
  <c r="F979" i="2"/>
  <c r="F977" i="2"/>
  <c r="F947" i="2"/>
  <c r="F946" i="2"/>
  <c r="F945" i="2"/>
  <c r="F944" i="2"/>
  <c r="F939" i="2"/>
  <c r="F938" i="2"/>
  <c r="F921" i="2"/>
  <c r="F920" i="2"/>
  <c r="F919" i="2"/>
  <c r="F918" i="2"/>
  <c r="F917" i="2"/>
  <c r="F916" i="2"/>
  <c r="F915" i="2"/>
  <c r="F914" i="2"/>
  <c r="F913" i="2"/>
  <c r="F912" i="2"/>
  <c r="F906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0" i="2"/>
  <c r="F859" i="2"/>
  <c r="F858" i="2"/>
  <c r="F857" i="2"/>
  <c r="F856" i="2"/>
  <c r="F855" i="2"/>
  <c r="F854" i="2"/>
  <c r="F853" i="2"/>
  <c r="F852" i="2"/>
  <c r="F851" i="2"/>
  <c r="F835" i="2"/>
  <c r="F834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794" i="2"/>
  <c r="F766" i="2"/>
  <c r="F765" i="2"/>
  <c r="F758" i="2"/>
  <c r="F757" i="2"/>
  <c r="F705" i="2"/>
  <c r="F704" i="2"/>
  <c r="F681" i="2"/>
  <c r="F673" i="2"/>
  <c r="F671" i="2"/>
  <c r="F666" i="2"/>
  <c r="F665" i="2"/>
  <c r="F664" i="2"/>
  <c r="F663" i="2"/>
  <c r="F662" i="2"/>
  <c r="F661" i="2"/>
  <c r="F660" i="2"/>
  <c r="F657" i="2"/>
  <c r="F656" i="2"/>
  <c r="F655" i="2"/>
  <c r="F631" i="2"/>
  <c r="F630" i="2"/>
  <c r="F619" i="2"/>
  <c r="F610" i="2"/>
  <c r="F609" i="2"/>
  <c r="F608" i="2"/>
  <c r="F607" i="2"/>
  <c r="F606" i="2"/>
  <c r="F604" i="2"/>
  <c r="F603" i="2"/>
  <c r="F601" i="2"/>
  <c r="F600" i="2"/>
  <c r="F599" i="2"/>
  <c r="F598" i="2"/>
  <c r="F597" i="2"/>
  <c r="F589" i="2"/>
  <c r="F588" i="2"/>
  <c r="F587" i="2"/>
  <c r="F586" i="2"/>
  <c r="F583" i="2"/>
  <c r="F580" i="2"/>
  <c r="F579" i="2"/>
  <c r="F577" i="2"/>
  <c r="F576" i="2"/>
  <c r="F563" i="2"/>
  <c r="F562" i="2"/>
  <c r="F561" i="2"/>
  <c r="F560" i="2"/>
  <c r="F559" i="2"/>
  <c r="F551" i="2"/>
  <c r="F550" i="2"/>
  <c r="F511" i="2"/>
  <c r="F507" i="2"/>
  <c r="F500" i="2"/>
  <c r="F474" i="2"/>
  <c r="F473" i="2"/>
  <c r="F472" i="2"/>
  <c r="F471" i="2"/>
  <c r="F470" i="2"/>
  <c r="F468" i="2"/>
  <c r="F467" i="2"/>
  <c r="F466" i="2"/>
  <c r="F465" i="2"/>
  <c r="F464" i="2"/>
  <c r="F461" i="2"/>
  <c r="F460" i="2"/>
  <c r="F459" i="2"/>
  <c r="F458" i="2"/>
  <c r="F457" i="2"/>
  <c r="F456" i="2"/>
  <c r="F455" i="2"/>
  <c r="F454" i="2"/>
  <c r="F453" i="2"/>
  <c r="F440" i="2"/>
  <c r="F439" i="2"/>
  <c r="F438" i="2"/>
  <c r="F437" i="2"/>
  <c r="F436" i="2"/>
  <c r="F408" i="2"/>
  <c r="F407" i="2"/>
  <c r="F401" i="2"/>
  <c r="F398" i="2"/>
  <c r="F389" i="2"/>
  <c r="F388" i="2"/>
  <c r="F387" i="2"/>
  <c r="F386" i="2"/>
  <c r="F363" i="2"/>
  <c r="F345" i="2"/>
  <c r="F344" i="2"/>
  <c r="F343" i="2"/>
  <c r="F342" i="2"/>
  <c r="F339" i="2"/>
  <c r="F338" i="2"/>
  <c r="F337" i="2"/>
  <c r="F329" i="2"/>
  <c r="F274" i="2"/>
  <c r="F273" i="2"/>
  <c r="F272" i="2"/>
  <c r="F271" i="2"/>
  <c r="F268" i="2"/>
  <c r="F267" i="2"/>
  <c r="F266" i="2"/>
  <c r="F265" i="2"/>
  <c r="F264" i="2"/>
  <c r="F255" i="2"/>
  <c r="F254" i="2"/>
  <c r="F253" i="2"/>
  <c r="F251" i="2"/>
  <c r="F249" i="2"/>
  <c r="F248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15" i="2"/>
  <c r="F214" i="2"/>
  <c r="F209" i="2"/>
  <c r="F208" i="2"/>
  <c r="F207" i="2"/>
  <c r="F206" i="2"/>
  <c r="F205" i="2"/>
  <c r="F204" i="2"/>
  <c r="F203" i="2"/>
  <c r="F202" i="2"/>
  <c r="F201" i="2"/>
  <c r="F200" i="2"/>
  <c r="F210" i="2"/>
  <c r="F198" i="2"/>
  <c r="F197" i="2"/>
  <c r="F196" i="2"/>
  <c r="F195" i="2"/>
  <c r="F194" i="2"/>
  <c r="F193" i="2"/>
  <c r="F192" i="2"/>
  <c r="F191" i="2"/>
  <c r="F190" i="2"/>
  <c r="F189" i="2"/>
  <c r="F186" i="2"/>
  <c r="F185" i="2"/>
  <c r="F184" i="2"/>
  <c r="F182" i="2"/>
  <c r="F181" i="2"/>
  <c r="F180" i="2"/>
  <c r="F159" i="2"/>
  <c r="F142" i="2"/>
  <c r="F141" i="2"/>
  <c r="F128" i="2"/>
  <c r="F127" i="2"/>
  <c r="F126" i="2"/>
  <c r="F125" i="2"/>
  <c r="F124" i="2"/>
  <c r="F108" i="2"/>
  <c r="F106" i="2"/>
  <c r="F85" i="2"/>
  <c r="F79" i="2"/>
  <c r="F78" i="2"/>
  <c r="F77" i="2"/>
  <c r="F64" i="2"/>
  <c r="F63" i="2"/>
  <c r="F62" i="2"/>
  <c r="F61" i="2"/>
  <c r="F60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F3" i="2"/>
  <c r="F34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28" i="2"/>
  <c r="F11" i="2"/>
  <c r="F31" i="2"/>
  <c r="F30" i="2"/>
  <c r="F29" i="2"/>
  <c r="F18" i="2"/>
  <c r="F17" i="2"/>
  <c r="F16" i="2"/>
  <c r="F15" i="2"/>
  <c r="F14" i="2"/>
  <c r="F13" i="2"/>
  <c r="F12" i="2"/>
  <c r="F9" i="2"/>
  <c r="F10" i="2"/>
  <c r="F19" i="2"/>
  <c r="F20" i="2"/>
  <c r="F21" i="2"/>
  <c r="F22" i="2"/>
  <c r="F23" i="2"/>
  <c r="F24" i="2"/>
  <c r="F25" i="2"/>
  <c r="F26" i="2"/>
  <c r="F27" i="2"/>
  <c r="F32" i="2"/>
  <c r="F33" i="2"/>
  <c r="F48" i="2"/>
  <c r="F49" i="2"/>
  <c r="F50" i="2"/>
  <c r="F51" i="2"/>
  <c r="F52" i="2"/>
  <c r="F53" i="2"/>
  <c r="F54" i="2"/>
  <c r="F55" i="2"/>
  <c r="F56" i="2"/>
  <c r="F57" i="2"/>
  <c r="F58" i="2"/>
  <c r="F59" i="2"/>
  <c r="F65" i="2"/>
  <c r="F66" i="2"/>
  <c r="F67" i="2"/>
  <c r="F68" i="2"/>
  <c r="F69" i="2"/>
  <c r="F70" i="2"/>
  <c r="F71" i="2"/>
  <c r="F72" i="2"/>
  <c r="F73" i="2"/>
  <c r="F74" i="2"/>
  <c r="F75" i="2"/>
  <c r="F76" i="2"/>
  <c r="F80" i="2"/>
  <c r="F81" i="2"/>
  <c r="F82" i="2"/>
  <c r="F83" i="2"/>
  <c r="F84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7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735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3" i="2"/>
  <c r="F187" i="2"/>
  <c r="F188" i="2"/>
  <c r="F199" i="2"/>
  <c r="F211" i="2"/>
  <c r="F212" i="2"/>
  <c r="F213" i="2"/>
  <c r="F216" i="2"/>
  <c r="F217" i="2"/>
  <c r="F218" i="2"/>
  <c r="F219" i="2"/>
  <c r="F220" i="2"/>
  <c r="F221" i="2"/>
  <c r="F222" i="2"/>
  <c r="F223" i="2"/>
  <c r="F224" i="2"/>
  <c r="F225" i="2"/>
  <c r="F247" i="2"/>
  <c r="F250" i="2"/>
  <c r="F252" i="2"/>
  <c r="F256" i="2"/>
  <c r="F257" i="2"/>
  <c r="F258" i="2"/>
  <c r="F259" i="2"/>
  <c r="F260" i="2"/>
  <c r="F261" i="2"/>
  <c r="F262" i="2"/>
  <c r="F263" i="2"/>
  <c r="F269" i="2"/>
  <c r="F270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30" i="2"/>
  <c r="F331" i="2"/>
  <c r="F332" i="2"/>
  <c r="F333" i="2"/>
  <c r="F334" i="2"/>
  <c r="F335" i="2"/>
  <c r="F336" i="2"/>
  <c r="F340" i="2"/>
  <c r="F341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90" i="2"/>
  <c r="F391" i="2"/>
  <c r="F392" i="2"/>
  <c r="F393" i="2"/>
  <c r="F394" i="2"/>
  <c r="F395" i="2"/>
  <c r="F396" i="2"/>
  <c r="F397" i="2"/>
  <c r="F399" i="2"/>
  <c r="F400" i="2"/>
  <c r="F402" i="2"/>
  <c r="F403" i="2"/>
  <c r="F404" i="2"/>
  <c r="F405" i="2"/>
  <c r="F406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62" i="2"/>
  <c r="F463" i="2"/>
  <c r="F469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1" i="2"/>
  <c r="F502" i="2"/>
  <c r="F503" i="2"/>
  <c r="F504" i="2"/>
  <c r="F505" i="2"/>
  <c r="F506" i="2"/>
  <c r="F1737" i="2"/>
  <c r="F509" i="2"/>
  <c r="F510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2" i="2"/>
  <c r="F553" i="2"/>
  <c r="F554" i="2"/>
  <c r="F555" i="2"/>
  <c r="F556" i="2"/>
  <c r="F557" i="2"/>
  <c r="F558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8" i="2"/>
  <c r="F581" i="2"/>
  <c r="F582" i="2"/>
  <c r="F584" i="2"/>
  <c r="F585" i="2"/>
  <c r="F590" i="2"/>
  <c r="F591" i="2"/>
  <c r="F592" i="2"/>
  <c r="F593" i="2"/>
  <c r="F594" i="2"/>
  <c r="F595" i="2"/>
  <c r="F596" i="2"/>
  <c r="F602" i="2"/>
  <c r="F605" i="2"/>
  <c r="F611" i="2"/>
  <c r="F612" i="2"/>
  <c r="F613" i="2"/>
  <c r="F614" i="2"/>
  <c r="F615" i="2"/>
  <c r="F616" i="2"/>
  <c r="F617" i="2"/>
  <c r="F618" i="2"/>
  <c r="F620" i="2"/>
  <c r="F621" i="2"/>
  <c r="F622" i="2"/>
  <c r="F623" i="2"/>
  <c r="F624" i="2"/>
  <c r="F625" i="2"/>
  <c r="F626" i="2"/>
  <c r="F627" i="2"/>
  <c r="F628" i="2"/>
  <c r="F629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8" i="2"/>
  <c r="F659" i="2"/>
  <c r="F667" i="2"/>
  <c r="F668" i="2"/>
  <c r="F669" i="2"/>
  <c r="F670" i="2"/>
  <c r="F672" i="2"/>
  <c r="F674" i="2"/>
  <c r="F675" i="2"/>
  <c r="F676" i="2"/>
  <c r="F677" i="2"/>
  <c r="F678" i="2"/>
  <c r="F679" i="2"/>
  <c r="F680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9" i="2"/>
  <c r="F760" i="2"/>
  <c r="F761" i="2"/>
  <c r="F762" i="2"/>
  <c r="F763" i="2"/>
  <c r="F764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5" i="2"/>
  <c r="F796" i="2"/>
  <c r="F797" i="2"/>
  <c r="F798" i="2"/>
  <c r="F799" i="2"/>
  <c r="F800" i="2"/>
  <c r="F801" i="2"/>
  <c r="F802" i="2"/>
  <c r="F803" i="2"/>
  <c r="F804" i="2"/>
  <c r="F805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61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7" i="2"/>
  <c r="F908" i="2"/>
  <c r="F909" i="2"/>
  <c r="F910" i="2"/>
  <c r="F91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40" i="2"/>
  <c r="F941" i="2"/>
  <c r="F942" i="2"/>
  <c r="F943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8" i="2"/>
  <c r="F984" i="2"/>
  <c r="F985" i="2"/>
  <c r="F986" i="2"/>
  <c r="F987" i="2"/>
  <c r="F988" i="2"/>
  <c r="F989" i="2"/>
  <c r="F990" i="2"/>
  <c r="F991" i="2"/>
  <c r="F995" i="2"/>
  <c r="F996" i="2"/>
  <c r="F997" i="2"/>
  <c r="F998" i="2"/>
  <c r="F999" i="2"/>
  <c r="F1000" i="2"/>
  <c r="F1003" i="2"/>
  <c r="F1004" i="2"/>
  <c r="F1005" i="2"/>
  <c r="F1006" i="2"/>
  <c r="F1007" i="2"/>
  <c r="F1008" i="2"/>
  <c r="F1009" i="2"/>
  <c r="F1014" i="2"/>
  <c r="F1015" i="2"/>
  <c r="F1016" i="2"/>
  <c r="F1017" i="2"/>
  <c r="F1019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956" i="2"/>
  <c r="F1064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8" i="2"/>
  <c r="F1121" i="2"/>
  <c r="F1136" i="2"/>
  <c r="F1140" i="2"/>
  <c r="F1148" i="2"/>
  <c r="F1150" i="2"/>
  <c r="F1151" i="2"/>
  <c r="F1152" i="2"/>
  <c r="F1153" i="2"/>
  <c r="F1154" i="2"/>
  <c r="F1155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81" i="2"/>
  <c r="F1182" i="2"/>
  <c r="F1183" i="2"/>
  <c r="F1185" i="2"/>
  <c r="F1187" i="2"/>
  <c r="F1188" i="2"/>
  <c r="F1189" i="2"/>
  <c r="F1191" i="2"/>
  <c r="F1196" i="2"/>
  <c r="F1197" i="2"/>
  <c r="F1198" i="2"/>
  <c r="F1200" i="2"/>
  <c r="F1204" i="2"/>
  <c r="F1205" i="2"/>
  <c r="F1206" i="2"/>
  <c r="F1207" i="2"/>
  <c r="F1208" i="2"/>
  <c r="F1210" i="2"/>
  <c r="F1211" i="2"/>
  <c r="F1212" i="2"/>
  <c r="F1213" i="2"/>
  <c r="F1214" i="2"/>
  <c r="F1215" i="2"/>
  <c r="F1218" i="2"/>
  <c r="F1219" i="2"/>
  <c r="F1220" i="2"/>
  <c r="F1226" i="2"/>
  <c r="F1227" i="2"/>
  <c r="F1228" i="2"/>
  <c r="F1229" i="2"/>
  <c r="F1230" i="2"/>
  <c r="F1231" i="2"/>
  <c r="F1232" i="2"/>
  <c r="F1233" i="2"/>
  <c r="F1234" i="2"/>
  <c r="F1235" i="2"/>
  <c r="F1237" i="2"/>
  <c r="F1238" i="2"/>
  <c r="F1239" i="2"/>
  <c r="F1240" i="2"/>
  <c r="F1241" i="2"/>
  <c r="F1242" i="2"/>
  <c r="F1243" i="2"/>
  <c r="F1249" i="2"/>
  <c r="F1250" i="2"/>
  <c r="F1251" i="2"/>
  <c r="F1252" i="2"/>
  <c r="F1253" i="2"/>
  <c r="F1254" i="2"/>
  <c r="F1256" i="2"/>
  <c r="F1257" i="2"/>
  <c r="F1258" i="2"/>
  <c r="F1259" i="2"/>
  <c r="F1260" i="2"/>
  <c r="F1261" i="2"/>
  <c r="F1262" i="2"/>
  <c r="F1263" i="2"/>
  <c r="F1264" i="2"/>
  <c r="F1265" i="2"/>
  <c r="F1266" i="2"/>
  <c r="F1277" i="2"/>
  <c r="F1278" i="2"/>
  <c r="F1279" i="2"/>
  <c r="F1280" i="2"/>
  <c r="F1281" i="2"/>
  <c r="F1282" i="2"/>
  <c r="F1283" i="2"/>
  <c r="F1284" i="2"/>
  <c r="F1285" i="2"/>
  <c r="F1286" i="2"/>
  <c r="F1287" i="2"/>
  <c r="F1289" i="2"/>
  <c r="F1290" i="2"/>
  <c r="F1291" i="2"/>
  <c r="F1292" i="2"/>
  <c r="F1293" i="2"/>
  <c r="F1294" i="2"/>
  <c r="F1295" i="2"/>
  <c r="F1296" i="2"/>
  <c r="F1298" i="2"/>
  <c r="F1299" i="2"/>
  <c r="F1300" i="2"/>
  <c r="F1301" i="2"/>
  <c r="F1302" i="2"/>
  <c r="F1303" i="2"/>
  <c r="F1304" i="2"/>
  <c r="F1305" i="2"/>
  <c r="F1321" i="2"/>
  <c r="F1326" i="2"/>
  <c r="F1327" i="2"/>
  <c r="F1328" i="2"/>
  <c r="F1330" i="2"/>
  <c r="F1331" i="2"/>
  <c r="F1332" i="2"/>
  <c r="F1333" i="2"/>
  <c r="F1334" i="2"/>
  <c r="F1335" i="2"/>
  <c r="F1336" i="2"/>
  <c r="F1338" i="2"/>
  <c r="F1339" i="2"/>
  <c r="F1340" i="2"/>
  <c r="F1341" i="2"/>
  <c r="F1342" i="2"/>
  <c r="F1343" i="2"/>
  <c r="F1344" i="2"/>
  <c r="F1345" i="2"/>
  <c r="F1346" i="2"/>
  <c r="F1352" i="2"/>
  <c r="F1353" i="2"/>
  <c r="F1365" i="2"/>
  <c r="F1366" i="2"/>
  <c r="F1367" i="2"/>
  <c r="F1368" i="2"/>
  <c r="F1369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407" i="2"/>
  <c r="F1408" i="2"/>
  <c r="F1409" i="2"/>
  <c r="F1410" i="2"/>
  <c r="F1411" i="2"/>
  <c r="F1412" i="2"/>
  <c r="F1413" i="2"/>
  <c r="F1414" i="2"/>
  <c r="F1415" i="2"/>
  <c r="F1416" i="2"/>
  <c r="F1417" i="2"/>
  <c r="F1419" i="2"/>
  <c r="F1420" i="2"/>
  <c r="F1422" i="2"/>
  <c r="F1423" i="2"/>
  <c r="F1424" i="2"/>
  <c r="F1428" i="2"/>
  <c r="F1429" i="2"/>
  <c r="F1430" i="2"/>
  <c r="F1431" i="2"/>
  <c r="F1432" i="2"/>
  <c r="F1433" i="2"/>
  <c r="F1434" i="2"/>
  <c r="F1435" i="2"/>
  <c r="F1436" i="2"/>
  <c r="F1437" i="2"/>
  <c r="F1438" i="2"/>
  <c r="F1441" i="2"/>
  <c r="F1443" i="2"/>
  <c r="F1444" i="2"/>
  <c r="F1445" i="2"/>
  <c r="F1446" i="2"/>
  <c r="F1447" i="2"/>
  <c r="F1449" i="2"/>
  <c r="F1450" i="2"/>
  <c r="F1461" i="2"/>
  <c r="F1463" i="2"/>
  <c r="F1464" i="2"/>
  <c r="F1465" i="2"/>
  <c r="F1466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6" i="2"/>
  <c r="F1487" i="2"/>
  <c r="F1488" i="2"/>
  <c r="F1489" i="2"/>
  <c r="F1490" i="2"/>
  <c r="F1491" i="2"/>
  <c r="F1492" i="2"/>
  <c r="F1493" i="2"/>
  <c r="F1494" i="2"/>
  <c r="F1497" i="2"/>
  <c r="F1498" i="2"/>
  <c r="F1499" i="2"/>
  <c r="F1500" i="2"/>
  <c r="F1501" i="2"/>
  <c r="F1502" i="2"/>
  <c r="F1503" i="2"/>
  <c r="F1512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1" i="2"/>
  <c r="F1542" i="2"/>
  <c r="F1543" i="2"/>
  <c r="F1544" i="2"/>
  <c r="F1545" i="2"/>
  <c r="F1546" i="2"/>
  <c r="F1547" i="2"/>
  <c r="F1548" i="2"/>
  <c r="F1550" i="2"/>
  <c r="F1551" i="2"/>
  <c r="F1552" i="2"/>
  <c r="F1553" i="2"/>
  <c r="F1554" i="2"/>
  <c r="F1555" i="2"/>
  <c r="F1563" i="2"/>
  <c r="F1564" i="2"/>
  <c r="F1565" i="2"/>
  <c r="F1566" i="2"/>
  <c r="F1567" i="2"/>
  <c r="F1568" i="2"/>
  <c r="F1569" i="2"/>
  <c r="F1570" i="2"/>
  <c r="F1578" i="2"/>
  <c r="F1579" i="2"/>
  <c r="F1580" i="2"/>
  <c r="F1581" i="2"/>
  <c r="F1582" i="2"/>
  <c r="F1589" i="2"/>
  <c r="F1590" i="2"/>
  <c r="F1591" i="2"/>
  <c r="F1592" i="2"/>
  <c r="F1593" i="2"/>
  <c r="F1594" i="2"/>
  <c r="F1595" i="2"/>
  <c r="F1596" i="2"/>
  <c r="F1597" i="2"/>
  <c r="F1606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2" i="2"/>
  <c r="F1633" i="2"/>
  <c r="F1635" i="2"/>
  <c r="F1636" i="2"/>
  <c r="F1637" i="2"/>
  <c r="F1638" i="2"/>
  <c r="F1639" i="2"/>
  <c r="F1640" i="2"/>
  <c r="F1641" i="2"/>
  <c r="F1642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9" i="2"/>
  <c r="F1670" i="2"/>
  <c r="F1671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847" i="2"/>
  <c r="F1739" i="2"/>
  <c r="F1740" i="2"/>
  <c r="F1742" i="2"/>
  <c r="F1743" i="2"/>
  <c r="F1744" i="2"/>
  <c r="F1861" i="2"/>
  <c r="F1750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73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96" i="2"/>
  <c r="F1797" i="2"/>
  <c r="F1798" i="2"/>
  <c r="F1799" i="2"/>
  <c r="F1800" i="2"/>
  <c r="F1801" i="2"/>
  <c r="F1802" i="2"/>
  <c r="F1803" i="2"/>
  <c r="F1804" i="2"/>
  <c r="F1805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508" i="2"/>
  <c r="F1836" i="2"/>
  <c r="F1837" i="2"/>
  <c r="F1838" i="2"/>
  <c r="F1839" i="2"/>
  <c r="F1840" i="2"/>
  <c r="F1841" i="2"/>
  <c r="F1842" i="2"/>
  <c r="F1843" i="2"/>
  <c r="F1844" i="2"/>
  <c r="F1845" i="2"/>
  <c r="F1850" i="2"/>
  <c r="F1851" i="2"/>
  <c r="F1852" i="2"/>
  <c r="F1853" i="2"/>
  <c r="F1854" i="2"/>
  <c r="F1855" i="2"/>
  <c r="F1856" i="2"/>
  <c r="F1857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9" i="2"/>
  <c r="F1896" i="2"/>
  <c r="F1907" i="2"/>
  <c r="F1908" i="2"/>
  <c r="F1909" i="2"/>
  <c r="F1910" i="2"/>
  <c r="F1911" i="2"/>
  <c r="F1912" i="2"/>
  <c r="F1913" i="2"/>
  <c r="F1914" i="2"/>
  <c r="F1915" i="2"/>
  <c r="F1916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2" i="2"/>
  <c r="F1954" i="2"/>
  <c r="F1063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92" i="2"/>
  <c r="F1993" i="2"/>
  <c r="F1994" i="2"/>
  <c r="F1995" i="2"/>
  <c r="F1996" i="2"/>
  <c r="F2008" i="2"/>
  <c r="F2009" i="2"/>
  <c r="F2010" i="2"/>
  <c r="F2011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2" i="2"/>
  <c r="F2035" i="2"/>
  <c r="F2039" i="2"/>
  <c r="F2040" i="2"/>
  <c r="F2041" i="2"/>
  <c r="F2042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63" i="2"/>
  <c r="F2069" i="2"/>
  <c r="F2075" i="2"/>
  <c r="F2076" i="2"/>
  <c r="F2077" i="2"/>
  <c r="F2078" i="2"/>
  <c r="F2079" i="2"/>
  <c r="F2080" i="2"/>
  <c r="F2081" i="2"/>
  <c r="F2082" i="2"/>
  <c r="F2089" i="2"/>
  <c r="F2091" i="2"/>
  <c r="F2092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11" i="2"/>
  <c r="F2112" i="2"/>
  <c r="F2113" i="2"/>
  <c r="F2114" i="2"/>
  <c r="F2115" i="2"/>
  <c r="F2116" i="2"/>
  <c r="F2117" i="2"/>
  <c r="F2118" i="2"/>
  <c r="F2122" i="2"/>
  <c r="F2129" i="2"/>
  <c r="F2130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4" i="2"/>
  <c r="F2175" i="2"/>
  <c r="F2176" i="2"/>
  <c r="F2178" i="2"/>
  <c r="F2179" i="2"/>
  <c r="F2180" i="2"/>
  <c r="F2181" i="2"/>
  <c r="F2182" i="2"/>
  <c r="F2183" i="2"/>
  <c r="F2184" i="2"/>
  <c r="F2185" i="2"/>
  <c r="F2187" i="2"/>
  <c r="F2189" i="2"/>
  <c r="F2191" i="2"/>
  <c r="F2192" i="2"/>
  <c r="F2193" i="2"/>
  <c r="F2194" i="2"/>
  <c r="F2195" i="2"/>
  <c r="F2196" i="2"/>
  <c r="F2197" i="2"/>
  <c r="F2198" i="2"/>
  <c r="F2199" i="2"/>
  <c r="F2201" i="2"/>
  <c r="F2204" i="2"/>
  <c r="F2205" i="2"/>
  <c r="F2206" i="2"/>
  <c r="F2207" i="2"/>
  <c r="F2208" i="2"/>
  <c r="F2219" i="2"/>
  <c r="F2220" i="2"/>
  <c r="F2229" i="2"/>
  <c r="F2231" i="2"/>
  <c r="F2232" i="2"/>
  <c r="F2233" i="2"/>
  <c r="F2236" i="2"/>
  <c r="F2237" i="2"/>
  <c r="F2238" i="2"/>
  <c r="F2239" i="2"/>
  <c r="F2240" i="2"/>
  <c r="F2241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68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3" i="2"/>
  <c r="F2294" i="2"/>
  <c r="F2295" i="2"/>
  <c r="F2296" i="2"/>
  <c r="F2297" i="2"/>
  <c r="F2298" i="2"/>
  <c r="F2299" i="2"/>
  <c r="F2300" i="2"/>
  <c r="F2301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1" i="2"/>
  <c r="F2342" i="2"/>
  <c r="F2343" i="2"/>
  <c r="F2344" i="2"/>
  <c r="F2345" i="2"/>
  <c r="F2346" i="2"/>
  <c r="F2347" i="2"/>
  <c r="F2348" i="2"/>
  <c r="F2349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400" i="2"/>
  <c r="F2401" i="2"/>
  <c r="F2402" i="2"/>
  <c r="F2403" i="2"/>
  <c r="F2404" i="2"/>
  <c r="F2405" i="2"/>
  <c r="F2406" i="2"/>
  <c r="F2407" i="2"/>
  <c r="F2408" i="2"/>
  <c r="F2409" i="2"/>
  <c r="F2410" i="2"/>
  <c r="F2413" i="2"/>
  <c r="F2414" i="2"/>
  <c r="F2415" i="2"/>
  <c r="F2416" i="2"/>
  <c r="F2417" i="2"/>
  <c r="F2418" i="2"/>
  <c r="F2419" i="2"/>
  <c r="F2420" i="2"/>
  <c r="F2422" i="2"/>
  <c r="F2423" i="2"/>
  <c r="F2424" i="2"/>
  <c r="F2425" i="2"/>
  <c r="F2426" i="2"/>
  <c r="F2428" i="2"/>
  <c r="F2435" i="2"/>
  <c r="F2436" i="2"/>
  <c r="F2437" i="2"/>
  <c r="F2440" i="2"/>
  <c r="F2443" i="2"/>
  <c r="F2444" i="2"/>
  <c r="F2445" i="2"/>
  <c r="F2446" i="2"/>
  <c r="F2447" i="2"/>
  <c r="F2449" i="2"/>
  <c r="F2450" i="2"/>
  <c r="F2451" i="2"/>
  <c r="F2452" i="2"/>
  <c r="F2453" i="2"/>
  <c r="F2454" i="2"/>
  <c r="F2456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7" i="2"/>
  <c r="F2478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3" i="2"/>
  <c r="F2494" i="2"/>
  <c r="F2495" i="2"/>
  <c r="F2497" i="2"/>
  <c r="F2498" i="2"/>
  <c r="F2499" i="2"/>
  <c r="F2500" i="2"/>
  <c r="F2501" i="2"/>
  <c r="F2502" i="2"/>
  <c r="F2503" i="2"/>
  <c r="F2504" i="2"/>
  <c r="F2505" i="2"/>
  <c r="F2507" i="2"/>
  <c r="F2508" i="2"/>
  <c r="F2509" i="2"/>
  <c r="F2510" i="2"/>
  <c r="F2511" i="2"/>
  <c r="F2514" i="2"/>
  <c r="F2515" i="2"/>
  <c r="F2516" i="2"/>
  <c r="F2517" i="2"/>
  <c r="F2518" i="2"/>
  <c r="F2519" i="2"/>
  <c r="F2520" i="2"/>
  <c r="F2521" i="2"/>
  <c r="F2522" i="2"/>
  <c r="F2523" i="2"/>
  <c r="F2524" i="2"/>
  <c r="F2528" i="2"/>
  <c r="F2529" i="2"/>
  <c r="F2530" i="2"/>
  <c r="F2531" i="2"/>
  <c r="F2532" i="2"/>
  <c r="F2533" i="2"/>
  <c r="F2534" i="2"/>
  <c r="F2535" i="2"/>
  <c r="F2536" i="2"/>
  <c r="F2537" i="2"/>
  <c r="F2538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9" i="2"/>
  <c r="F2560" i="2"/>
  <c r="F2561" i="2"/>
  <c r="F2562" i="2"/>
  <c r="F2563" i="2"/>
  <c r="F2564" i="2"/>
  <c r="F2565" i="2"/>
  <c r="F2567" i="2"/>
  <c r="F2568" i="2"/>
  <c r="F2570" i="2"/>
  <c r="F2571" i="2"/>
  <c r="F2572" i="2"/>
  <c r="F2573" i="2"/>
  <c r="F2574" i="2"/>
  <c r="F2575" i="2"/>
  <c r="F2576" i="2"/>
  <c r="F2582" i="2"/>
  <c r="F2583" i="2"/>
  <c r="F2584" i="2"/>
  <c r="F2585" i="2"/>
  <c r="F2586" i="2"/>
  <c r="F2588" i="2"/>
  <c r="F2589" i="2"/>
  <c r="F2590" i="2"/>
  <c r="F2591" i="2"/>
  <c r="F2592" i="2"/>
  <c r="F2593" i="2"/>
  <c r="F2612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7" i="2"/>
  <c r="F2638" i="2"/>
  <c r="F2639" i="2"/>
  <c r="F2640" i="2"/>
  <c r="F2646" i="2"/>
  <c r="F2647" i="2"/>
  <c r="F2648" i="2"/>
  <c r="F2651" i="2"/>
  <c r="F2652" i="2"/>
  <c r="F2653" i="2"/>
  <c r="F2654" i="2"/>
  <c r="F2655" i="2"/>
  <c r="F2656" i="2"/>
  <c r="F2657" i="2"/>
  <c r="F2658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3" i="2"/>
  <c r="F2684" i="2"/>
  <c r="F2685" i="2"/>
  <c r="F2687" i="2"/>
  <c r="F2688" i="2"/>
  <c r="F2690" i="2"/>
  <c r="F2691" i="2"/>
  <c r="F2692" i="2"/>
  <c r="F2704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31" i="2"/>
  <c r="F2732" i="2"/>
  <c r="F2733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7" i="2"/>
  <c r="F2758" i="2"/>
  <c r="F2759" i="2"/>
  <c r="F2760" i="2"/>
  <c r="F2761" i="2"/>
  <c r="F2762" i="2"/>
  <c r="F2763" i="2"/>
  <c r="F2764" i="2"/>
  <c r="F2765" i="2"/>
  <c r="F2766" i="2"/>
  <c r="F2767" i="2"/>
  <c r="F2771" i="2"/>
  <c r="F2772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5" i="2"/>
  <c r="F2796" i="2"/>
  <c r="F2819" i="2"/>
  <c r="F2825" i="2"/>
  <c r="F2826" i="2"/>
  <c r="F2829" i="2"/>
  <c r="F2830" i="2"/>
  <c r="F2831" i="2"/>
  <c r="F2832" i="2"/>
  <c r="F2834" i="2"/>
  <c r="F2836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6" i="2"/>
  <c r="F2877" i="2"/>
  <c r="F2878" i="2"/>
  <c r="F2879" i="2"/>
  <c r="F2880" i="2"/>
  <c r="F2881" i="2"/>
  <c r="F2882" i="2"/>
  <c r="F2883" i="2"/>
  <c r="F2884" i="2"/>
  <c r="F2888" i="2"/>
  <c r="F2889" i="2"/>
  <c r="F2890" i="2"/>
  <c r="F2891" i="2"/>
  <c r="F2892" i="2"/>
  <c r="F2893" i="2"/>
  <c r="F2894" i="2"/>
  <c r="F2903" i="2"/>
  <c r="F2904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5" i="2"/>
  <c r="F2926" i="2"/>
  <c r="F2927" i="2"/>
  <c r="F2930" i="2"/>
  <c r="F2931" i="2"/>
  <c r="F2932" i="2"/>
  <c r="F2933" i="2"/>
  <c r="F2934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9" i="2"/>
  <c r="F2960" i="2"/>
  <c r="F2961" i="2"/>
  <c r="F2962" i="2"/>
  <c r="F2963" i="2"/>
  <c r="F2964" i="2"/>
  <c r="F2965" i="2"/>
  <c r="F2966" i="2"/>
  <c r="F2967" i="2"/>
  <c r="F2968" i="2"/>
  <c r="F2969" i="2"/>
  <c r="F2971" i="2"/>
  <c r="F2972" i="2"/>
  <c r="F2973" i="2"/>
  <c r="F2974" i="2"/>
  <c r="F2976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1" i="2"/>
  <c r="F3002" i="2"/>
  <c r="F3003" i="2"/>
  <c r="F3004" i="2"/>
  <c r="F3005" i="2"/>
  <c r="F3012" i="2"/>
  <c r="F3013" i="2"/>
  <c r="F3014" i="2"/>
  <c r="F3015" i="2"/>
  <c r="F3016" i="2"/>
  <c r="F3017" i="2"/>
  <c r="F3018" i="2"/>
  <c r="F3019" i="2"/>
  <c r="F3020" i="2"/>
  <c r="F3021" i="2"/>
  <c r="F3037" i="2"/>
  <c r="F3038" i="2"/>
  <c r="F3039" i="2"/>
  <c r="F3040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9" i="2"/>
  <c r="F3060" i="2"/>
  <c r="F3061" i="2"/>
  <c r="F3070" i="2"/>
  <c r="F3071" i="2"/>
  <c r="F3072" i="2"/>
  <c r="F3073" i="2"/>
  <c r="F3074" i="2"/>
  <c r="F3076" i="2"/>
  <c r="F3077" i="2"/>
  <c r="F3078" i="2"/>
  <c r="F3079" i="2"/>
  <c r="F3082" i="2"/>
  <c r="F3083" i="2"/>
  <c r="F3084" i="2"/>
  <c r="F3085" i="2"/>
  <c r="F3086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8" i="2"/>
  <c r="F3120" i="2"/>
  <c r="F3121" i="2"/>
  <c r="F3122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4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3" i="2"/>
  <c r="F3174" i="2"/>
  <c r="F3177" i="2"/>
  <c r="F3178" i="2"/>
  <c r="F3183" i="2"/>
  <c r="F3184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9" i="2"/>
  <c r="F3210" i="2"/>
  <c r="F3211" i="2"/>
  <c r="F3212" i="2"/>
  <c r="F3213" i="2"/>
  <c r="F3214" i="2"/>
  <c r="F3215" i="2"/>
  <c r="F3217" i="2"/>
  <c r="F3218" i="2"/>
  <c r="F3219" i="2"/>
  <c r="F3221" i="2"/>
  <c r="F3222" i="2"/>
  <c r="F3223" i="2"/>
  <c r="F3224" i="2"/>
  <c r="F3225" i="2"/>
  <c r="F3226" i="2"/>
  <c r="F3227" i="2"/>
  <c r="F3236" i="2"/>
  <c r="F3237" i="2"/>
  <c r="F3238" i="2"/>
  <c r="F3239" i="2"/>
  <c r="F3240" i="2"/>
  <c r="F3241" i="2"/>
  <c r="F3242" i="2"/>
  <c r="F3243" i="2"/>
  <c r="F3244" i="2"/>
  <c r="F3245" i="2"/>
  <c r="F3246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74" i="2"/>
  <c r="F3275" i="2"/>
  <c r="F3276" i="2"/>
  <c r="F3277" i="2"/>
  <c r="F3278" i="2"/>
  <c r="F3279" i="2"/>
  <c r="F3280" i="2"/>
  <c r="F3281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14" i="2"/>
  <c r="F3315" i="2"/>
  <c r="F3316" i="2"/>
  <c r="F3317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4" i="2"/>
  <c r="F5" i="2"/>
  <c r="F6" i="2"/>
  <c r="F7" i="2"/>
  <c r="F8" i="2"/>
</calcChain>
</file>

<file path=xl/sharedStrings.xml><?xml version="1.0" encoding="utf-8"?>
<sst xmlns="http://schemas.openxmlformats.org/spreadsheetml/2006/main" count="38463" uniqueCount="16510">
  <si>
    <t>Accession</t>
  </si>
  <si>
    <t>Begin</t>
  </si>
  <si>
    <t>End</t>
  </si>
  <si>
    <t>Chromosome</t>
  </si>
  <si>
    <t>Orientation</t>
  </si>
  <si>
    <t>Name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</si>
  <si>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</si>
  <si>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</si>
  <si>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</si>
  <si>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</si>
  <si>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</si>
  <si>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</si>
  <si>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</si>
  <si>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CP010822.1</t>
  </si>
  <si>
    <t>plus</t>
  </si>
  <si>
    <t>chromosomal replication initiator protein DnaA</t>
  </si>
  <si>
    <t>protein-coding</t>
  </si>
  <si>
    <t>ALJ89881.1</t>
  </si>
  <si>
    <t>TO73_0001</t>
  </si>
  <si>
    <t>DNA polymerase III beta subunit</t>
  </si>
  <si>
    <t>ALJ89882.1</t>
  </si>
  <si>
    <t>TO73_0002</t>
  </si>
  <si>
    <t>enolase</t>
  </si>
  <si>
    <t>ALJ89883.1</t>
  </si>
  <si>
    <t>TO73_0003</t>
  </si>
  <si>
    <t>pyruvate kinase</t>
  </si>
  <si>
    <t>ALJ89884.1</t>
  </si>
  <si>
    <t>TO73_0004</t>
  </si>
  <si>
    <t>minus</t>
  </si>
  <si>
    <t>cytochrome c-552 precursor</t>
  </si>
  <si>
    <t>ALJ89885.1</t>
  </si>
  <si>
    <t>TO73_0005</t>
  </si>
  <si>
    <t>radical SAM domain heme biosynthesis protein</t>
  </si>
  <si>
    <t>ALJ89886.1</t>
  </si>
  <si>
    <t>TO73_0006</t>
  </si>
  <si>
    <t>metal dependent hydrolase</t>
  </si>
  <si>
    <t>ALJ89887.1</t>
  </si>
  <si>
    <t>TO73_0007</t>
  </si>
  <si>
    <t>1-deoxy-D-xylulose 5-phosphate synthase</t>
  </si>
  <si>
    <t>ALJ89888.1</t>
  </si>
  <si>
    <t>TO73_0008</t>
  </si>
  <si>
    <t>hypothetical protein</t>
  </si>
  <si>
    <t>ALJ89889.1</t>
  </si>
  <si>
    <t>TO73_0009</t>
  </si>
  <si>
    <t>ALJ89890.1</t>
  </si>
  <si>
    <t>TO73_0010</t>
  </si>
  <si>
    <t>phage shock protein A-like protein</t>
  </si>
  <si>
    <t>ALJ89891.1</t>
  </si>
  <si>
    <t>TO73_0011</t>
  </si>
  <si>
    <t>ALJ89892.1</t>
  </si>
  <si>
    <t>TO73_0012</t>
  </si>
  <si>
    <t>ALJ89893.1</t>
  </si>
  <si>
    <t>TO73_2393</t>
  </si>
  <si>
    <t>cysteine synthase</t>
  </si>
  <si>
    <t>ALJ89894.1</t>
  </si>
  <si>
    <t>TO73_0013</t>
  </si>
  <si>
    <t>FKBP-type peptidyl-prolyl cis-trans isomerase SlyD</t>
  </si>
  <si>
    <t>ALJ89895.1</t>
  </si>
  <si>
    <t>TO73_0014</t>
  </si>
  <si>
    <t>cold shock protein CspA</t>
  </si>
  <si>
    <t>ALJ89896.1</t>
  </si>
  <si>
    <t>TO73_0015</t>
  </si>
  <si>
    <t>5-nucleotidase SurE</t>
  </si>
  <si>
    <t>ALJ89897.1</t>
  </si>
  <si>
    <t>TO73_0016</t>
  </si>
  <si>
    <t>tll2177 protein</t>
  </si>
  <si>
    <t>ALJ89898.1</t>
  </si>
  <si>
    <t>TO73_0017</t>
  </si>
  <si>
    <t>mobile element protein</t>
  </si>
  <si>
    <t>ALJ89899.1</t>
  </si>
  <si>
    <t>TO73_0018</t>
  </si>
  <si>
    <t>ALJ89900.1</t>
  </si>
  <si>
    <t>TO73_0019</t>
  </si>
  <si>
    <t>ALJ89901.1</t>
  </si>
  <si>
    <t>TO73_0020</t>
  </si>
  <si>
    <t>putative tetratricopeptide repeat family protein</t>
  </si>
  <si>
    <t>ALJ89902.1</t>
  </si>
  <si>
    <t>TO73_0021</t>
  </si>
  <si>
    <t>protein of unknown function UPF0126</t>
  </si>
  <si>
    <t>ALJ89903.1</t>
  </si>
  <si>
    <t>TO73_0022</t>
  </si>
  <si>
    <t>2-C-methyl-D-erythritol 2,4-cyclodiphosphate synthase</t>
  </si>
  <si>
    <t>ALJ89904.1</t>
  </si>
  <si>
    <t>TO73_0023</t>
  </si>
  <si>
    <t>hydrolase (HAD superfamily)</t>
  </si>
  <si>
    <t>ALJ89905.1</t>
  </si>
  <si>
    <t>TO73_0024</t>
  </si>
  <si>
    <t>ALJ89906.1</t>
  </si>
  <si>
    <t>TO73_0025</t>
  </si>
  <si>
    <t>5-FCL-like protein</t>
  </si>
  <si>
    <t>ALJ89907.1</t>
  </si>
  <si>
    <t>TO73_0026</t>
  </si>
  <si>
    <t>ALJ89908.1</t>
  </si>
  <si>
    <t>TO73_0027</t>
  </si>
  <si>
    <t>DNA polymerase III alpha subunit</t>
  </si>
  <si>
    <t>ALJ89909.1</t>
  </si>
  <si>
    <t>TO73_0028</t>
  </si>
  <si>
    <t>heat shock protein 60 family chaperone GroEL</t>
  </si>
  <si>
    <t>ALJ89910.1</t>
  </si>
  <si>
    <t>TO73_0029</t>
  </si>
  <si>
    <t>heat shock protein 60 family co-chaperone GroES</t>
  </si>
  <si>
    <t>ALJ89911.1</t>
  </si>
  <si>
    <t>TO73_0030</t>
  </si>
  <si>
    <t>RNA methyltransferase, TrmH family</t>
  </si>
  <si>
    <t>ALJ89912.1</t>
  </si>
  <si>
    <t>TO73_0031</t>
  </si>
  <si>
    <t>6-carboxyhexanoate--CoA ligase</t>
  </si>
  <si>
    <t>ALJ89913.1</t>
  </si>
  <si>
    <t>TO73_0032</t>
  </si>
  <si>
    <t>ALJ89914.1</t>
  </si>
  <si>
    <t>TO73_0033</t>
  </si>
  <si>
    <t>ALJ89915.1</t>
  </si>
  <si>
    <t>TO73_0034</t>
  </si>
  <si>
    <t>maltose/maltodextrin ABC transporter, substrate binding periplasmic protein MalE</t>
  </si>
  <si>
    <t>ALJ89916.1</t>
  </si>
  <si>
    <t>TO73_0035</t>
  </si>
  <si>
    <t>maltose/maltodextrin ABC transporter, permease protein MalF</t>
  </si>
  <si>
    <t>ALJ89917.1</t>
  </si>
  <si>
    <t>TO73_0036</t>
  </si>
  <si>
    <t>maltose/maltodextrin ABC transporter, permease protein MalG</t>
  </si>
  <si>
    <t>ALJ89918.1</t>
  </si>
  <si>
    <t>TO73_0037</t>
  </si>
  <si>
    <t>ALJ89919.1</t>
  </si>
  <si>
    <t>TO73_0038</t>
  </si>
  <si>
    <t>ALJ89920.1</t>
  </si>
  <si>
    <t>TO73_0039</t>
  </si>
  <si>
    <t>phosphoglucomutase</t>
  </si>
  <si>
    <t>ALJ89921.1</t>
  </si>
  <si>
    <t>TO73_0040</t>
  </si>
  <si>
    <t>peptidyl-prolyl cis-trans isomerase, PpiC family</t>
  </si>
  <si>
    <t>ALJ89922.1</t>
  </si>
  <si>
    <t>TO73_0041</t>
  </si>
  <si>
    <t>tRNA-Arg</t>
  </si>
  <si>
    <t>tRNA</t>
  </si>
  <si>
    <t>TO73_0042</t>
  </si>
  <si>
    <t>fosmidomycin resistance protein</t>
  </si>
  <si>
    <t>ALJ89923.1</t>
  </si>
  <si>
    <t>TO73_0044</t>
  </si>
  <si>
    <t>universal stress protein UspA-like</t>
  </si>
  <si>
    <t>ALJ89924.1</t>
  </si>
  <si>
    <t>TO73_0045</t>
  </si>
  <si>
    <t>inosine-5'-monophosphate dehydrogenase</t>
  </si>
  <si>
    <t>ALJ89925.1</t>
  </si>
  <si>
    <t>TO73_0046</t>
  </si>
  <si>
    <t>ALJ89926.1</t>
  </si>
  <si>
    <t>TO73_0047</t>
  </si>
  <si>
    <t>23S ribosomal RNA</t>
  </si>
  <si>
    <t>rRNA</t>
  </si>
  <si>
    <t>TO73_0048</t>
  </si>
  <si>
    <t>5S ribosomal RNA</t>
  </si>
  <si>
    <t>TO73_0050</t>
  </si>
  <si>
    <t>tRNA-Gly</t>
  </si>
  <si>
    <t>TO73_0052</t>
  </si>
  <si>
    <t>phosphoglycerate mutase family protein</t>
  </si>
  <si>
    <t>ALJ89927.1</t>
  </si>
  <si>
    <t>TO73_0054</t>
  </si>
  <si>
    <t>phosphoribosylformylglycinamidine cyclo-ligase</t>
  </si>
  <si>
    <t>ALJ89928.1</t>
  </si>
  <si>
    <t>TO73_0055</t>
  </si>
  <si>
    <t>aspartyl-tRNA(Asn) amidotransferase subunit B Glutamyl-tRNA (Gln) amidotransferase subunit B</t>
  </si>
  <si>
    <t>ALJ89929.1</t>
  </si>
  <si>
    <t>TO73_0056</t>
  </si>
  <si>
    <t>twitching motility protein PilT</t>
  </si>
  <si>
    <t>ALJ89930.1</t>
  </si>
  <si>
    <t>TO73_0057</t>
  </si>
  <si>
    <t>phage adsorption protein / type IV fimbrial assembly, ATPase PilB</t>
  </si>
  <si>
    <t>ALJ89931.1</t>
  </si>
  <si>
    <t>TO73_0058</t>
  </si>
  <si>
    <t>Hydrolase, HAD subfamily IIIA</t>
  </si>
  <si>
    <t>ALJ89932.1</t>
  </si>
  <si>
    <t>TO73_0059</t>
  </si>
  <si>
    <t>ALJ89933.1</t>
  </si>
  <si>
    <t>TO73_0060</t>
  </si>
  <si>
    <t>ALJ89934.1</t>
  </si>
  <si>
    <t>TO73_0061</t>
  </si>
  <si>
    <t>6,7-dimethyl-8-ribityllumazine synthase</t>
  </si>
  <si>
    <t>ALJ89935.1</t>
  </si>
  <si>
    <t>TO73_0062</t>
  </si>
  <si>
    <t>CrcB protein</t>
  </si>
  <si>
    <t>ALJ89936.1</t>
  </si>
  <si>
    <t>TO73_0063</t>
  </si>
  <si>
    <t>ALJ89937.1</t>
  </si>
  <si>
    <t>TO73_0064</t>
  </si>
  <si>
    <t>sulfite dehydrogenase</t>
  </si>
  <si>
    <t>ALJ89938.1</t>
  </si>
  <si>
    <t>TO73_0065</t>
  </si>
  <si>
    <t>ALJ89939.1</t>
  </si>
  <si>
    <t>TO73_0066</t>
  </si>
  <si>
    <t>histidinol-phosphatase</t>
  </si>
  <si>
    <t>ALJ89940.1</t>
  </si>
  <si>
    <t>TO73_0067</t>
  </si>
  <si>
    <t>ALJ89941.1</t>
  </si>
  <si>
    <t>TO73_0068</t>
  </si>
  <si>
    <t>nicotinamidase</t>
  </si>
  <si>
    <t>ALJ89942.1</t>
  </si>
  <si>
    <t>TO73_0069</t>
  </si>
  <si>
    <t>5,10-methylenetetrahydrofolate reductase</t>
  </si>
  <si>
    <t>ALJ89943.1</t>
  </si>
  <si>
    <t>TO73_0070</t>
  </si>
  <si>
    <t>metallo-beta-lactamase family protein, RNA-specific</t>
  </si>
  <si>
    <t>ALJ89944.1</t>
  </si>
  <si>
    <t>TO73_0071</t>
  </si>
  <si>
    <t>tRNA-Thr</t>
  </si>
  <si>
    <t>TO73_0072</t>
  </si>
  <si>
    <t>tRNA-Tyr</t>
  </si>
  <si>
    <t>TO73_0074</t>
  </si>
  <si>
    <t>TO73_0076</t>
  </si>
  <si>
    <t>TO73_0078</t>
  </si>
  <si>
    <t>translation elongation factor Tu</t>
  </si>
  <si>
    <t>ALJ89945.1</t>
  </si>
  <si>
    <t>TO73_0080</t>
  </si>
  <si>
    <t>LSU ribosomal protein L33p, zinc-dependent</t>
  </si>
  <si>
    <t>ALJ89946.1</t>
  </si>
  <si>
    <t>TO73_0081</t>
  </si>
  <si>
    <t>preprotein translocase subunit SecE</t>
  </si>
  <si>
    <t>ALJ89947.1</t>
  </si>
  <si>
    <t>TO73_0082</t>
  </si>
  <si>
    <t>transcription antitermination protein NusG</t>
  </si>
  <si>
    <t>ALJ89948.1</t>
  </si>
  <si>
    <t>TO73_0083</t>
  </si>
  <si>
    <t>LSU ribosomal protein L11p (L12e)</t>
  </si>
  <si>
    <t>ALJ89949.1</t>
  </si>
  <si>
    <t>TO73_0084</t>
  </si>
  <si>
    <t>LSU ribosomal protein L1p (L10Ae)</t>
  </si>
  <si>
    <t>ALJ89950.1</t>
  </si>
  <si>
    <t>TO73_0085</t>
  </si>
  <si>
    <t>LSU ribosomal protein L10p (P0)</t>
  </si>
  <si>
    <t>ALJ89951.1</t>
  </si>
  <si>
    <t>TO73_0086</t>
  </si>
  <si>
    <t>LSU ribosomal protein L7/L12 (P1/P2)</t>
  </si>
  <si>
    <t>ALJ89952.1</t>
  </si>
  <si>
    <t>TO73_0087</t>
  </si>
  <si>
    <t>UbiX family decarboxylase associated with menaquinone via futalosine</t>
  </si>
  <si>
    <t>ALJ89953.1</t>
  </si>
  <si>
    <t>TO73_0088</t>
  </si>
  <si>
    <t>butyryl-CoA dehydrogenase</t>
  </si>
  <si>
    <t>ALJ89954.1</t>
  </si>
  <si>
    <t>TO73_0089</t>
  </si>
  <si>
    <t>undecaprenyl diphosphate synthase</t>
  </si>
  <si>
    <t>ALJ89955.1</t>
  </si>
  <si>
    <t>TO73_0090</t>
  </si>
  <si>
    <t>homocitrate synthase</t>
  </si>
  <si>
    <t>ALJ89956.1</t>
  </si>
  <si>
    <t>TO73_0091</t>
  </si>
  <si>
    <t>ALJ89957.1</t>
  </si>
  <si>
    <t>TO73_0092</t>
  </si>
  <si>
    <t>ALJ89958.1</t>
  </si>
  <si>
    <t>TO73_0093</t>
  </si>
  <si>
    <t>homoaconitase large subunit</t>
  </si>
  <si>
    <t>ALJ89959.1</t>
  </si>
  <si>
    <t>TO73_0094</t>
  </si>
  <si>
    <t>homoaconitase small subunit</t>
  </si>
  <si>
    <t>ALJ89960.1</t>
  </si>
  <si>
    <t>TO73_0095</t>
  </si>
  <si>
    <t>orfE</t>
  </si>
  <si>
    <t>ALJ89961.1</t>
  </si>
  <si>
    <t>TO73_0096</t>
  </si>
  <si>
    <t>lysine biosynthesis protein LysW</t>
  </si>
  <si>
    <t>ALJ89962.1</t>
  </si>
  <si>
    <t>TO73_0097</t>
  </si>
  <si>
    <t>lysine biosynthesis protein LysX</t>
  </si>
  <si>
    <t>ALJ89963.1</t>
  </si>
  <si>
    <t>TO73_0098</t>
  </si>
  <si>
    <t>N-acetyl-gamma-aminoadipyl-phosphate reductase</t>
  </si>
  <si>
    <t>ALJ89964.1</t>
  </si>
  <si>
    <t>TO73_0099</t>
  </si>
  <si>
    <t>acetylaminoadipate kinase</t>
  </si>
  <si>
    <t>ALJ89965.1</t>
  </si>
  <si>
    <t>TO73_0100</t>
  </si>
  <si>
    <t>glycogen branching enzyme, GH-57-type, archaeal</t>
  </si>
  <si>
    <t>ALJ89966.1</t>
  </si>
  <si>
    <t>TO73_0101</t>
  </si>
  <si>
    <t>glutamine amidotransferase chain of NAD synthetase</t>
  </si>
  <si>
    <t>ALJ89967.1</t>
  </si>
  <si>
    <t>TO73_0102</t>
  </si>
  <si>
    <t>NAD synthetase</t>
  </si>
  <si>
    <t>ALJ89968.1</t>
  </si>
  <si>
    <t>TO73_0103</t>
  </si>
  <si>
    <t>succinyl-CoA synthetase, alpha subunit-like protein</t>
  </si>
  <si>
    <t>ALJ89969.1</t>
  </si>
  <si>
    <t>TO73_0104</t>
  </si>
  <si>
    <t>A/G-specific adenine glycosylase</t>
  </si>
  <si>
    <t>ALJ89970.1</t>
  </si>
  <si>
    <t>TO73_0105</t>
  </si>
  <si>
    <t>glucose-inhibited division protein A</t>
  </si>
  <si>
    <t>ALJ89971.1</t>
  </si>
  <si>
    <t>TO73_107</t>
  </si>
  <si>
    <t>tRNA-Trp</t>
  </si>
  <si>
    <t>TO73_0106</t>
  </si>
  <si>
    <t>CRISPR-associated protein Cas2</t>
  </si>
  <si>
    <t>ALJ89972.1</t>
  </si>
  <si>
    <t>TO73_0108</t>
  </si>
  <si>
    <t>CRISPR-associated protein Cas1</t>
  </si>
  <si>
    <t>ALJ89973.1</t>
  </si>
  <si>
    <t>TO73_0109</t>
  </si>
  <si>
    <t>CRISPR-associated protein Cas02710</t>
  </si>
  <si>
    <t>ALJ89974.1</t>
  </si>
  <si>
    <t>TO73_0110</t>
  </si>
  <si>
    <t>invasion associated protein P60</t>
  </si>
  <si>
    <t>ALJ89975.1</t>
  </si>
  <si>
    <t>TO73_0111</t>
  </si>
  <si>
    <t>Oxygen-insensitive NAD(P)H nitroreductase/diydropteridine reductase</t>
  </si>
  <si>
    <t>ALJ89976.1</t>
  </si>
  <si>
    <t>TO73_2394</t>
  </si>
  <si>
    <t>ALJ89977.1</t>
  </si>
  <si>
    <t>TO73_0112</t>
  </si>
  <si>
    <t>leader peptidase / prepilin peptidase / N-methyltransferase</t>
  </si>
  <si>
    <t>ALJ89978.1</t>
  </si>
  <si>
    <t>TO73_0113</t>
  </si>
  <si>
    <t>thermostable carboxypeptidase 1</t>
  </si>
  <si>
    <t>ALJ89979.1</t>
  </si>
  <si>
    <t>TO73_0114</t>
  </si>
  <si>
    <t>protein JojD</t>
  </si>
  <si>
    <t>ALJ89980.1</t>
  </si>
  <si>
    <t>TO73_0115</t>
  </si>
  <si>
    <t>putative endoglucanase</t>
  </si>
  <si>
    <t>ALJ89981.1</t>
  </si>
  <si>
    <t>TO73_0116</t>
  </si>
  <si>
    <t>methylglyoxal synthase</t>
  </si>
  <si>
    <t>ALJ89982.1</t>
  </si>
  <si>
    <t>TO73_0117</t>
  </si>
  <si>
    <t>Mg(2+) Chelatase family protein / ComM-related protein</t>
  </si>
  <si>
    <t>ALJ89983.1</t>
  </si>
  <si>
    <t>TO73_0118</t>
  </si>
  <si>
    <t>major facilitator family transporter</t>
  </si>
  <si>
    <t>ALJ89984.1</t>
  </si>
  <si>
    <t>TO73_0119</t>
  </si>
  <si>
    <t>permease</t>
  </si>
  <si>
    <t>ALJ89985.1</t>
  </si>
  <si>
    <t>TO73_0120</t>
  </si>
  <si>
    <t>permease of the drug/metabolite transporter (DMT superfamily)</t>
  </si>
  <si>
    <t>ALJ89986.1</t>
  </si>
  <si>
    <t>TO73_0121</t>
  </si>
  <si>
    <t>NAD(P) transhydrogenase alpha subunit</t>
  </si>
  <si>
    <t>ALJ89987.1</t>
  </si>
  <si>
    <t>TO73_0122</t>
  </si>
  <si>
    <t>ALJ89988.1</t>
  </si>
  <si>
    <t>TO73_0123</t>
  </si>
  <si>
    <t>NAD(P) transhydrogenase subunit beta</t>
  </si>
  <si>
    <t>ALJ89989.1</t>
  </si>
  <si>
    <t>TO73_0124</t>
  </si>
  <si>
    <t>tRNA-Asn</t>
  </si>
  <si>
    <t>TO73_0125</t>
  </si>
  <si>
    <t>SSU ribosomal protein S6p</t>
  </si>
  <si>
    <t>ALJ89990.1</t>
  </si>
  <si>
    <t>TO73_0126</t>
  </si>
  <si>
    <t>single-stranded DNA-binding protein</t>
  </si>
  <si>
    <t>ALJ89991.1</t>
  </si>
  <si>
    <t>TO73_0127</t>
  </si>
  <si>
    <t>SSU ribosomal protein S18p, zinc-independent</t>
  </si>
  <si>
    <t>ALJ89992.1</t>
  </si>
  <si>
    <t>TO73_0128</t>
  </si>
  <si>
    <t>LSU ribosomal protein L9</t>
  </si>
  <si>
    <t>ALJ89993.1</t>
  </si>
  <si>
    <t>TO73_0129</t>
  </si>
  <si>
    <t>lactate 2-monooxygenase</t>
  </si>
  <si>
    <t>ALJ89994.1</t>
  </si>
  <si>
    <t>TO73_0130</t>
  </si>
  <si>
    <t>corticosteroid 11-beta-dehydrogenase</t>
  </si>
  <si>
    <t>ALJ89995.1</t>
  </si>
  <si>
    <t>TO73_0131</t>
  </si>
  <si>
    <t>octanoate-[acyl-carrier-protein]-protein-N-octan oyltransferase</t>
  </si>
  <si>
    <t>ALJ89996.1</t>
  </si>
  <si>
    <t>TO73_0132</t>
  </si>
  <si>
    <t>lipoate synthase</t>
  </si>
  <si>
    <t>ALJ89997.1</t>
  </si>
  <si>
    <t>TO73_0133</t>
  </si>
  <si>
    <t>ALJ89998.1</t>
  </si>
  <si>
    <t>TO73_0134</t>
  </si>
  <si>
    <t>3-hydroxyisobutyrate dehydrogenase</t>
  </si>
  <si>
    <t>ALJ89999.1</t>
  </si>
  <si>
    <t>TO73_0135</t>
  </si>
  <si>
    <t>Dihydrolipoamide dehydrogenase of branched-chain alpha-keto acid dehydrogenase</t>
  </si>
  <si>
    <t>ALJ90000.1</t>
  </si>
  <si>
    <t>TO73_0136</t>
  </si>
  <si>
    <t>Dihydrolipoamide acyltransferase component of branched-chain alpha-keto acid dehydrogenase complex</t>
  </si>
  <si>
    <t>ALJ90001.1</t>
  </si>
  <si>
    <t>TO73_0137</t>
  </si>
  <si>
    <t>ALJ90002.1</t>
  </si>
  <si>
    <t>TO73_0138</t>
  </si>
  <si>
    <t>branched-chain alpha-keto acid dehydrogenase, E1 component, beta subunit</t>
  </si>
  <si>
    <t>ALJ90003.1</t>
  </si>
  <si>
    <t>TO73_0139</t>
  </si>
  <si>
    <t>branched-chain alpha-keto acid dehydrogenase, E1 component, alpha subunit</t>
  </si>
  <si>
    <t>ALJ90004.1</t>
  </si>
  <si>
    <t>TO73_0140</t>
  </si>
  <si>
    <t>LSU m3Psi1915 methyltransferase RlmH</t>
  </si>
  <si>
    <t>ALJ90005.1</t>
  </si>
  <si>
    <t>TO73_0141</t>
  </si>
  <si>
    <t>ALJ90006.1</t>
  </si>
  <si>
    <t>TO73_2395</t>
  </si>
  <si>
    <t>ALJ90007.1</t>
  </si>
  <si>
    <t>TO73_0142</t>
  </si>
  <si>
    <t>biotin-protein ligase / biotin operon repressor</t>
  </si>
  <si>
    <t>ALJ90008.1</t>
  </si>
  <si>
    <t>TO73_0143</t>
  </si>
  <si>
    <t>glucose-1-phosphate thymidylyltransferase</t>
  </si>
  <si>
    <t>ALJ90009.1</t>
  </si>
  <si>
    <t>TO73_0144</t>
  </si>
  <si>
    <t>methyltransferase</t>
  </si>
  <si>
    <t>ALJ90010.1</t>
  </si>
  <si>
    <t>TO73_0145</t>
  </si>
  <si>
    <t>UPF0047 protein Bsu YugU</t>
  </si>
  <si>
    <t>ALJ90011.1</t>
  </si>
  <si>
    <t>TO73_0146</t>
  </si>
  <si>
    <t>GTP pyrophosphokinase (pppGpp) synthetase II</t>
  </si>
  <si>
    <t>ALJ90012.1</t>
  </si>
  <si>
    <t>TO73_0147</t>
  </si>
  <si>
    <t>plectin 1 isoform 8</t>
  </si>
  <si>
    <t>ALJ90013.1</t>
  </si>
  <si>
    <t>TO73_0148</t>
  </si>
  <si>
    <t>potassium efflux system KefA protein / small-conductance mechanosensitive channel</t>
  </si>
  <si>
    <t>ALJ90014.1</t>
  </si>
  <si>
    <t>TO73_0149</t>
  </si>
  <si>
    <t>hemoprotein HemQ, essential component of heme biosynthetic pathway in Gram-positive bacteria</t>
  </si>
  <si>
    <t>ALJ90015.1</t>
  </si>
  <si>
    <t>TO73_0150</t>
  </si>
  <si>
    <t>chlorite dismutase precursor</t>
  </si>
  <si>
    <t>ALJ90016.1</t>
  </si>
  <si>
    <t>TO73_0151</t>
  </si>
  <si>
    <t>holliday junction DNA helicase RuvA</t>
  </si>
  <si>
    <t>ALJ90017.1</t>
  </si>
  <si>
    <t>TO73_0152</t>
  </si>
  <si>
    <t>Enoyl-CoA hydratase</t>
  </si>
  <si>
    <t>ALJ90018.1</t>
  </si>
  <si>
    <t>TO73_0153</t>
  </si>
  <si>
    <t>2-oxoglutarate dehydrogenase E1 component</t>
  </si>
  <si>
    <t>ALJ90019.1</t>
  </si>
  <si>
    <t>TO73_0154</t>
  </si>
  <si>
    <t>Dihydrolipoamide succinyltransferase (component E2 of 2-oxoglutarate dehydrogenase complex)</t>
  </si>
  <si>
    <t>ALJ90020.1</t>
  </si>
  <si>
    <t>TO73_0155</t>
  </si>
  <si>
    <t>Dihydrolipoamide dehydrogenase (component of 2-oxoglutarate dehydrogenase)</t>
  </si>
  <si>
    <t>ALJ90021.1</t>
  </si>
  <si>
    <t>TO73_0156</t>
  </si>
  <si>
    <t>serine protease, subtilase family</t>
  </si>
  <si>
    <t>ALJ90022.1</t>
  </si>
  <si>
    <t>TO73_0157</t>
  </si>
  <si>
    <t>ALJ90023.1</t>
  </si>
  <si>
    <t>TO73_0158</t>
  </si>
  <si>
    <t>argininosuccinate synthase</t>
  </si>
  <si>
    <t>ALJ90024.1</t>
  </si>
  <si>
    <t>TO73_0159</t>
  </si>
  <si>
    <t>argininosuccinate lyase</t>
  </si>
  <si>
    <t>ALJ90025.1</t>
  </si>
  <si>
    <t>TO73_0160</t>
  </si>
  <si>
    <t>N-acetylglutamate synthase</t>
  </si>
  <si>
    <t>ALJ90026.1</t>
  </si>
  <si>
    <t>TO73_0161</t>
  </si>
  <si>
    <t>ALJ90027.1</t>
  </si>
  <si>
    <t>TO73_0162</t>
  </si>
  <si>
    <t>ALJ90028.1</t>
  </si>
  <si>
    <t>TO73_0163</t>
  </si>
  <si>
    <t>carbamoyl-phosphate synthase small chain</t>
  </si>
  <si>
    <t>ALJ90029.1</t>
  </si>
  <si>
    <t>TO73_0164</t>
  </si>
  <si>
    <t>formate--tetrahydrofolate ligase</t>
  </si>
  <si>
    <t>ALJ90030.1</t>
  </si>
  <si>
    <t>TO73_0165</t>
  </si>
  <si>
    <t>threonine dehydratase, catabolic</t>
  </si>
  <si>
    <t>ALJ90031.1</t>
  </si>
  <si>
    <t>TO73_0166</t>
  </si>
  <si>
    <t>ALJ90032.1</t>
  </si>
  <si>
    <t>TO73_0167</t>
  </si>
  <si>
    <t>tRNA-Ala</t>
  </si>
  <si>
    <t>TO73_0168</t>
  </si>
  <si>
    <t>integrase</t>
  </si>
  <si>
    <t>ALJ90033.1</t>
  </si>
  <si>
    <t>TO73_0170</t>
  </si>
  <si>
    <t>ALJ90034.1</t>
  </si>
  <si>
    <t>TO73_0171</t>
  </si>
  <si>
    <t>signal peptidase I</t>
  </si>
  <si>
    <t>ALJ90035.1</t>
  </si>
  <si>
    <t>TO73_0172</t>
  </si>
  <si>
    <t>ALJ90036.1</t>
  </si>
  <si>
    <t>TO73_0173</t>
  </si>
  <si>
    <t>ALJ90037.1</t>
  </si>
  <si>
    <t>TO73_0174</t>
  </si>
  <si>
    <t>Putative DnaJ chaperone</t>
  </si>
  <si>
    <t>ALJ90038.1</t>
  </si>
  <si>
    <t>TO73_2396</t>
  </si>
  <si>
    <t>ALJ90039.1</t>
  </si>
  <si>
    <t>TO73_0175</t>
  </si>
  <si>
    <t>DNA primase</t>
  </si>
  <si>
    <t>ALJ90040.1</t>
  </si>
  <si>
    <t>TO73_0176</t>
  </si>
  <si>
    <t>ALJ90041.1</t>
  </si>
  <si>
    <t>TO73_0177</t>
  </si>
  <si>
    <t>UvrD/REP helicase</t>
  </si>
  <si>
    <t>ALJ90042.1</t>
  </si>
  <si>
    <t>TO73_0178</t>
  </si>
  <si>
    <t>ALJ90043.1</t>
  </si>
  <si>
    <t>TO73_0179</t>
  </si>
  <si>
    <t>DNA polymerase III beta clamp processivity factor</t>
  </si>
  <si>
    <t>ALJ90044.1</t>
  </si>
  <si>
    <t>TO73_0180</t>
  </si>
  <si>
    <t>ALJ90045.1</t>
  </si>
  <si>
    <t>TO73_0181</t>
  </si>
  <si>
    <t>holliday junction resolvase / crossover junction endodeoxyribonuclease RusA</t>
  </si>
  <si>
    <t>ALJ90046.1</t>
  </si>
  <si>
    <t>TO73_0182</t>
  </si>
  <si>
    <t>transcriptional regulatory, Fis family</t>
  </si>
  <si>
    <t>ALJ90047.1</t>
  </si>
  <si>
    <t>TO73_0183</t>
  </si>
  <si>
    <t>phage terminase, large subunit</t>
  </si>
  <si>
    <t>ALJ90048.1</t>
  </si>
  <si>
    <t>TO73_0184</t>
  </si>
  <si>
    <t>ALJ90049.1</t>
  </si>
  <si>
    <t>TO73_0185</t>
  </si>
  <si>
    <t>Mu-like phage gp29 protein</t>
  </si>
  <si>
    <t>ALJ90050.1</t>
  </si>
  <si>
    <t>TO73_0186</t>
  </si>
  <si>
    <t>putative phage head morphogenesis protein</t>
  </si>
  <si>
    <t>ALJ90051.1</t>
  </si>
  <si>
    <t>TO73_0187</t>
  </si>
  <si>
    <t>ALJ90052.1</t>
  </si>
  <si>
    <t>TO73_0188</t>
  </si>
  <si>
    <t>Mu-like phage gp32 protein</t>
  </si>
  <si>
    <t>ALJ90053.1</t>
  </si>
  <si>
    <t>TO73_0189</t>
  </si>
  <si>
    <t>Putative major capsid protein</t>
  </si>
  <si>
    <t>ALJ90054.1</t>
  </si>
  <si>
    <t>TO73_2397</t>
  </si>
  <si>
    <t>putative DNA binding protein</t>
  </si>
  <si>
    <t>ALJ90055.1</t>
  </si>
  <si>
    <t>TO73_0190</t>
  </si>
  <si>
    <t>Mu-like phage gp36 protein</t>
  </si>
  <si>
    <t>ALJ90056.1</t>
  </si>
  <si>
    <t>TO73_0191</t>
  </si>
  <si>
    <t>phage virion morphogenesis (putative tail completion protein)</t>
  </si>
  <si>
    <t>ALJ90057.1</t>
  </si>
  <si>
    <t>TO73_0192</t>
  </si>
  <si>
    <t>ALJ90058.1</t>
  </si>
  <si>
    <t>TO73_0193</t>
  </si>
  <si>
    <t>ALJ90059.1</t>
  </si>
  <si>
    <t>TO73_0194</t>
  </si>
  <si>
    <t>phage tail sheath protein</t>
  </si>
  <si>
    <t>ALJ90060.1</t>
  </si>
  <si>
    <t>TO73_0195</t>
  </si>
  <si>
    <t>ALJ90061.1</t>
  </si>
  <si>
    <t>TO73_0196</t>
  </si>
  <si>
    <t>ALJ90062.1</t>
  </si>
  <si>
    <t>TO73_0197</t>
  </si>
  <si>
    <t>ALJ90063.1</t>
  </si>
  <si>
    <t>TO73_0198</t>
  </si>
  <si>
    <t>phage tape measure protein</t>
  </si>
  <si>
    <t>ALJ90064.1</t>
  </si>
  <si>
    <t>TO73_0199</t>
  </si>
  <si>
    <t>phage tail protein</t>
  </si>
  <si>
    <t>ALJ90065.1</t>
  </si>
  <si>
    <t>TO73_0200</t>
  </si>
  <si>
    <t>ALJ90066.1</t>
  </si>
  <si>
    <t>TO73_0201</t>
  </si>
  <si>
    <t>ALJ90067.1</t>
  </si>
  <si>
    <t>TO73_0202</t>
  </si>
  <si>
    <t>baseplate assembly protein with lysozyme</t>
  </si>
  <si>
    <t>ALJ90068.1</t>
  </si>
  <si>
    <t>TO73_0203</t>
  </si>
  <si>
    <t>baseplate assembly protein</t>
  </si>
  <si>
    <t>ALJ90069.1</t>
  </si>
  <si>
    <t>TO73_0204</t>
  </si>
  <si>
    <t>ALJ90070.1</t>
  </si>
  <si>
    <t>TO73_0205</t>
  </si>
  <si>
    <t>ALJ90071.1</t>
  </si>
  <si>
    <t>TO73_0206</t>
  </si>
  <si>
    <t>ALJ90072.1</t>
  </si>
  <si>
    <t>TO73_0207</t>
  </si>
  <si>
    <t>ALJ90073.1</t>
  </si>
  <si>
    <t>TO73_0208</t>
  </si>
  <si>
    <t>ALJ90074.1</t>
  </si>
  <si>
    <t>TO73_0209</t>
  </si>
  <si>
    <t>ALJ90075.1</t>
  </si>
  <si>
    <t>TO73_2398</t>
  </si>
  <si>
    <t>ALJ90076.1</t>
  </si>
  <si>
    <t>TO73_2399</t>
  </si>
  <si>
    <t>ALJ90077.1</t>
  </si>
  <si>
    <t>TO73_0210</t>
  </si>
  <si>
    <t>ALJ90078.1</t>
  </si>
  <si>
    <t>TO73_0211</t>
  </si>
  <si>
    <t>ALJ90079.1</t>
  </si>
  <si>
    <t>TO73_0212</t>
  </si>
  <si>
    <t>phage peptidase M23</t>
  </si>
  <si>
    <t>ALJ90080.1</t>
  </si>
  <si>
    <t>TO73_0213</t>
  </si>
  <si>
    <t>LSU ribosomal protein L21p</t>
  </si>
  <si>
    <t>ALJ90081.1</t>
  </si>
  <si>
    <t>TO73_0214</t>
  </si>
  <si>
    <t>LSU ribosomal protein L27p</t>
  </si>
  <si>
    <t>ALJ90082.1</t>
  </si>
  <si>
    <t>TO73_0215</t>
  </si>
  <si>
    <t>GTP-binding protein Obg</t>
  </si>
  <si>
    <t>ALJ90083.1</t>
  </si>
  <si>
    <t>TO73_0216</t>
  </si>
  <si>
    <t>nicotinate-nucleotide adenylyltransferase</t>
  </si>
  <si>
    <t>ALJ90084.1</t>
  </si>
  <si>
    <t>TO73_0217</t>
  </si>
  <si>
    <t>hydrolase (HAD superfamily, YqeK)</t>
  </si>
  <si>
    <t>ALJ90085.1</t>
  </si>
  <si>
    <t>TO73_0218</t>
  </si>
  <si>
    <t>cell envelope-associated transcriptional attenuator LytR-CpsA-Psr, subfamily M</t>
  </si>
  <si>
    <t>ALJ90086.1</t>
  </si>
  <si>
    <t>TO73_0219</t>
  </si>
  <si>
    <t>ribosomal silencing factor RsfA (former Iojap)</t>
  </si>
  <si>
    <t>ALJ90087.1</t>
  </si>
  <si>
    <t>TO73_0220</t>
  </si>
  <si>
    <t>ALJ90088.1</t>
  </si>
  <si>
    <t>TO73_0221</t>
  </si>
  <si>
    <t>pantoate-beta-alanine ligase</t>
  </si>
  <si>
    <t>ALJ90089.1</t>
  </si>
  <si>
    <t>TO73_0222</t>
  </si>
  <si>
    <t>ALJ90090.1</t>
  </si>
  <si>
    <t>TO73_0223</t>
  </si>
  <si>
    <t>fructose-bisphosphate aldolase class II</t>
  </si>
  <si>
    <t>ALJ90091.1</t>
  </si>
  <si>
    <t>TO73_0224</t>
  </si>
  <si>
    <t>putative dioxygenase</t>
  </si>
  <si>
    <t>ALJ90092.1</t>
  </si>
  <si>
    <t>TO73_0225</t>
  </si>
  <si>
    <t>pyrimidine-nucleoside phosphorylase</t>
  </si>
  <si>
    <t>ALJ90093.1</t>
  </si>
  <si>
    <t>TO73_0226</t>
  </si>
  <si>
    <t>cell wall endopeptidase, family M23/M37</t>
  </si>
  <si>
    <t>ALJ90094.1</t>
  </si>
  <si>
    <t>TO73_0227</t>
  </si>
  <si>
    <t>integral membrane protein CcmA involved in cell shape determination</t>
  </si>
  <si>
    <t>ALJ90095.1</t>
  </si>
  <si>
    <t>TO73_0228</t>
  </si>
  <si>
    <t>acetyl-coenzyme A carboxyl transferase beta chain</t>
  </si>
  <si>
    <t>ALJ90096.1</t>
  </si>
  <si>
    <t>TO73_0229</t>
  </si>
  <si>
    <t>acetyl-coenzyme A carboxyl transferase alpha chain</t>
  </si>
  <si>
    <t>ALJ90097.1</t>
  </si>
  <si>
    <t>TO73_0230</t>
  </si>
  <si>
    <t>S-layer protein</t>
  </si>
  <si>
    <t>ALJ90098.1</t>
  </si>
  <si>
    <t>TO73_0231</t>
  </si>
  <si>
    <t>ALJ90099.1</t>
  </si>
  <si>
    <t>TO73_0232</t>
  </si>
  <si>
    <t>ALJ90100.1</t>
  </si>
  <si>
    <t>TO73_0233</t>
  </si>
  <si>
    <t>ALJ90101.1</t>
  </si>
  <si>
    <t>TO73_0234</t>
  </si>
  <si>
    <t>ferredoxin</t>
  </si>
  <si>
    <t>ALJ90102.1</t>
  </si>
  <si>
    <t>TO73_0235</t>
  </si>
  <si>
    <t>acetyltransferase</t>
  </si>
  <si>
    <t>ALJ90103.1</t>
  </si>
  <si>
    <t>TO73_0236</t>
  </si>
  <si>
    <t>cold shock protein CspG</t>
  </si>
  <si>
    <t>ALJ90104.1</t>
  </si>
  <si>
    <t>TO73_0237</t>
  </si>
  <si>
    <t>chaperone protein DnaJ</t>
  </si>
  <si>
    <t>ALJ90105.1</t>
  </si>
  <si>
    <t>TO73_0238</t>
  </si>
  <si>
    <t>serine-pyruvate transaminase</t>
  </si>
  <si>
    <t>ALJ90106.1</t>
  </si>
  <si>
    <t>TO73_0239</t>
  </si>
  <si>
    <t>undecaprenyl-diphosphatase</t>
  </si>
  <si>
    <t>ALJ90107.1</t>
  </si>
  <si>
    <t>TO73_0240</t>
  </si>
  <si>
    <t>2-C-methyl-D-erythritol 4-phosphate cytidylyltransferase</t>
  </si>
  <si>
    <t>ALJ90108.1</t>
  </si>
  <si>
    <t>TO73_0241</t>
  </si>
  <si>
    <t>4-diphosphocytidyl-2-C-methyl-D-erythritol kinase</t>
  </si>
  <si>
    <t>ALJ90109.1</t>
  </si>
  <si>
    <t>TO73_0242</t>
  </si>
  <si>
    <t>TenA2</t>
  </si>
  <si>
    <t>ALJ90110.1</t>
  </si>
  <si>
    <t>TO73_0243</t>
  </si>
  <si>
    <t>CarD-like transcriptional regulator</t>
  </si>
  <si>
    <t>ALJ90111.1</t>
  </si>
  <si>
    <t>TO73_0244</t>
  </si>
  <si>
    <t>transcriptional regulator, TetR family</t>
  </si>
  <si>
    <t>ALJ90112.1</t>
  </si>
  <si>
    <t>TO73_0245</t>
  </si>
  <si>
    <t>cyanophycinase</t>
  </si>
  <si>
    <t>ALJ90113.1</t>
  </si>
  <si>
    <t>TO73_0246</t>
  </si>
  <si>
    <t>ALJ90114.1</t>
  </si>
  <si>
    <t>TO73_0247</t>
  </si>
  <si>
    <t>thio-disulfide isomerase/thioredoxin</t>
  </si>
  <si>
    <t>ALJ90115.1</t>
  </si>
  <si>
    <t>TO73_0248</t>
  </si>
  <si>
    <t>TsaE protein, required for threonylcarbamoyladenosine t(6A37) formation in tRNA</t>
  </si>
  <si>
    <t>ALJ90116.1</t>
  </si>
  <si>
    <t>TO73_0249</t>
  </si>
  <si>
    <t>tRNA-Leu</t>
  </si>
  <si>
    <t>TO73_0250</t>
  </si>
  <si>
    <t>molybdopterin oxidoreductase subunit, predicted / chaperone protein HtpG</t>
  </si>
  <si>
    <t>ALJ90117.1</t>
  </si>
  <si>
    <t>TO73_0252</t>
  </si>
  <si>
    <t>molybdopterin oxidoreductase, iron-sulfur binding subunit</t>
  </si>
  <si>
    <t>ALJ90118.1</t>
  </si>
  <si>
    <t>TO73_0253</t>
  </si>
  <si>
    <t>molybdopterin oxidoreductase</t>
  </si>
  <si>
    <t>ALJ90119.1</t>
  </si>
  <si>
    <t>TO73_0254</t>
  </si>
  <si>
    <t>ABC-type Fe3+ transport system protein / molybdenum transport protein, putative</t>
  </si>
  <si>
    <t>ALJ90120.1</t>
  </si>
  <si>
    <t>TO73_0255</t>
  </si>
  <si>
    <t>ALJ90121.1</t>
  </si>
  <si>
    <t>TO73_0256</t>
  </si>
  <si>
    <t>ALJ90122.1</t>
  </si>
  <si>
    <t>TO73_0257</t>
  </si>
  <si>
    <t>ALJ90123.1</t>
  </si>
  <si>
    <t>TO73_0258</t>
  </si>
  <si>
    <t>N-acetyl-lysine deacetylase</t>
  </si>
  <si>
    <t>ALJ90124.1</t>
  </si>
  <si>
    <t>TO73_0259</t>
  </si>
  <si>
    <t>N-acetyl-lysine aminotransferase / acetylornithine aminotransferase</t>
  </si>
  <si>
    <t>ALJ90125.1</t>
  </si>
  <si>
    <t>TO73_0260</t>
  </si>
  <si>
    <t>glycosyl transferase group 1</t>
  </si>
  <si>
    <t>ALJ90126.1</t>
  </si>
  <si>
    <t>TO73_0261</t>
  </si>
  <si>
    <t>mannosyltransferase WbkA</t>
  </si>
  <si>
    <t>ALJ90127.1</t>
  </si>
  <si>
    <t>TO73_0262</t>
  </si>
  <si>
    <t>putative glycosyltransferase</t>
  </si>
  <si>
    <t>ALJ90128.1</t>
  </si>
  <si>
    <t>TO73_0263</t>
  </si>
  <si>
    <t>mannose-1-phosphate guanylyltransferase (GDP)</t>
  </si>
  <si>
    <t>ALJ90129.1</t>
  </si>
  <si>
    <t>TO73_0264</t>
  </si>
  <si>
    <t>2-amino-4-hydroxy-6-hydroxymethyldihydropteridine pyrophosphokinase</t>
  </si>
  <si>
    <t>ALJ90130.1</t>
  </si>
  <si>
    <t>TO73_0265</t>
  </si>
  <si>
    <t>polyribonucleotide nucleotidyltransferase</t>
  </si>
  <si>
    <t>ALJ90131.1</t>
  </si>
  <si>
    <t>TO73_0266</t>
  </si>
  <si>
    <t>thioredoxin</t>
  </si>
  <si>
    <t>ALJ90132.1</t>
  </si>
  <si>
    <t>TO73_0267</t>
  </si>
  <si>
    <t>phosphate:acyl-ACP acyltransferase PlsX</t>
  </si>
  <si>
    <t>ALJ90133.1</t>
  </si>
  <si>
    <t>TO73_0268</t>
  </si>
  <si>
    <t>archease</t>
  </si>
  <si>
    <t>ALJ90134.1</t>
  </si>
  <si>
    <t>TO73_0269</t>
  </si>
  <si>
    <t>LMBE-related protein</t>
  </si>
  <si>
    <t>ALJ90135.1</t>
  </si>
  <si>
    <t>TO73_0270</t>
  </si>
  <si>
    <t>16S ribosomal RNA</t>
  </si>
  <si>
    <t>TO73_0271</t>
  </si>
  <si>
    <t>ALJ90136.1</t>
  </si>
  <si>
    <t>TO73_0273</t>
  </si>
  <si>
    <t>orotidine 5'-phosphate decarboxylase</t>
  </si>
  <si>
    <t>ALJ90137.1</t>
  </si>
  <si>
    <t>TO73_0274</t>
  </si>
  <si>
    <t>orotate phosphoribosyltransferase</t>
  </si>
  <si>
    <t>ALJ90138.1</t>
  </si>
  <si>
    <t>TO73_0275</t>
  </si>
  <si>
    <t>ALJ90139.1</t>
  </si>
  <si>
    <t>TO73_0276</t>
  </si>
  <si>
    <t>glycerol-3-phosphate dehydrogenase [NAD(P)+]</t>
  </si>
  <si>
    <t>ALJ90140.1</t>
  </si>
  <si>
    <t>TO73_0277</t>
  </si>
  <si>
    <t>ALJ90141.1</t>
  </si>
  <si>
    <t>TO73_0278</t>
  </si>
  <si>
    <t>beta-ketoadipate enol-lactone hydrolase</t>
  </si>
  <si>
    <t>ALJ90142.1</t>
  </si>
  <si>
    <t>TO73_0279</t>
  </si>
  <si>
    <t>ALJ90143.1</t>
  </si>
  <si>
    <t>TO73_0280</t>
  </si>
  <si>
    <t>putative iron-sulfur cluster assembly scaffold protein for SUF system, SufE2</t>
  </si>
  <si>
    <t>ALJ90144.1</t>
  </si>
  <si>
    <t>TO73_0281</t>
  </si>
  <si>
    <t>cysteine desulfurase, SufS subfamily</t>
  </si>
  <si>
    <t>ALJ90145.1</t>
  </si>
  <si>
    <t>TO73_0282</t>
  </si>
  <si>
    <t>ALJ90146.1</t>
  </si>
  <si>
    <t>TO73_0283</t>
  </si>
  <si>
    <t>lead, cadmium, zinc and mercury transporting ATPase / copper-translocating P-type ATPase</t>
  </si>
  <si>
    <t>ALJ90147.1</t>
  </si>
  <si>
    <t>TO73_0284</t>
  </si>
  <si>
    <t>ALJ90148.1</t>
  </si>
  <si>
    <t>TO73_0285</t>
  </si>
  <si>
    <t>putative cytosolic protein</t>
  </si>
  <si>
    <t>ALJ90149.1</t>
  </si>
  <si>
    <t>TO73_0286</t>
  </si>
  <si>
    <t>copper chaperone</t>
  </si>
  <si>
    <t>ALJ90150.1</t>
  </si>
  <si>
    <t>TO73_0287</t>
  </si>
  <si>
    <t>peptidase, M23/M37 family</t>
  </si>
  <si>
    <t>ALJ90151.1</t>
  </si>
  <si>
    <t>TO73_0288</t>
  </si>
  <si>
    <t>ALJ90152.1</t>
  </si>
  <si>
    <t>TO73_0289</t>
  </si>
  <si>
    <t>ferredoxin, 2Fe-2S</t>
  </si>
  <si>
    <t>ALJ90153.1</t>
  </si>
  <si>
    <t>TO73_0290</t>
  </si>
  <si>
    <t>iron-sulfur cluster assembly protein SufD</t>
  </si>
  <si>
    <t>ALJ90154.1</t>
  </si>
  <si>
    <t>TO73_0291</t>
  </si>
  <si>
    <t>iron-sulfur cluster assembly protein SufB</t>
  </si>
  <si>
    <t>ALJ90155.1</t>
  </si>
  <si>
    <t>TO73_0292</t>
  </si>
  <si>
    <t>iron-sulfur cluster assembly ATPase protein SufC</t>
  </si>
  <si>
    <t>ALJ90156.1</t>
  </si>
  <si>
    <t>TO73_0293</t>
  </si>
  <si>
    <t>ALJ90157.1</t>
  </si>
  <si>
    <t>TO73_0294</t>
  </si>
  <si>
    <t>isocitrate lyase</t>
  </si>
  <si>
    <t>ALJ90158.1</t>
  </si>
  <si>
    <t>TO73_0295</t>
  </si>
  <si>
    <t>ALJ90159.1</t>
  </si>
  <si>
    <t>TO73_0296</t>
  </si>
  <si>
    <t>ALJ90160.1</t>
  </si>
  <si>
    <t>TO73_0297</t>
  </si>
  <si>
    <t>methionine ABC transporter ATP-binding protein</t>
  </si>
  <si>
    <t>ALJ90161.1</t>
  </si>
  <si>
    <t>TO73_0298</t>
  </si>
  <si>
    <t>ABC transporter, permease protein</t>
  </si>
  <si>
    <t>ALJ90162.1</t>
  </si>
  <si>
    <t>TO73_0299</t>
  </si>
  <si>
    <t>ALJ90163.1</t>
  </si>
  <si>
    <t>TO73_0300</t>
  </si>
  <si>
    <t>alanyl-tRNA synthetase</t>
  </si>
  <si>
    <t>ALJ90164.1</t>
  </si>
  <si>
    <t>TO73_0301</t>
  </si>
  <si>
    <t>ALJ90165.1</t>
  </si>
  <si>
    <t>TO73_0302</t>
  </si>
  <si>
    <t>putative Holliday junction resolvase YqgF</t>
  </si>
  <si>
    <t>ALJ90166.1</t>
  </si>
  <si>
    <t>TO73_0303</t>
  </si>
  <si>
    <t>YceG-like protein</t>
  </si>
  <si>
    <t>ALJ90167.1</t>
  </si>
  <si>
    <t>TO73_0304</t>
  </si>
  <si>
    <t>zinc transport protein ZntB</t>
  </si>
  <si>
    <t>ALJ90168.1</t>
  </si>
  <si>
    <t>TO73_0305</t>
  </si>
  <si>
    <t>ALJ90169.1</t>
  </si>
  <si>
    <t>TO73_0306</t>
  </si>
  <si>
    <t>ALJ90170.1</t>
  </si>
  <si>
    <t>TO73_0307</t>
  </si>
  <si>
    <t>ALJ90171.1</t>
  </si>
  <si>
    <t>TO73_0308</t>
  </si>
  <si>
    <t>muconate cycloisomerase</t>
  </si>
  <si>
    <t>ALJ90172.1</t>
  </si>
  <si>
    <t>TO73_0309</t>
  </si>
  <si>
    <t>ALJ90173.1</t>
  </si>
  <si>
    <t>TO73_0310</t>
  </si>
  <si>
    <t>ALJ90174.1</t>
  </si>
  <si>
    <t>TO73_0311</t>
  </si>
  <si>
    <t>ALJ90175.1</t>
  </si>
  <si>
    <t>TO73_0312</t>
  </si>
  <si>
    <t>alr0728 protein</t>
  </si>
  <si>
    <t>ALJ90176.1</t>
  </si>
  <si>
    <t>TO73_0313</t>
  </si>
  <si>
    <t>permeases of the major facilitator superfamily</t>
  </si>
  <si>
    <t>ALJ90177.1</t>
  </si>
  <si>
    <t>TO73_0314</t>
  </si>
  <si>
    <t>folate-dependent protein for Fe/S cluster synthesis/repair in oxidative stress</t>
  </si>
  <si>
    <t>ALJ90178.1</t>
  </si>
  <si>
    <t>TO73_0315</t>
  </si>
  <si>
    <t>molybdopterin binding motif, CinA N-terminal domain / C-terminal domain of CinA type S</t>
  </si>
  <si>
    <t>ALJ90179.1</t>
  </si>
  <si>
    <t>TO73_0316</t>
  </si>
  <si>
    <t>2'-5' RNA ligase</t>
  </si>
  <si>
    <t>ALJ90180.1</t>
  </si>
  <si>
    <t>TO73_0317</t>
  </si>
  <si>
    <t>RecA protein</t>
  </si>
  <si>
    <t>ALJ90181.1</t>
  </si>
  <si>
    <t>TO73_0318</t>
  </si>
  <si>
    <t>Hydrolase (HAD superfamily)</t>
  </si>
  <si>
    <t>ALJ90182.1</t>
  </si>
  <si>
    <t>TO73_0319</t>
  </si>
  <si>
    <t>rod shape-determining protein MreB</t>
  </si>
  <si>
    <t>ALJ90183.1</t>
  </si>
  <si>
    <t>TO73_0320</t>
  </si>
  <si>
    <t>3-hydroxyacyl-[acyl-carrier-protein] dehydratase, FabZ form</t>
  </si>
  <si>
    <t>ALJ90184.1</t>
  </si>
  <si>
    <t>TO73_0321</t>
  </si>
  <si>
    <t>ALJ90185.1</t>
  </si>
  <si>
    <t>TO73_0322</t>
  </si>
  <si>
    <t>DNA-directed RNA polymerase beta subunit</t>
  </si>
  <si>
    <t>ALJ90186.1</t>
  </si>
  <si>
    <t>TO73_0323</t>
  </si>
  <si>
    <t>DNA-directed RNA polymerase beta' subunit</t>
  </si>
  <si>
    <t>ALJ90187.1</t>
  </si>
  <si>
    <t>TO73_0324</t>
  </si>
  <si>
    <t>ribulose-5-phosphate 4-epimerase</t>
  </si>
  <si>
    <t>ALJ90188.1</t>
  </si>
  <si>
    <t>TO73_0325</t>
  </si>
  <si>
    <t>ALJ90189.1</t>
  </si>
  <si>
    <t>TO73_0326</t>
  </si>
  <si>
    <t>proline iminopeptidase</t>
  </si>
  <si>
    <t>ALJ90190.1</t>
  </si>
  <si>
    <t>TO73_0327</t>
  </si>
  <si>
    <t>thiamin ABC transporter, substrate-binding component</t>
  </si>
  <si>
    <t>ALJ90191.1</t>
  </si>
  <si>
    <t>TO73_0328</t>
  </si>
  <si>
    <t>thiamin ABC transporter, transmembrane component</t>
  </si>
  <si>
    <t>ALJ90192.1</t>
  </si>
  <si>
    <t>TO73_0329</t>
  </si>
  <si>
    <t>formamidopyrimidine-DNA glycosylase</t>
  </si>
  <si>
    <t>ALJ90193.1</t>
  </si>
  <si>
    <t>TO73_0330</t>
  </si>
  <si>
    <t>ALJ90194.1</t>
  </si>
  <si>
    <t>TO73_0331</t>
  </si>
  <si>
    <t>acyl-CoA hydrolase</t>
  </si>
  <si>
    <t>ALJ90195.1</t>
  </si>
  <si>
    <t>TO73_0332</t>
  </si>
  <si>
    <t>pterin-4-alpha-carbinolamine dehydratase</t>
  </si>
  <si>
    <t>ALJ90196.1</t>
  </si>
  <si>
    <t>TO73_0333</t>
  </si>
  <si>
    <t>tRNA-Met</t>
  </si>
  <si>
    <t>TO73_0334</t>
  </si>
  <si>
    <t>D-Lactate dehydrogenase, cytochrome c-dependent</t>
  </si>
  <si>
    <t>ALJ90197.1</t>
  </si>
  <si>
    <t>TO73_0336</t>
  </si>
  <si>
    <t>ALJ90198.1</t>
  </si>
  <si>
    <t>TO73_0337</t>
  </si>
  <si>
    <t>ALJ90199.1</t>
  </si>
  <si>
    <t>TO73_0338</t>
  </si>
  <si>
    <t>ALJ90200.1</t>
  </si>
  <si>
    <t>TO73_0339</t>
  </si>
  <si>
    <t>ALJ90201.1</t>
  </si>
  <si>
    <t>TO73_0340</t>
  </si>
  <si>
    <t>ALJ90202.1</t>
  </si>
  <si>
    <t>TO73_0341</t>
  </si>
  <si>
    <t>putative permease</t>
  </si>
  <si>
    <t>ALJ90203.1</t>
  </si>
  <si>
    <t>TO73_0342</t>
  </si>
  <si>
    <t>ALJ90204.1</t>
  </si>
  <si>
    <t>TO73_0343</t>
  </si>
  <si>
    <t>ALJ90205.1</t>
  </si>
  <si>
    <t>TO73_0344</t>
  </si>
  <si>
    <t>putative macrolide-efflux transmembrane protein</t>
  </si>
  <si>
    <t>ALJ90206.1</t>
  </si>
  <si>
    <t>TO73_0345</t>
  </si>
  <si>
    <t>ALJ90207.1</t>
  </si>
  <si>
    <t>TO73_0346</t>
  </si>
  <si>
    <t>oxidoreductase</t>
  </si>
  <si>
    <t>ALJ90208.1</t>
  </si>
  <si>
    <t>TO73_0347</t>
  </si>
  <si>
    <t>ALJ90209.1</t>
  </si>
  <si>
    <t>TO73_0348</t>
  </si>
  <si>
    <t>ALJ90210.1</t>
  </si>
  <si>
    <t>TO73_0349</t>
  </si>
  <si>
    <t>penicillin acylase</t>
  </si>
  <si>
    <t>ALJ90211.1</t>
  </si>
  <si>
    <t>TO73_0350</t>
  </si>
  <si>
    <t>ATP-dependent protease La Type II</t>
  </si>
  <si>
    <t>ALJ90212.1</t>
  </si>
  <si>
    <t>TO73_0351</t>
  </si>
  <si>
    <t>glucose-1-phosphate adenylyltransferase</t>
  </si>
  <si>
    <t>ALJ90213.1</t>
  </si>
  <si>
    <t>TO73_0352</t>
  </si>
  <si>
    <t>ALJ90214.1</t>
  </si>
  <si>
    <t>TO73_0353</t>
  </si>
  <si>
    <t>two-component response regulator</t>
  </si>
  <si>
    <t>ALJ90215.1</t>
  </si>
  <si>
    <t>TO73_0354</t>
  </si>
  <si>
    <t>ALJ90216.1</t>
  </si>
  <si>
    <t>TO73_0355</t>
  </si>
  <si>
    <t>glycogen synthase, ADP-glucose transglucosylase</t>
  </si>
  <si>
    <t>ALJ90217.1</t>
  </si>
  <si>
    <t>TO73_0356</t>
  </si>
  <si>
    <t>tetratricopeptide TPR2 repeat containing protein</t>
  </si>
  <si>
    <t>ALJ90218.1</t>
  </si>
  <si>
    <t>TO73_2400</t>
  </si>
  <si>
    <t>tRNA dihydrouridine synthase A</t>
  </si>
  <si>
    <t>ALJ90219.1</t>
  </si>
  <si>
    <t>TO73_0357</t>
  </si>
  <si>
    <t>4-hydroxy-3-methylbut-2-enyl diphosphate reductase</t>
  </si>
  <si>
    <t>ALJ90220.1</t>
  </si>
  <si>
    <t>TO73_0358</t>
  </si>
  <si>
    <t>ALJ90221.1</t>
  </si>
  <si>
    <t>TO73_0359</t>
  </si>
  <si>
    <t>ALJ90222.1</t>
  </si>
  <si>
    <t>TO73_0360</t>
  </si>
  <si>
    <t>octaprenyl diphosphate synthase</t>
  </si>
  <si>
    <t>ALJ90223.1</t>
  </si>
  <si>
    <t>TO73_0361</t>
  </si>
  <si>
    <t>permease of the drug/metabolite transporter (DMT) superfamily</t>
  </si>
  <si>
    <t>ALJ90224.1</t>
  </si>
  <si>
    <t>TO73_0362</t>
  </si>
  <si>
    <t>molybdenum cofactor biosynthesis protein MoaA</t>
  </si>
  <si>
    <t>ALJ90225.1</t>
  </si>
  <si>
    <t>TO73_0363</t>
  </si>
  <si>
    <t>ALJ90226.1</t>
  </si>
  <si>
    <t>TO73_0364</t>
  </si>
  <si>
    <t>ALJ90227.1</t>
  </si>
  <si>
    <t>TO73_0365</t>
  </si>
  <si>
    <t>ALJ90228.1</t>
  </si>
  <si>
    <t>TO73_0366</t>
  </si>
  <si>
    <t>ALJ90229.1</t>
  </si>
  <si>
    <t>TO73_0367</t>
  </si>
  <si>
    <t>lipoprotein releasing system transmembrane protein LolC</t>
  </si>
  <si>
    <t>ALJ90230.1</t>
  </si>
  <si>
    <t>TO73_0368</t>
  </si>
  <si>
    <t>TO73_0369</t>
  </si>
  <si>
    <t>SSU ribosomal protein S12p (S23e)</t>
  </si>
  <si>
    <t>ALJ90231.1</t>
  </si>
  <si>
    <t>TO73_0371</t>
  </si>
  <si>
    <t>SSU ribosomal protein S7p (S5e)</t>
  </si>
  <si>
    <t>ALJ90232.1</t>
  </si>
  <si>
    <t>TO73_0372</t>
  </si>
  <si>
    <t>translation elongation factor G</t>
  </si>
  <si>
    <t>ALJ90233.1</t>
  </si>
  <si>
    <t>TO73_0373</t>
  </si>
  <si>
    <t>ALJ90234.1</t>
  </si>
  <si>
    <t>TO73_0374</t>
  </si>
  <si>
    <t>SSU ribosomal protein S10p (S20e)</t>
  </si>
  <si>
    <t>ALJ90235.1</t>
  </si>
  <si>
    <t>TO73_0375</t>
  </si>
  <si>
    <t>LSU ribosomal protein L3p (L3e)</t>
  </si>
  <si>
    <t>ALJ90236.1</t>
  </si>
  <si>
    <t>TO73_0376</t>
  </si>
  <si>
    <t>LSU ribosomal protein L4p (L1e)</t>
  </si>
  <si>
    <t>ALJ90237.1</t>
  </si>
  <si>
    <t>TO73_0377</t>
  </si>
  <si>
    <t>LSU ribosomal protein L23p (L23Ae)</t>
  </si>
  <si>
    <t>ALJ90238.1</t>
  </si>
  <si>
    <t>TO73_0378</t>
  </si>
  <si>
    <t>LSU ribosomal protein L2p (L8e)</t>
  </si>
  <si>
    <t>ALJ90239.1</t>
  </si>
  <si>
    <t>TO73_0379</t>
  </si>
  <si>
    <t>SSU ribosomal protein S19p (S15e)</t>
  </si>
  <si>
    <t>ALJ90240.1</t>
  </si>
  <si>
    <t>TO73_0380</t>
  </si>
  <si>
    <t>LSU ribosomal protein L22p (L17e)</t>
  </si>
  <si>
    <t>ALJ90241.1</t>
  </si>
  <si>
    <t>TO73_0381</t>
  </si>
  <si>
    <t>SSU ribosomal protein S3p (S3e)</t>
  </si>
  <si>
    <t>ALJ90242.1</t>
  </si>
  <si>
    <t>TO73_0382</t>
  </si>
  <si>
    <t>LSU ribosomal protein L16p (L10e)</t>
  </si>
  <si>
    <t>ALJ90243.1</t>
  </si>
  <si>
    <t>TO73_0383</t>
  </si>
  <si>
    <t>LSU ribosomal protein L29p (L35e)</t>
  </si>
  <si>
    <t>ALJ90244.1</t>
  </si>
  <si>
    <t>TO73_0384</t>
  </si>
  <si>
    <t>SSU ribosomal protein S17p (S11e)</t>
  </si>
  <si>
    <t>ALJ90245.1</t>
  </si>
  <si>
    <t>TO73_0385</t>
  </si>
  <si>
    <t>LSU ribosomal protein L14p (L23e)</t>
  </si>
  <si>
    <t>ALJ90246.1</t>
  </si>
  <si>
    <t>TO73_0386</t>
  </si>
  <si>
    <t>LSU ribosomal protein L24p (L26e)</t>
  </si>
  <si>
    <t>ALJ90247.1</t>
  </si>
  <si>
    <t>TO73_0387</t>
  </si>
  <si>
    <t>LSU ribosomal protein L5p (L11e)</t>
  </si>
  <si>
    <t>ALJ90248.1</t>
  </si>
  <si>
    <t>TO73_0388</t>
  </si>
  <si>
    <t>SSU ribosomal protein S14p (S29e, zinc-dependent)</t>
  </si>
  <si>
    <t>ALJ90249.1</t>
  </si>
  <si>
    <t>TO73_0389</t>
  </si>
  <si>
    <t>SSU ribosomal protein S8p (S15Ae)</t>
  </si>
  <si>
    <t>ALJ90250.1</t>
  </si>
  <si>
    <t>TO73_0390</t>
  </si>
  <si>
    <t>LSU ribosomal protein L6p (L9e)</t>
  </si>
  <si>
    <t>ALJ90251.1</t>
  </si>
  <si>
    <t>TO73_0391</t>
  </si>
  <si>
    <t>LSU ribosomal protein L18p (L5e)</t>
  </si>
  <si>
    <t>ALJ90252.1</t>
  </si>
  <si>
    <t>TO73_0392</t>
  </si>
  <si>
    <t>SSU ribosomal protein S5p (S2e)</t>
  </si>
  <si>
    <t>ALJ90253.1</t>
  </si>
  <si>
    <t>TO73_0393</t>
  </si>
  <si>
    <t>LSU ribosomal protein L30p (L7e)</t>
  </si>
  <si>
    <t>ALJ90254.1</t>
  </si>
  <si>
    <t>TO73_0394</t>
  </si>
  <si>
    <t>LSU ribosomal protein L15p (L27Ae)</t>
  </si>
  <si>
    <t>ALJ90255.1</t>
  </si>
  <si>
    <t>TO73_0395</t>
  </si>
  <si>
    <t>preprotein translocase secY subunit</t>
  </si>
  <si>
    <t>ALJ90256.1</t>
  </si>
  <si>
    <t>TO73_0396</t>
  </si>
  <si>
    <t>adenylate kinase</t>
  </si>
  <si>
    <t>ALJ90257.1</t>
  </si>
  <si>
    <t>TO73_0397</t>
  </si>
  <si>
    <t>methionine aminopeptidase</t>
  </si>
  <si>
    <t>ALJ90258.1</t>
  </si>
  <si>
    <t>TO73_0398</t>
  </si>
  <si>
    <t>translation initiation factor 1</t>
  </si>
  <si>
    <t>ALJ90259.1</t>
  </si>
  <si>
    <t>TO73_0399</t>
  </si>
  <si>
    <t>LSU ribosomal protein L36p</t>
  </si>
  <si>
    <t>ALJ90260.1</t>
  </si>
  <si>
    <t>TO73_0400</t>
  </si>
  <si>
    <t>SSU ribosomal protein S13p (S18e)</t>
  </si>
  <si>
    <t>ALJ90261.1</t>
  </si>
  <si>
    <t>TO73_0401</t>
  </si>
  <si>
    <t>SSU ribosomal protein S11p (S14e)</t>
  </si>
  <si>
    <t>ALJ90262.1</t>
  </si>
  <si>
    <t>TO73_0402</t>
  </si>
  <si>
    <t>SSU ribosomal protein S4p (S9e)</t>
  </si>
  <si>
    <t>ALJ90263.1</t>
  </si>
  <si>
    <t>TO73_0403</t>
  </si>
  <si>
    <t>DNA-directed RNA polymerase alpha subunit</t>
  </si>
  <si>
    <t>ALJ90264.1</t>
  </si>
  <si>
    <t>TO73_0404</t>
  </si>
  <si>
    <t>LSU ribosomal protein L17p</t>
  </si>
  <si>
    <t>ALJ90265.1</t>
  </si>
  <si>
    <t>TO73_0405</t>
  </si>
  <si>
    <t>ALJ90266.1</t>
  </si>
  <si>
    <t>TO73_0406</t>
  </si>
  <si>
    <t>ALJ90267.1</t>
  </si>
  <si>
    <t>TO73_0407</t>
  </si>
  <si>
    <t>pullulanase type II, GH13 family</t>
  </si>
  <si>
    <t>ALJ90268.1</t>
  </si>
  <si>
    <t>TO73_0408</t>
  </si>
  <si>
    <t>HNH endonuclease family protein</t>
  </si>
  <si>
    <t>ALJ90269.1</t>
  </si>
  <si>
    <t>TO73_0409</t>
  </si>
  <si>
    <t>tetratricopeptide repeat family protein</t>
  </si>
  <si>
    <t>ALJ90270.1</t>
  </si>
  <si>
    <t>TO73_0410</t>
  </si>
  <si>
    <t>ALJ90271.1</t>
  </si>
  <si>
    <t>TO73_0411</t>
  </si>
  <si>
    <t>redox-sensitive transcriptional regulator (AT-rich DNA-binding protein)</t>
  </si>
  <si>
    <t>ALJ90272.1</t>
  </si>
  <si>
    <t>TO73_0412</t>
  </si>
  <si>
    <t>ALJ90273.1</t>
  </si>
  <si>
    <t>TO73_2401</t>
  </si>
  <si>
    <t>fibronectin type III domain protein</t>
  </si>
  <si>
    <t>ALJ90274.1</t>
  </si>
  <si>
    <t>TO73_0413</t>
  </si>
  <si>
    <t>ALJ90275.1</t>
  </si>
  <si>
    <t>TO73_0414</t>
  </si>
  <si>
    <t>NAD-specific glutamate dehydrogenase / NADP-specific glutamate dehydrogenase</t>
  </si>
  <si>
    <t>ALJ90276.1</t>
  </si>
  <si>
    <t>TO73_0415</t>
  </si>
  <si>
    <t>NAD-specific glutamate dehydrogenase/ NADP-specific glutamate dehydrogenase</t>
  </si>
  <si>
    <t>ALJ90277.1</t>
  </si>
  <si>
    <t>TO73_0416</t>
  </si>
  <si>
    <t>ALJ90278.1</t>
  </si>
  <si>
    <t>TO73_0417</t>
  </si>
  <si>
    <t>D-3-phosphoglycerate dehydrogenase</t>
  </si>
  <si>
    <t>ALJ90279.1</t>
  </si>
  <si>
    <t>TO73_0418</t>
  </si>
  <si>
    <t>ALJ90280.1</t>
  </si>
  <si>
    <t>TO73_0419</t>
  </si>
  <si>
    <t>Deoxyhypusine synthase</t>
  </si>
  <si>
    <t>ALJ90281.1</t>
  </si>
  <si>
    <t>TO73_0420</t>
  </si>
  <si>
    <t>ALJ90282.1</t>
  </si>
  <si>
    <t>TO73_0421</t>
  </si>
  <si>
    <t>menaquinone via futalosine step 4</t>
  </si>
  <si>
    <t>ALJ90283.1</t>
  </si>
  <si>
    <t>TO73_0422</t>
  </si>
  <si>
    <t>transcriptional regulator, Crp/Fnr family</t>
  </si>
  <si>
    <t>ALJ90284.1</t>
  </si>
  <si>
    <t>TO73_0423</t>
  </si>
  <si>
    <t>ALJ90285.1</t>
  </si>
  <si>
    <t>TO73_0424</t>
  </si>
  <si>
    <t>stage II sporulation protein D</t>
  </si>
  <si>
    <t>ALJ90286.1</t>
  </si>
  <si>
    <t>TO73_0425</t>
  </si>
  <si>
    <t>methylated-DNA--protein-cysteine methyltransferase</t>
  </si>
  <si>
    <t>ALJ90287.1</t>
  </si>
  <si>
    <t>TO73_0426</t>
  </si>
  <si>
    <t>maltodextrin glucosidase</t>
  </si>
  <si>
    <t>ALJ90288.1</t>
  </si>
  <si>
    <t>TO73_0427</t>
  </si>
  <si>
    <t>guanylate kinase</t>
  </si>
  <si>
    <t>ALJ90289.1</t>
  </si>
  <si>
    <t>TO73_0428</t>
  </si>
  <si>
    <t>DNA-directed RNA polymerase omega subunit</t>
  </si>
  <si>
    <t>ALJ90290.1</t>
  </si>
  <si>
    <t>TO73_0429</t>
  </si>
  <si>
    <t>phosphopantothenoylcysteine decarboxylase / phosphopantothenoylcysteine synthetase</t>
  </si>
  <si>
    <t>ALJ90291.1</t>
  </si>
  <si>
    <t>TO73_0430</t>
  </si>
  <si>
    <t>arginine pathway regulatory protein ArgR, repressor of arg regulon</t>
  </si>
  <si>
    <t>ALJ90292.1</t>
  </si>
  <si>
    <t>TO73_0431</t>
  </si>
  <si>
    <t>multiple antibiotic resistance protein MarC</t>
  </si>
  <si>
    <t>ALJ90293.1</t>
  </si>
  <si>
    <t>TO73_0432</t>
  </si>
  <si>
    <t>ALJ90294.1</t>
  </si>
  <si>
    <t>TO73_0433</t>
  </si>
  <si>
    <t>DNA repair protein RecN</t>
  </si>
  <si>
    <t>ALJ90295.1</t>
  </si>
  <si>
    <t>TO73_0434</t>
  </si>
  <si>
    <t>ALJ90296.1</t>
  </si>
  <si>
    <t>TO73_0435</t>
  </si>
  <si>
    <t>ALJ90297.1</t>
  </si>
  <si>
    <t>TO73_0436</t>
  </si>
  <si>
    <t>serine hydroxymethyltransferase</t>
  </si>
  <si>
    <t>ALJ90298.1</t>
  </si>
  <si>
    <t>TO73_0437</t>
  </si>
  <si>
    <t>ALJ90299.1</t>
  </si>
  <si>
    <t>TO73_0438</t>
  </si>
  <si>
    <t>amidophosphoribosyltransferase</t>
  </si>
  <si>
    <t>ALJ90300.1</t>
  </si>
  <si>
    <t>TO73_0439</t>
  </si>
  <si>
    <t>phosphoribosylformylglycinamidine synthase, synthetase subunit</t>
  </si>
  <si>
    <t>ALJ90301.1</t>
  </si>
  <si>
    <t>TO73_0440</t>
  </si>
  <si>
    <t>2-haloalkanoic acid dehalogenase-related protein</t>
  </si>
  <si>
    <t>ALJ90302.1</t>
  </si>
  <si>
    <t>TO73_0441</t>
  </si>
  <si>
    <t>phosphoribosylformylglycinamidine synthase, glutamine amidotransferase subunit</t>
  </si>
  <si>
    <t>ALJ90303.1</t>
  </si>
  <si>
    <t>TO73_0442</t>
  </si>
  <si>
    <t>phosphoribosylformylglycinamidine synthase, PurS subunit</t>
  </si>
  <si>
    <t>ALJ90304.1</t>
  </si>
  <si>
    <t>TO73_0443</t>
  </si>
  <si>
    <t>phosphoribosylaminoimidazole-succinocarboxamide synthase</t>
  </si>
  <si>
    <t>ALJ90305.1</t>
  </si>
  <si>
    <t>TO73_0444</t>
  </si>
  <si>
    <t>ALJ90306.1</t>
  </si>
  <si>
    <t>TO73_0445</t>
  </si>
  <si>
    <t>ssl5025 protein</t>
  </si>
  <si>
    <t>ALJ90307.1</t>
  </si>
  <si>
    <t>TO73_0446</t>
  </si>
  <si>
    <t>adenylosuccinate lyase</t>
  </si>
  <si>
    <t>ALJ90308.1</t>
  </si>
  <si>
    <t>TO73_0447</t>
  </si>
  <si>
    <t>putative nucleotidyltransferase</t>
  </si>
  <si>
    <t>ALJ90309.1</t>
  </si>
  <si>
    <t>TO73_0448</t>
  </si>
  <si>
    <t>protein of unknown function DUF86</t>
  </si>
  <si>
    <t>ALJ90310.1</t>
  </si>
  <si>
    <t>TO73_0449</t>
  </si>
  <si>
    <t>ALJ90311.1</t>
  </si>
  <si>
    <t>TO73_0450</t>
  </si>
  <si>
    <t>glr1707 protein</t>
  </si>
  <si>
    <t>ALJ90312.1</t>
  </si>
  <si>
    <t>TO73_0451</t>
  </si>
  <si>
    <t>ALJ90313.1</t>
  </si>
  <si>
    <t>TO73_0452</t>
  </si>
  <si>
    <t>4-carboxymuconolactone decarboxylase</t>
  </si>
  <si>
    <t>ALJ90314.1</t>
  </si>
  <si>
    <t>TO73_0453</t>
  </si>
  <si>
    <t>uroporphyrinogen-III synthase</t>
  </si>
  <si>
    <t>ALJ90315.1</t>
  </si>
  <si>
    <t>TO73_0454</t>
  </si>
  <si>
    <t>glutamyl-tRNA reductase</t>
  </si>
  <si>
    <t>ALJ90316.1</t>
  </si>
  <si>
    <t>TO73_0455</t>
  </si>
  <si>
    <t>ALJ90317.1</t>
  </si>
  <si>
    <t>TO73_0456</t>
  </si>
  <si>
    <t>ALJ90318.1</t>
  </si>
  <si>
    <t>TO73_0457</t>
  </si>
  <si>
    <t>ALJ90319.1</t>
  </si>
  <si>
    <t>TO73_0458</t>
  </si>
  <si>
    <t>ALJ90320.1</t>
  </si>
  <si>
    <t>TO73_0459</t>
  </si>
  <si>
    <t>ALJ90321.1</t>
  </si>
  <si>
    <t>TO73_0460</t>
  </si>
  <si>
    <t>ALJ90322.1</t>
  </si>
  <si>
    <t>TO73_0461</t>
  </si>
  <si>
    <t>sensor histidine kinase</t>
  </si>
  <si>
    <t>ALJ90323.1</t>
  </si>
  <si>
    <t>TO73_0462</t>
  </si>
  <si>
    <t>ALJ90324.1</t>
  </si>
  <si>
    <t>TO73_0463</t>
  </si>
  <si>
    <t>ALJ90325.1</t>
  </si>
  <si>
    <t>TO73_0464</t>
  </si>
  <si>
    <t>phosphoenolpyruvate synthase</t>
  </si>
  <si>
    <t>ALJ90326.1</t>
  </si>
  <si>
    <t>TO73_0465</t>
  </si>
  <si>
    <t>MoxR-like ATPase</t>
  </si>
  <si>
    <t>ALJ90327.1</t>
  </si>
  <si>
    <t>TO73_0466</t>
  </si>
  <si>
    <t>translation elongation factor G-related protein</t>
  </si>
  <si>
    <t>ALJ90328.1</t>
  </si>
  <si>
    <t>TO73_0467</t>
  </si>
  <si>
    <t>ALJ90329.1</t>
  </si>
  <si>
    <t>TO73_0468</t>
  </si>
  <si>
    <t>flavin reductase domain protein, FMN-binding</t>
  </si>
  <si>
    <t>ALJ90330.1</t>
  </si>
  <si>
    <t>TO73_0469</t>
  </si>
  <si>
    <t>inositol-1-monophosphatase</t>
  </si>
  <si>
    <t>ALJ90331.1</t>
  </si>
  <si>
    <t>TO73_0470</t>
  </si>
  <si>
    <t>phosphoribosylanthranilate isomerase</t>
  </si>
  <si>
    <t>ALJ90332.1</t>
  </si>
  <si>
    <t>TO73_0471</t>
  </si>
  <si>
    <t>ribonucleotide reductase of class II (coenzyme B12-dependent)</t>
  </si>
  <si>
    <t>ALJ90333.1</t>
  </si>
  <si>
    <t>TO73_0472</t>
  </si>
  <si>
    <t>tRNA-t(6)A37 methylthiotransferase</t>
  </si>
  <si>
    <t>ALJ90334.1</t>
  </si>
  <si>
    <t>TO73_0473</t>
  </si>
  <si>
    <t>purine nucleoside phosphoramidase YcfF/hinT protein</t>
  </si>
  <si>
    <t>ALJ90335.1</t>
  </si>
  <si>
    <t>TO73_0474</t>
  </si>
  <si>
    <t>ALJ90336.1</t>
  </si>
  <si>
    <t>TO73_0475</t>
  </si>
  <si>
    <t>adenine phosphoribosyltransferase</t>
  </si>
  <si>
    <t>ALJ90337.1</t>
  </si>
  <si>
    <t>TO73_0476</t>
  </si>
  <si>
    <t>ALJ90338.1</t>
  </si>
  <si>
    <t>TO73_0477</t>
  </si>
  <si>
    <t>ALJ90339.1</t>
  </si>
  <si>
    <t>TO73_0478</t>
  </si>
  <si>
    <t>hydrolase</t>
  </si>
  <si>
    <t>ALJ90340.1</t>
  </si>
  <si>
    <t>TO73_0479</t>
  </si>
  <si>
    <t>5-formyltetrahydrofolate cyclo-ligase</t>
  </si>
  <si>
    <t>ALJ90341.1</t>
  </si>
  <si>
    <t>TO73_0480</t>
  </si>
  <si>
    <t>ALJ90342.1</t>
  </si>
  <si>
    <t>TO73_0481</t>
  </si>
  <si>
    <t>ALJ90343.1</t>
  </si>
  <si>
    <t>TO73_0482</t>
  </si>
  <si>
    <t>ALJ90344.1</t>
  </si>
  <si>
    <t>TO73_0483</t>
  </si>
  <si>
    <t>thymidylate kinase</t>
  </si>
  <si>
    <t>ALJ90345.1</t>
  </si>
  <si>
    <t>TO73_0484</t>
  </si>
  <si>
    <t>ALJ90346.1</t>
  </si>
  <si>
    <t>TO73_0485</t>
  </si>
  <si>
    <t>acylamino-acid-releasing enzyme</t>
  </si>
  <si>
    <t>ALJ90347.1</t>
  </si>
  <si>
    <t>TO73_0486</t>
  </si>
  <si>
    <t>ALJ90348.1</t>
  </si>
  <si>
    <t>TO73_0487</t>
  </si>
  <si>
    <t>ALJ90349.1</t>
  </si>
  <si>
    <t>TO73_0488</t>
  </si>
  <si>
    <t>ALJ90350.1</t>
  </si>
  <si>
    <t>TO73_0489</t>
  </si>
  <si>
    <t>ALJ90351.1</t>
  </si>
  <si>
    <t>TO73_0490</t>
  </si>
  <si>
    <t>recombination protein RecR</t>
  </si>
  <si>
    <t>ALJ90352.1</t>
  </si>
  <si>
    <t>TO73_0491</t>
  </si>
  <si>
    <t>ALJ90353.1</t>
  </si>
  <si>
    <t>TO73_0492</t>
  </si>
  <si>
    <t>porphobilinogen synthase</t>
  </si>
  <si>
    <t>ALJ90354.1</t>
  </si>
  <si>
    <t>TO73_0493</t>
  </si>
  <si>
    <t>ALJ90355.1</t>
  </si>
  <si>
    <t>TO73_0494</t>
  </si>
  <si>
    <t>ALJ90356.1</t>
  </si>
  <si>
    <t>TO73_0495</t>
  </si>
  <si>
    <t>protein phosphatase 2C</t>
  </si>
  <si>
    <t>ALJ90357.1</t>
  </si>
  <si>
    <t>TO73_0496</t>
  </si>
  <si>
    <t>serine/threonine protein kinase</t>
  </si>
  <si>
    <t>ALJ90358.1</t>
  </si>
  <si>
    <t>TO73_0497</t>
  </si>
  <si>
    <t>putative two-component response regulator</t>
  </si>
  <si>
    <t>ALJ90359.1</t>
  </si>
  <si>
    <t>TO73_0498</t>
  </si>
  <si>
    <t>ALJ90360.1</t>
  </si>
  <si>
    <t>TO73_0499</t>
  </si>
  <si>
    <t>ALJ90361.1</t>
  </si>
  <si>
    <t>TO73_0500</t>
  </si>
  <si>
    <t>ALJ90362.1</t>
  </si>
  <si>
    <t>TO73_0501</t>
  </si>
  <si>
    <t>ALJ90363.1</t>
  </si>
  <si>
    <t>TO73_0502</t>
  </si>
  <si>
    <t>ATP-dependent DNA helicase UvrD/PcrA</t>
  </si>
  <si>
    <t>ALJ90364.1</t>
  </si>
  <si>
    <t>TO73_0503</t>
  </si>
  <si>
    <t>SSU ribosomal protein S9p (S16e)</t>
  </si>
  <si>
    <t>ALJ90365.1</t>
  </si>
  <si>
    <t>TO73_0504</t>
  </si>
  <si>
    <t>LSU ribosomal protein L13p (L13Ae)</t>
  </si>
  <si>
    <t>ALJ90366.1</t>
  </si>
  <si>
    <t>TO73_0505</t>
  </si>
  <si>
    <t>CTP synthase</t>
  </si>
  <si>
    <t>ALJ90367.1</t>
  </si>
  <si>
    <t>TO73_0506</t>
  </si>
  <si>
    <t>ALJ90368.1</t>
  </si>
  <si>
    <t>TO73_0507</t>
  </si>
  <si>
    <t>tRNA-Lys</t>
  </si>
  <si>
    <t>TO73_0508</t>
  </si>
  <si>
    <t>thiamin pyrophosphokinase</t>
  </si>
  <si>
    <t>ALJ90369.1</t>
  </si>
  <si>
    <t>TO73_0510</t>
  </si>
  <si>
    <t>thiamin ABC transporter, ATPase component</t>
  </si>
  <si>
    <t>ALJ90370.1</t>
  </si>
  <si>
    <t>TO73_0511</t>
  </si>
  <si>
    <t>ALJ90371.1</t>
  </si>
  <si>
    <t>TO73_0512</t>
  </si>
  <si>
    <t>ALJ90372.1</t>
  </si>
  <si>
    <t>TO73_0513</t>
  </si>
  <si>
    <t>sulfur oxidation protein SoxY</t>
  </si>
  <si>
    <t>ALJ90373.1</t>
  </si>
  <si>
    <t>TO73_0514</t>
  </si>
  <si>
    <t>sulfur oxidation protein SoxZ</t>
  </si>
  <si>
    <t>ALJ90374.1</t>
  </si>
  <si>
    <t>TO73_0515</t>
  </si>
  <si>
    <t>sulfur oxidation protein SoxX</t>
  </si>
  <si>
    <t>ALJ90375.1</t>
  </si>
  <si>
    <t>TO73_0516</t>
  </si>
  <si>
    <t>sulfur oxidation protein SoxA</t>
  </si>
  <si>
    <t>ALJ90376.1</t>
  </si>
  <si>
    <t>TO73_0517</t>
  </si>
  <si>
    <t>putative transferase/hydrolase</t>
  </si>
  <si>
    <t>ALJ90377.1</t>
  </si>
  <si>
    <t>TO73_0518</t>
  </si>
  <si>
    <t>ALJ90378.1</t>
  </si>
  <si>
    <t>TO73_0519</t>
  </si>
  <si>
    <t>sulfide dehydrogenase [flavocytochrome C] flavoprotein chain precursor</t>
  </si>
  <si>
    <t>ALJ90379.1</t>
  </si>
  <si>
    <t>TO73_0520</t>
  </si>
  <si>
    <t>sulfur oxidation molybdopterin C protein</t>
  </si>
  <si>
    <t>ALJ90380.1</t>
  </si>
  <si>
    <t>TO73_0521</t>
  </si>
  <si>
    <t>sulfite dehydrogenase cytochrome subunit SoxD</t>
  </si>
  <si>
    <t>ALJ90381.1</t>
  </si>
  <si>
    <t>TO73_0522</t>
  </si>
  <si>
    <t>cytochrome c-type biogenesis protein CcdA (DsbD-like protein)</t>
  </si>
  <si>
    <t>ALJ90382.1</t>
  </si>
  <si>
    <t>TO73_0523</t>
  </si>
  <si>
    <t>ABC transporter involved in cytochrome c biogenesis, ATPase component CcmA</t>
  </si>
  <si>
    <t>ALJ90383.1</t>
  </si>
  <si>
    <t>TO73_0524</t>
  </si>
  <si>
    <t>ABC transporter involved in cytochrome c biogenesis, CcmB subunit</t>
  </si>
  <si>
    <t>ALJ90384.1</t>
  </si>
  <si>
    <t>TO73_0525</t>
  </si>
  <si>
    <t>cytochrome c-type biogenesis protein CcmC, putative heme lyase for CcmE</t>
  </si>
  <si>
    <t>ALJ90385.1</t>
  </si>
  <si>
    <t>TO73_0526</t>
  </si>
  <si>
    <t>cytochrome c-type biogenesis protein CcmE, heme chaperone</t>
  </si>
  <si>
    <t>ALJ90386.1</t>
  </si>
  <si>
    <t>TO73_0527</t>
  </si>
  <si>
    <t>cytochrome c heme lyase subunit CcmF</t>
  </si>
  <si>
    <t>ALJ90387.1</t>
  </si>
  <si>
    <t>TO73_0528</t>
  </si>
  <si>
    <t>cytochrome c-type biogenesis protein CcmG/DsbE, thiol:disulfide oxidoreductase</t>
  </si>
  <si>
    <t>ALJ90388.1</t>
  </si>
  <si>
    <t>TO73_0529</t>
  </si>
  <si>
    <t>cytochrome c heme lyase subunit CcmL</t>
  </si>
  <si>
    <t>ALJ90389.1</t>
  </si>
  <si>
    <t>TO73_0530</t>
  </si>
  <si>
    <t>cytochrome c family protein</t>
  </si>
  <si>
    <t>ALJ90390.1</t>
  </si>
  <si>
    <t>TO73_0531</t>
  </si>
  <si>
    <t>cytochrome complex Fe-S subunit, putative</t>
  </si>
  <si>
    <t>ALJ90391.1</t>
  </si>
  <si>
    <t>TO73_0532</t>
  </si>
  <si>
    <t>ALJ90392.1</t>
  </si>
  <si>
    <t>TO73_0533</t>
  </si>
  <si>
    <t>tyrosyl-tRNA synthetase</t>
  </si>
  <si>
    <t>ALJ90393.1</t>
  </si>
  <si>
    <t>TO73_0534</t>
  </si>
  <si>
    <t>ALJ90394.1</t>
  </si>
  <si>
    <t>TO73_0535</t>
  </si>
  <si>
    <t>SSU ribosomal protein S20p</t>
  </si>
  <si>
    <t>ALJ90395.1</t>
  </si>
  <si>
    <t>TO73_0536</t>
  </si>
  <si>
    <t>ALJ90396.1</t>
  </si>
  <si>
    <t>TO73_0537</t>
  </si>
  <si>
    <t>homoserine kinase</t>
  </si>
  <si>
    <t>ALJ90397.1</t>
  </si>
  <si>
    <t>TO73_0538</t>
  </si>
  <si>
    <t>ALJ90398.1</t>
  </si>
  <si>
    <t>TO73_0540</t>
  </si>
  <si>
    <t>NAD(PH)X epimerase / NAD(PH)X dehydratase</t>
  </si>
  <si>
    <t>ALJ90399.1</t>
  </si>
  <si>
    <t>TO73_0541</t>
  </si>
  <si>
    <t>NAD-dependent protein deacetylase of SIR2 family</t>
  </si>
  <si>
    <t>ALJ90400.1</t>
  </si>
  <si>
    <t>TO73_0542</t>
  </si>
  <si>
    <t>transposase, IS605 family, OrfB</t>
  </si>
  <si>
    <t>ALJ90401.1</t>
  </si>
  <si>
    <t>TO73_0543</t>
  </si>
  <si>
    <t>ALJ90402.1</t>
  </si>
  <si>
    <t>TO73_0544</t>
  </si>
  <si>
    <t>ALJ90403.1</t>
  </si>
  <si>
    <t>TO73_0545</t>
  </si>
  <si>
    <t>GTP-binding protein EngA</t>
  </si>
  <si>
    <t>ALJ90404.1</t>
  </si>
  <si>
    <t>TO73_0546</t>
  </si>
  <si>
    <t>acyltransferase family protein</t>
  </si>
  <si>
    <t>ALJ90405.1</t>
  </si>
  <si>
    <t>TO73_0547</t>
  </si>
  <si>
    <t>ALJ90406.1</t>
  </si>
  <si>
    <t>TO73_0548</t>
  </si>
  <si>
    <t>holo-[acyl-carrier protein] synthase</t>
  </si>
  <si>
    <t>ALJ90407.1</t>
  </si>
  <si>
    <t>TO73_0549</t>
  </si>
  <si>
    <t>tRNA and rRNA cytosine-C5-methylase</t>
  </si>
  <si>
    <t>ALJ90408.1</t>
  </si>
  <si>
    <t>TO73_0550</t>
  </si>
  <si>
    <t>3-dehydroquinate synthase</t>
  </si>
  <si>
    <t>ALJ90409.1</t>
  </si>
  <si>
    <t>TO73_0551</t>
  </si>
  <si>
    <t>shikimate kinase I</t>
  </si>
  <si>
    <t>ALJ90410.1</t>
  </si>
  <si>
    <t>TO73_0552</t>
  </si>
  <si>
    <t>chorismate synthase</t>
  </si>
  <si>
    <t>ALJ90411.1</t>
  </si>
  <si>
    <t>TO73_0553</t>
  </si>
  <si>
    <t>type IV pilus biogenesis protein PilQ / competence protein PilQ</t>
  </si>
  <si>
    <t>ALJ90412.1</t>
  </si>
  <si>
    <t>TO73_0554</t>
  </si>
  <si>
    <t>invasin</t>
  </si>
  <si>
    <t>ALJ90413.1</t>
  </si>
  <si>
    <t>TO73_0555</t>
  </si>
  <si>
    <t>type IV pilus biogenesis protein PilO / competence protein PilO</t>
  </si>
  <si>
    <t>ALJ90414.1</t>
  </si>
  <si>
    <t>TO73_0556</t>
  </si>
  <si>
    <t>competence protein PilN</t>
  </si>
  <si>
    <t>ALJ90415.1</t>
  </si>
  <si>
    <t>TO73_0557</t>
  </si>
  <si>
    <t>type IV pilus biogenesis protein PilM / competence protein PilM</t>
  </si>
  <si>
    <t>ALJ90416.1</t>
  </si>
  <si>
    <t>TO73_0558</t>
  </si>
  <si>
    <t>homoisocitrate dehydrogenase</t>
  </si>
  <si>
    <t>ALJ90417.1</t>
  </si>
  <si>
    <t>TO73_0559</t>
  </si>
  <si>
    <t>ALJ90418.1</t>
  </si>
  <si>
    <t>TO73_0560</t>
  </si>
  <si>
    <t>HD-GYP domain</t>
  </si>
  <si>
    <t>ALJ90419.1</t>
  </si>
  <si>
    <t>TO73_0561</t>
  </si>
  <si>
    <t>tRNA-Phe</t>
  </si>
  <si>
    <t>TO73_0562</t>
  </si>
  <si>
    <t>tRNA-Asp</t>
  </si>
  <si>
    <t>TO73_0564</t>
  </si>
  <si>
    <t>ALJ90420.1</t>
  </si>
  <si>
    <t>TO73_0566</t>
  </si>
  <si>
    <t>pantothenate kinase type III, CoaX-like</t>
  </si>
  <si>
    <t>ALJ90421.1</t>
  </si>
  <si>
    <t>TO73_0567</t>
  </si>
  <si>
    <t>OsmC/Ohr family protein</t>
  </si>
  <si>
    <t>ALJ90422.1</t>
  </si>
  <si>
    <t>TO73_0568</t>
  </si>
  <si>
    <t>N-acetylmuramoyl-L-alanine amidase</t>
  </si>
  <si>
    <t>ALJ90423.1</t>
  </si>
  <si>
    <t>TO73_0569</t>
  </si>
  <si>
    <t>protein kinase</t>
  </si>
  <si>
    <t>ALJ90424.1</t>
  </si>
  <si>
    <t>TO73_0570</t>
  </si>
  <si>
    <t>UPF0028 protein YchK</t>
  </si>
  <si>
    <t>ALJ90425.1</t>
  </si>
  <si>
    <t>TO73_0571</t>
  </si>
  <si>
    <t>ALJ90426.1</t>
  </si>
  <si>
    <t>TO73_0572</t>
  </si>
  <si>
    <t>putative L-lactate dehydrogenase, hypothetical protein subunit YkgG</t>
  </si>
  <si>
    <t>ALJ90427.1</t>
  </si>
  <si>
    <t>TO73_0573</t>
  </si>
  <si>
    <t>putative L-lactate dehydrogenase, Iron-sulfur cluster-binding subunit YkgF</t>
  </si>
  <si>
    <t>ALJ90428.1</t>
  </si>
  <si>
    <t>TO73_0574</t>
  </si>
  <si>
    <t>putative L-lactate dehydrogenase, Fe-S oxidoreductase subunit YkgE</t>
  </si>
  <si>
    <t>ALJ90429.1</t>
  </si>
  <si>
    <t>TO73_0575</t>
  </si>
  <si>
    <t>ALJ90430.1</t>
  </si>
  <si>
    <t>TO73_0576</t>
  </si>
  <si>
    <t>sensory transduction histidine kinase</t>
  </si>
  <si>
    <t>ALJ90431.1</t>
  </si>
  <si>
    <t>TO73_0577</t>
  </si>
  <si>
    <t>ALJ90432.1</t>
  </si>
  <si>
    <t>TO73_0578</t>
  </si>
  <si>
    <t>ALJ90433.1</t>
  </si>
  <si>
    <t>TO73_0579</t>
  </si>
  <si>
    <t>transporter</t>
  </si>
  <si>
    <t>ALJ90434.1</t>
  </si>
  <si>
    <t>TO73_0580</t>
  </si>
  <si>
    <t>ALJ90435.1</t>
  </si>
  <si>
    <t>TO73_0581</t>
  </si>
  <si>
    <t>ALJ90436.1</t>
  </si>
  <si>
    <t>TO73_0582</t>
  </si>
  <si>
    <t>ALJ90437.1</t>
  </si>
  <si>
    <t>TO73_0583</t>
  </si>
  <si>
    <t>periplasmic divalent cation tolerance protein cCutA</t>
  </si>
  <si>
    <t>ALJ90438.1</t>
  </si>
  <si>
    <t>TO73_0584</t>
  </si>
  <si>
    <t>DNA gyrase subunit A</t>
  </si>
  <si>
    <t>ALJ90439.1</t>
  </si>
  <si>
    <t>TO73_0585</t>
  </si>
  <si>
    <t>3-dehydroquinate dehydratase II</t>
  </si>
  <si>
    <t>ALJ90440.1</t>
  </si>
  <si>
    <t>TO73_0586</t>
  </si>
  <si>
    <t>peptidase M23</t>
  </si>
  <si>
    <t>ALJ90441.1</t>
  </si>
  <si>
    <t>TO73_0587</t>
  </si>
  <si>
    <t>tRNA (uracil(54)-C5)-methyltransferase</t>
  </si>
  <si>
    <t>ALJ90442.1</t>
  </si>
  <si>
    <t>TO73_0588</t>
  </si>
  <si>
    <t>DNA-binding response regulator, LuxR family</t>
  </si>
  <si>
    <t>ALJ90443.1</t>
  </si>
  <si>
    <t>TO73_0589</t>
  </si>
  <si>
    <t>putative peptidase</t>
  </si>
  <si>
    <t>ALJ90444.1</t>
  </si>
  <si>
    <t>TO73_0590</t>
  </si>
  <si>
    <t>ALJ90445.1</t>
  </si>
  <si>
    <t>TO73_0591</t>
  </si>
  <si>
    <t>ABC transporter, ATP-binding protein</t>
  </si>
  <si>
    <t>ALJ90446.1</t>
  </si>
  <si>
    <t>TO73_0592</t>
  </si>
  <si>
    <t>lipid A export ATP-binding/permease protein MsbA</t>
  </si>
  <si>
    <t>ALJ90447.1</t>
  </si>
  <si>
    <t>TO73_0593</t>
  </si>
  <si>
    <t>Dihydrofolate synthase / folylpolyglutamate synthase</t>
  </si>
  <si>
    <t>ALJ90448.1</t>
  </si>
  <si>
    <t>TO73_0594</t>
  </si>
  <si>
    <t>ALJ90449.1</t>
  </si>
  <si>
    <t>TO73_0595</t>
  </si>
  <si>
    <t>Dipeptide transport system permease protein DppC</t>
  </si>
  <si>
    <t>ALJ90450.1</t>
  </si>
  <si>
    <t>TO73_0596</t>
  </si>
  <si>
    <t>Dipeptide transport system permease protein DppB</t>
  </si>
  <si>
    <t>ALJ90451.1</t>
  </si>
  <si>
    <t>TO73_0597</t>
  </si>
  <si>
    <t>oligopeptide ABC transporter, periplasmic oligopeptide-binding protein OppA</t>
  </si>
  <si>
    <t>ALJ90452.1</t>
  </si>
  <si>
    <t>TO73_0598</t>
  </si>
  <si>
    <t>branched-chain amino acid transport ATP-binding protein LivF</t>
  </si>
  <si>
    <t>ALJ90453.1</t>
  </si>
  <si>
    <t>TO73_0599</t>
  </si>
  <si>
    <t>branched-chain amino acid transport ATP-binding protein LivG</t>
  </si>
  <si>
    <t>ALJ90454.1</t>
  </si>
  <si>
    <t>TO73_0600</t>
  </si>
  <si>
    <t>branched-chain amino acid transport system permease protein LivM</t>
  </si>
  <si>
    <t>ALJ90455.1</t>
  </si>
  <si>
    <t>TO73_0601</t>
  </si>
  <si>
    <t>high-affinity branched-chain amino acid transport system permease protein LivH</t>
  </si>
  <si>
    <t>ALJ90456.1</t>
  </si>
  <si>
    <t>TO73_0602</t>
  </si>
  <si>
    <t>branched-chain amino acid ABC transporter, amino acid-binding protein</t>
  </si>
  <si>
    <t>ALJ90457.1</t>
  </si>
  <si>
    <t>TO73_0603</t>
  </si>
  <si>
    <t>glutamine synthetase type I</t>
  </si>
  <si>
    <t>ALJ90458.1</t>
  </si>
  <si>
    <t>TO73_0604</t>
  </si>
  <si>
    <t>5'-nucleotidase</t>
  </si>
  <si>
    <t>ALJ90459.1</t>
  </si>
  <si>
    <t>TO73_0605</t>
  </si>
  <si>
    <t>ALJ90460.1</t>
  </si>
  <si>
    <t>TO73_0606</t>
  </si>
  <si>
    <t>ALJ90461.1</t>
  </si>
  <si>
    <t>TO73_0607</t>
  </si>
  <si>
    <t>putative sulfite reductase</t>
  </si>
  <si>
    <t>ALJ90462.1</t>
  </si>
  <si>
    <t>TO73_0608</t>
  </si>
  <si>
    <t>DNA mismatch repair protein MutS</t>
  </si>
  <si>
    <t>ALJ90463.1</t>
  </si>
  <si>
    <t>TO73_0609</t>
  </si>
  <si>
    <t>DNA mismatch repair protein MutL</t>
  </si>
  <si>
    <t>ALJ90464.1</t>
  </si>
  <si>
    <t>TO73_0610</t>
  </si>
  <si>
    <t>formyltetrahydrofolate deformylase</t>
  </si>
  <si>
    <t>ALJ90465.1</t>
  </si>
  <si>
    <t>TO73_0611</t>
  </si>
  <si>
    <t>protease Do</t>
  </si>
  <si>
    <t>ALJ90466.1</t>
  </si>
  <si>
    <t>TO73_0612</t>
  </si>
  <si>
    <t>ALJ90467.1</t>
  </si>
  <si>
    <t>TO73_0613</t>
  </si>
  <si>
    <t>TRAP transporter solute receptor, TAXI family precursor</t>
  </si>
  <si>
    <t>ALJ90468.1</t>
  </si>
  <si>
    <t>TO73_0614</t>
  </si>
  <si>
    <t>TRAP-type uncharacterized transport system, fused permease component</t>
  </si>
  <si>
    <t>ALJ90469.1</t>
  </si>
  <si>
    <t>TO73_0615</t>
  </si>
  <si>
    <t>ALJ90470.1</t>
  </si>
  <si>
    <t>TO73_0616</t>
  </si>
  <si>
    <t>putative zinc metalloprotease</t>
  </si>
  <si>
    <t>ALJ90471.1</t>
  </si>
  <si>
    <t>TO73_0617</t>
  </si>
  <si>
    <t>putative integral membrane efflux protein</t>
  </si>
  <si>
    <t>ALJ90472.1</t>
  </si>
  <si>
    <t>TO73_0618</t>
  </si>
  <si>
    <t>UDP-N-acetylglucosamine 2-epimerase</t>
  </si>
  <si>
    <t>ALJ90473.1</t>
  </si>
  <si>
    <t>TO73_0619</t>
  </si>
  <si>
    <t>ALJ90474.1</t>
  </si>
  <si>
    <t>TO73_0620</t>
  </si>
  <si>
    <t>undecaprenyl-phosphate N-acetylglucosaminyl 1-phosphate transferase</t>
  </si>
  <si>
    <t>ALJ90475.1</t>
  </si>
  <si>
    <t>TO73_0621</t>
  </si>
  <si>
    <t>uracil phosphoribosyltransferase</t>
  </si>
  <si>
    <t>ALJ90476.1</t>
  </si>
  <si>
    <t>TO73_0622</t>
  </si>
  <si>
    <t>ALJ90477.1</t>
  </si>
  <si>
    <t>TO73_0623</t>
  </si>
  <si>
    <t>putative radical SAM family protein</t>
  </si>
  <si>
    <t>ALJ90478.1</t>
  </si>
  <si>
    <t>TO73_0624</t>
  </si>
  <si>
    <t>putative type IIS restriction / modification enzyme, N-terminal half</t>
  </si>
  <si>
    <t>ALJ90479.1</t>
  </si>
  <si>
    <t>TO73_0625</t>
  </si>
  <si>
    <t>ALJ90480.1</t>
  </si>
  <si>
    <t>TO73_0626</t>
  </si>
  <si>
    <t>malate synthase</t>
  </si>
  <si>
    <t>ALJ90481.1</t>
  </si>
  <si>
    <t>TO73_0627</t>
  </si>
  <si>
    <t>transcriptional regulator, IclR family</t>
  </si>
  <si>
    <t>ALJ90482.1</t>
  </si>
  <si>
    <t>TO73_0628</t>
  </si>
  <si>
    <t>putative transcriptional regulator, merR family</t>
  </si>
  <si>
    <t>ALJ90483.1</t>
  </si>
  <si>
    <t>TO73_0629</t>
  </si>
  <si>
    <t>acetylornithine deacetylase / succinyl-diaminopimelate desuccinylase</t>
  </si>
  <si>
    <t>ALJ90484.1</t>
  </si>
  <si>
    <t>TO73_0630</t>
  </si>
  <si>
    <t>putative 2-phosphosulfolactate phosphatase</t>
  </si>
  <si>
    <t>ALJ90485.1</t>
  </si>
  <si>
    <t>TO73_0631</t>
  </si>
  <si>
    <t>cAMP-binding protein</t>
  </si>
  <si>
    <t>ALJ90486.1</t>
  </si>
  <si>
    <t>TO73_0632</t>
  </si>
  <si>
    <t>lipoprotein releasing system ATP-binding protein LolD</t>
  </si>
  <si>
    <t>ALJ90487.1</t>
  </si>
  <si>
    <t>TO73_0633</t>
  </si>
  <si>
    <t>purine nucleoside phosphorylase</t>
  </si>
  <si>
    <t>ALJ90488.1</t>
  </si>
  <si>
    <t>TO73_0634</t>
  </si>
  <si>
    <t>ALJ90489.1</t>
  </si>
  <si>
    <t>TO73_0635</t>
  </si>
  <si>
    <t>ALJ90490.1</t>
  </si>
  <si>
    <t>TO73_0636</t>
  </si>
  <si>
    <t>ALJ90491.1</t>
  </si>
  <si>
    <t>TO73_0637</t>
  </si>
  <si>
    <t>ALJ90492.1</t>
  </si>
  <si>
    <t>TO73_0638</t>
  </si>
  <si>
    <t>ALJ90493.1</t>
  </si>
  <si>
    <t>TO73_0639</t>
  </si>
  <si>
    <t>ALJ90494.1</t>
  </si>
  <si>
    <t>TO73_0640</t>
  </si>
  <si>
    <t>phosphoglucosamine mutase</t>
  </si>
  <si>
    <t>ALJ90495.1</t>
  </si>
  <si>
    <t>TO73_0641</t>
  </si>
  <si>
    <t>ALJ90496.1</t>
  </si>
  <si>
    <t>TO73_0642</t>
  </si>
  <si>
    <t>ALJ90497.1</t>
  </si>
  <si>
    <t>TO73_0643</t>
  </si>
  <si>
    <t>Disulfide bond formation protein B</t>
  </si>
  <si>
    <t>ALJ90498.1</t>
  </si>
  <si>
    <t>TO73_0644</t>
  </si>
  <si>
    <t>ALJ90499.1</t>
  </si>
  <si>
    <t>TO73_0645</t>
  </si>
  <si>
    <t>signal recognition particle receptor protein FtsY (alpha subunit)</t>
  </si>
  <si>
    <t>ALJ90500.1</t>
  </si>
  <si>
    <t>TO73_0646</t>
  </si>
  <si>
    <t>ALJ90501.1</t>
  </si>
  <si>
    <t>TO73_0647</t>
  </si>
  <si>
    <t>glutamyl-tRNA synthetase</t>
  </si>
  <si>
    <t>ALJ90502.1</t>
  </si>
  <si>
    <t>TO73_0648</t>
  </si>
  <si>
    <t>lipopolysaccharide ABC transporter, ATP-binding protein LptB</t>
  </si>
  <si>
    <t>ALJ90503.1</t>
  </si>
  <si>
    <t>TO73_0649</t>
  </si>
  <si>
    <t>ALJ90504.1</t>
  </si>
  <si>
    <t>TO73_0650</t>
  </si>
  <si>
    <t>modification methylase, hemK family</t>
  </si>
  <si>
    <t>ALJ90505.1</t>
  </si>
  <si>
    <t>TO73_0651</t>
  </si>
  <si>
    <t>RNA-binding protein Jag</t>
  </si>
  <si>
    <t>ALJ90506.1</t>
  </si>
  <si>
    <t>TO73_0652</t>
  </si>
  <si>
    <t>inner membrane protein translocase component YidC, long form</t>
  </si>
  <si>
    <t>ALJ90507.1</t>
  </si>
  <si>
    <t>TO73_2402</t>
  </si>
  <si>
    <t>protein YidD</t>
  </si>
  <si>
    <t>ALJ90508.1</t>
  </si>
  <si>
    <t>TO73_0653</t>
  </si>
  <si>
    <t>ribonuclease P protein component</t>
  </si>
  <si>
    <t>ALJ90509.1</t>
  </si>
  <si>
    <t>TO73_0654</t>
  </si>
  <si>
    <t>LSU ribosomal protein L34p</t>
  </si>
  <si>
    <t>ALJ90510.1</t>
  </si>
  <si>
    <t>TO73_0655</t>
  </si>
  <si>
    <t>ALJ90511.1</t>
  </si>
  <si>
    <t>TO73_0656</t>
  </si>
  <si>
    <t>long-chain-fatty-acid--CoA ligase</t>
  </si>
  <si>
    <t>ALJ90512.1</t>
  </si>
  <si>
    <t>TO73_0657</t>
  </si>
  <si>
    <t>ALJ90513.1</t>
  </si>
  <si>
    <t>TO73_0658</t>
  </si>
  <si>
    <t>Branched-chain amino acid transport system permease protein LivM</t>
  </si>
  <si>
    <t>ALJ90514.1</t>
  </si>
  <si>
    <t>TO73_0659</t>
  </si>
  <si>
    <t>high-affinity leucine-specific transport system, periplasmic binding protein LivK</t>
  </si>
  <si>
    <t>ALJ90515.1</t>
  </si>
  <si>
    <t>TO73_0660</t>
  </si>
  <si>
    <t>ALJ90516.1</t>
  </si>
  <si>
    <t>TO73_0661</t>
  </si>
  <si>
    <t>3-oxoacyl-[acyl-carrier protein] reductase</t>
  </si>
  <si>
    <t>ALJ90517.1</t>
  </si>
  <si>
    <t>TO73_0662</t>
  </si>
  <si>
    <t>malonyl CoA-acyl carrier protein transacylase</t>
  </si>
  <si>
    <t>ALJ90518.1</t>
  </si>
  <si>
    <t>TO73_0663</t>
  </si>
  <si>
    <t>3-oxoacyl-[acyl-carrier-protein] synthase, KASIII</t>
  </si>
  <si>
    <t>ALJ90519.1</t>
  </si>
  <si>
    <t>TO73_0664</t>
  </si>
  <si>
    <t>LSU ribosomal protein L32p, zinc-dependent</t>
  </si>
  <si>
    <t>ALJ90520.1</t>
  </si>
  <si>
    <t>TO73_0665</t>
  </si>
  <si>
    <t>ribosomal protein L32p-like protein</t>
  </si>
  <si>
    <t>ALJ90521.1</t>
  </si>
  <si>
    <t>TO73_0666</t>
  </si>
  <si>
    <t>arginase</t>
  </si>
  <si>
    <t>ALJ90522.1</t>
  </si>
  <si>
    <t>TO73_0667</t>
  </si>
  <si>
    <t>ALJ90523.1</t>
  </si>
  <si>
    <t>TO73_0668</t>
  </si>
  <si>
    <t>ALJ90524.1</t>
  </si>
  <si>
    <t>TO73_0669</t>
  </si>
  <si>
    <t>ALJ90525.1</t>
  </si>
  <si>
    <t>TO73_0670</t>
  </si>
  <si>
    <t>carboxymethylenebutenolidase-related protein</t>
  </si>
  <si>
    <t>ALJ90526.1</t>
  </si>
  <si>
    <t>TO73_0671</t>
  </si>
  <si>
    <t>acriflavin resistance protein B</t>
  </si>
  <si>
    <t>ALJ90527.1</t>
  </si>
  <si>
    <t>TO73_0672</t>
  </si>
  <si>
    <t>ALJ90528.1</t>
  </si>
  <si>
    <t>TO73_0673</t>
  </si>
  <si>
    <t>chromosome partition protein smc</t>
  </si>
  <si>
    <t>ALJ90529.1</t>
  </si>
  <si>
    <t>TO73_0674</t>
  </si>
  <si>
    <t>outer membrane protein TolC, putative</t>
  </si>
  <si>
    <t>ALJ90530.1</t>
  </si>
  <si>
    <t>TO73_0675</t>
  </si>
  <si>
    <t>transcriptional regulator, MarR family</t>
  </si>
  <si>
    <t>ALJ90531.1</t>
  </si>
  <si>
    <t>TO73_0676</t>
  </si>
  <si>
    <t>magnesium and cobalt efflux protein CorC</t>
  </si>
  <si>
    <t>ALJ90532.1</t>
  </si>
  <si>
    <t>TO73_0677</t>
  </si>
  <si>
    <t>cytidine deaminase</t>
  </si>
  <si>
    <t>ALJ90533.1</t>
  </si>
  <si>
    <t>TO73_0678</t>
  </si>
  <si>
    <t>ALJ90534.1</t>
  </si>
  <si>
    <t>TO73_0679</t>
  </si>
  <si>
    <t>Dihydrodipicolinate synthase</t>
  </si>
  <si>
    <t>ALJ90535.1</t>
  </si>
  <si>
    <t>TO73_0680</t>
  </si>
  <si>
    <t>ALJ90536.1</t>
  </si>
  <si>
    <t>TO73_0681</t>
  </si>
  <si>
    <t>L-serine dehydratase, beta subunit</t>
  </si>
  <si>
    <t>ALJ90537.1</t>
  </si>
  <si>
    <t>TO73_0682</t>
  </si>
  <si>
    <t>sensory transduction protein kinase</t>
  </si>
  <si>
    <t>ALJ90538.1</t>
  </si>
  <si>
    <t>TO73_0683</t>
  </si>
  <si>
    <t>translation elongation factor LepA</t>
  </si>
  <si>
    <t>ALJ90539.1</t>
  </si>
  <si>
    <t>TO73_0684</t>
  </si>
  <si>
    <t>protein-export membrane protein SecD</t>
  </si>
  <si>
    <t>ALJ90540.1</t>
  </si>
  <si>
    <t>TO73_0685</t>
  </si>
  <si>
    <t>ALJ90541.1</t>
  </si>
  <si>
    <t>TO73_0686</t>
  </si>
  <si>
    <t>translation initiation factor 2</t>
  </si>
  <si>
    <t>ALJ90542.1</t>
  </si>
  <si>
    <t>TO73_0687</t>
  </si>
  <si>
    <t>putative nucleic-acid-binding protein implicated in transcription termination</t>
  </si>
  <si>
    <t>ALJ90543.1</t>
  </si>
  <si>
    <t>TO73_0688</t>
  </si>
  <si>
    <t>transcription termination protein NusA</t>
  </si>
  <si>
    <t>ALJ90544.1</t>
  </si>
  <si>
    <t>TO73_0689</t>
  </si>
  <si>
    <t>transcription termination protein NusA-like protein</t>
  </si>
  <si>
    <t>ALJ90545.1</t>
  </si>
  <si>
    <t>TO73_0690</t>
  </si>
  <si>
    <t>ALJ90546.1</t>
  </si>
  <si>
    <t>TO73_0691</t>
  </si>
  <si>
    <t>ALJ90547.1</t>
  </si>
  <si>
    <t>TO73_0692</t>
  </si>
  <si>
    <t>Diaminohydroxyphosphoribosylaminopyrimidine deaminase</t>
  </si>
  <si>
    <t>ALJ90548.1</t>
  </si>
  <si>
    <t>TO73_0693</t>
  </si>
  <si>
    <t>riboflavin synthase eubacterial/eukaryotic</t>
  </si>
  <si>
    <t>ALJ90549.1</t>
  </si>
  <si>
    <t>TO73_0694</t>
  </si>
  <si>
    <t>3,4-dihydroxy-2-butanone 4-phosphate synthase / GTP cyclohydrolase II</t>
  </si>
  <si>
    <t>ALJ90550.1</t>
  </si>
  <si>
    <t>TO73_0695</t>
  </si>
  <si>
    <t>ALJ90551.1</t>
  </si>
  <si>
    <t>TO73_0696</t>
  </si>
  <si>
    <t>ALJ90552.1</t>
  </si>
  <si>
    <t>TO73_0697</t>
  </si>
  <si>
    <t>thioesterase family protein</t>
  </si>
  <si>
    <t>ALJ90553.1</t>
  </si>
  <si>
    <t>TO73_0698</t>
  </si>
  <si>
    <t>B12 binding domain of Methylmalonyl-CoA mutase</t>
  </si>
  <si>
    <t>ALJ90554.1</t>
  </si>
  <si>
    <t>TO73_0699</t>
  </si>
  <si>
    <t>methylmalonyl-CoA mutase</t>
  </si>
  <si>
    <t>ALJ90555.1</t>
  </si>
  <si>
    <t>TO73_0700</t>
  </si>
  <si>
    <t>cobalt-zinc-cadmium resistance protein</t>
  </si>
  <si>
    <t>ALJ90556.1</t>
  </si>
  <si>
    <t>TO73_0701</t>
  </si>
  <si>
    <t>lysyl-tRNA synthetase (class II)</t>
  </si>
  <si>
    <t>ALJ90557.1</t>
  </si>
  <si>
    <t>TO73_0702</t>
  </si>
  <si>
    <t>anti-cleavage anti-GreA transcription factor Gfh1</t>
  </si>
  <si>
    <t>ALJ90558.1</t>
  </si>
  <si>
    <t>TO73_0703</t>
  </si>
  <si>
    <t>ALJ90559.1</t>
  </si>
  <si>
    <t>TO73_0704</t>
  </si>
  <si>
    <t>Diacylglycerol kinase</t>
  </si>
  <si>
    <t>ALJ90560.1</t>
  </si>
  <si>
    <t>TO73_0705</t>
  </si>
  <si>
    <t>metal-dependent hydrolase YbeY, involved in rRNA and/or ribosome maturation and assembly</t>
  </si>
  <si>
    <t>ALJ90561.1</t>
  </si>
  <si>
    <t>TO73_0706</t>
  </si>
  <si>
    <t>phosphate starvation-inducible protein PhoH, predicted ATPase</t>
  </si>
  <si>
    <t>ALJ90562.1</t>
  </si>
  <si>
    <t>TO73_0707</t>
  </si>
  <si>
    <t>ALJ90563.1</t>
  </si>
  <si>
    <t>TO73_0708</t>
  </si>
  <si>
    <t>ALJ90564.1</t>
  </si>
  <si>
    <t>TO73_0709</t>
  </si>
  <si>
    <t>ALJ90565.1</t>
  </si>
  <si>
    <t>TO73_0710</t>
  </si>
  <si>
    <t>shikimate 5-dehydrogenase I alpha</t>
  </si>
  <si>
    <t>ALJ90566.1</t>
  </si>
  <si>
    <t>TO73_0711</t>
  </si>
  <si>
    <t>DNA polymerase I</t>
  </si>
  <si>
    <t>ALJ90567.1</t>
  </si>
  <si>
    <t>TO73_0712</t>
  </si>
  <si>
    <t>ALJ90568.1</t>
  </si>
  <si>
    <t>TO73_0713</t>
  </si>
  <si>
    <t>ALJ90569.1</t>
  </si>
  <si>
    <t>TO73_0714</t>
  </si>
  <si>
    <t>ribosome-binding factor A</t>
  </si>
  <si>
    <t>ALJ90570.1</t>
  </si>
  <si>
    <t>TO73_0715</t>
  </si>
  <si>
    <t>4-hydroxybenzoyl-CoA thioesterase family active site</t>
  </si>
  <si>
    <t>ALJ90571.1</t>
  </si>
  <si>
    <t>TO73_0716</t>
  </si>
  <si>
    <t>acetylornithine aminotransferase</t>
  </si>
  <si>
    <t>ALJ90572.1</t>
  </si>
  <si>
    <t>TO73_0717</t>
  </si>
  <si>
    <t>3'-to-5' exoribonuclease RNase R</t>
  </si>
  <si>
    <t>ALJ90573.1</t>
  </si>
  <si>
    <t>TO73_0718</t>
  </si>
  <si>
    <t>ALJ90574.1</t>
  </si>
  <si>
    <t>TO73_0719</t>
  </si>
  <si>
    <t>tRNA nucleotidyltransferase, CC-adding</t>
  </si>
  <si>
    <t>ALJ90575.1</t>
  </si>
  <si>
    <t>TO73_0720</t>
  </si>
  <si>
    <t>Dephospho-CoA kinase</t>
  </si>
  <si>
    <t>ALJ90576.1</t>
  </si>
  <si>
    <t>TO73_0721</t>
  </si>
  <si>
    <t>short-chain dehydrogenase/reductase SDR</t>
  </si>
  <si>
    <t>ALJ90577.1</t>
  </si>
  <si>
    <t>TO73_0722</t>
  </si>
  <si>
    <t>sulfur acceptor protein SufE for iron-sulfur cluster assembly</t>
  </si>
  <si>
    <t>ALJ90578.1</t>
  </si>
  <si>
    <t>TO73_0723</t>
  </si>
  <si>
    <t>acyl-phosphate:glycerol-3-phosphate O-acyltransferase PlsY</t>
  </si>
  <si>
    <t>ALJ90579.1</t>
  </si>
  <si>
    <t>TO73_0724</t>
  </si>
  <si>
    <t>ALJ90580.1</t>
  </si>
  <si>
    <t>TO73_0725</t>
  </si>
  <si>
    <t>UDP-glucose 4-epimerase</t>
  </si>
  <si>
    <t>ALJ90581.1</t>
  </si>
  <si>
    <t>TO73_0727</t>
  </si>
  <si>
    <t>alkyl hydroperoxide reductase and/or thiol-specific antioxidant family (AhpC/TSA protein)</t>
  </si>
  <si>
    <t>ALJ90582.1</t>
  </si>
  <si>
    <t>TO73_0728</t>
  </si>
  <si>
    <t>ALJ90583.1</t>
  </si>
  <si>
    <t>TO73_0729</t>
  </si>
  <si>
    <t>UspA domain / CBS domain protein</t>
  </si>
  <si>
    <t>ALJ90584.1</t>
  </si>
  <si>
    <t>TO73_0730</t>
  </si>
  <si>
    <t>cation antiporter</t>
  </si>
  <si>
    <t>ALJ90585.1</t>
  </si>
  <si>
    <t>TO73_0731</t>
  </si>
  <si>
    <t>universal stress protein family</t>
  </si>
  <si>
    <t>ALJ90586.1</t>
  </si>
  <si>
    <t>TO73_0732</t>
  </si>
  <si>
    <t>ribonuclease J2 (endoribonuclease in RNA processing)</t>
  </si>
  <si>
    <t>ALJ90587.1</t>
  </si>
  <si>
    <t>TO73_0733</t>
  </si>
  <si>
    <t>ALJ90588.1</t>
  </si>
  <si>
    <t>TO73_0734</t>
  </si>
  <si>
    <t>SSU ribosomal protein S15p (S13e)</t>
  </si>
  <si>
    <t>ALJ90589.1</t>
  </si>
  <si>
    <t>TO73_0735</t>
  </si>
  <si>
    <t>ALJ90590.1</t>
  </si>
  <si>
    <t>TO73_0736</t>
  </si>
  <si>
    <t>ALJ90591.1</t>
  </si>
  <si>
    <t>TO73_0737</t>
  </si>
  <si>
    <t>cytochrome c oxidase (B(O/a)3)-type chain I</t>
  </si>
  <si>
    <t>ALJ90592.1</t>
  </si>
  <si>
    <t>TO73_0738</t>
  </si>
  <si>
    <t>cytochrome c oxidase (B(O/a)3)-type chain II</t>
  </si>
  <si>
    <t>ALJ90593.1</t>
  </si>
  <si>
    <t>TO73_0739</t>
  </si>
  <si>
    <t>cytochrome c oxidase polypeptide IIA</t>
  </si>
  <si>
    <t>ALJ90594.1</t>
  </si>
  <si>
    <t>TO73_0740</t>
  </si>
  <si>
    <t>gliding motility protein MglA</t>
  </si>
  <si>
    <t>ALJ90595.1</t>
  </si>
  <si>
    <t>TO73_0741</t>
  </si>
  <si>
    <t>ALJ90596.1</t>
  </si>
  <si>
    <t>TO73_0742</t>
  </si>
  <si>
    <t>ALJ90597.1</t>
  </si>
  <si>
    <t>TO73_0743</t>
  </si>
  <si>
    <t>agmatinase</t>
  </si>
  <si>
    <t>ALJ90598.1</t>
  </si>
  <si>
    <t>TO73_0744</t>
  </si>
  <si>
    <t>Dipeptidyl aminopeptidases/acylaminoacyl-peptidase</t>
  </si>
  <si>
    <t>ALJ90599.1</t>
  </si>
  <si>
    <t>TO73_0745</t>
  </si>
  <si>
    <t>ALJ90600.1</t>
  </si>
  <si>
    <t>TO73_0746</t>
  </si>
  <si>
    <t>ALJ90601.1</t>
  </si>
  <si>
    <t>TO73_0747</t>
  </si>
  <si>
    <t>translation elongation factor P</t>
  </si>
  <si>
    <t>ALJ90602.1</t>
  </si>
  <si>
    <t>TO73_0748</t>
  </si>
  <si>
    <t>biotin carboxyl carrier protein of acetyl-CoA carboxylase</t>
  </si>
  <si>
    <t>ALJ90603.1</t>
  </si>
  <si>
    <t>TO73_0749</t>
  </si>
  <si>
    <t>biotin carboxylase of acetyl-CoA carboxylase</t>
  </si>
  <si>
    <t>ALJ90604.1</t>
  </si>
  <si>
    <t>TO73_0750</t>
  </si>
  <si>
    <t>ALJ90605.1</t>
  </si>
  <si>
    <t>TO73_0751</t>
  </si>
  <si>
    <t>transcription termination protein NusB</t>
  </si>
  <si>
    <t>ALJ90606.1</t>
  </si>
  <si>
    <t>TO73_0752</t>
  </si>
  <si>
    <t>methylenetetrahydrofolate dehydrogenase (NADP+) / methenyltetrahydrofolate cyclohydrolase</t>
  </si>
  <si>
    <t>ALJ90607.1</t>
  </si>
  <si>
    <t>TO73_0753</t>
  </si>
  <si>
    <t>ALJ90608.1</t>
  </si>
  <si>
    <t>TO73_0754</t>
  </si>
  <si>
    <t>ALJ90609.1</t>
  </si>
  <si>
    <t>TO73_0755</t>
  </si>
  <si>
    <t>Fe-S oxidoreductase</t>
  </si>
  <si>
    <t>ALJ90610.1</t>
  </si>
  <si>
    <t>TO73_0756</t>
  </si>
  <si>
    <t>ALJ90611.1</t>
  </si>
  <si>
    <t>TO73_0757</t>
  </si>
  <si>
    <t>ferric enterobactin esterase-related protein</t>
  </si>
  <si>
    <t>ALJ90612.1</t>
  </si>
  <si>
    <t>TO73_0758</t>
  </si>
  <si>
    <t>L-lactate dehydrogenase</t>
  </si>
  <si>
    <t>ALJ90613.1</t>
  </si>
  <si>
    <t>TO73_0759</t>
  </si>
  <si>
    <t>ALJ90614.1</t>
  </si>
  <si>
    <t>TO73_0760</t>
  </si>
  <si>
    <t>hypothetical glycine rich membrane protein DUF1517</t>
  </si>
  <si>
    <t>ALJ90615.1</t>
  </si>
  <si>
    <t>TO73_0761</t>
  </si>
  <si>
    <t>ATP-dependent protease La Type I</t>
  </si>
  <si>
    <t>ALJ90616.1</t>
  </si>
  <si>
    <t>TO73_0762</t>
  </si>
  <si>
    <t>putative conserved membrane spanning protein</t>
  </si>
  <si>
    <t>ALJ90617.1</t>
  </si>
  <si>
    <t>TO73_0763</t>
  </si>
  <si>
    <t>ALJ90618.1</t>
  </si>
  <si>
    <t>TO73_0764</t>
  </si>
  <si>
    <t>ALJ90619.1</t>
  </si>
  <si>
    <t>TO73_0765</t>
  </si>
  <si>
    <t>ALJ90620.1</t>
  </si>
  <si>
    <t>TO73_0766</t>
  </si>
  <si>
    <t>ALJ90621.1</t>
  </si>
  <si>
    <t>TO73_0767</t>
  </si>
  <si>
    <t>ALJ90622.1</t>
  </si>
  <si>
    <t>TO73_0768</t>
  </si>
  <si>
    <t>ALJ90623.1</t>
  </si>
  <si>
    <t>TO73_0769</t>
  </si>
  <si>
    <t>ALJ90624.1</t>
  </si>
  <si>
    <t>TO73_0770</t>
  </si>
  <si>
    <t>ALJ90625.1</t>
  </si>
  <si>
    <t>TO73_0771</t>
  </si>
  <si>
    <t>arginine/ornithine antiporter ArcD</t>
  </si>
  <si>
    <t>ALJ90626.1</t>
  </si>
  <si>
    <t>TO73_0772</t>
  </si>
  <si>
    <t>UDP-glucose dehydrogenase</t>
  </si>
  <si>
    <t>ALJ90627.1</t>
  </si>
  <si>
    <t>TO73_0773</t>
  </si>
  <si>
    <t>membrane protein involved in the export of O-antigen and teichoic acid-like</t>
  </si>
  <si>
    <t>ALJ90628.1</t>
  </si>
  <si>
    <t>TO73_0774</t>
  </si>
  <si>
    <t>glycosyl transferase, group 1 family protein</t>
  </si>
  <si>
    <t>ALJ90629.1</t>
  </si>
  <si>
    <t>TO73_0775</t>
  </si>
  <si>
    <t>O-antigen polymerase</t>
  </si>
  <si>
    <t>ALJ90630.1</t>
  </si>
  <si>
    <t>TO73_0776</t>
  </si>
  <si>
    <t>glycosyltransferase</t>
  </si>
  <si>
    <t>ALJ90631.1</t>
  </si>
  <si>
    <t>TO73_0777</t>
  </si>
  <si>
    <t>N-acetylmannosaminyltransferase</t>
  </si>
  <si>
    <t>ALJ90632.1</t>
  </si>
  <si>
    <t>TO73_0778</t>
  </si>
  <si>
    <t>GDP-mannose 4,6-dehydratase</t>
  </si>
  <si>
    <t>ALJ90633.1</t>
  </si>
  <si>
    <t>TO73_0779</t>
  </si>
  <si>
    <t>GDP-L-fucose synthetase</t>
  </si>
  <si>
    <t>ALJ90634.1</t>
  </si>
  <si>
    <t>TO73_0780</t>
  </si>
  <si>
    <t>ALJ90635.1</t>
  </si>
  <si>
    <t>TO73_0781</t>
  </si>
  <si>
    <t>mannose-6 phosphate isomerase</t>
  </si>
  <si>
    <t>ALJ90636.1</t>
  </si>
  <si>
    <t>TO73_0782</t>
  </si>
  <si>
    <t>ALJ90637.1</t>
  </si>
  <si>
    <t>TO73_0783</t>
  </si>
  <si>
    <t>ALJ90638.1</t>
  </si>
  <si>
    <t>TO73_0784</t>
  </si>
  <si>
    <t>UDP-glucose 6-dehydrogenase</t>
  </si>
  <si>
    <t>ALJ90639.1</t>
  </si>
  <si>
    <t>TO73_0785</t>
  </si>
  <si>
    <t>undecaprenyl-phosphate galactosephosphotransferase</t>
  </si>
  <si>
    <t>ALJ90640.1</t>
  </si>
  <si>
    <t>TO73_0786</t>
  </si>
  <si>
    <t>Exonuclease SbcC</t>
  </si>
  <si>
    <t>ALJ90641.1</t>
  </si>
  <si>
    <t>TO73_0787</t>
  </si>
  <si>
    <t>ALJ90642.1</t>
  </si>
  <si>
    <t>TO73_0788</t>
  </si>
  <si>
    <t>ALJ90643.1</t>
  </si>
  <si>
    <t>TO73_0789</t>
  </si>
  <si>
    <t>Mg-chelase associated protein with vWA domain</t>
  </si>
  <si>
    <t>ALJ90644.1</t>
  </si>
  <si>
    <t>TO73_0790</t>
  </si>
  <si>
    <t>ALJ90645.1</t>
  </si>
  <si>
    <t>TO73_0791</t>
  </si>
  <si>
    <t>ALJ90646.1</t>
  </si>
  <si>
    <t>TO73_0792</t>
  </si>
  <si>
    <t>magnesium chelatase, subunit ChlI</t>
  </si>
  <si>
    <t>ALJ90647.1</t>
  </si>
  <si>
    <t>TO73_0793</t>
  </si>
  <si>
    <t>ATP-dependent protease HslV</t>
  </si>
  <si>
    <t>ALJ90648.1</t>
  </si>
  <si>
    <t>TO73_0794</t>
  </si>
  <si>
    <t>ATP-dependent Hsl protease ATP-binding subunit HslU</t>
  </si>
  <si>
    <t>ALJ90649.1</t>
  </si>
  <si>
    <t>TO73_0795</t>
  </si>
  <si>
    <t>TPR repeat:TPR repeat:TPR repeat precursor</t>
  </si>
  <si>
    <t>ALJ90650.1</t>
  </si>
  <si>
    <t>TO73_0796</t>
  </si>
  <si>
    <t>twin-arginine translocation protein TatA</t>
  </si>
  <si>
    <t>ALJ90651.1</t>
  </si>
  <si>
    <t>TO73_0797</t>
  </si>
  <si>
    <t>tRNA-Pro</t>
  </si>
  <si>
    <t>TO73_0798</t>
  </si>
  <si>
    <t>TO73_0800</t>
  </si>
  <si>
    <t>TO73_0802</t>
  </si>
  <si>
    <t>transposase</t>
  </si>
  <si>
    <t>ALJ90652.1</t>
  </si>
  <si>
    <t>TO73_0804</t>
  </si>
  <si>
    <t>ALJ90653.1</t>
  </si>
  <si>
    <t>TO73_0805</t>
  </si>
  <si>
    <t>ALJ90654.1</t>
  </si>
  <si>
    <t>TO73_0806</t>
  </si>
  <si>
    <t>adenine-specific methyltransferase</t>
  </si>
  <si>
    <t>ALJ90655.1</t>
  </si>
  <si>
    <t>TO73_0807</t>
  </si>
  <si>
    <t>ALJ90656.1</t>
  </si>
  <si>
    <t>TO73_0808</t>
  </si>
  <si>
    <t>ALJ90657.1</t>
  </si>
  <si>
    <t>TO73_0809</t>
  </si>
  <si>
    <t>ALJ90658.1</t>
  </si>
  <si>
    <t>TO73_0810</t>
  </si>
  <si>
    <t>ALJ90659.1</t>
  </si>
  <si>
    <t>TO73_0811</t>
  </si>
  <si>
    <t>ALJ90660.1</t>
  </si>
  <si>
    <t>TO73_0812</t>
  </si>
  <si>
    <t>ALJ90661.1</t>
  </si>
  <si>
    <t>TO73_0813</t>
  </si>
  <si>
    <t>ALJ90662.1</t>
  </si>
  <si>
    <t>TO73_0814</t>
  </si>
  <si>
    <t>DNA primase, phage-associated</t>
  </si>
  <si>
    <t>ALJ90663.1</t>
  </si>
  <si>
    <t>TO73_0815</t>
  </si>
  <si>
    <t>phage recombination protein Bet</t>
  </si>
  <si>
    <t>ALJ90664.1</t>
  </si>
  <si>
    <t>TO73_0816</t>
  </si>
  <si>
    <t>ALJ90665.1</t>
  </si>
  <si>
    <t>TO73_0817</t>
  </si>
  <si>
    <t>ALJ90666.1</t>
  </si>
  <si>
    <t>TO73_0818</t>
  </si>
  <si>
    <t>ALJ90667.1</t>
  </si>
  <si>
    <t>TO73_0819</t>
  </si>
  <si>
    <t>ALJ90668.1</t>
  </si>
  <si>
    <t>TO73_0820</t>
  </si>
  <si>
    <t>ALJ90669.1</t>
  </si>
  <si>
    <t>TO73_0821</t>
  </si>
  <si>
    <t>ALJ90670.1</t>
  </si>
  <si>
    <t>TO73_0822</t>
  </si>
  <si>
    <t>ALJ90671.1</t>
  </si>
  <si>
    <t>TO73_0823</t>
  </si>
  <si>
    <t>ALJ90672.1</t>
  </si>
  <si>
    <t>TO73_0824</t>
  </si>
  <si>
    <t>ALJ90673.1</t>
  </si>
  <si>
    <t>TO73_0825</t>
  </si>
  <si>
    <t>DNA-binding protein</t>
  </si>
  <si>
    <t>ALJ90674.1</t>
  </si>
  <si>
    <t>TO73_0826</t>
  </si>
  <si>
    <t>tRNA-Ile</t>
  </si>
  <si>
    <t>TO73_0827</t>
  </si>
  <si>
    <t>ALJ90675.1</t>
  </si>
  <si>
    <t>TO73_0829</t>
  </si>
  <si>
    <t>ALJ90676.1</t>
  </si>
  <si>
    <t>TO73_0830</t>
  </si>
  <si>
    <t>3-ketoacyl-CoA thiolase / acetyl-CoA acetyltransferase</t>
  </si>
  <si>
    <t>ALJ90677.1</t>
  </si>
  <si>
    <t>TO73_0831</t>
  </si>
  <si>
    <t>3-hydroxyacyl-CoA dehydrogenase</t>
  </si>
  <si>
    <t>ALJ90678.1</t>
  </si>
  <si>
    <t>TO73_0832</t>
  </si>
  <si>
    <t>alpha-methylacyl-CoA racemase</t>
  </si>
  <si>
    <t>ALJ90679.1</t>
  </si>
  <si>
    <t>TO73_0833</t>
  </si>
  <si>
    <t>assimilatory nitrate reductase large subunit</t>
  </si>
  <si>
    <t>ALJ90680.1</t>
  </si>
  <si>
    <t>TO73_0834</t>
  </si>
  <si>
    <t>arsenite oxidase small subunit precursor</t>
  </si>
  <si>
    <t>ALJ90681.1</t>
  </si>
  <si>
    <t>TO73_0835</t>
  </si>
  <si>
    <t>arsenical resistance operon repressor</t>
  </si>
  <si>
    <t>ALJ90682.1</t>
  </si>
  <si>
    <t>TO73_0836</t>
  </si>
  <si>
    <t>ABC transporter ATP-binding protein</t>
  </si>
  <si>
    <t>ALJ90683.1</t>
  </si>
  <si>
    <t>TO73_0837</t>
  </si>
  <si>
    <t>inositol transport system permease protein</t>
  </si>
  <si>
    <t>ALJ90684.1</t>
  </si>
  <si>
    <t>TO73_0838</t>
  </si>
  <si>
    <t>nucleoside ABC transporter, permease protein 2</t>
  </si>
  <si>
    <t>ALJ90685.1</t>
  </si>
  <si>
    <t>TO73_0839</t>
  </si>
  <si>
    <t>nucleoside ABC transporter, periplasmic nucleoside-binding protein</t>
  </si>
  <si>
    <t>ALJ90686.1</t>
  </si>
  <si>
    <t>TO73_0840</t>
  </si>
  <si>
    <t>gamma-aminobutyrate:alpha-ketoglutarate aminotransferase</t>
  </si>
  <si>
    <t>ALJ90687.1</t>
  </si>
  <si>
    <t>TO73_0841</t>
  </si>
  <si>
    <t>ADP-ribose pyrophosphatase</t>
  </si>
  <si>
    <t>ALJ90688.1</t>
  </si>
  <si>
    <t>TO73_0842</t>
  </si>
  <si>
    <t>ALJ90689.1</t>
  </si>
  <si>
    <t>TO73_0843</t>
  </si>
  <si>
    <t>IMP cyclohydrolase / phosphoribosylaminoimidazolecarboxamide formyltransferase</t>
  </si>
  <si>
    <t>ALJ90690.1</t>
  </si>
  <si>
    <t>TO73_0844</t>
  </si>
  <si>
    <t>omega-(3) fatty acid desaturase</t>
  </si>
  <si>
    <t>ALJ90691.1</t>
  </si>
  <si>
    <t>TO73_0845</t>
  </si>
  <si>
    <t>D-tyrosyl-tRNA(Tyr) deacylase</t>
  </si>
  <si>
    <t>ALJ90692.1</t>
  </si>
  <si>
    <t>TO73_0846</t>
  </si>
  <si>
    <t>ALJ90693.1</t>
  </si>
  <si>
    <t>TO73_0847</t>
  </si>
  <si>
    <t>ALJ90694.1</t>
  </si>
  <si>
    <t>TO73_0848</t>
  </si>
  <si>
    <t>ALJ90695.1</t>
  </si>
  <si>
    <t>TO73_0849</t>
  </si>
  <si>
    <t>dipeptide transport system permease protein DppC</t>
  </si>
  <si>
    <t>ALJ90696.1</t>
  </si>
  <si>
    <t>TO73_0850</t>
  </si>
  <si>
    <t>ALJ90697.1</t>
  </si>
  <si>
    <t>TO73_0851</t>
  </si>
  <si>
    <t>Diaminopimelate decarboxylase</t>
  </si>
  <si>
    <t>ALJ90698.1</t>
  </si>
  <si>
    <t>TO73_0852</t>
  </si>
  <si>
    <t>ALJ90699.1</t>
  </si>
  <si>
    <t>TO73_0853</t>
  </si>
  <si>
    <t>N-acetylglucosamine-6-phosphate deacetylase</t>
  </si>
  <si>
    <t>ALJ90700.1</t>
  </si>
  <si>
    <t>TO73_0854</t>
  </si>
  <si>
    <t>ALJ90701.1</t>
  </si>
  <si>
    <t>TO73_0855</t>
  </si>
  <si>
    <t>ALJ90702.1</t>
  </si>
  <si>
    <t>TO73_0856</t>
  </si>
  <si>
    <t>lactam utilization protein LamB</t>
  </si>
  <si>
    <t>ALJ90703.1</t>
  </si>
  <si>
    <t>TO73_0857</t>
  </si>
  <si>
    <t>pyruvate phosphate dikinase</t>
  </si>
  <si>
    <t>ALJ90704.1</t>
  </si>
  <si>
    <t>TO73_2403</t>
  </si>
  <si>
    <t>cobyric acid synthase / adenosylcobinamide-phosphate guanylyltransferase</t>
  </si>
  <si>
    <t>ALJ90705.1</t>
  </si>
  <si>
    <t>TO73_0858</t>
  </si>
  <si>
    <t>ALJ90706.1</t>
  </si>
  <si>
    <t>TO73_0859</t>
  </si>
  <si>
    <t>ALJ90707.1</t>
  </si>
  <si>
    <t>TO73_0860</t>
  </si>
  <si>
    <t>L-threonine 3-O-phosphate decarboxylase</t>
  </si>
  <si>
    <t>ALJ90708.1</t>
  </si>
  <si>
    <t>TO73_0861</t>
  </si>
  <si>
    <t>fructose-1,6-bisphosphatase, type V, archaeal</t>
  </si>
  <si>
    <t>ALJ90709.1</t>
  </si>
  <si>
    <t>TO73_0862</t>
  </si>
  <si>
    <t>nucleotidyltransferase</t>
  </si>
  <si>
    <t>ALJ90710.1</t>
  </si>
  <si>
    <t>TO73_0863</t>
  </si>
  <si>
    <t>HEPN domain-containing protein</t>
  </si>
  <si>
    <t>ALJ90711.1</t>
  </si>
  <si>
    <t>TO73_2404</t>
  </si>
  <si>
    <t>adenosylcobinamide-phosphate synthase</t>
  </si>
  <si>
    <t>ALJ90712.1</t>
  </si>
  <si>
    <t>TO73_0864</t>
  </si>
  <si>
    <t>alpha-ribazole-5'-phosphate phosphatase</t>
  </si>
  <si>
    <t>ALJ90713.1</t>
  </si>
  <si>
    <t>TO73_0865</t>
  </si>
  <si>
    <t>nicotinate-nucleotide--dimethylbenzimidazole phosphoribosyltransferase</t>
  </si>
  <si>
    <t>ALJ90714.1</t>
  </si>
  <si>
    <t>TO73_0866</t>
  </si>
  <si>
    <t>PlcB</t>
  </si>
  <si>
    <t>ALJ90715.1</t>
  </si>
  <si>
    <t>TO73_0867</t>
  </si>
  <si>
    <t>cobalamin synthase</t>
  </si>
  <si>
    <t>ALJ90716.1</t>
  </si>
  <si>
    <t>TO73_0868</t>
  </si>
  <si>
    <t>cob(I)alamin adenosyltransferase</t>
  </si>
  <si>
    <t>ALJ90717.1</t>
  </si>
  <si>
    <t>TO73_0869</t>
  </si>
  <si>
    <t>globin domain</t>
  </si>
  <si>
    <t>ALJ90718.1</t>
  </si>
  <si>
    <t>TO73_0870</t>
  </si>
  <si>
    <t>cobyrinic acid A,C-diamide synthase</t>
  </si>
  <si>
    <t>ALJ90719.1</t>
  </si>
  <si>
    <t>TO73_0871</t>
  </si>
  <si>
    <t>sulfate adenylyltransferase, dissimilatory-type</t>
  </si>
  <si>
    <t>ALJ90720.1</t>
  </si>
  <si>
    <t>TO73_0872</t>
  </si>
  <si>
    <t>uroporphyrinogen-III methyltransferase</t>
  </si>
  <si>
    <t>ALJ90721.1</t>
  </si>
  <si>
    <t>TO73_0873</t>
  </si>
  <si>
    <t>putative sulfate permease</t>
  </si>
  <si>
    <t>ALJ90722.1</t>
  </si>
  <si>
    <t>TO73_0874</t>
  </si>
  <si>
    <t>phosphoadenylyl-sulfate reductase (thioredoxin) / adenylyl-sulfate reductase (thioredoxin)</t>
  </si>
  <si>
    <t>ALJ90723.1</t>
  </si>
  <si>
    <t>TO73_0875</t>
  </si>
  <si>
    <t>siroheme synthase / precorrin-2 oxidase / sirohydrochlorin ferrochelatase</t>
  </si>
  <si>
    <t>ALJ90724.1</t>
  </si>
  <si>
    <t>TO73_0876</t>
  </si>
  <si>
    <t>ALJ90725.1</t>
  </si>
  <si>
    <t>TO73_0877</t>
  </si>
  <si>
    <t>ferredoxin-sulfite reductase</t>
  </si>
  <si>
    <t>ALJ90726.1</t>
  </si>
  <si>
    <t>TO73_0878</t>
  </si>
  <si>
    <t>ALJ90727.1</t>
  </si>
  <si>
    <t>TO73_0879</t>
  </si>
  <si>
    <t>ALJ90728.1</t>
  </si>
  <si>
    <t>TO73_0880</t>
  </si>
  <si>
    <t>heme ABC transporter, ATPase component HmuV</t>
  </si>
  <si>
    <t>ALJ90729.1</t>
  </si>
  <si>
    <t>TO73_0881</t>
  </si>
  <si>
    <t>hemin ABC transporter, permease protein</t>
  </si>
  <si>
    <t>ALJ90730.1</t>
  </si>
  <si>
    <t>TO73_0882</t>
  </si>
  <si>
    <t>heme ABC transporter, cell surface heme and hemoprotein receptor HmuT</t>
  </si>
  <si>
    <t>ALJ90731.1</t>
  </si>
  <si>
    <t>TO73_0883</t>
  </si>
  <si>
    <t>thiamin-phosphate pyrophosphorylase</t>
  </si>
  <si>
    <t>ALJ90732.1</t>
  </si>
  <si>
    <t>TO73_0884</t>
  </si>
  <si>
    <t>sulfur carrier protein ThiS</t>
  </si>
  <si>
    <t>ALJ90733.1</t>
  </si>
  <si>
    <t>TO73_0885</t>
  </si>
  <si>
    <t>thiazole biosynthesis protein ThiG</t>
  </si>
  <si>
    <t>ALJ90734.1</t>
  </si>
  <si>
    <t>TO73_0886</t>
  </si>
  <si>
    <t>glycine oxidase ThiO</t>
  </si>
  <si>
    <t>ALJ90735.1</t>
  </si>
  <si>
    <t>TO73_0887</t>
  </si>
  <si>
    <t>hydroxymethylpyrimidine phosphate synthase ThiC</t>
  </si>
  <si>
    <t>ALJ90736.1</t>
  </si>
  <si>
    <t>TO73_0888</t>
  </si>
  <si>
    <t>hydroxymethylpyrimidine phosphate kinase ThiD</t>
  </si>
  <si>
    <t>ALJ90737.1</t>
  </si>
  <si>
    <t>TO73_0889</t>
  </si>
  <si>
    <t>glycogen debranching enzyme</t>
  </si>
  <si>
    <t>ALJ90738.1</t>
  </si>
  <si>
    <t>TO73_0890</t>
  </si>
  <si>
    <t>N-acetyl-D-glucosamine ABC transport system, permease protein 2</t>
  </si>
  <si>
    <t>ALJ90739.1</t>
  </si>
  <si>
    <t>TO73_0891</t>
  </si>
  <si>
    <t>N-acetyl-D-glucosamine ABC transport system, permease protein 1</t>
  </si>
  <si>
    <t>ALJ90740.1</t>
  </si>
  <si>
    <t>TO73_0892</t>
  </si>
  <si>
    <t>Extracellular solute-binding protein, family 1</t>
  </si>
  <si>
    <t>ALJ90741.1</t>
  </si>
  <si>
    <t>TO73_0893</t>
  </si>
  <si>
    <t>ribose operon repressor</t>
  </si>
  <si>
    <t>ALJ90742.1</t>
  </si>
  <si>
    <t>TO73_0894</t>
  </si>
  <si>
    <t>ALJ90743.1</t>
  </si>
  <si>
    <t>TO73_0895</t>
  </si>
  <si>
    <t>ALJ90744.1</t>
  </si>
  <si>
    <t>TO73_0896</t>
  </si>
  <si>
    <t>mannose-6-phosphate isomerase</t>
  </si>
  <si>
    <t>ALJ90745.1</t>
  </si>
  <si>
    <t>TO73_0897</t>
  </si>
  <si>
    <t>ALJ90746.1</t>
  </si>
  <si>
    <t>TO73_0898</t>
  </si>
  <si>
    <t>ALJ90747.1</t>
  </si>
  <si>
    <t>TO73_0899</t>
  </si>
  <si>
    <t>ALJ90748.1</t>
  </si>
  <si>
    <t>TO73_0900</t>
  </si>
  <si>
    <t>TRAP-type uncharacterized transport system periplasmic component-like protein</t>
  </si>
  <si>
    <t>ALJ90749.1</t>
  </si>
  <si>
    <t>TO73_0901</t>
  </si>
  <si>
    <t>TRAP transporter, 4TM/12TM fusion protein, unknown substrate 2</t>
  </si>
  <si>
    <t>ALJ90750.1</t>
  </si>
  <si>
    <t>TO73_0902</t>
  </si>
  <si>
    <t>ALJ90751.1</t>
  </si>
  <si>
    <t>TO73_0903</t>
  </si>
  <si>
    <t>ALJ90752.1</t>
  </si>
  <si>
    <t>TO73_0904</t>
  </si>
  <si>
    <t>ALJ90753.1</t>
  </si>
  <si>
    <t>TO73_0905</t>
  </si>
  <si>
    <t>ALJ90754.1</t>
  </si>
  <si>
    <t>TO73_0906</t>
  </si>
  <si>
    <t>ALJ90755.1</t>
  </si>
  <si>
    <t>TO73_0907</t>
  </si>
  <si>
    <t>ALJ90756.1</t>
  </si>
  <si>
    <t>TO73_0908</t>
  </si>
  <si>
    <t>ALJ90757.1</t>
  </si>
  <si>
    <t>TO73_0909</t>
  </si>
  <si>
    <t>ALJ90758.1</t>
  </si>
  <si>
    <t>TO73_0910</t>
  </si>
  <si>
    <t>ALJ90759.1</t>
  </si>
  <si>
    <t>TO73_0911</t>
  </si>
  <si>
    <t>ALJ90760.1</t>
  </si>
  <si>
    <t>TO73_0912</t>
  </si>
  <si>
    <t>putative branched-chain amino acid ABC transporter (substrate-binding protein)</t>
  </si>
  <si>
    <t>ALJ90761.1</t>
  </si>
  <si>
    <t>TO73_0913</t>
  </si>
  <si>
    <t>ALJ90762.1</t>
  </si>
  <si>
    <t>TO73_0914</t>
  </si>
  <si>
    <t>ALJ90763.1</t>
  </si>
  <si>
    <t>TO73_0915</t>
  </si>
  <si>
    <t>ALJ90764.1</t>
  </si>
  <si>
    <t>TO73_0916</t>
  </si>
  <si>
    <t>ALJ90765.1</t>
  </si>
  <si>
    <t>TO73_0917</t>
  </si>
  <si>
    <t>prevent host death protein, Phd antitoxin</t>
  </si>
  <si>
    <t>ALJ90766.1</t>
  </si>
  <si>
    <t>TO73_0918</t>
  </si>
  <si>
    <t>Death on curing protein, Doc toxin</t>
  </si>
  <si>
    <t>ALJ90767.1</t>
  </si>
  <si>
    <t>TO73_0919</t>
  </si>
  <si>
    <t>beta-lactamase</t>
  </si>
  <si>
    <t>ALJ90768.1</t>
  </si>
  <si>
    <t>TO73_0920</t>
  </si>
  <si>
    <t>ALJ90769.1</t>
  </si>
  <si>
    <t>TO73_0921</t>
  </si>
  <si>
    <t>phenylacetic acid degradation-related protein</t>
  </si>
  <si>
    <t>ALJ90770.1</t>
  </si>
  <si>
    <t>TO73_0922</t>
  </si>
  <si>
    <t>medium-chain-fatty-acid--CoA ligase</t>
  </si>
  <si>
    <t>ALJ90771.1</t>
  </si>
  <si>
    <t>TO73_0923</t>
  </si>
  <si>
    <t>ALJ90772.1</t>
  </si>
  <si>
    <t>TO73_0924</t>
  </si>
  <si>
    <t>ALJ90773.1</t>
  </si>
  <si>
    <t>TO73_0925</t>
  </si>
  <si>
    <t>ALJ90774.1</t>
  </si>
  <si>
    <t>TO73_0926</t>
  </si>
  <si>
    <t>ALJ90775.1</t>
  </si>
  <si>
    <t>TO73_0927</t>
  </si>
  <si>
    <t>3-oxoacyl-[ACP] synthase III in alkane synthesis cluster</t>
  </si>
  <si>
    <t>ALJ90776.1</t>
  </si>
  <si>
    <t>TO73_0928</t>
  </si>
  <si>
    <t>O-succinylbenzoic acid--CoA ligase</t>
  </si>
  <si>
    <t>ALJ90777.1</t>
  </si>
  <si>
    <t>TO73_0929</t>
  </si>
  <si>
    <t>N-formylglutamate deformylase</t>
  </si>
  <si>
    <t>ALJ90778.1</t>
  </si>
  <si>
    <t>TO73_0930</t>
  </si>
  <si>
    <t>ALJ90779.1</t>
  </si>
  <si>
    <t>TO73_0931</t>
  </si>
  <si>
    <t>phosphate acetyltransferase</t>
  </si>
  <si>
    <t>ALJ90780.1</t>
  </si>
  <si>
    <t>TO73_0932</t>
  </si>
  <si>
    <t>leucine-, isoleucine-, valine-, threonine-, and alanine-binding protein</t>
  </si>
  <si>
    <t>ALJ90781.1</t>
  </si>
  <si>
    <t>TO73_0933</t>
  </si>
  <si>
    <t>ALJ90782.1</t>
  </si>
  <si>
    <t>TO73_0934</t>
  </si>
  <si>
    <t>branched amino acid transport system permease</t>
  </si>
  <si>
    <t>ALJ90783.1</t>
  </si>
  <si>
    <t>TO73_0935</t>
  </si>
  <si>
    <t>ALJ90784.1</t>
  </si>
  <si>
    <t>TO73_0936</t>
  </si>
  <si>
    <t>ALJ90785.1</t>
  </si>
  <si>
    <t>TO73_0937</t>
  </si>
  <si>
    <t>D-beta-hydroxybutyrate dehydrogenase</t>
  </si>
  <si>
    <t>ALJ90786.1</t>
  </si>
  <si>
    <t>TO73_0938</t>
  </si>
  <si>
    <t>phosphohistidine phosphatase SixA</t>
  </si>
  <si>
    <t>ALJ90787.1</t>
  </si>
  <si>
    <t>TO73_0939</t>
  </si>
  <si>
    <t>adenylate cyclase</t>
  </si>
  <si>
    <t>ALJ90788.1</t>
  </si>
  <si>
    <t>TO73_0940</t>
  </si>
  <si>
    <t>pyruvate kinase family protein</t>
  </si>
  <si>
    <t>ALJ90789.1</t>
  </si>
  <si>
    <t>TO73_0941</t>
  </si>
  <si>
    <t>ALJ90790.1</t>
  </si>
  <si>
    <t>TO73_0942</t>
  </si>
  <si>
    <t>ALJ90791.1</t>
  </si>
  <si>
    <t>TO73_0943</t>
  </si>
  <si>
    <t>glycerol-3-phosphate ABC transporter, periplasmic glycerol-3-phosphate-binding protein</t>
  </si>
  <si>
    <t>ALJ90792.1</t>
  </si>
  <si>
    <t>TO73_0944</t>
  </si>
  <si>
    <t>glycerol-3-phosphate ABC transporter, permease protein UgpE</t>
  </si>
  <si>
    <t>ALJ90793.1</t>
  </si>
  <si>
    <t>TO73_0945</t>
  </si>
  <si>
    <t>glycerol-3-phosphate ABC transporter, permease protein UgpA</t>
  </si>
  <si>
    <t>ALJ90794.1</t>
  </si>
  <si>
    <t>TO73_0946</t>
  </si>
  <si>
    <t>ALJ90795.1</t>
  </si>
  <si>
    <t>TO73_0947</t>
  </si>
  <si>
    <t>ALJ90796.1</t>
  </si>
  <si>
    <t>TO73_0948</t>
  </si>
  <si>
    <t>putative glycosyl transferase</t>
  </si>
  <si>
    <t>ALJ90797.1</t>
  </si>
  <si>
    <t>TO73_0949</t>
  </si>
  <si>
    <t>alkaline phosphatase</t>
  </si>
  <si>
    <t>ALJ90798.1</t>
  </si>
  <si>
    <t>TO73_0950</t>
  </si>
  <si>
    <t>aquaporin Z</t>
  </si>
  <si>
    <t>ALJ90799.1</t>
  </si>
  <si>
    <t>TO73_0951</t>
  </si>
  <si>
    <t>ALJ90800.1</t>
  </si>
  <si>
    <t>TO73_0952</t>
  </si>
  <si>
    <t>ALJ90801.1</t>
  </si>
  <si>
    <t>TO73_0953</t>
  </si>
  <si>
    <t>ALJ90802.1</t>
  </si>
  <si>
    <t>TO73_0954</t>
  </si>
  <si>
    <t>ALJ90803.1</t>
  </si>
  <si>
    <t>TO73_0955</t>
  </si>
  <si>
    <t>ALJ90804.1</t>
  </si>
  <si>
    <t>TO73_0956</t>
  </si>
  <si>
    <t>ALJ90805.1</t>
  </si>
  <si>
    <t>TO73_0957</t>
  </si>
  <si>
    <t>ALJ90806.1</t>
  </si>
  <si>
    <t>TO73_0958</t>
  </si>
  <si>
    <t>ALJ90807.1</t>
  </si>
  <si>
    <t>TO73_0959</t>
  </si>
  <si>
    <t>ALJ90808.1</t>
  </si>
  <si>
    <t>TO73_0960</t>
  </si>
  <si>
    <t>ALJ90809.1</t>
  </si>
  <si>
    <t>TO73_0961</t>
  </si>
  <si>
    <t>ALJ90810.1</t>
  </si>
  <si>
    <t>TO73_0962</t>
  </si>
  <si>
    <t>ALJ90811.1</t>
  </si>
  <si>
    <t>TO73_0963</t>
  </si>
  <si>
    <t>ALJ90812.1</t>
  </si>
  <si>
    <t>TO73_0964</t>
  </si>
  <si>
    <t>ALJ90813.1</t>
  </si>
  <si>
    <t>TO73_0965</t>
  </si>
  <si>
    <t>putative internalin</t>
  </si>
  <si>
    <t>ALJ90814.1</t>
  </si>
  <si>
    <t>TO73_0966</t>
  </si>
  <si>
    <t>ALJ90815.1</t>
  </si>
  <si>
    <t>TO73_0967</t>
  </si>
  <si>
    <t>ALJ90816.1</t>
  </si>
  <si>
    <t>TO73_0968</t>
  </si>
  <si>
    <t>ALJ90817.1</t>
  </si>
  <si>
    <t>TO73_0969</t>
  </si>
  <si>
    <t>MaoC-related acyl dehydratase</t>
  </si>
  <si>
    <t>ALJ90818.1</t>
  </si>
  <si>
    <t>TO73_0970</t>
  </si>
  <si>
    <t>ALJ90819.1</t>
  </si>
  <si>
    <t>TO73_0971</t>
  </si>
  <si>
    <t>bacterioferritin</t>
  </si>
  <si>
    <t>ALJ90820.1</t>
  </si>
  <si>
    <t>TO73_0972</t>
  </si>
  <si>
    <t>transcriptional regulator, HxlR family</t>
  </si>
  <si>
    <t>ALJ90821.1</t>
  </si>
  <si>
    <t>TO73_0973</t>
  </si>
  <si>
    <t>DNA integration/recombination/inversion protein</t>
  </si>
  <si>
    <t>ALJ90822.1</t>
  </si>
  <si>
    <t>TO73_0974</t>
  </si>
  <si>
    <t>ALJ90823.1</t>
  </si>
  <si>
    <t>TO73_0975</t>
  </si>
  <si>
    <t>ALJ90824.1</t>
  </si>
  <si>
    <t>TO73_0976</t>
  </si>
  <si>
    <t>fructokinase</t>
  </si>
  <si>
    <t>ALJ90825.1</t>
  </si>
  <si>
    <t>TO73_0977</t>
  </si>
  <si>
    <t>ALJ90826.1</t>
  </si>
  <si>
    <t>TO73_0978</t>
  </si>
  <si>
    <t>ALJ90827.1</t>
  </si>
  <si>
    <t>TO73_0979</t>
  </si>
  <si>
    <t>CRISPR-associated protein, Csd2/Csh2 family</t>
  </si>
  <si>
    <t>ALJ90828.1</t>
  </si>
  <si>
    <t>TO73_0980</t>
  </si>
  <si>
    <t>CRISPR-associated protein, Csh1 family</t>
  </si>
  <si>
    <t>ALJ90829.1</t>
  </si>
  <si>
    <t>TO73_0981</t>
  </si>
  <si>
    <t>CRISPR repeat RNA endoribonuclease Cas6</t>
  </si>
  <si>
    <t>ALJ90830.1</t>
  </si>
  <si>
    <t>TO73_0982</t>
  </si>
  <si>
    <t>CRISPR-associated helicase Cas3</t>
  </si>
  <si>
    <t>ALJ90831.1</t>
  </si>
  <si>
    <t>TO73_0983</t>
  </si>
  <si>
    <t>CRISPR-associated RecB family exonuclease Cas4a</t>
  </si>
  <si>
    <t>ALJ90832.1</t>
  </si>
  <si>
    <t>TO73_0984</t>
  </si>
  <si>
    <t>ALJ90833.1</t>
  </si>
  <si>
    <t>TO73_0985</t>
  </si>
  <si>
    <t>ALJ90834.1</t>
  </si>
  <si>
    <t>TO73_0986</t>
  </si>
  <si>
    <t>phenylacetate-CoA oxygenase, PaaG subunit</t>
  </si>
  <si>
    <t>ALJ90835.1</t>
  </si>
  <si>
    <t>TO73_0987</t>
  </si>
  <si>
    <t>phenylacetate-CoA oxygenase, PaaH2 subunit</t>
  </si>
  <si>
    <t>ALJ90836.1</t>
  </si>
  <si>
    <t>TO73_0988</t>
  </si>
  <si>
    <t>phenylacetate-CoA oxygenase, PaaI subunit</t>
  </si>
  <si>
    <t>ALJ90837.1</t>
  </si>
  <si>
    <t>TO73_0989</t>
  </si>
  <si>
    <t>phenylacetate-CoA oxygenase, PaaJ subunit</t>
  </si>
  <si>
    <t>ALJ90838.1</t>
  </si>
  <si>
    <t>TO73_0990</t>
  </si>
  <si>
    <t>phenylacetic acid degradation protein PaaN, ring-opening aldehyde dehydrogenase</t>
  </si>
  <si>
    <t>ALJ90839.1</t>
  </si>
  <si>
    <t>TO73_0991</t>
  </si>
  <si>
    <t>ALJ90840.1</t>
  </si>
  <si>
    <t>TO73_0992</t>
  </si>
  <si>
    <t>ALJ90841.1</t>
  </si>
  <si>
    <t>TO73_0993</t>
  </si>
  <si>
    <t>phenylacetate--CoA ligase</t>
  </si>
  <si>
    <t>ALJ90842.1</t>
  </si>
  <si>
    <t>TO73_0994</t>
  </si>
  <si>
    <t>phenylacetic acid degradation protein PaaD, thioesterase</t>
  </si>
  <si>
    <t>ALJ90843.1</t>
  </si>
  <si>
    <t>TO73_0995</t>
  </si>
  <si>
    <t>ALJ90844.1</t>
  </si>
  <si>
    <t>TO73_0996</t>
  </si>
  <si>
    <t>ALJ90845.1</t>
  </si>
  <si>
    <t>TO73_0997</t>
  </si>
  <si>
    <t>ALJ90846.1</t>
  </si>
  <si>
    <t>TO73_0998</t>
  </si>
  <si>
    <t>ALJ90847.1</t>
  </si>
  <si>
    <t>TO73_0999</t>
  </si>
  <si>
    <t>3,4-dihydroxyphenylacetate 2,3-dioxygenase</t>
  </si>
  <si>
    <t>ALJ90848.1</t>
  </si>
  <si>
    <t>TO73_1000</t>
  </si>
  <si>
    <t>nitrilotriacetate monooxygenase component B</t>
  </si>
  <si>
    <t>ALJ90849.1</t>
  </si>
  <si>
    <t>TO73_1001</t>
  </si>
  <si>
    <t>4-hydroxyphenylacetate 3-monooxygenase</t>
  </si>
  <si>
    <t>ALJ90850.1</t>
  </si>
  <si>
    <t>TO73_1002</t>
  </si>
  <si>
    <t>5-carboxymethyl-2-hydroxymuconate semialdehyde dehydrogenase</t>
  </si>
  <si>
    <t>ALJ90851.1</t>
  </si>
  <si>
    <t>TO73_1003</t>
  </si>
  <si>
    <t>5-carboxymethyl-2-oxo-hex-3- ene-1,7-dioate decarboxylase</t>
  </si>
  <si>
    <t>ALJ90852.1</t>
  </si>
  <si>
    <t>TO73_1004</t>
  </si>
  <si>
    <t>4-hydroxy-tetrahydrodipicolinate synthase</t>
  </si>
  <si>
    <t>ALJ90853.1</t>
  </si>
  <si>
    <t>TO73_1005</t>
  </si>
  <si>
    <t>ALJ90854.1</t>
  </si>
  <si>
    <t>TO73_1006</t>
  </si>
  <si>
    <t>ALJ90855.1</t>
  </si>
  <si>
    <t>TO73_1007</t>
  </si>
  <si>
    <t>ALJ90856.1</t>
  </si>
  <si>
    <t>TO73_1008</t>
  </si>
  <si>
    <t>sirohydrochlorin cobaltochelatase / putative 2Fe-2S ferredoxin CbiW involved in B12 biosynthesis</t>
  </si>
  <si>
    <t>ALJ90857.1</t>
  </si>
  <si>
    <t>TO73_1009</t>
  </si>
  <si>
    <t>cobalamin biosynthesis protein CbiG</t>
  </si>
  <si>
    <t>ALJ90858.1</t>
  </si>
  <si>
    <t>TO73_1010</t>
  </si>
  <si>
    <t>cobalt-precorrin-3b C17-methyltransferase</t>
  </si>
  <si>
    <t>ALJ90859.1</t>
  </si>
  <si>
    <t>TO73_1011</t>
  </si>
  <si>
    <t>cobalt-precorrin-4 C11-methyltransferase</t>
  </si>
  <si>
    <t>ALJ90860.1</t>
  </si>
  <si>
    <t>TO73_1012</t>
  </si>
  <si>
    <t>cobalt-precorrin-2 C20-methyltransferase</t>
  </si>
  <si>
    <t>ALJ90861.1</t>
  </si>
  <si>
    <t>TO73_1013</t>
  </si>
  <si>
    <t>cobalt-precorrin-6y C5-methyltransferase</t>
  </si>
  <si>
    <t>ALJ90862.1</t>
  </si>
  <si>
    <t>TO73_1014</t>
  </si>
  <si>
    <t>cobalt-precorrin-8x methylmutase</t>
  </si>
  <si>
    <t>ALJ90863.1</t>
  </si>
  <si>
    <t>TO73_1015</t>
  </si>
  <si>
    <t>cobalt-precorrin-6 synthase, anaerobic</t>
  </si>
  <si>
    <t>ALJ90864.1</t>
  </si>
  <si>
    <t>TO73_1016</t>
  </si>
  <si>
    <t>HoxN/HupN/NixA family cobalt transporter</t>
  </si>
  <si>
    <t>ALJ90865.1</t>
  </si>
  <si>
    <t>TO73_1017</t>
  </si>
  <si>
    <t>ALJ90866.1</t>
  </si>
  <si>
    <t>TO73_1018</t>
  </si>
  <si>
    <t>L-aspartate oxidase</t>
  </si>
  <si>
    <t>ALJ90867.1</t>
  </si>
  <si>
    <t>TO73_1019</t>
  </si>
  <si>
    <t>quinolinate synthetase</t>
  </si>
  <si>
    <t>ALJ90868.1</t>
  </si>
  <si>
    <t>TO73_1020</t>
  </si>
  <si>
    <t>sll1715 protein</t>
  </si>
  <si>
    <t>ALJ90869.1</t>
  </si>
  <si>
    <t>TO73_1021</t>
  </si>
  <si>
    <t>ALJ90870.1</t>
  </si>
  <si>
    <t>TO73_1022</t>
  </si>
  <si>
    <t>quinolinate phosphoribosyltransferase (decarboxylating)</t>
  </si>
  <si>
    <t>ALJ90871.1</t>
  </si>
  <si>
    <t>TO73_1023</t>
  </si>
  <si>
    <t>ALJ90872.1</t>
  </si>
  <si>
    <t>TO73_1024</t>
  </si>
  <si>
    <t>allophanate hydrolase 2 subunit 1 / allophanate hydrolase 2 subunit 2</t>
  </si>
  <si>
    <t>ALJ90873.1</t>
  </si>
  <si>
    <t>TO73_1025</t>
  </si>
  <si>
    <t>acyl-CoA dehydrogenase</t>
  </si>
  <si>
    <t>ALJ90874.1</t>
  </si>
  <si>
    <t>TO73_1026</t>
  </si>
  <si>
    <t>tungsten-containing aldehyde:ferredoxin oxidoreductase</t>
  </si>
  <si>
    <t>ALJ90875.1</t>
  </si>
  <si>
    <t>TO73_1027</t>
  </si>
  <si>
    <t>ALJ90876.1</t>
  </si>
  <si>
    <t>TO73_1028</t>
  </si>
  <si>
    <t>ALJ90877.1</t>
  </si>
  <si>
    <t>TO73_1029</t>
  </si>
  <si>
    <t>isopentenyl-diphosphate delta-isomerase</t>
  </si>
  <si>
    <t>ALJ90878.1</t>
  </si>
  <si>
    <t>TO73_1030</t>
  </si>
  <si>
    <t>omega-amino acid--pyruvate aminotransferase</t>
  </si>
  <si>
    <t>ALJ90879.1</t>
  </si>
  <si>
    <t>TO73_1031</t>
  </si>
  <si>
    <t>ALJ90880.1</t>
  </si>
  <si>
    <t>TO73_1032</t>
  </si>
  <si>
    <t>ALJ90881.1</t>
  </si>
  <si>
    <t>TO73_1033</t>
  </si>
  <si>
    <t>ALJ90882.1</t>
  </si>
  <si>
    <t>TO73_1034</t>
  </si>
  <si>
    <t>zinc ABC transporter, periplasmic-binding protein ZnuA</t>
  </si>
  <si>
    <t>ALJ90883.1</t>
  </si>
  <si>
    <t>TO73_1035</t>
  </si>
  <si>
    <t>galactokinase</t>
  </si>
  <si>
    <t>ALJ90884.1</t>
  </si>
  <si>
    <t>TO73_1036</t>
  </si>
  <si>
    <t>NADH-ubiquinone oxidoreductase chain F</t>
  </si>
  <si>
    <t>ALJ90885.1</t>
  </si>
  <si>
    <t>TO73_1037</t>
  </si>
  <si>
    <t>ALJ90886.1</t>
  </si>
  <si>
    <t>TO73_1038</t>
  </si>
  <si>
    <t>formate dehydrogenase alpha subunit</t>
  </si>
  <si>
    <t>ALJ90887.1</t>
  </si>
  <si>
    <t>TO73_1039</t>
  </si>
  <si>
    <t>TRAP transporter solute receptor, unknown substrate 6</t>
  </si>
  <si>
    <t>ALJ90888.1</t>
  </si>
  <si>
    <t>TO73_1040</t>
  </si>
  <si>
    <t>ALJ90889.1</t>
  </si>
  <si>
    <t>TO73_1041</t>
  </si>
  <si>
    <t>ALJ90890.1</t>
  </si>
  <si>
    <t>TO73_1042</t>
  </si>
  <si>
    <t>butyryl Co-A reductase</t>
  </si>
  <si>
    <t>ALJ90891.1</t>
  </si>
  <si>
    <t>TO73_1043</t>
  </si>
  <si>
    <t>Electron transfer flavoprotein, beta subunit</t>
  </si>
  <si>
    <t>ALJ90892.1</t>
  </si>
  <si>
    <t>TO73_1044</t>
  </si>
  <si>
    <t>Electron transfer flavoprotein, alpha subunit</t>
  </si>
  <si>
    <t>ALJ90893.1</t>
  </si>
  <si>
    <t>TO73_1045</t>
  </si>
  <si>
    <t>ALJ90894.1</t>
  </si>
  <si>
    <t>TO73_1046</t>
  </si>
  <si>
    <t>ALJ90895.1</t>
  </si>
  <si>
    <t>TO73_1047</t>
  </si>
  <si>
    <t>uracil-DNA glycosylase, family 5</t>
  </si>
  <si>
    <t>ALJ90896.1</t>
  </si>
  <si>
    <t>TO73_1048</t>
  </si>
  <si>
    <t>DNA polymerase X family</t>
  </si>
  <si>
    <t>ALJ90897.1</t>
  </si>
  <si>
    <t>TO73_1049</t>
  </si>
  <si>
    <t>ALJ90898.1</t>
  </si>
  <si>
    <t>TO73_1050</t>
  </si>
  <si>
    <t>ALJ90899.1</t>
  </si>
  <si>
    <t>TO73_1051</t>
  </si>
  <si>
    <t>aminopeptidase S</t>
  </si>
  <si>
    <t>ALJ90900.1</t>
  </si>
  <si>
    <t>TO73_1052</t>
  </si>
  <si>
    <t>O-acetylhomoserine sulfhydrylase / O-succinylhomoserine sulfhydrylase</t>
  </si>
  <si>
    <t>ALJ90901.1</t>
  </si>
  <si>
    <t>TO73_1053</t>
  </si>
  <si>
    <t>ALJ90902.1</t>
  </si>
  <si>
    <t>TO73_1054</t>
  </si>
  <si>
    <t>ABC transporter substrate-binding protein (taurine)</t>
  </si>
  <si>
    <t>ALJ90903.1</t>
  </si>
  <si>
    <t>TO73_1055</t>
  </si>
  <si>
    <t>ABC transporter ATP-binding protein (taurine)</t>
  </si>
  <si>
    <t>ALJ90904.1</t>
  </si>
  <si>
    <t>TO73_1056</t>
  </si>
  <si>
    <t>hydroxymethylpyrimidine ABC transporter, transmembrane component</t>
  </si>
  <si>
    <t>ALJ90905.1</t>
  </si>
  <si>
    <t>TO73_1057</t>
  </si>
  <si>
    <t>chaperonin (heat shock protein 33)</t>
  </si>
  <si>
    <t>ALJ90906.1</t>
  </si>
  <si>
    <t>TO73_1058</t>
  </si>
  <si>
    <t>cysteinyl-tRNA synthetase</t>
  </si>
  <si>
    <t>ALJ90907.1</t>
  </si>
  <si>
    <t>TO73_1059</t>
  </si>
  <si>
    <t>acyl-CoA dehydrogenase, short-chain specific</t>
  </si>
  <si>
    <t>ALJ90908.1</t>
  </si>
  <si>
    <t>TO73_1060</t>
  </si>
  <si>
    <t>ALJ90909.1</t>
  </si>
  <si>
    <t>TO73_1061</t>
  </si>
  <si>
    <t>Enoyl-CoA hydratase [isoleucine degradation] / 3-hydroxyacyl-CoA dehydrogenase</t>
  </si>
  <si>
    <t>ALJ90910.1</t>
  </si>
  <si>
    <t>TO73_1062</t>
  </si>
  <si>
    <t>ALJ90911.1</t>
  </si>
  <si>
    <t>TO73_1063</t>
  </si>
  <si>
    <t>transcription-repair coupling factor</t>
  </si>
  <si>
    <t>ALJ90912.1</t>
  </si>
  <si>
    <t>TO73_1064</t>
  </si>
  <si>
    <t>ALJ90913.1</t>
  </si>
  <si>
    <t>TO73_1065</t>
  </si>
  <si>
    <t>pyrrolidone-carboxylate peptidase</t>
  </si>
  <si>
    <t>ALJ90914.1</t>
  </si>
  <si>
    <t>TO73_1066</t>
  </si>
  <si>
    <t>ALJ90915.1</t>
  </si>
  <si>
    <t>TO73_1067</t>
  </si>
  <si>
    <t>ALJ90916.1</t>
  </si>
  <si>
    <t>TO73_1068</t>
  </si>
  <si>
    <t>ALJ90917.1</t>
  </si>
  <si>
    <t>TO73_1069</t>
  </si>
  <si>
    <t>multidrug resistance protein-related protein</t>
  </si>
  <si>
    <t>ALJ90918.1</t>
  </si>
  <si>
    <t>TO73_1070</t>
  </si>
  <si>
    <t>putative oligosaccharide deacetylase</t>
  </si>
  <si>
    <t>ALJ90919.1</t>
  </si>
  <si>
    <t>TO73_1071</t>
  </si>
  <si>
    <t>ALJ90920.1</t>
  </si>
  <si>
    <t>TO73_1072</t>
  </si>
  <si>
    <t>ALJ90921.1</t>
  </si>
  <si>
    <t>TO73_1073</t>
  </si>
  <si>
    <t>aspartyl-tRNA(Asn) amidotransferase subunit C / glutamyl-tRNA(Gln) amidotransferase subunit C</t>
  </si>
  <si>
    <t>ALJ90922.1</t>
  </si>
  <si>
    <t>TO73_1074</t>
  </si>
  <si>
    <t>seryl-tRNA synthetase</t>
  </si>
  <si>
    <t>ALJ90923.1</t>
  </si>
  <si>
    <t>TO73_1075</t>
  </si>
  <si>
    <t>N-acylamino acid racemase</t>
  </si>
  <si>
    <t>ALJ90924.1</t>
  </si>
  <si>
    <t>TO73_1076</t>
  </si>
  <si>
    <t>ALJ90925.1</t>
  </si>
  <si>
    <t>TO73_1077</t>
  </si>
  <si>
    <t>S-adenosylhomocysteine deaminase / methylthioadenosine deaminase</t>
  </si>
  <si>
    <t>ALJ90926.1</t>
  </si>
  <si>
    <t>TO73_1078</t>
  </si>
  <si>
    <t>chloride channel protein</t>
  </si>
  <si>
    <t>ALJ90927.1</t>
  </si>
  <si>
    <t>TO73_1079</t>
  </si>
  <si>
    <t>LmbE related protein</t>
  </si>
  <si>
    <t>ALJ90928.1</t>
  </si>
  <si>
    <t>TO73_1080</t>
  </si>
  <si>
    <t>chorismate mutase II</t>
  </si>
  <si>
    <t>ALJ90929.1</t>
  </si>
  <si>
    <t>TO73_1081</t>
  </si>
  <si>
    <t>ALJ90930.1</t>
  </si>
  <si>
    <t>TO73_1082</t>
  </si>
  <si>
    <t>aldehyde dehydrogenase B</t>
  </si>
  <si>
    <t>ALJ90931.1</t>
  </si>
  <si>
    <t>TO73_1083</t>
  </si>
  <si>
    <t>phosphopantetheine adenylyltransferase</t>
  </si>
  <si>
    <t>ALJ90932.1</t>
  </si>
  <si>
    <t>TO73_1084</t>
  </si>
  <si>
    <t>ribosomal RNA small subunit methyltransferase D</t>
  </si>
  <si>
    <t>ALJ90933.1</t>
  </si>
  <si>
    <t>TO73_1085</t>
  </si>
  <si>
    <t>sodium-dependent phosphate transporter</t>
  </si>
  <si>
    <t>ALJ90934.1</t>
  </si>
  <si>
    <t>TO73_1086</t>
  </si>
  <si>
    <t>TO73_1087</t>
  </si>
  <si>
    <t>ALJ90935.1</t>
  </si>
  <si>
    <t>TO73_1089</t>
  </si>
  <si>
    <t>O-acetylhomoserine sulfhydrylase/ O-succinylhomoserine sulfhydrylase</t>
  </si>
  <si>
    <t>ALJ90936.1</t>
  </si>
  <si>
    <t>TO73_1090</t>
  </si>
  <si>
    <t>homoserine O-acetyltransferase</t>
  </si>
  <si>
    <t>ALJ90937.1</t>
  </si>
  <si>
    <t>TO73_1091</t>
  </si>
  <si>
    <t>GTPase and tRNA-U34 5-formylation enzyme TrmE</t>
  </si>
  <si>
    <t>ALJ90938.1</t>
  </si>
  <si>
    <t>TO73_1092</t>
  </si>
  <si>
    <t>ALJ90939.1</t>
  </si>
  <si>
    <t>TO73_1093</t>
  </si>
  <si>
    <t>ALJ90940.1</t>
  </si>
  <si>
    <t>TO73_2405</t>
  </si>
  <si>
    <t>Glutamate-1-semialdehyde aminotransferase</t>
  </si>
  <si>
    <t>ALJ90941.1</t>
  </si>
  <si>
    <t>TO73_1094</t>
  </si>
  <si>
    <t>acetoin dehydrogenase E1 component beta-subunit</t>
  </si>
  <si>
    <t>ALJ90942.1</t>
  </si>
  <si>
    <t>TO73_1095</t>
  </si>
  <si>
    <t>acetoin dehydrogenase E1 component alpha-subunit</t>
  </si>
  <si>
    <t>ALJ90943.1</t>
  </si>
  <si>
    <t>TO73_1096</t>
  </si>
  <si>
    <t>aspartate aminotransferase</t>
  </si>
  <si>
    <t>ALJ90944.1</t>
  </si>
  <si>
    <t>TO73_1097</t>
  </si>
  <si>
    <t>triosephosphate isomerase</t>
  </si>
  <si>
    <t>ALJ90945.1</t>
  </si>
  <si>
    <t>TO73_1098</t>
  </si>
  <si>
    <t>BNR repeat domain protein</t>
  </si>
  <si>
    <t>ALJ90946.1</t>
  </si>
  <si>
    <t>TO73_1099</t>
  </si>
  <si>
    <t>phosphoglycerate kinase</t>
  </si>
  <si>
    <t>ALJ90947.1</t>
  </si>
  <si>
    <t>TO73_1100</t>
  </si>
  <si>
    <t>NAD-dependent glyceraldehyde-3-phosphate dehydrogenase</t>
  </si>
  <si>
    <t>ALJ90948.1</t>
  </si>
  <si>
    <t>TO73_1101</t>
  </si>
  <si>
    <t>substrate-specific component BioY of biotin ECF transporter</t>
  </si>
  <si>
    <t>ALJ90949.1</t>
  </si>
  <si>
    <t>TO73_1102</t>
  </si>
  <si>
    <t>ALJ90950.1</t>
  </si>
  <si>
    <t>TO73_1103</t>
  </si>
  <si>
    <t>putative amidohydrolase</t>
  </si>
  <si>
    <t>ALJ90951.1</t>
  </si>
  <si>
    <t>TO73_1104</t>
  </si>
  <si>
    <t>tmRNA-binding protein SmpB</t>
  </si>
  <si>
    <t>ALJ90952.1</t>
  </si>
  <si>
    <t>TO73_1105</t>
  </si>
  <si>
    <t>ALJ90953.1</t>
  </si>
  <si>
    <t>TO73_1106</t>
  </si>
  <si>
    <t>ALJ90954.1</t>
  </si>
  <si>
    <t>TO73_1107</t>
  </si>
  <si>
    <t>ALJ90955.1</t>
  </si>
  <si>
    <t>TO73_1108</t>
  </si>
  <si>
    <t>ALJ90956.1</t>
  </si>
  <si>
    <t>TO73_1109</t>
  </si>
  <si>
    <t>ALJ90957.1</t>
  </si>
  <si>
    <t>TO73_1110</t>
  </si>
  <si>
    <t>putative metal-dependent peptidase</t>
  </si>
  <si>
    <t>ALJ90958.1</t>
  </si>
  <si>
    <t>TO73_1111</t>
  </si>
  <si>
    <t>ALJ90959.1</t>
  </si>
  <si>
    <t>TO73_1112</t>
  </si>
  <si>
    <t>thiosulfate sulfurtransferase, rhodanese</t>
  </si>
  <si>
    <t>ALJ90960.1</t>
  </si>
  <si>
    <t>TO73_1113</t>
  </si>
  <si>
    <t>L-serine dehydratase, alpha subunit</t>
  </si>
  <si>
    <t>ALJ90961.1</t>
  </si>
  <si>
    <t>TO73_1114</t>
  </si>
  <si>
    <t>DNA-binding response regulator</t>
  </si>
  <si>
    <t>ALJ90962.1</t>
  </si>
  <si>
    <t>TO73_1115</t>
  </si>
  <si>
    <t>LSU ribosomal protein L19p</t>
  </si>
  <si>
    <t>ALJ90963.1</t>
  </si>
  <si>
    <t>TO73_1116</t>
  </si>
  <si>
    <t>tRNA (Guanine(37)-N(1)) -methyltransferase</t>
  </si>
  <si>
    <t>ALJ90964.1</t>
  </si>
  <si>
    <t>TO73_1117</t>
  </si>
  <si>
    <t>16S rRNA processing protein RimM</t>
  </si>
  <si>
    <t>ALJ90965.1</t>
  </si>
  <si>
    <t>TO73_1118</t>
  </si>
  <si>
    <t>KH domain RNA binding protein YlqC</t>
  </si>
  <si>
    <t>ALJ90966.1</t>
  </si>
  <si>
    <t>TO73_1119</t>
  </si>
  <si>
    <t>SSU ribosomal protein S16p</t>
  </si>
  <si>
    <t>ALJ90967.1</t>
  </si>
  <si>
    <t>TO73_1120</t>
  </si>
  <si>
    <t>signal recognition particle, subunit Ffh SRP54</t>
  </si>
  <si>
    <t>ALJ90968.1</t>
  </si>
  <si>
    <t>TO73_1121</t>
  </si>
  <si>
    <t>Mg/Co/Ni transporter MgtE</t>
  </si>
  <si>
    <t>ALJ90969.1</t>
  </si>
  <si>
    <t>TO73_1122</t>
  </si>
  <si>
    <t>ADP-ribosylglycohydrolase</t>
  </si>
  <si>
    <t>ALJ90970.1</t>
  </si>
  <si>
    <t>TO73_1123</t>
  </si>
  <si>
    <t>S-adenosylmethionine:tRNA ribosyltransferase-isomerase</t>
  </si>
  <si>
    <t>ALJ90971.1</t>
  </si>
  <si>
    <t>TO73_1124</t>
  </si>
  <si>
    <t>ALJ90972.1</t>
  </si>
  <si>
    <t>TO73_1125</t>
  </si>
  <si>
    <t>phosphoenolpyruvate carboxylase</t>
  </si>
  <si>
    <t>ALJ90973.1</t>
  </si>
  <si>
    <t>TO73_1126</t>
  </si>
  <si>
    <t>Phosphoesterase</t>
  </si>
  <si>
    <t>ALJ90974.1</t>
  </si>
  <si>
    <t>TO73_1127</t>
  </si>
  <si>
    <t>ALJ90975.1</t>
  </si>
  <si>
    <t>TO73_1128</t>
  </si>
  <si>
    <t>ALJ90976.1</t>
  </si>
  <si>
    <t>TO73_2406</t>
  </si>
  <si>
    <t>DNA recombination and repair protein RecO</t>
  </si>
  <si>
    <t>ALJ90977.1</t>
  </si>
  <si>
    <t>TO73_1129</t>
  </si>
  <si>
    <t>transcription elongation factor GreA</t>
  </si>
  <si>
    <t>ALJ90978.1</t>
  </si>
  <si>
    <t>TO73_1130</t>
  </si>
  <si>
    <t>aminodeoxychorismate lyase</t>
  </si>
  <si>
    <t>ALJ90979.1</t>
  </si>
  <si>
    <t>TO73_1131</t>
  </si>
  <si>
    <t>para-aminobenzoate synthase, aminase component</t>
  </si>
  <si>
    <t>ALJ90980.1</t>
  </si>
  <si>
    <t>TO73_1132</t>
  </si>
  <si>
    <t>ALJ90981.1</t>
  </si>
  <si>
    <t>TO73_1133</t>
  </si>
  <si>
    <t>5-methyltetrahydrofolate--homocysteine methyltransferase</t>
  </si>
  <si>
    <t>ALJ90982.1</t>
  </si>
  <si>
    <t>TO73_1134</t>
  </si>
  <si>
    <t>nicotinate phosphoribosyltransferase</t>
  </si>
  <si>
    <t>ALJ90983.1</t>
  </si>
  <si>
    <t>TO73_1135</t>
  </si>
  <si>
    <t>ATP-dependent Clp protease ATP-binding subunit ClpX</t>
  </si>
  <si>
    <t>ALJ90984.1</t>
  </si>
  <si>
    <t>TO73_1136</t>
  </si>
  <si>
    <t>ATP-dependent Clp protease proteolytic subunit</t>
  </si>
  <si>
    <t>ALJ90985.1</t>
  </si>
  <si>
    <t>TO73_1137</t>
  </si>
  <si>
    <t>cell division trigger factor</t>
  </si>
  <si>
    <t>ALJ90986.1</t>
  </si>
  <si>
    <t>TO73_1138</t>
  </si>
  <si>
    <t>TO73_1139</t>
  </si>
  <si>
    <t>tRNA-His</t>
  </si>
  <si>
    <t>TO73_1141</t>
  </si>
  <si>
    <t>ALJ90987.1</t>
  </si>
  <si>
    <t>TO73_1143</t>
  </si>
  <si>
    <t>carbamoyl-phosphate synthase large chain</t>
  </si>
  <si>
    <t>ALJ90988.1</t>
  </si>
  <si>
    <t>TO73_1144</t>
  </si>
  <si>
    <t>protein from nitrogen regulatory protein P-II (GLNB) family</t>
  </si>
  <si>
    <t>ALJ90989.1</t>
  </si>
  <si>
    <t>TO73_1145</t>
  </si>
  <si>
    <t>ALJ90990.1</t>
  </si>
  <si>
    <t>TO73_1146</t>
  </si>
  <si>
    <t>tRNA (Adenine-N(1)) -methyltransferase-like protein</t>
  </si>
  <si>
    <t>ALJ90991.1</t>
  </si>
  <si>
    <t>TO73_1147</t>
  </si>
  <si>
    <t>fibronectin/fibrinogen-binding protein</t>
  </si>
  <si>
    <t>ALJ90992.1</t>
  </si>
  <si>
    <t>TO73_1148</t>
  </si>
  <si>
    <t>aspartate 1-decarboxylase</t>
  </si>
  <si>
    <t>ALJ90993.1</t>
  </si>
  <si>
    <t>TO73_1149</t>
  </si>
  <si>
    <t>menaquinone via futalosine polyprenyltransferase (MenA-like protein)</t>
  </si>
  <si>
    <t>ALJ90994.1</t>
  </si>
  <si>
    <t>TO73_1150</t>
  </si>
  <si>
    <t>ALJ90995.1</t>
  </si>
  <si>
    <t>TO73_1151</t>
  </si>
  <si>
    <t>soluble hydrogenase, small subunit</t>
  </si>
  <si>
    <t>ALJ90996.1</t>
  </si>
  <si>
    <t>TO73_1152</t>
  </si>
  <si>
    <t>ALJ90997.1</t>
  </si>
  <si>
    <t>TO73_1153</t>
  </si>
  <si>
    <t>large-conductance mechanosensitive channel</t>
  </si>
  <si>
    <t>ALJ90998.1</t>
  </si>
  <si>
    <t>TO73_1154</t>
  </si>
  <si>
    <t>glycerol-3-phosphate ABC transporter, ATP-binding protein UgpC</t>
  </si>
  <si>
    <t>ALJ90999.1</t>
  </si>
  <si>
    <t>TO73_1155</t>
  </si>
  <si>
    <t>ALJ91000.1</t>
  </si>
  <si>
    <t>TO73_1156</t>
  </si>
  <si>
    <t>pyruvyl-transferase</t>
  </si>
  <si>
    <t>ALJ91001.1</t>
  </si>
  <si>
    <t>TO73_1157</t>
  </si>
  <si>
    <t>ALJ91002.1</t>
  </si>
  <si>
    <t>TO73_1158</t>
  </si>
  <si>
    <t>ALJ91003.1</t>
  </si>
  <si>
    <t>TO73_1159</t>
  </si>
  <si>
    <t>aspartyl-tRNA(Asn) amidotransferase subunit A / glutamyl-tRNA(Gln) amidotransferase subunit A</t>
  </si>
  <si>
    <t>ALJ91004.1</t>
  </si>
  <si>
    <t>TO73_1160</t>
  </si>
  <si>
    <t>tRNA dimethylallyltransferase</t>
  </si>
  <si>
    <t>ALJ91005.1</t>
  </si>
  <si>
    <t>TO73_1161</t>
  </si>
  <si>
    <t>putative small heat shock protein</t>
  </si>
  <si>
    <t>ALJ91006.1</t>
  </si>
  <si>
    <t>TO73_1162</t>
  </si>
  <si>
    <t>thymidine kinase</t>
  </si>
  <si>
    <t>ALJ91007.1</t>
  </si>
  <si>
    <t>TO73_1163</t>
  </si>
  <si>
    <t>LSU ribosomal protein L31p / LSU ribosomal protein L31p, zinc-dependent</t>
  </si>
  <si>
    <t>ALJ91008.1</t>
  </si>
  <si>
    <t>TO73_1164</t>
  </si>
  <si>
    <t>ALJ91009.1</t>
  </si>
  <si>
    <t>TO73_1165</t>
  </si>
  <si>
    <t>retron-type RNA-directed DNA polymerase</t>
  </si>
  <si>
    <t>ALJ91010.1</t>
  </si>
  <si>
    <t>TO73_1166</t>
  </si>
  <si>
    <t>23S rRNA intervening sequence protein</t>
  </si>
  <si>
    <t>ALJ91011.1</t>
  </si>
  <si>
    <t>TO73_1167</t>
  </si>
  <si>
    <t>putative formlyglycine-generating sulfatase enzyme</t>
  </si>
  <si>
    <t>ALJ91012.1</t>
  </si>
  <si>
    <t>TO73_1168</t>
  </si>
  <si>
    <t>ALJ91013.1</t>
  </si>
  <si>
    <t>TO73_1169</t>
  </si>
  <si>
    <t>ALJ91014.1</t>
  </si>
  <si>
    <t>TO73_1170</t>
  </si>
  <si>
    <t>ALJ91015.1</t>
  </si>
  <si>
    <t>TO73_1171</t>
  </si>
  <si>
    <t>ALJ91016.1</t>
  </si>
  <si>
    <t>TO73_1172</t>
  </si>
  <si>
    <t>ALJ91017.1</t>
  </si>
  <si>
    <t>TO73_1173</t>
  </si>
  <si>
    <t>baseplate J family protein</t>
  </si>
  <si>
    <t>ALJ91018.1</t>
  </si>
  <si>
    <t>TO73_1174</t>
  </si>
  <si>
    <t>putative baseplate endolysin protein</t>
  </si>
  <si>
    <t>ALJ91019.1</t>
  </si>
  <si>
    <t>TO73_1175</t>
  </si>
  <si>
    <t>putative phage protein</t>
  </si>
  <si>
    <t>ALJ91020.1</t>
  </si>
  <si>
    <t>TO73_1176</t>
  </si>
  <si>
    <t>ALJ91021.1</t>
  </si>
  <si>
    <t>TO73_1177</t>
  </si>
  <si>
    <t>ALJ91022.1</t>
  </si>
  <si>
    <t>TO73_1178</t>
  </si>
  <si>
    <t>phage tail length tape measure protein</t>
  </si>
  <si>
    <t>ALJ91023.1</t>
  </si>
  <si>
    <t>TO73_1179</t>
  </si>
  <si>
    <t>peptidase</t>
  </si>
  <si>
    <t>ALJ91024.1</t>
  </si>
  <si>
    <t>TO73_1180</t>
  </si>
  <si>
    <t>ALJ91025.1</t>
  </si>
  <si>
    <t>TO73_1181</t>
  </si>
  <si>
    <t>ALJ91026.1</t>
  </si>
  <si>
    <t>TO73_1182</t>
  </si>
  <si>
    <t>phage (Mu-like) virion head morphogenesis protein</t>
  </si>
  <si>
    <t>ALJ91027.1</t>
  </si>
  <si>
    <t>TO73_1183</t>
  </si>
  <si>
    <t>Mu-like prophage portal protein gp29</t>
  </si>
  <si>
    <t>ALJ91028.1</t>
  </si>
  <si>
    <t>TO73_1184</t>
  </si>
  <si>
    <t>Mu-like prophage terminase large subunit protein gp28</t>
  </si>
  <si>
    <t>ALJ91029.1</t>
  </si>
  <si>
    <t>TO73_1185</t>
  </si>
  <si>
    <t>ALJ91030.1</t>
  </si>
  <si>
    <t>TO73_1186</t>
  </si>
  <si>
    <t>ALJ91031.1</t>
  </si>
  <si>
    <t>TO73_1187</t>
  </si>
  <si>
    <t>ALJ91032.1</t>
  </si>
  <si>
    <t>TO73_1188</t>
  </si>
  <si>
    <t>ALJ91033.1</t>
  </si>
  <si>
    <t>TO73_1189</t>
  </si>
  <si>
    <t>ALJ91034.1</t>
  </si>
  <si>
    <t>TO73_1190</t>
  </si>
  <si>
    <t>transcriptional regulator, IcIR family</t>
  </si>
  <si>
    <t>ALJ91035.1</t>
  </si>
  <si>
    <t>TO73_1191</t>
  </si>
  <si>
    <t>ALJ91036.1</t>
  </si>
  <si>
    <t>TO73_1192</t>
  </si>
  <si>
    <t>ALJ91037.1</t>
  </si>
  <si>
    <t>TO73_1193</t>
  </si>
  <si>
    <t>ALJ91038.1</t>
  </si>
  <si>
    <t>TO73_1194</t>
  </si>
  <si>
    <t>ALJ91039.1</t>
  </si>
  <si>
    <t>TO73_1195</t>
  </si>
  <si>
    <t>DNA binding domain protein, excisionase family</t>
  </si>
  <si>
    <t>ALJ91040.1</t>
  </si>
  <si>
    <t>TO73_1196</t>
  </si>
  <si>
    <t>ALJ91041.1</t>
  </si>
  <si>
    <t>TO73_1197</t>
  </si>
  <si>
    <t>ALJ91042.1</t>
  </si>
  <si>
    <t>TO73_1198</t>
  </si>
  <si>
    <t>ALJ91043.1</t>
  </si>
  <si>
    <t>TO73_1199</t>
  </si>
  <si>
    <t>ALJ91044.1</t>
  </si>
  <si>
    <t>TO73_1200</t>
  </si>
  <si>
    <t>ALJ91045.1</t>
  </si>
  <si>
    <t>TO73_1201</t>
  </si>
  <si>
    <t>ALJ91046.1</t>
  </si>
  <si>
    <t>TO73_1202</t>
  </si>
  <si>
    <t>AAA ATPase</t>
  </si>
  <si>
    <t>ALJ91047.1</t>
  </si>
  <si>
    <t>TO73_1203</t>
  </si>
  <si>
    <t>integrase catalytic region</t>
  </si>
  <si>
    <t>ALJ91048.1</t>
  </si>
  <si>
    <t>TO73_1204</t>
  </si>
  <si>
    <t>helix-turn-helix domain protein</t>
  </si>
  <si>
    <t>ALJ91049.1</t>
  </si>
  <si>
    <t>TO73_1205</t>
  </si>
  <si>
    <t>transcriptional regulator, XRE family</t>
  </si>
  <si>
    <t>ALJ91050.1</t>
  </si>
  <si>
    <t>TO73_1206</t>
  </si>
  <si>
    <t>ALJ91051.1</t>
  </si>
  <si>
    <t>TO73_1207</t>
  </si>
  <si>
    <t>Mu-like prophage protein gp32</t>
  </si>
  <si>
    <t>ALJ91052.1</t>
  </si>
  <si>
    <t>TO73_1208</t>
  </si>
  <si>
    <t>phage protein</t>
  </si>
  <si>
    <t>ALJ91053.1</t>
  </si>
  <si>
    <t>TO73_1209</t>
  </si>
  <si>
    <t>Mu-like prophage major head subunit gpT-like protein</t>
  </si>
  <si>
    <t>ALJ91054.1</t>
  </si>
  <si>
    <t>TO73_1210</t>
  </si>
  <si>
    <t>Mu-like prophage protein gp36</t>
  </si>
  <si>
    <t>ALJ91055.1</t>
  </si>
  <si>
    <t>TO73_1211</t>
  </si>
  <si>
    <t>virion morphogenesis protein</t>
  </si>
  <si>
    <t>ALJ91056.1</t>
  </si>
  <si>
    <t>TO73_1212</t>
  </si>
  <si>
    <t>ALJ91057.1</t>
  </si>
  <si>
    <t>TO73_1213</t>
  </si>
  <si>
    <t>ALJ91058.1</t>
  </si>
  <si>
    <t>TO73_1214</t>
  </si>
  <si>
    <t>putative phage tail protein</t>
  </si>
  <si>
    <t>ALJ91059.1</t>
  </si>
  <si>
    <t>TO73_1215</t>
  </si>
  <si>
    <t>ALJ91060.1</t>
  </si>
  <si>
    <t>TO73_1216</t>
  </si>
  <si>
    <t>ALJ91061.1</t>
  </si>
  <si>
    <t>TO73_1217</t>
  </si>
  <si>
    <t>ALJ91062.1</t>
  </si>
  <si>
    <t>TO73_1218</t>
  </si>
  <si>
    <t>ALJ91063.1</t>
  </si>
  <si>
    <t>TO73_1219</t>
  </si>
  <si>
    <t>cell division protein MraZ</t>
  </si>
  <si>
    <t>ALJ91064.1</t>
  </si>
  <si>
    <t>TO73_1220</t>
  </si>
  <si>
    <t>rRNA small subunit methyltransferase H</t>
  </si>
  <si>
    <t>ALJ91065.1</t>
  </si>
  <si>
    <t>TO73_1221</t>
  </si>
  <si>
    <t>cell division protein FtsL</t>
  </si>
  <si>
    <t>ALJ91066.1</t>
  </si>
  <si>
    <t>TO73_1222</t>
  </si>
  <si>
    <t>cell division protein FtsI (peptidoglycan synthetase)</t>
  </si>
  <si>
    <t>ALJ91067.1</t>
  </si>
  <si>
    <t>TO73_1223</t>
  </si>
  <si>
    <t>UDP-N-acetylmuramoylalanyl-D-glutamyl-2,6-diaminopimelate--D-alanyl-D-alanine ligase</t>
  </si>
  <si>
    <t>ALJ91068.1</t>
  </si>
  <si>
    <t>TO73_1224</t>
  </si>
  <si>
    <t>ALJ91069.1</t>
  </si>
  <si>
    <t>TO73_1225</t>
  </si>
  <si>
    <t>phospho-N-acetylmuramoyl-pentapeptide- transferase</t>
  </si>
  <si>
    <t>ALJ91070.1</t>
  </si>
  <si>
    <t>TO73_1226</t>
  </si>
  <si>
    <t>UDP-N-acetylmuramoylalanine--D-glutamate ligase</t>
  </si>
  <si>
    <t>ALJ91071.1</t>
  </si>
  <si>
    <t>TO73_1227</t>
  </si>
  <si>
    <t>cell division protein FtsW</t>
  </si>
  <si>
    <t>ALJ91072.1</t>
  </si>
  <si>
    <t>TO73_1228</t>
  </si>
  <si>
    <t>UDP-N-acetylglucosamine--N-acetylmuramyl-(pentapeptide pyrophosphoryl-undecaprenol N-acetylglucosamine transferase)</t>
  </si>
  <si>
    <t>ALJ91073.1</t>
  </si>
  <si>
    <t>TO73_1229</t>
  </si>
  <si>
    <t>UDP-N-acetylmuramate--alanine ligase</t>
  </si>
  <si>
    <t>ALJ91074.1</t>
  </si>
  <si>
    <t>TO73_1230</t>
  </si>
  <si>
    <t>UDP-N-acetylenolpyruvoylglucosamine reductase</t>
  </si>
  <si>
    <t>ALJ91075.1</t>
  </si>
  <si>
    <t>TO73_1231</t>
  </si>
  <si>
    <t>cell division protein FtsQ</t>
  </si>
  <si>
    <t>ALJ91076.1</t>
  </si>
  <si>
    <t>TO73_1232</t>
  </si>
  <si>
    <t>cell division protein FtsA</t>
  </si>
  <si>
    <t>ALJ91077.1</t>
  </si>
  <si>
    <t>TO73_1233</t>
  </si>
  <si>
    <t>cell division protein FtsZ</t>
  </si>
  <si>
    <t>ALJ91078.1</t>
  </si>
  <si>
    <t>TO73_1234</t>
  </si>
  <si>
    <t>crossover junction endodeoxyribonuclease RuvC</t>
  </si>
  <si>
    <t>ALJ91079.1</t>
  </si>
  <si>
    <t>TO73_1235</t>
  </si>
  <si>
    <t>ALJ91080.1</t>
  </si>
  <si>
    <t>TO73_1236</t>
  </si>
  <si>
    <t>ALJ91081.1</t>
  </si>
  <si>
    <t>TO73_1237</t>
  </si>
  <si>
    <t>phosphonate ABC transporter phosphate-binding periplasmic component</t>
  </si>
  <si>
    <t>ALJ91082.1</t>
  </si>
  <si>
    <t>TO73_1238</t>
  </si>
  <si>
    <t>molybdopterin oxidoreductase iron-sulfur binding subunit</t>
  </si>
  <si>
    <t>ALJ91083.1</t>
  </si>
  <si>
    <t>TO73_1239</t>
  </si>
  <si>
    <t>tetrathionate reductase subunit A</t>
  </si>
  <si>
    <t>ALJ91084.1</t>
  </si>
  <si>
    <t>TO73_1240</t>
  </si>
  <si>
    <t>ALJ91085.1</t>
  </si>
  <si>
    <t>TO73_1241</t>
  </si>
  <si>
    <t>ALJ91086.1</t>
  </si>
  <si>
    <t>TO73_1242</t>
  </si>
  <si>
    <t>ALJ91087.1</t>
  </si>
  <si>
    <t>TO73_1243</t>
  </si>
  <si>
    <t>ALJ91088.1</t>
  </si>
  <si>
    <t>TO73_1244</t>
  </si>
  <si>
    <t>NADH-ubiquinone oxidoreductase 39 kDa subunit related protein</t>
  </si>
  <si>
    <t>ALJ91089.1</t>
  </si>
  <si>
    <t>TO73_1245</t>
  </si>
  <si>
    <t>regulatory protein</t>
  </si>
  <si>
    <t>ALJ91090.1</t>
  </si>
  <si>
    <t>TO73_1246</t>
  </si>
  <si>
    <t>transcriptional regulator, MerR family</t>
  </si>
  <si>
    <t>ALJ91091.1</t>
  </si>
  <si>
    <t>TO73_1247</t>
  </si>
  <si>
    <t>phytoene synthase</t>
  </si>
  <si>
    <t>ALJ91092.1</t>
  </si>
  <si>
    <t>TO73_1248</t>
  </si>
  <si>
    <t>Deoxyribodipyrimidine photolyase</t>
  </si>
  <si>
    <t>ALJ91093.1</t>
  </si>
  <si>
    <t>TO73_1249</t>
  </si>
  <si>
    <t>ALJ91094.1</t>
  </si>
  <si>
    <t>TO73_1250</t>
  </si>
  <si>
    <t>cytochrome P450</t>
  </si>
  <si>
    <t>ALJ91095.1</t>
  </si>
  <si>
    <t>TO73_1251</t>
  </si>
  <si>
    <t>geranylgeranyl-diphosphate geranylgeranyl-transferase</t>
  </si>
  <si>
    <t>ALJ91096.1</t>
  </si>
  <si>
    <t>TO73_1252</t>
  </si>
  <si>
    <t>ALJ91097.1</t>
  </si>
  <si>
    <t>TO73_1253</t>
  </si>
  <si>
    <t>glycosyl transferase, family 2 precursor</t>
  </si>
  <si>
    <t>ALJ91098.1</t>
  </si>
  <si>
    <t>TO73_1254</t>
  </si>
  <si>
    <t>phytoene desaturase, neurosporene or lycopene producing</t>
  </si>
  <si>
    <t>ALJ91099.1</t>
  </si>
  <si>
    <t>TO73_1255</t>
  </si>
  <si>
    <t>isopentenyl-diphosphate delta-isomerase, FMN-dependent</t>
  </si>
  <si>
    <t>ALJ91100.1</t>
  </si>
  <si>
    <t>TO73_1256</t>
  </si>
  <si>
    <t>ALJ91101.1</t>
  </si>
  <si>
    <t>TO73_1257</t>
  </si>
  <si>
    <t>ALJ91102.1</t>
  </si>
  <si>
    <t>TO73_1258</t>
  </si>
  <si>
    <t>ALJ91103.1</t>
  </si>
  <si>
    <t>TO73_1259</t>
  </si>
  <si>
    <t>ALJ91104.1</t>
  </si>
  <si>
    <t>TO73_1260</t>
  </si>
  <si>
    <t>ALJ91105.1</t>
  </si>
  <si>
    <t>TO73_1261</t>
  </si>
  <si>
    <t>ALJ91106.1</t>
  </si>
  <si>
    <t>TO73_1262</t>
  </si>
  <si>
    <t>gamma-glutamyltranspeptidase</t>
  </si>
  <si>
    <t>ALJ91107.1</t>
  </si>
  <si>
    <t>TO73_1263</t>
  </si>
  <si>
    <t>Mn-dependent transcriptional regulator MntR</t>
  </si>
  <si>
    <t>ALJ91108.1</t>
  </si>
  <si>
    <t>TO73_1264</t>
  </si>
  <si>
    <t>ALJ91109.1</t>
  </si>
  <si>
    <t>TO73_1265</t>
  </si>
  <si>
    <t>putative beta-glucoside-regulated ABC transport system, sugar-binding protein</t>
  </si>
  <si>
    <t>ALJ91110.1</t>
  </si>
  <si>
    <t>TO73_1266</t>
  </si>
  <si>
    <t>vitamin B12 ABC transporter, B12-binding component BtuF</t>
  </si>
  <si>
    <t>ALJ91111.1</t>
  </si>
  <si>
    <t>TO73_1267</t>
  </si>
  <si>
    <t>iron(III) dicitrate transport system permease protein FecD</t>
  </si>
  <si>
    <t>ALJ91112.1</t>
  </si>
  <si>
    <t>TO73_1268</t>
  </si>
  <si>
    <t>iron(III) dicitrate transport ATP-binding protein FecE</t>
  </si>
  <si>
    <t>ALJ91113.1</t>
  </si>
  <si>
    <t>TO73_1269</t>
  </si>
  <si>
    <t>ALJ91114.1</t>
  </si>
  <si>
    <t>TO73_1270</t>
  </si>
  <si>
    <t>ALJ91115.1</t>
  </si>
  <si>
    <t>TO73_1271</t>
  </si>
  <si>
    <t>beta-lactamase class C-like</t>
  </si>
  <si>
    <t>ALJ91116.1</t>
  </si>
  <si>
    <t>TO73_1272</t>
  </si>
  <si>
    <t>low-specificity L-threonine aldolase</t>
  </si>
  <si>
    <t>ALJ91117.1</t>
  </si>
  <si>
    <t>TO73_1273</t>
  </si>
  <si>
    <t>ALJ91118.1</t>
  </si>
  <si>
    <t>TO73_1274</t>
  </si>
  <si>
    <t>putative beta-glucoside-regulated ABC transport system, permease component 2, COG0395</t>
  </si>
  <si>
    <t>ALJ91119.1</t>
  </si>
  <si>
    <t>TO73_1275</t>
  </si>
  <si>
    <t>quinone oxidoreductase</t>
  </si>
  <si>
    <t>ALJ91120.1</t>
  </si>
  <si>
    <t>TO73_1276</t>
  </si>
  <si>
    <t>ornithine cyclodeaminase</t>
  </si>
  <si>
    <t>ALJ91121.1</t>
  </si>
  <si>
    <t>TO73_1277</t>
  </si>
  <si>
    <t>ALJ91122.1</t>
  </si>
  <si>
    <t>TO73_1278</t>
  </si>
  <si>
    <t>ALJ91123.1</t>
  </si>
  <si>
    <t>TO73_1279</t>
  </si>
  <si>
    <t>ribosomal RNA small subunit methyltransferase E</t>
  </si>
  <si>
    <t>ALJ91124.1</t>
  </si>
  <si>
    <t>TO73_1280</t>
  </si>
  <si>
    <t>ribosomal protein L11 methyltransferase E</t>
  </si>
  <si>
    <t>ALJ91125.1</t>
  </si>
  <si>
    <t>TO73_2407</t>
  </si>
  <si>
    <t>iron-sulfur cluster regulator SufR</t>
  </si>
  <si>
    <t>ALJ91126.1</t>
  </si>
  <si>
    <t>TO73_1281</t>
  </si>
  <si>
    <t>scaffold protein for [4Fe-4S] cluster assembly</t>
  </si>
  <si>
    <t>ALJ91127.1</t>
  </si>
  <si>
    <t>TO73_1282</t>
  </si>
  <si>
    <t>ALJ91128.1</t>
  </si>
  <si>
    <t>TO73_1283</t>
  </si>
  <si>
    <t>ALJ91129.1</t>
  </si>
  <si>
    <t>TO73_1284</t>
  </si>
  <si>
    <t>valyl-tRNA synthetase</t>
  </si>
  <si>
    <t>ALJ91130.1</t>
  </si>
  <si>
    <t>TO73_1285</t>
  </si>
  <si>
    <t>ALJ91131.1</t>
  </si>
  <si>
    <t>TO73_1286</t>
  </si>
  <si>
    <t>single-stranded-DNA-specific exonuclease RecJ</t>
  </si>
  <si>
    <t>ALJ91132.1</t>
  </si>
  <si>
    <t>TO73_1287</t>
  </si>
  <si>
    <t>ALJ91133.1</t>
  </si>
  <si>
    <t>TO73_1288</t>
  </si>
  <si>
    <t>phosphoribosylformimino-5-aminoimidazole carboxamide ribotide isomerase</t>
  </si>
  <si>
    <t>ALJ91134.1</t>
  </si>
  <si>
    <t>TO73_1289</t>
  </si>
  <si>
    <t>indole-3-glycerol phosphate synthase</t>
  </si>
  <si>
    <t>ALJ91135.1</t>
  </si>
  <si>
    <t>TO73_1290</t>
  </si>
  <si>
    <t>ALJ91136.1</t>
  </si>
  <si>
    <t>TO73_1291</t>
  </si>
  <si>
    <t>amino acid ABC transporter, ATP-binding protein</t>
  </si>
  <si>
    <t>ALJ91137.1</t>
  </si>
  <si>
    <t>TO73_1292</t>
  </si>
  <si>
    <t>ALJ91138.1</t>
  </si>
  <si>
    <t>TO73_1293</t>
  </si>
  <si>
    <t>ALJ91139.1</t>
  </si>
  <si>
    <t>TO73_1294</t>
  </si>
  <si>
    <t>amino acid ABC transporter, permease protein</t>
  </si>
  <si>
    <t>ALJ91140.1</t>
  </si>
  <si>
    <t>TO73_1295</t>
  </si>
  <si>
    <t>lysine-arginine-ornithine-binding periplasmic protein precursor</t>
  </si>
  <si>
    <t>ALJ91141.1</t>
  </si>
  <si>
    <t>TO73_1296</t>
  </si>
  <si>
    <t>glycogen phosphorylase</t>
  </si>
  <si>
    <t>ALJ91142.1</t>
  </si>
  <si>
    <t>TO73_1297</t>
  </si>
  <si>
    <t>Trk system potassium uptake protein TrkG</t>
  </si>
  <si>
    <t>ALJ91143.1</t>
  </si>
  <si>
    <t>TO73_1298</t>
  </si>
  <si>
    <t>Trk system potassium uptake protein TrkA</t>
  </si>
  <si>
    <t>ALJ91144.1</t>
  </si>
  <si>
    <t>TO73_1299</t>
  </si>
  <si>
    <t>ribosomal protein S12p Asp88 methylthiotransferase</t>
  </si>
  <si>
    <t>ALJ91145.1</t>
  </si>
  <si>
    <t>TO73_1300</t>
  </si>
  <si>
    <t>ALJ91146.1</t>
  </si>
  <si>
    <t>TO73_1301</t>
  </si>
  <si>
    <t>indigoidine synthase A-like protein, uncharacterized enzyme involved in pigment biosynthesis</t>
  </si>
  <si>
    <t>ALJ91147.1</t>
  </si>
  <si>
    <t>TO73_1302</t>
  </si>
  <si>
    <t>ALJ91148.1</t>
  </si>
  <si>
    <t>TO73_1303</t>
  </si>
  <si>
    <t>ribulosamine/erythrulosamine 3-kinase potentially involved in protein deglycation</t>
  </si>
  <si>
    <t>ALJ91149.1</t>
  </si>
  <si>
    <t>TO73_1304</t>
  </si>
  <si>
    <t>low molecular weight protein tyrosine phosphatase</t>
  </si>
  <si>
    <t>ALJ91150.1</t>
  </si>
  <si>
    <t>TO73_1305</t>
  </si>
  <si>
    <t>ALJ91151.1</t>
  </si>
  <si>
    <t>TO73_1306</t>
  </si>
  <si>
    <t>tRNA:Cm32/Um32 methyltransferase</t>
  </si>
  <si>
    <t>ALJ91152.1</t>
  </si>
  <si>
    <t>TO73_1307</t>
  </si>
  <si>
    <t>multimodular transpeptidase-transglycosylase</t>
  </si>
  <si>
    <t>ALJ91153.1</t>
  </si>
  <si>
    <t>TO73_1308</t>
  </si>
  <si>
    <t>response regulator</t>
  </si>
  <si>
    <t>ALJ91154.1</t>
  </si>
  <si>
    <t>TO73_1309</t>
  </si>
  <si>
    <t>tRNA-Gln</t>
  </si>
  <si>
    <t>TO73_1310</t>
  </si>
  <si>
    <t>GTP-binding and nucleic acid-binding protein YchF</t>
  </si>
  <si>
    <t>ALJ91155.1</t>
  </si>
  <si>
    <t>TO73_1312</t>
  </si>
  <si>
    <t>Deoxyribose-phosphate aldolase</t>
  </si>
  <si>
    <t>ALJ91156.1</t>
  </si>
  <si>
    <t>TO73_1313</t>
  </si>
  <si>
    <t>ALJ91157.1</t>
  </si>
  <si>
    <t>TO73_1314</t>
  </si>
  <si>
    <t>septum formation protein Maf</t>
  </si>
  <si>
    <t>ALJ91158.1</t>
  </si>
  <si>
    <t>TO73_1315</t>
  </si>
  <si>
    <t>rod shape-determining protein MreC</t>
  </si>
  <si>
    <t>ALJ91159.1</t>
  </si>
  <si>
    <t>TO73_1316</t>
  </si>
  <si>
    <t>rod shape-determining protein MreD</t>
  </si>
  <si>
    <t>ALJ91160.1</t>
  </si>
  <si>
    <t>TO73_1317</t>
  </si>
  <si>
    <t>Cell division protein FtsI (Peptidoglycan synthetase)</t>
  </si>
  <si>
    <t>ALJ91161.1</t>
  </si>
  <si>
    <t>TO73_1318</t>
  </si>
  <si>
    <t>septum site-determining protein MinC</t>
  </si>
  <si>
    <t>ALJ91162.1</t>
  </si>
  <si>
    <t>TO73_1319</t>
  </si>
  <si>
    <t>ALJ91163.1</t>
  </si>
  <si>
    <t>TO73_1320</t>
  </si>
  <si>
    <t>ALJ91164.1</t>
  </si>
  <si>
    <t>TO73_1321</t>
  </si>
  <si>
    <t>ALJ91165.1</t>
  </si>
  <si>
    <t>TO73_1322</t>
  </si>
  <si>
    <t>ALJ91166.1</t>
  </si>
  <si>
    <t>TO73_1323</t>
  </si>
  <si>
    <t>glutamate N-acetyltransferase / N-acetylglutamate synthase</t>
  </si>
  <si>
    <t>ALJ91167.1</t>
  </si>
  <si>
    <t>TO73_1324</t>
  </si>
  <si>
    <t>N-acetyl-gamma-glutamyl-phosphate reductase</t>
  </si>
  <si>
    <t>ALJ91168.1</t>
  </si>
  <si>
    <t>TO73_1325</t>
  </si>
  <si>
    <t>ALJ91169.1</t>
  </si>
  <si>
    <t>TO73_1326</t>
  </si>
  <si>
    <t>ornithine carbamoyltransferase</t>
  </si>
  <si>
    <t>ALJ91170.1</t>
  </si>
  <si>
    <t>TO73_1327</t>
  </si>
  <si>
    <t>ALJ91171.1</t>
  </si>
  <si>
    <t>TO73_1328</t>
  </si>
  <si>
    <t>ALJ91172.1</t>
  </si>
  <si>
    <t>TO73_1329</t>
  </si>
  <si>
    <t>ALJ91173.1</t>
  </si>
  <si>
    <t>TO73_1330</t>
  </si>
  <si>
    <t>ALJ91174.1</t>
  </si>
  <si>
    <t>TO73_1331</t>
  </si>
  <si>
    <t>ALJ91175.1</t>
  </si>
  <si>
    <t>TO73_1332</t>
  </si>
  <si>
    <t>ALJ91176.1</t>
  </si>
  <si>
    <t>TO73_1333</t>
  </si>
  <si>
    <t>conserved membrane protein, multidrug efflux associated</t>
  </si>
  <si>
    <t>ALJ91177.1</t>
  </si>
  <si>
    <t>TO73_1334</t>
  </si>
  <si>
    <t>ALJ91178.1</t>
  </si>
  <si>
    <t>TO73_1335</t>
  </si>
  <si>
    <t>alr0191 protein</t>
  </si>
  <si>
    <t>ALJ91179.1</t>
  </si>
  <si>
    <t>TO73_1336</t>
  </si>
  <si>
    <t>ALJ91180.1</t>
  </si>
  <si>
    <t>TO73_1337</t>
  </si>
  <si>
    <t>(R)-citramalate synthase</t>
  </si>
  <si>
    <t>ALJ91181.1</t>
  </si>
  <si>
    <t>TO73_1338</t>
  </si>
  <si>
    <t>GCN5-related N-acetyltransferase</t>
  </si>
  <si>
    <t>ALJ91182.1</t>
  </si>
  <si>
    <t>TO73_1339</t>
  </si>
  <si>
    <t>2-isopropylmalate synthase</t>
  </si>
  <si>
    <t>ALJ91183.1</t>
  </si>
  <si>
    <t>TO73_1340</t>
  </si>
  <si>
    <t>ketol-acid reductoisomerase</t>
  </si>
  <si>
    <t>ALJ91184.1</t>
  </si>
  <si>
    <t>TO73_1341</t>
  </si>
  <si>
    <t>acetolactate synthase small subunit</t>
  </si>
  <si>
    <t>ALJ91185.1</t>
  </si>
  <si>
    <t>TO73_1342</t>
  </si>
  <si>
    <t>acetolactate synthase large subunit</t>
  </si>
  <si>
    <t>ALJ91186.1</t>
  </si>
  <si>
    <t>TO73_1343</t>
  </si>
  <si>
    <t>thioredoxin reductase</t>
  </si>
  <si>
    <t>ALJ91187.1</t>
  </si>
  <si>
    <t>TO73_1344</t>
  </si>
  <si>
    <t>integral membrane protein TerC</t>
  </si>
  <si>
    <t>ALJ91188.1</t>
  </si>
  <si>
    <t>TO73_1345</t>
  </si>
  <si>
    <t>fumarate hydratase class II</t>
  </si>
  <si>
    <t>ALJ91189.1</t>
  </si>
  <si>
    <t>TO73_1346</t>
  </si>
  <si>
    <t>manganese superoxide dismutase</t>
  </si>
  <si>
    <t>ALJ91190.1</t>
  </si>
  <si>
    <t>TO73_1347</t>
  </si>
  <si>
    <t>menaquinone via futalosine step 2</t>
  </si>
  <si>
    <t>ALJ91191.1</t>
  </si>
  <si>
    <t>TO73_1348</t>
  </si>
  <si>
    <t>ALJ91192.1</t>
  </si>
  <si>
    <t>TO73_1349</t>
  </si>
  <si>
    <t>small multidrug export protein</t>
  </si>
  <si>
    <t>ALJ91193.1</t>
  </si>
  <si>
    <t>TO73_1350</t>
  </si>
  <si>
    <t>LSU ribosomal protein L20p</t>
  </si>
  <si>
    <t>ALJ91194.1</t>
  </si>
  <si>
    <t>TO73_1351</t>
  </si>
  <si>
    <t>LSU ribosomal protein L35p</t>
  </si>
  <si>
    <t>ALJ91195.1</t>
  </si>
  <si>
    <t>TO73_1352</t>
  </si>
  <si>
    <t>translation initiation factor 3</t>
  </si>
  <si>
    <t>ALJ91196.1</t>
  </si>
  <si>
    <t>TO73_1353</t>
  </si>
  <si>
    <t>ALJ91197.1</t>
  </si>
  <si>
    <t>TO73_1354</t>
  </si>
  <si>
    <t>glutaminyl-tRNA synthetase</t>
  </si>
  <si>
    <t>ALJ91198.1</t>
  </si>
  <si>
    <t>TO73_1355</t>
  </si>
  <si>
    <t>ALJ91199.1</t>
  </si>
  <si>
    <t>TO73_1356</t>
  </si>
  <si>
    <t>ALJ91200.1</t>
  </si>
  <si>
    <t>TO73_1357</t>
  </si>
  <si>
    <t>RNA binding methyltransferase FtsJ like</t>
  </si>
  <si>
    <t>ALJ91201.1</t>
  </si>
  <si>
    <t>TO73_1358</t>
  </si>
  <si>
    <t>aspartate-semialdehyde dehydrogenase</t>
  </si>
  <si>
    <t>ALJ91202.1</t>
  </si>
  <si>
    <t>TO73_1359</t>
  </si>
  <si>
    <t>ALJ91203.1</t>
  </si>
  <si>
    <t>TO73_1360</t>
  </si>
  <si>
    <t>ALJ91204.1</t>
  </si>
  <si>
    <t>TO73_1361</t>
  </si>
  <si>
    <t>glycyl-tRNA synthetase</t>
  </si>
  <si>
    <t>ALJ91205.1</t>
  </si>
  <si>
    <t>TO73_1362</t>
  </si>
  <si>
    <t>ATP-dependent Clp protease ATP-binding subunit ClpA</t>
  </si>
  <si>
    <t>ALJ91206.1</t>
  </si>
  <si>
    <t>TO73_1363</t>
  </si>
  <si>
    <t>DNA repair protein RadA</t>
  </si>
  <si>
    <t>ALJ91207.1</t>
  </si>
  <si>
    <t>TO73_1364</t>
  </si>
  <si>
    <t>membrane-associated protein containing RNA-binding TRAM domain and ribonuclease PIN-domain</t>
  </si>
  <si>
    <t>ALJ91208.1</t>
  </si>
  <si>
    <t>TO73_1365</t>
  </si>
  <si>
    <t>ALJ91209.1</t>
  </si>
  <si>
    <t>TO73_1366</t>
  </si>
  <si>
    <t>succinyl-CoA ligase [ADP-forming] beta chain</t>
  </si>
  <si>
    <t>ALJ91210.1</t>
  </si>
  <si>
    <t>TO73_1367</t>
  </si>
  <si>
    <t>succinyl-CoA ligase [ADP-forming] alpha chain</t>
  </si>
  <si>
    <t>ALJ91211.1</t>
  </si>
  <si>
    <t>TO73_1368</t>
  </si>
  <si>
    <t>4-alpha-glucanotransferase (amylomaltase)</t>
  </si>
  <si>
    <t>ALJ91212.1</t>
  </si>
  <si>
    <t>TO73_1369</t>
  </si>
  <si>
    <t>3-hydroxybutyryl-CoA dehydrogenase</t>
  </si>
  <si>
    <t>ALJ91213.1</t>
  </si>
  <si>
    <t>TO73_1370</t>
  </si>
  <si>
    <t>ALJ91214.1</t>
  </si>
  <si>
    <t>TO73_1371</t>
  </si>
  <si>
    <t>zinc protease</t>
  </si>
  <si>
    <t>ALJ91215.1</t>
  </si>
  <si>
    <t>TO73_1372</t>
  </si>
  <si>
    <t>ALJ91216.1</t>
  </si>
  <si>
    <t>TO73_1373</t>
  </si>
  <si>
    <t>ATP-dependent DNA helicase RecG</t>
  </si>
  <si>
    <t>ALJ91217.1</t>
  </si>
  <si>
    <t>TO73_1374</t>
  </si>
  <si>
    <t>ALJ91218.1</t>
  </si>
  <si>
    <t>TO73_1375</t>
  </si>
  <si>
    <t>putative esterase</t>
  </si>
  <si>
    <t>ALJ91219.1</t>
  </si>
  <si>
    <t>TO73_1376</t>
  </si>
  <si>
    <t>CRISPR-associated protein, Csm1 family</t>
  </si>
  <si>
    <t>ALJ91220.1</t>
  </si>
  <si>
    <t>TO73_1377</t>
  </si>
  <si>
    <t>CRISPR-associated protein, Csm2 family</t>
  </si>
  <si>
    <t>ALJ91221.1</t>
  </si>
  <si>
    <t>TO73_1378</t>
  </si>
  <si>
    <t>CRISPR-associated RAMP Csm3</t>
  </si>
  <si>
    <t>ALJ91222.1</t>
  </si>
  <si>
    <t>TO73_1379</t>
  </si>
  <si>
    <t>CRISPR-associated RAMP protein, Csm4 family</t>
  </si>
  <si>
    <t>ALJ91223.1</t>
  </si>
  <si>
    <t>TO73_1380</t>
  </si>
  <si>
    <t>CRISPR-associated protein, Csm5 family</t>
  </si>
  <si>
    <t>ALJ91224.1</t>
  </si>
  <si>
    <t>TO73_1381</t>
  </si>
  <si>
    <t>ALJ91225.1</t>
  </si>
  <si>
    <t>TO73_1382</t>
  </si>
  <si>
    <t>ALJ91226.1</t>
  </si>
  <si>
    <t>TO73_1383</t>
  </si>
  <si>
    <t>ALJ91227.1</t>
  </si>
  <si>
    <t>TO73_1384</t>
  </si>
  <si>
    <t>ALJ91228.1</t>
  </si>
  <si>
    <t>TO73_1385</t>
  </si>
  <si>
    <t>ALJ91229.1</t>
  </si>
  <si>
    <t>TO73_1386</t>
  </si>
  <si>
    <t>ALJ91230.1</t>
  </si>
  <si>
    <t>TO73_1387</t>
  </si>
  <si>
    <t>ALJ91231.1</t>
  </si>
  <si>
    <t>TO73_1388</t>
  </si>
  <si>
    <t>exonuclease SbcD</t>
  </si>
  <si>
    <t>ALJ91232.1</t>
  </si>
  <si>
    <t>TO73_1389</t>
  </si>
  <si>
    <t>putative membrane protein</t>
  </si>
  <si>
    <t>ALJ91233.1</t>
  </si>
  <si>
    <t>TO73_1390</t>
  </si>
  <si>
    <t>peroxide stress regulator / Ferric uptake regulation protein</t>
  </si>
  <si>
    <t>ALJ91234.1</t>
  </si>
  <si>
    <t>TO73_1391</t>
  </si>
  <si>
    <t>ALJ91235.1</t>
  </si>
  <si>
    <t>TO73_1392</t>
  </si>
  <si>
    <t>ALJ91236.1</t>
  </si>
  <si>
    <t>TO73_1393</t>
  </si>
  <si>
    <t>competence protein F-like protein, phosphoribosyltransferase domain</t>
  </si>
  <si>
    <t>ALJ91237.1</t>
  </si>
  <si>
    <t>TO73_1394</t>
  </si>
  <si>
    <t>methylthioribose-1-phosphate isomerase</t>
  </si>
  <si>
    <t>ALJ91238.1</t>
  </si>
  <si>
    <t>TO73_1395</t>
  </si>
  <si>
    <t>ALJ91239.1</t>
  </si>
  <si>
    <t>TO73_1396</t>
  </si>
  <si>
    <t>ALJ91240.1</t>
  </si>
  <si>
    <t>TO73_1397</t>
  </si>
  <si>
    <t>L-threonine 3-dehydrogenase</t>
  </si>
  <si>
    <t>ALJ91241.1</t>
  </si>
  <si>
    <t>TO73_1398</t>
  </si>
  <si>
    <t>ALJ91242.1</t>
  </si>
  <si>
    <t>TO73_1399</t>
  </si>
  <si>
    <t>putative acylphosphate phosphohydrolase</t>
  </si>
  <si>
    <t>ALJ91243.1</t>
  </si>
  <si>
    <t>TO73_1400</t>
  </si>
  <si>
    <t>GTP-binding protein HflX</t>
  </si>
  <si>
    <t>ALJ91244.1</t>
  </si>
  <si>
    <t>TO73_1401</t>
  </si>
  <si>
    <t>ALJ91245.1</t>
  </si>
  <si>
    <t>TO73_1402</t>
  </si>
  <si>
    <t>cell division initiation protein DivIVA</t>
  </si>
  <si>
    <t>ALJ91246.1</t>
  </si>
  <si>
    <t>TO73_1403</t>
  </si>
  <si>
    <t>ALJ91247.1</t>
  </si>
  <si>
    <t>TO73_1404</t>
  </si>
  <si>
    <t>ALJ91248.1</t>
  </si>
  <si>
    <t>TO73_1405</t>
  </si>
  <si>
    <t>outer membrane protein</t>
  </si>
  <si>
    <t>ALJ91249.1</t>
  </si>
  <si>
    <t>TO73_1406</t>
  </si>
  <si>
    <t>YlxP-like protein</t>
  </si>
  <si>
    <t>ALJ91250.1</t>
  </si>
  <si>
    <t>TO73_1407</t>
  </si>
  <si>
    <t>ALJ91251.1</t>
  </si>
  <si>
    <t>TO73_1408</t>
  </si>
  <si>
    <t>putative ORF-2</t>
  </si>
  <si>
    <t>ALJ91252.1</t>
  </si>
  <si>
    <t>TO73_1409</t>
  </si>
  <si>
    <t>ALJ91253.1</t>
  </si>
  <si>
    <t>TO73_1410</t>
  </si>
  <si>
    <t>ALJ91254.1</t>
  </si>
  <si>
    <t>TO73_1411</t>
  </si>
  <si>
    <t>pilin, type IV, putative</t>
  </si>
  <si>
    <t>ALJ91255.1</t>
  </si>
  <si>
    <t>TO73_1412</t>
  </si>
  <si>
    <t>ALJ91256.1</t>
  </si>
  <si>
    <t>TO73_1413</t>
  </si>
  <si>
    <t>ALJ91257.1</t>
  </si>
  <si>
    <t>TO73_1414</t>
  </si>
  <si>
    <t>ALJ91258.1</t>
  </si>
  <si>
    <t>TO73_1415</t>
  </si>
  <si>
    <t>ALJ91259.1</t>
  </si>
  <si>
    <t>TO73_1416</t>
  </si>
  <si>
    <t>ALJ91260.1</t>
  </si>
  <si>
    <t>TO73_1417</t>
  </si>
  <si>
    <t>ALJ91261.1</t>
  </si>
  <si>
    <t>TO73_1418</t>
  </si>
  <si>
    <t>ALJ91262.1</t>
  </si>
  <si>
    <t>TO73_1419</t>
  </si>
  <si>
    <t>ALJ91263.1</t>
  </si>
  <si>
    <t>TO73_1420</t>
  </si>
  <si>
    <t>ALJ91264.1</t>
  </si>
  <si>
    <t>TO73_1421</t>
  </si>
  <si>
    <t>ALJ91265.1</t>
  </si>
  <si>
    <t>TO73_1422</t>
  </si>
  <si>
    <t>ALJ91266.1</t>
  </si>
  <si>
    <t>TO73_1423</t>
  </si>
  <si>
    <t>aminoacyl-tRNA synthetase class Ib / tryptophanyl-tRNA synthetase</t>
  </si>
  <si>
    <t>ALJ91267.1</t>
  </si>
  <si>
    <t>TO73_1424</t>
  </si>
  <si>
    <t>TO73_1425</t>
  </si>
  <si>
    <t>3-isopropylmalate dehydratase large subunit</t>
  </si>
  <si>
    <t>ALJ91268.1</t>
  </si>
  <si>
    <t>TO73_1427</t>
  </si>
  <si>
    <t>3-isopropylmalate dehydratase small subunit</t>
  </si>
  <si>
    <t>ALJ91269.1</t>
  </si>
  <si>
    <t>TO73_1428</t>
  </si>
  <si>
    <t>3-isopropylmalate dehydrogenase</t>
  </si>
  <si>
    <t>ALJ91270.1</t>
  </si>
  <si>
    <t>TO73_1429</t>
  </si>
  <si>
    <t>ALJ91271.1</t>
  </si>
  <si>
    <t>TO73_1430</t>
  </si>
  <si>
    <t>ALJ91272.1</t>
  </si>
  <si>
    <t>TO73_1431</t>
  </si>
  <si>
    <t>putative dehydrogenase</t>
  </si>
  <si>
    <t>ALJ91273.1</t>
  </si>
  <si>
    <t>TO73_1432</t>
  </si>
  <si>
    <t>Dihydroxy-acid dehydratase</t>
  </si>
  <si>
    <t>ALJ91274.1</t>
  </si>
  <si>
    <t>TO73_1433</t>
  </si>
  <si>
    <t>ALJ91275.1</t>
  </si>
  <si>
    <t>TO73_1434</t>
  </si>
  <si>
    <t>ABC transporter, periplasmic spermidine putrescine-binding protein PotD</t>
  </si>
  <si>
    <t>ALJ91276.1</t>
  </si>
  <si>
    <t>TO73_1435</t>
  </si>
  <si>
    <t>spermidine Putrescine ABC transporter permease component PotC</t>
  </si>
  <si>
    <t>ALJ91277.1</t>
  </si>
  <si>
    <t>TO73_1436</t>
  </si>
  <si>
    <t>spermidine Putrescine ABC transporter permease component PotB</t>
  </si>
  <si>
    <t>ALJ91278.1</t>
  </si>
  <si>
    <t>TO73_1437</t>
  </si>
  <si>
    <t>putrescine transport ATP-binding protein PotA</t>
  </si>
  <si>
    <t>ALJ91279.1</t>
  </si>
  <si>
    <t>TO73_1438</t>
  </si>
  <si>
    <t>rod shape-determining protein RodA</t>
  </si>
  <si>
    <t>ALJ91280.1</t>
  </si>
  <si>
    <t>TO73_1439</t>
  </si>
  <si>
    <t>cell division topological specificity factor MinE</t>
  </si>
  <si>
    <t>ALJ91281.1</t>
  </si>
  <si>
    <t>TO73_1440</t>
  </si>
  <si>
    <t>septum site-determining protein MinD</t>
  </si>
  <si>
    <t>ALJ91282.1</t>
  </si>
  <si>
    <t>TO73_1441</t>
  </si>
  <si>
    <t>ALJ91283.1</t>
  </si>
  <si>
    <t>TO73_1442</t>
  </si>
  <si>
    <t>ALJ91284.1</t>
  </si>
  <si>
    <t>TO73_1443</t>
  </si>
  <si>
    <t>ALJ91285.1</t>
  </si>
  <si>
    <t>TO73_1444</t>
  </si>
  <si>
    <t>protein kinase-like protein</t>
  </si>
  <si>
    <t>ALJ91286.1</t>
  </si>
  <si>
    <t>TO73_1445</t>
  </si>
  <si>
    <t>acetyl-coenzyme A synthetase</t>
  </si>
  <si>
    <t>ALJ91287.1</t>
  </si>
  <si>
    <t>TO73_1446</t>
  </si>
  <si>
    <t>ALJ91288.1</t>
  </si>
  <si>
    <t>TO73_1447</t>
  </si>
  <si>
    <t>ALJ91289.1</t>
  </si>
  <si>
    <t>TO73_1448</t>
  </si>
  <si>
    <t>Sodium:solute symporter associated protein</t>
  </si>
  <si>
    <t>ALJ91290.1</t>
  </si>
  <si>
    <t>TO73_1449</t>
  </si>
  <si>
    <t>acetate permease ActP (cation/acetate) symporter</t>
  </si>
  <si>
    <t>ALJ91291.1</t>
  </si>
  <si>
    <t>TO73_1450</t>
  </si>
  <si>
    <t>ALJ91292.1</t>
  </si>
  <si>
    <t>TO73_1451</t>
  </si>
  <si>
    <t>putative signal-transduction protein</t>
  </si>
  <si>
    <t>ALJ91293.1</t>
  </si>
  <si>
    <t>TO73_1452</t>
  </si>
  <si>
    <t>ALJ91294.1</t>
  </si>
  <si>
    <t>TO73_1453</t>
  </si>
  <si>
    <t>serine phosphatase RsbU, regulator of sigma subunit</t>
  </si>
  <si>
    <t>ALJ91295.1</t>
  </si>
  <si>
    <t>TO73_1454</t>
  </si>
  <si>
    <t>response regulator receiver protein in cluster with DNA polymerase III epsilon subunit</t>
  </si>
  <si>
    <t>ALJ91296.1</t>
  </si>
  <si>
    <t>TO73_1455</t>
  </si>
  <si>
    <t>DNA polymerase III epsilon subunit</t>
  </si>
  <si>
    <t>ALJ91297.1</t>
  </si>
  <si>
    <t>TO73_1456</t>
  </si>
  <si>
    <t>phosphoribosylamine--glycine ligase</t>
  </si>
  <si>
    <t>ALJ91298.1</t>
  </si>
  <si>
    <t>TO73_1457</t>
  </si>
  <si>
    <t>phosphoribosylglycinamide formyltransferase</t>
  </si>
  <si>
    <t>ALJ91299.1</t>
  </si>
  <si>
    <t>TO73_1458</t>
  </si>
  <si>
    <t>metallo-beta-lactamase protein</t>
  </si>
  <si>
    <t>ALJ91300.1</t>
  </si>
  <si>
    <t>TO73_1459</t>
  </si>
  <si>
    <t>5-carboxymethyl-2-hydroxymuconate delta-isomerase</t>
  </si>
  <si>
    <t>ALJ91301.1</t>
  </si>
  <si>
    <t>TO73_1460</t>
  </si>
  <si>
    <t>putative membrane spanning protein</t>
  </si>
  <si>
    <t>ALJ91302.1</t>
  </si>
  <si>
    <t>TO73_1461</t>
  </si>
  <si>
    <t>transcriptional regulator</t>
  </si>
  <si>
    <t>ALJ91303.1</t>
  </si>
  <si>
    <t>TO73_1462</t>
  </si>
  <si>
    <t>ALJ91304.1</t>
  </si>
  <si>
    <t>TO73_1463</t>
  </si>
  <si>
    <t>ALJ91305.1</t>
  </si>
  <si>
    <t>TO73_1464</t>
  </si>
  <si>
    <t>SCO4494 protein</t>
  </si>
  <si>
    <t>ALJ91306.1</t>
  </si>
  <si>
    <t>TO73_1465</t>
  </si>
  <si>
    <t>menaquinone via futalosine step 1</t>
  </si>
  <si>
    <t>ALJ91307.1</t>
  </si>
  <si>
    <t>TO73_1466</t>
  </si>
  <si>
    <t>YceI like family protein</t>
  </si>
  <si>
    <t>ALJ91308.1</t>
  </si>
  <si>
    <t>TO73_1467</t>
  </si>
  <si>
    <t>ALJ91309.1</t>
  </si>
  <si>
    <t>TO73_1468</t>
  </si>
  <si>
    <t>glyoxalase family protein</t>
  </si>
  <si>
    <t>ALJ91310.1</t>
  </si>
  <si>
    <t>TO73_1469</t>
  </si>
  <si>
    <t>2-keto-3-deoxy-D-arabino-heptulosonate-7- phosphate synthase I beta</t>
  </si>
  <si>
    <t>ALJ91311.1</t>
  </si>
  <si>
    <t>TO73_1470</t>
  </si>
  <si>
    <t>prephenate and/or arogenate dehydrogenase</t>
  </si>
  <si>
    <t>ALJ91312.1</t>
  </si>
  <si>
    <t>TO73_1471</t>
  </si>
  <si>
    <t>ALJ91313.1</t>
  </si>
  <si>
    <t>TO73_1472</t>
  </si>
  <si>
    <t>glycolate dehydrogenase, subunit GlcD</t>
  </si>
  <si>
    <t>ALJ91314.1</t>
  </si>
  <si>
    <t>TO73_1473</t>
  </si>
  <si>
    <t>ALJ91315.1</t>
  </si>
  <si>
    <t>TO73_1474</t>
  </si>
  <si>
    <t>ALJ91316.1</t>
  </si>
  <si>
    <t>TO73_1475</t>
  </si>
  <si>
    <t>ALJ91317.1</t>
  </si>
  <si>
    <t>TO73_1476</t>
  </si>
  <si>
    <t>ALJ91318.1</t>
  </si>
  <si>
    <t>TO73_1477</t>
  </si>
  <si>
    <t>type IV fimbrial assembly protein PilC</t>
  </si>
  <si>
    <t>ALJ91319.1</t>
  </si>
  <si>
    <t>TO73_1478</t>
  </si>
  <si>
    <t>TsaC protein (YrdC domain) required for threonylcarbamoyladenosine t(6)A37 modification in tRNA</t>
  </si>
  <si>
    <t>ALJ91320.1</t>
  </si>
  <si>
    <t>TO73_1479</t>
  </si>
  <si>
    <t>chromosome segregation and condensation protein ScpB</t>
  </si>
  <si>
    <t>ALJ91321.1</t>
  </si>
  <si>
    <t>TO73_1480</t>
  </si>
  <si>
    <t>ALJ91322.1</t>
  </si>
  <si>
    <t>TO73_1481</t>
  </si>
  <si>
    <t>ALJ91323.1</t>
  </si>
  <si>
    <t>TO73_1482</t>
  </si>
  <si>
    <t>glutaryl-CoA dehydrogenase</t>
  </si>
  <si>
    <t>ALJ91324.1</t>
  </si>
  <si>
    <t>TO73_1483</t>
  </si>
  <si>
    <t>DNA polymerase III delta subunit</t>
  </si>
  <si>
    <t>ALJ91325.1</t>
  </si>
  <si>
    <t>TO73_1484</t>
  </si>
  <si>
    <t>TldD protein, part of TldE/TldD proteolytic complex</t>
  </si>
  <si>
    <t>ALJ91326.1</t>
  </si>
  <si>
    <t>TO73_1485</t>
  </si>
  <si>
    <t>TldE protein, part of TldE/TldD proteolytic complex</t>
  </si>
  <si>
    <t>ALJ91327.1</t>
  </si>
  <si>
    <t>TO73_1486</t>
  </si>
  <si>
    <t>glyoxylate reductase / glyoxylate reductase / hydroxypyruvate reductase</t>
  </si>
  <si>
    <t>ALJ91328.1</t>
  </si>
  <si>
    <t>TO73_1487</t>
  </si>
  <si>
    <t>membrane protein, putative</t>
  </si>
  <si>
    <t>ALJ91329.1</t>
  </si>
  <si>
    <t>TO73_1488</t>
  </si>
  <si>
    <t>ALJ91330.1</t>
  </si>
  <si>
    <t>TO73_1489</t>
  </si>
  <si>
    <t>uracil phosphoribosyltransferase / pyrimidine operon regulatory protein PyrR</t>
  </si>
  <si>
    <t>ALJ91331.1</t>
  </si>
  <si>
    <t>TO73_1490</t>
  </si>
  <si>
    <t>aspartate carbamoyltransferase</t>
  </si>
  <si>
    <t>ALJ91332.1</t>
  </si>
  <si>
    <t>TO73_1491</t>
  </si>
  <si>
    <t>Dihydroorotase</t>
  </si>
  <si>
    <t>ALJ91333.1</t>
  </si>
  <si>
    <t>TO73_1492</t>
  </si>
  <si>
    <t>ALJ91334.1</t>
  </si>
  <si>
    <t>TO73_1493</t>
  </si>
  <si>
    <t>Dihydroorotate dehydrogenase</t>
  </si>
  <si>
    <t>ALJ91335.1</t>
  </si>
  <si>
    <t>TO73_1494</t>
  </si>
  <si>
    <t>ALJ91336.1</t>
  </si>
  <si>
    <t>TO73_1495</t>
  </si>
  <si>
    <t>ALJ91337.1</t>
  </si>
  <si>
    <t>TO73_1496</t>
  </si>
  <si>
    <t>molybdopterin-guanine dinucleotide biosynthesis protein MobA</t>
  </si>
  <si>
    <t>ALJ91338.1</t>
  </si>
  <si>
    <t>TO73_1497</t>
  </si>
  <si>
    <t>FAD dependent oxidoreductase precursor</t>
  </si>
  <si>
    <t>ALJ91339.1</t>
  </si>
  <si>
    <t>TO73_1498</t>
  </si>
  <si>
    <t>ALJ91340.1</t>
  </si>
  <si>
    <t>TO73_1499</t>
  </si>
  <si>
    <t>tRNA-i(6)A37 methylthiotransferase</t>
  </si>
  <si>
    <t>ALJ91341.1</t>
  </si>
  <si>
    <t>TO73_1500</t>
  </si>
  <si>
    <t>TO73_1501</t>
  </si>
  <si>
    <t>ALJ91342.1</t>
  </si>
  <si>
    <t>TO73_1503</t>
  </si>
  <si>
    <t>FAD dependent oxidoreductase</t>
  </si>
  <si>
    <t>ALJ91343.1</t>
  </si>
  <si>
    <t>TO73_1504</t>
  </si>
  <si>
    <t>isocitrate dehydrogenase [NADP] / homoisocitrate dehydrogenase</t>
  </si>
  <si>
    <t>ALJ91344.1</t>
  </si>
  <si>
    <t>TO73_1505</t>
  </si>
  <si>
    <t>exoribonuclease II</t>
  </si>
  <si>
    <t>ALJ91345.1</t>
  </si>
  <si>
    <t>TO73_1506</t>
  </si>
  <si>
    <t>ALJ91346.1</t>
  </si>
  <si>
    <t>TO73_1507</t>
  </si>
  <si>
    <t>oligoendopeptidase F</t>
  </si>
  <si>
    <t>ALJ91347.1</t>
  </si>
  <si>
    <t>TO73_1508</t>
  </si>
  <si>
    <t>tRNA pseudouridine 13 synthase</t>
  </si>
  <si>
    <t>ALJ91348.1</t>
  </si>
  <si>
    <t>TO73_1509</t>
  </si>
  <si>
    <t>ALJ91349.1</t>
  </si>
  <si>
    <t>TO73_1510</t>
  </si>
  <si>
    <t>comA operon protein 2</t>
  </si>
  <si>
    <t>ALJ91350.1</t>
  </si>
  <si>
    <t>TO73_1511</t>
  </si>
  <si>
    <t>membrane dipeptidase</t>
  </si>
  <si>
    <t>ALJ91351.1</t>
  </si>
  <si>
    <t>TO73_2408</t>
  </si>
  <si>
    <t>excinuclease ABC subunit C</t>
  </si>
  <si>
    <t>ALJ91352.1</t>
  </si>
  <si>
    <t>TO73_1512</t>
  </si>
  <si>
    <t>ALJ91353.1</t>
  </si>
  <si>
    <t>TO73_1513</t>
  </si>
  <si>
    <t>arginyl-tRNA synthetase</t>
  </si>
  <si>
    <t>ALJ91354.1</t>
  </si>
  <si>
    <t>TO73_1514</t>
  </si>
  <si>
    <t>putative serine protease</t>
  </si>
  <si>
    <t>ALJ91355.1</t>
  </si>
  <si>
    <t>TO73_1515</t>
  </si>
  <si>
    <t>Deoxyadenosine kinase / deoxyguanosine kinase</t>
  </si>
  <si>
    <t>ALJ91356.1</t>
  </si>
  <si>
    <t>TO73_1516</t>
  </si>
  <si>
    <t>ALJ91357.1</t>
  </si>
  <si>
    <t>TO73_1517</t>
  </si>
  <si>
    <t>UDP-N-acetylmuramoylalanyl-D-glutamate--L- ornithine ligase</t>
  </si>
  <si>
    <t>ALJ91358.1</t>
  </si>
  <si>
    <t>TO73_1518</t>
  </si>
  <si>
    <t>tRNA:m(5)U-54 methyltransferase gid</t>
  </si>
  <si>
    <t>ALJ91359.1</t>
  </si>
  <si>
    <t>TO73_1519</t>
  </si>
  <si>
    <t>ALJ91360.1</t>
  </si>
  <si>
    <t>TO73_1520</t>
  </si>
  <si>
    <t>imidazole glycerol phosphate synthase cyclase subunit</t>
  </si>
  <si>
    <t>ALJ91361.1</t>
  </si>
  <si>
    <t>TO73_1521</t>
  </si>
  <si>
    <t>phosphoribosyl-AMP cyclohydrolase / phosphoribosyl-ATP pyrophosphatase</t>
  </si>
  <si>
    <t>ALJ91362.1</t>
  </si>
  <si>
    <t>TO73_1522</t>
  </si>
  <si>
    <t>ALJ91363.1</t>
  </si>
  <si>
    <t>TO73_1523</t>
  </si>
  <si>
    <t>fructose-1,6-bisphosphatase, GlpX type</t>
  </si>
  <si>
    <t>ALJ91364.1</t>
  </si>
  <si>
    <t>TO73_1524</t>
  </si>
  <si>
    <t>ALJ91365.1</t>
  </si>
  <si>
    <t>TO73_1525</t>
  </si>
  <si>
    <t>ALJ91366.1</t>
  </si>
  <si>
    <t>TO73_1526</t>
  </si>
  <si>
    <t>tungsten-containing aldehyde ferredoxin oxidoreductase</t>
  </si>
  <si>
    <t>ALJ91367.1</t>
  </si>
  <si>
    <t>TO73_1527</t>
  </si>
  <si>
    <t>TsaB protein, required for threonylcarbamoyladenosine (t(6)A) formation in tRNA</t>
  </si>
  <si>
    <t>ALJ91368.1</t>
  </si>
  <si>
    <t>TO73_1528</t>
  </si>
  <si>
    <t>ALJ91369.1</t>
  </si>
  <si>
    <t>TO73_1529</t>
  </si>
  <si>
    <t>AttH protein</t>
  </si>
  <si>
    <t>ALJ91370.1</t>
  </si>
  <si>
    <t>TO73_1530</t>
  </si>
  <si>
    <t>putative deoxyribonuclease YcfH</t>
  </si>
  <si>
    <t>ALJ91371.1</t>
  </si>
  <si>
    <t>TO73_1531</t>
  </si>
  <si>
    <t>cardiolipin synthetase</t>
  </si>
  <si>
    <t>ALJ91372.1</t>
  </si>
  <si>
    <t>TO73_1532</t>
  </si>
  <si>
    <t>ALJ91373.1</t>
  </si>
  <si>
    <t>TO73_1533</t>
  </si>
  <si>
    <t>ALJ91374.1</t>
  </si>
  <si>
    <t>TO73_2409</t>
  </si>
  <si>
    <t>aspartyl-tRNA synthetase / aspartyl-tRNA(Asn) synthetase</t>
  </si>
  <si>
    <t>ALJ91375.1</t>
  </si>
  <si>
    <t>TO73_1534</t>
  </si>
  <si>
    <t>succinate dehydrogenase iron-sulfur protein</t>
  </si>
  <si>
    <t>ALJ91376.1</t>
  </si>
  <si>
    <t>TO73_1535</t>
  </si>
  <si>
    <t>succinate dehydrogenase flavoprotein subunit</t>
  </si>
  <si>
    <t>ALJ91377.1</t>
  </si>
  <si>
    <t>TO73_1536</t>
  </si>
  <si>
    <t>succinate dehydrogenase hydrophobic membrane anchor protein</t>
  </si>
  <si>
    <t>ALJ91378.1</t>
  </si>
  <si>
    <t>TO73_1537</t>
  </si>
  <si>
    <t>succinate dehydrogenase cytochrome b-556 subunit</t>
  </si>
  <si>
    <t>ALJ91379.1</t>
  </si>
  <si>
    <t>TO73_1538</t>
  </si>
  <si>
    <t>S-adenosylmethionine decarboxylase proenzyme, prokaryotic class 1B</t>
  </si>
  <si>
    <t>ALJ91380.1</t>
  </si>
  <si>
    <t>TO73_1539</t>
  </si>
  <si>
    <t>ALJ91381.1</t>
  </si>
  <si>
    <t>TO73_1540</t>
  </si>
  <si>
    <t>ALJ91382.1</t>
  </si>
  <si>
    <t>TO73_1541</t>
  </si>
  <si>
    <t>ABC-type transport, permease protein</t>
  </si>
  <si>
    <t>ALJ91383.1</t>
  </si>
  <si>
    <t>TO73_1542</t>
  </si>
  <si>
    <t>cupin</t>
  </si>
  <si>
    <t>ALJ91384.1</t>
  </si>
  <si>
    <t>TO73_1543</t>
  </si>
  <si>
    <t>putative phosphoribosyl transferase</t>
  </si>
  <si>
    <t>ALJ91385.1</t>
  </si>
  <si>
    <t>TO73_1544</t>
  </si>
  <si>
    <t>ALJ91386.1</t>
  </si>
  <si>
    <t>TO73_1545</t>
  </si>
  <si>
    <t>cysteine desulfurase</t>
  </si>
  <si>
    <t>ALJ91387.1</t>
  </si>
  <si>
    <t>TO73_1546</t>
  </si>
  <si>
    <t>iron-sulfur cluster regulator IscR</t>
  </si>
  <si>
    <t>ALJ91388.1</t>
  </si>
  <si>
    <t>TO73_1547</t>
  </si>
  <si>
    <t>zinc ABC transporter, inner membrane permease protein ZnuB</t>
  </si>
  <si>
    <t>ALJ91389.1</t>
  </si>
  <si>
    <t>TO73_1548</t>
  </si>
  <si>
    <t>manganese transport system ATP-binding protein MntA</t>
  </si>
  <si>
    <t>ALJ91390.1</t>
  </si>
  <si>
    <t>TO73_1549</t>
  </si>
  <si>
    <t>acyl carrier protein</t>
  </si>
  <si>
    <t>ALJ91391.1</t>
  </si>
  <si>
    <t>TO73_1550</t>
  </si>
  <si>
    <t>3-oxoacyl-[acyl-carrier-protein] synthase, KASII</t>
  </si>
  <si>
    <t>ALJ91392.1</t>
  </si>
  <si>
    <t>TO73_1551</t>
  </si>
  <si>
    <t>Deoxyguanosinetriphosphate triphosphohydrolase</t>
  </si>
  <si>
    <t>ALJ91393.1</t>
  </si>
  <si>
    <t>TO73_1552</t>
  </si>
  <si>
    <t>transcriptional regulator, GntR family domain / aspartate aminotransferase</t>
  </si>
  <si>
    <t>ALJ91394.1</t>
  </si>
  <si>
    <t>TO73_1553</t>
  </si>
  <si>
    <t>phenylacetate-coenzyme A ligase</t>
  </si>
  <si>
    <t>ALJ91395.1</t>
  </si>
  <si>
    <t>TO73_1554</t>
  </si>
  <si>
    <t>ribokinase</t>
  </si>
  <si>
    <t>ALJ91396.1</t>
  </si>
  <si>
    <t>TO73_1555</t>
  </si>
  <si>
    <t>imidazole glycerol phosphate synthase amidotransferase subunit</t>
  </si>
  <si>
    <t>ALJ91397.1</t>
  </si>
  <si>
    <t>TO73_1556</t>
  </si>
  <si>
    <t>imidazoleglycerol-phosphate dehydratase</t>
  </si>
  <si>
    <t>ALJ91398.1</t>
  </si>
  <si>
    <t>TO73_1557</t>
  </si>
  <si>
    <t>histidinol-phosphate aminotransferase</t>
  </si>
  <si>
    <t>ALJ91399.1</t>
  </si>
  <si>
    <t>TO73_1558</t>
  </si>
  <si>
    <t>ALJ91400.1</t>
  </si>
  <si>
    <t>TO73_1559</t>
  </si>
  <si>
    <t>ALJ91401.1</t>
  </si>
  <si>
    <t>TO73_1560</t>
  </si>
  <si>
    <t>DNA polymerase beta domain protein</t>
  </si>
  <si>
    <t>ALJ91402.1</t>
  </si>
  <si>
    <t>TO73_1561</t>
  </si>
  <si>
    <t>thiamine-monophosphate kinase</t>
  </si>
  <si>
    <t>ALJ91403.1</t>
  </si>
  <si>
    <t>TO73_1562</t>
  </si>
  <si>
    <t>ALJ91404.1</t>
  </si>
  <si>
    <t>TO73_1563</t>
  </si>
  <si>
    <t>ALJ91405.1</t>
  </si>
  <si>
    <t>TO73_1564</t>
  </si>
  <si>
    <t>ALJ91406.1</t>
  </si>
  <si>
    <t>TO73_1565</t>
  </si>
  <si>
    <t>ALJ91407.1</t>
  </si>
  <si>
    <t>TO73_1566</t>
  </si>
  <si>
    <t>type III restriction-modification system methylation subunit</t>
  </si>
  <si>
    <t>ALJ91408.1</t>
  </si>
  <si>
    <t>TO73_1567</t>
  </si>
  <si>
    <t>ALJ91409.1</t>
  </si>
  <si>
    <t>TO73_1568</t>
  </si>
  <si>
    <t>ADP-ribose 1'-phosphate phophatase related protein</t>
  </si>
  <si>
    <t>ALJ91410.1</t>
  </si>
  <si>
    <t>TO73_1569</t>
  </si>
  <si>
    <t>TO73_1570</t>
  </si>
  <si>
    <t>ALJ91411.1</t>
  </si>
  <si>
    <t>TO73_1572</t>
  </si>
  <si>
    <t>putative DNA-binding protein Erf</t>
  </si>
  <si>
    <t>ALJ91412.1</t>
  </si>
  <si>
    <t>TO73_1573</t>
  </si>
  <si>
    <t>ALJ91413.1</t>
  </si>
  <si>
    <t>TO73_1574</t>
  </si>
  <si>
    <t>SSU rRNA (adenine(1518)-N(6)/adenine(1519)-N(6))-dimethyltransferase</t>
  </si>
  <si>
    <t>ALJ91414.1</t>
  </si>
  <si>
    <t>TO73_1575</t>
  </si>
  <si>
    <t>NADH ubiquinone oxidoreductase chain A</t>
  </si>
  <si>
    <t>ALJ91415.1</t>
  </si>
  <si>
    <t>TO73_1576</t>
  </si>
  <si>
    <t>NADH-ubiquinone oxidoreductase chain B</t>
  </si>
  <si>
    <t>ALJ91416.1</t>
  </si>
  <si>
    <t>TO73_1577</t>
  </si>
  <si>
    <t>NADH-ubiquinone oxidoreductase chain C</t>
  </si>
  <si>
    <t>ALJ91417.1</t>
  </si>
  <si>
    <t>TO73_1578</t>
  </si>
  <si>
    <t>NADH-ubiquinone oxidoreductase chain D</t>
  </si>
  <si>
    <t>ALJ91418.1</t>
  </si>
  <si>
    <t>TO73_1579</t>
  </si>
  <si>
    <t>NADH-ubiquinone oxidoreductase chain E</t>
  </si>
  <si>
    <t>ALJ91419.1</t>
  </si>
  <si>
    <t>TO73_1580</t>
  </si>
  <si>
    <t>ALJ91420.1</t>
  </si>
  <si>
    <t>TO73_1581</t>
  </si>
  <si>
    <t>NADH-ubiquinone oxidoreductase chain G</t>
  </si>
  <si>
    <t>ALJ91421.1</t>
  </si>
  <si>
    <t>TO73_1582</t>
  </si>
  <si>
    <t>NADH-ubiquinone oxidoreductase chain H</t>
  </si>
  <si>
    <t>ALJ91422.1</t>
  </si>
  <si>
    <t>TO73_1583</t>
  </si>
  <si>
    <t>NADH-ubiquinone oxidoreductase chain I</t>
  </si>
  <si>
    <t>ALJ91423.1</t>
  </si>
  <si>
    <t>TO73_1584</t>
  </si>
  <si>
    <t>NADH-ubiquinone oxidoreductase chain J</t>
  </si>
  <si>
    <t>ALJ91424.1</t>
  </si>
  <si>
    <t>TO73_1585</t>
  </si>
  <si>
    <t>NADH-ubiquinone oxidoreductase chain K</t>
  </si>
  <si>
    <t>ALJ91425.1</t>
  </si>
  <si>
    <t>TO73_1586</t>
  </si>
  <si>
    <t>NADH-ubiquinone oxidoreductase chain L</t>
  </si>
  <si>
    <t>ALJ91426.1</t>
  </si>
  <si>
    <t>TO73_1587</t>
  </si>
  <si>
    <t>NADH-ubiquinone oxidoreductase chain M</t>
  </si>
  <si>
    <t>ALJ91427.1</t>
  </si>
  <si>
    <t>TO73_1588</t>
  </si>
  <si>
    <t>NADH-ubiquinone oxidoreductase chain N</t>
  </si>
  <si>
    <t>ALJ91428.1</t>
  </si>
  <si>
    <t>TO73_1589</t>
  </si>
  <si>
    <t>ALJ91429.1</t>
  </si>
  <si>
    <t>TO73_1590</t>
  </si>
  <si>
    <t>aconitate hydratase</t>
  </si>
  <si>
    <t>ALJ91430.1</t>
  </si>
  <si>
    <t>TO73_1591</t>
  </si>
  <si>
    <t>V-type ATP synthase subunit D</t>
  </si>
  <si>
    <t>ALJ91431.1</t>
  </si>
  <si>
    <t>TO73_1592</t>
  </si>
  <si>
    <t>V-type ATP synthase subunit B</t>
  </si>
  <si>
    <t>ALJ91432.1</t>
  </si>
  <si>
    <t>TO73_1593</t>
  </si>
  <si>
    <t>V-type ATP synthase subunit A</t>
  </si>
  <si>
    <t>ALJ91433.1</t>
  </si>
  <si>
    <t>TO73_1594</t>
  </si>
  <si>
    <t>V-type ATP synthase subunit F</t>
  </si>
  <si>
    <t>ALJ91434.1</t>
  </si>
  <si>
    <t>TO73_1595</t>
  </si>
  <si>
    <t>V-type ATP synthase subunit C</t>
  </si>
  <si>
    <t>ALJ91435.1</t>
  </si>
  <si>
    <t>TO73_1596</t>
  </si>
  <si>
    <t>V-type ATP synthase subunit E</t>
  </si>
  <si>
    <t>ALJ91436.1</t>
  </si>
  <si>
    <t>TO73_1597</t>
  </si>
  <si>
    <t>V-type ATP synthase subunit K</t>
  </si>
  <si>
    <t>ALJ91437.1</t>
  </si>
  <si>
    <t>TO73_1598</t>
  </si>
  <si>
    <t>V-type ATP synthase subunit I</t>
  </si>
  <si>
    <t>ALJ91438.1</t>
  </si>
  <si>
    <t>TO73_1599</t>
  </si>
  <si>
    <t>V-type ATP synthase subunit G</t>
  </si>
  <si>
    <t>ALJ91439.1</t>
  </si>
  <si>
    <t>TO73_1600</t>
  </si>
  <si>
    <t>ALJ91440.1</t>
  </si>
  <si>
    <t>TO73_1601</t>
  </si>
  <si>
    <t>ALJ91441.1</t>
  </si>
  <si>
    <t>TO73_1602</t>
  </si>
  <si>
    <t>ALJ91442.1</t>
  </si>
  <si>
    <t>TO73_1603</t>
  </si>
  <si>
    <t>ALJ91443.1</t>
  </si>
  <si>
    <t>TO73_1604</t>
  </si>
  <si>
    <t>ALJ91444.1</t>
  </si>
  <si>
    <t>TO73_1605</t>
  </si>
  <si>
    <t>ALJ91445.1</t>
  </si>
  <si>
    <t>TO73_1606</t>
  </si>
  <si>
    <t>LSU m5C1962 methyltransferase RlmI</t>
  </si>
  <si>
    <t>ALJ91446.1</t>
  </si>
  <si>
    <t>TO73_1607</t>
  </si>
  <si>
    <t>ALJ91447.1</t>
  </si>
  <si>
    <t>TO73_1608</t>
  </si>
  <si>
    <t>ALJ91448.1</t>
  </si>
  <si>
    <t>TO73_1609</t>
  </si>
  <si>
    <t>ALJ91449.1</t>
  </si>
  <si>
    <t>TO73_1610</t>
  </si>
  <si>
    <t>metal-dependent hydrolase</t>
  </si>
  <si>
    <t>ALJ91450.1</t>
  </si>
  <si>
    <t>TO73_1611</t>
  </si>
  <si>
    <t>serine/threonine-protein kinase Pkn2</t>
  </si>
  <si>
    <t>ALJ91451.1</t>
  </si>
  <si>
    <t>TO73_1612</t>
  </si>
  <si>
    <t>acetoacetyl-CoA synthetase</t>
  </si>
  <si>
    <t>ALJ91452.1</t>
  </si>
  <si>
    <t>TO73_1613</t>
  </si>
  <si>
    <t>ALJ91453.1</t>
  </si>
  <si>
    <t>TO73_1614</t>
  </si>
  <si>
    <t>virulence factor MviN</t>
  </si>
  <si>
    <t>ALJ91454.1</t>
  </si>
  <si>
    <t>TO73_1615</t>
  </si>
  <si>
    <t>ALJ91455.1</t>
  </si>
  <si>
    <t>TO73_1616</t>
  </si>
  <si>
    <t>TO73_1617</t>
  </si>
  <si>
    <t>ALJ91456.1</t>
  </si>
  <si>
    <t>TO73_1619</t>
  </si>
  <si>
    <t>ALJ91457.1</t>
  </si>
  <si>
    <t>TO73_1620</t>
  </si>
  <si>
    <t>ALJ91458.1</t>
  </si>
  <si>
    <t>TO73_1621</t>
  </si>
  <si>
    <t>histidinol dehydrogenase</t>
  </si>
  <si>
    <t>ALJ91459.1</t>
  </si>
  <si>
    <t>TO73_1622</t>
  </si>
  <si>
    <t>ALJ91460.1</t>
  </si>
  <si>
    <t>TO73_1623</t>
  </si>
  <si>
    <t>ALJ91461.1</t>
  </si>
  <si>
    <t>TO73_1624</t>
  </si>
  <si>
    <t>ALJ91462.1</t>
  </si>
  <si>
    <t>TO73_1625</t>
  </si>
  <si>
    <t>uracil-DNA glycosylase, family 4</t>
  </si>
  <si>
    <t>ALJ91463.1</t>
  </si>
  <si>
    <t>TO73_2410</t>
  </si>
  <si>
    <t>molybdenum ABC transporter, periplasmic molybdenum-binding protein ModA</t>
  </si>
  <si>
    <t>ALJ91464.1</t>
  </si>
  <si>
    <t>TO73_1626</t>
  </si>
  <si>
    <t>molybdenum transport system permease protein ModB</t>
  </si>
  <si>
    <t>ALJ91465.1</t>
  </si>
  <si>
    <t>TO73_1627</t>
  </si>
  <si>
    <t>molybdenum transport ATP-binding protein ModC</t>
  </si>
  <si>
    <t>ALJ91466.1</t>
  </si>
  <si>
    <t>TO73_1628</t>
  </si>
  <si>
    <t>ALJ91467.1</t>
  </si>
  <si>
    <t>TO73_1629</t>
  </si>
  <si>
    <t>histidyl-tRNA synthetase</t>
  </si>
  <si>
    <t>ALJ91468.1</t>
  </si>
  <si>
    <t>TO73_1630</t>
  </si>
  <si>
    <t>aspartyl-tRNA synthetase</t>
  </si>
  <si>
    <t>ALJ91469.1</t>
  </si>
  <si>
    <t>TO73_1631</t>
  </si>
  <si>
    <t>phenazine biosynthesis protein PhzF</t>
  </si>
  <si>
    <t>ALJ91470.1</t>
  </si>
  <si>
    <t>TO73_1632</t>
  </si>
  <si>
    <t>ALJ91471.1</t>
  </si>
  <si>
    <t>TO73_1633</t>
  </si>
  <si>
    <t>asparaginyl-tRNA synthetase</t>
  </si>
  <si>
    <t>ALJ91472.1</t>
  </si>
  <si>
    <t>TO73_1634</t>
  </si>
  <si>
    <t>pyridoxine biosynthesis glutamine amidotransferase, glutaminase subunit</t>
  </si>
  <si>
    <t>ALJ91473.1</t>
  </si>
  <si>
    <t>TO73_1635</t>
  </si>
  <si>
    <t>putative UV endonuclease</t>
  </si>
  <si>
    <t>ALJ91474.1</t>
  </si>
  <si>
    <t>TO73_1636</t>
  </si>
  <si>
    <t>ALJ91475.1</t>
  </si>
  <si>
    <t>TO73_1637</t>
  </si>
  <si>
    <t>ALJ91476.1</t>
  </si>
  <si>
    <t>TO73_1638</t>
  </si>
  <si>
    <t>sepiapterin reductase</t>
  </si>
  <si>
    <t>ALJ91477.1</t>
  </si>
  <si>
    <t>TO73_1639</t>
  </si>
  <si>
    <t>proteorhodopsin</t>
  </si>
  <si>
    <t>ALJ91478.1</t>
  </si>
  <si>
    <t>TO73_1640</t>
  </si>
  <si>
    <t>ALJ91479.1</t>
  </si>
  <si>
    <t>TO73_1641</t>
  </si>
  <si>
    <t>nucleoside-diphosphate-sugar epimerase</t>
  </si>
  <si>
    <t>ALJ91480.1</t>
  </si>
  <si>
    <t>TO73_1642</t>
  </si>
  <si>
    <t>carotenoid cis-trans isomerase</t>
  </si>
  <si>
    <t>ALJ91481.1</t>
  </si>
  <si>
    <t>TO73_1643</t>
  </si>
  <si>
    <t>ALJ91482.1</t>
  </si>
  <si>
    <t>TO73_1644</t>
  </si>
  <si>
    <t>putative 3-demethylubiquinone-9 3-methyltransferase</t>
  </si>
  <si>
    <t>ALJ91483.1</t>
  </si>
  <si>
    <t>TO73_1645</t>
  </si>
  <si>
    <t>ALJ91484.1</t>
  </si>
  <si>
    <t>TO73_1646</t>
  </si>
  <si>
    <t>Na+/H+ antiporter NhaA type</t>
  </si>
  <si>
    <t>ALJ91485.1</t>
  </si>
  <si>
    <t>TO73_1647</t>
  </si>
  <si>
    <t>cadmium-transporting ATPase</t>
  </si>
  <si>
    <t>ALJ91486.1</t>
  </si>
  <si>
    <t>TO73_1648</t>
  </si>
  <si>
    <t>cadmium efflux system accessory protein</t>
  </si>
  <si>
    <t>ALJ91487.1</t>
  </si>
  <si>
    <t>TO73_1649</t>
  </si>
  <si>
    <t>pyridoxine biosynthesis glutamine amidotransferase, synthase subunit</t>
  </si>
  <si>
    <t>ALJ91488.1</t>
  </si>
  <si>
    <t>TO73_1650</t>
  </si>
  <si>
    <t>ALJ91489.1</t>
  </si>
  <si>
    <t>TO73_1651</t>
  </si>
  <si>
    <t>transcription termination factor Rho</t>
  </si>
  <si>
    <t>ALJ91490.1</t>
  </si>
  <si>
    <t>TO73_1652</t>
  </si>
  <si>
    <t>transaldolase</t>
  </si>
  <si>
    <t>ALJ91491.1</t>
  </si>
  <si>
    <t>TO73_1653</t>
  </si>
  <si>
    <t>isoleucyl-tRNA synthetase</t>
  </si>
  <si>
    <t>ALJ91492.1</t>
  </si>
  <si>
    <t>TO73_1654</t>
  </si>
  <si>
    <t>ALJ91493.1</t>
  </si>
  <si>
    <t>TO73_1655</t>
  </si>
  <si>
    <t>aminopeptidase YpdF (MP-, MA-, MS-, AP-, NP- specific)</t>
  </si>
  <si>
    <t>ALJ91494.1</t>
  </si>
  <si>
    <t>TO73_1656</t>
  </si>
  <si>
    <t>rare lipoprotein A precursor</t>
  </si>
  <si>
    <t>ALJ91495.1</t>
  </si>
  <si>
    <t>TO73_1657</t>
  </si>
  <si>
    <t>endonuclease IV</t>
  </si>
  <si>
    <t>ALJ91496.1</t>
  </si>
  <si>
    <t>TO73_1658</t>
  </si>
  <si>
    <t>ALJ91497.1</t>
  </si>
  <si>
    <t>TO73_1659</t>
  </si>
  <si>
    <t>membrane metalloprotease</t>
  </si>
  <si>
    <t>ALJ91498.1</t>
  </si>
  <si>
    <t>TO73_1660</t>
  </si>
  <si>
    <t>ALJ91499.1</t>
  </si>
  <si>
    <t>TO73_1661</t>
  </si>
  <si>
    <t>tRNA nucleotidyltransferase, A-adding</t>
  </si>
  <si>
    <t>ALJ91500.1</t>
  </si>
  <si>
    <t>TO73_1662</t>
  </si>
  <si>
    <t>tRNA-Ser</t>
  </si>
  <si>
    <t>TO73_1663</t>
  </si>
  <si>
    <t>oxidoreductase family protein</t>
  </si>
  <si>
    <t>ALJ91501.1</t>
  </si>
  <si>
    <t>TO73_1665</t>
  </si>
  <si>
    <t>TO73_1666</t>
  </si>
  <si>
    <t>ALJ91502.1</t>
  </si>
  <si>
    <t>TO73_1668</t>
  </si>
  <si>
    <t>ALJ91503.1</t>
  </si>
  <si>
    <t>TO73_1669</t>
  </si>
  <si>
    <t>Mg/Co/Ni transporter MgtE / CBS domain</t>
  </si>
  <si>
    <t>ALJ91504.1</t>
  </si>
  <si>
    <t>TO73_1670</t>
  </si>
  <si>
    <t>ALJ91505.1</t>
  </si>
  <si>
    <t>TO73_1671</t>
  </si>
  <si>
    <t>ALJ91506.1</t>
  </si>
  <si>
    <t>TO73_1672</t>
  </si>
  <si>
    <t>ALJ91507.1</t>
  </si>
  <si>
    <t>TO73_1673</t>
  </si>
  <si>
    <t>ALJ91508.1</t>
  </si>
  <si>
    <t>TO73_1674</t>
  </si>
  <si>
    <t>ALJ91509.1</t>
  </si>
  <si>
    <t>TO73_1675</t>
  </si>
  <si>
    <t>ALJ91510.1</t>
  </si>
  <si>
    <t>TO73_1676</t>
  </si>
  <si>
    <t>ALJ91511.1</t>
  </si>
  <si>
    <t>TO73_1677</t>
  </si>
  <si>
    <t>TO73_1678</t>
  </si>
  <si>
    <t>SSU ribosomal protein S2p (SAe)</t>
  </si>
  <si>
    <t>ALJ91512.1</t>
  </si>
  <si>
    <t>TO73_1680</t>
  </si>
  <si>
    <t>translation elongation factor Ts</t>
  </si>
  <si>
    <t>ALJ91513.1</t>
  </si>
  <si>
    <t>TO73_1681</t>
  </si>
  <si>
    <t>uridine monophosphate kinase</t>
  </si>
  <si>
    <t>ALJ91514.1</t>
  </si>
  <si>
    <t>TO73_1682</t>
  </si>
  <si>
    <t>ribosome recycling factor</t>
  </si>
  <si>
    <t>ALJ91515.1</t>
  </si>
  <si>
    <t>TO73_1683</t>
  </si>
  <si>
    <t>phosphatidate cytidylyltransferase</t>
  </si>
  <si>
    <t>ALJ91516.1</t>
  </si>
  <si>
    <t>TO73_1684</t>
  </si>
  <si>
    <t>1-deoxy-D-xylulose 5-phosphate reductoisomerase</t>
  </si>
  <si>
    <t>ALJ91517.1</t>
  </si>
  <si>
    <t>TO73_1685</t>
  </si>
  <si>
    <t>membrane-associated zinc metalloprotease</t>
  </si>
  <si>
    <t>ALJ91518.1</t>
  </si>
  <si>
    <t>TO73_1686</t>
  </si>
  <si>
    <t>glycosyltransferase involved in cell wall biogenesis</t>
  </si>
  <si>
    <t>ALJ91519.1</t>
  </si>
  <si>
    <t>TO73_1687</t>
  </si>
  <si>
    <t>ALJ91520.1</t>
  </si>
  <si>
    <t>TO73_1688</t>
  </si>
  <si>
    <t>pyrroline-5-carboxylate reductase</t>
  </si>
  <si>
    <t>ALJ91521.1</t>
  </si>
  <si>
    <t>TO73_1689</t>
  </si>
  <si>
    <t>ribosomal RNA small subunit methyltransferase B</t>
  </si>
  <si>
    <t>ALJ91522.1</t>
  </si>
  <si>
    <t>TO73_1690</t>
  </si>
  <si>
    <t>SpoVS-related protein, type 4</t>
  </si>
  <si>
    <t>ALJ91523.1</t>
  </si>
  <si>
    <t>TO73_1691</t>
  </si>
  <si>
    <t>ALJ91524.1</t>
  </si>
  <si>
    <t>TO73_1692</t>
  </si>
  <si>
    <t>regulatory protein RecX</t>
  </si>
  <si>
    <t>ALJ91525.1</t>
  </si>
  <si>
    <t>TO73_1693</t>
  </si>
  <si>
    <t>phosphohydrolase</t>
  </si>
  <si>
    <t>ALJ91526.1</t>
  </si>
  <si>
    <t>TO73_1694</t>
  </si>
  <si>
    <t>CAAX amino terminal protease family protein</t>
  </si>
  <si>
    <t>ALJ91527.1</t>
  </si>
  <si>
    <t>TO73_1695</t>
  </si>
  <si>
    <t>serine protein kinase (PrkA protein, P-loop containing)</t>
  </si>
  <si>
    <t>ALJ91528.1</t>
  </si>
  <si>
    <t>TO73_1696</t>
  </si>
  <si>
    <t>ALJ91529.1</t>
  </si>
  <si>
    <t>TO73_1697</t>
  </si>
  <si>
    <t>SpoVR-like protein</t>
  </si>
  <si>
    <t>ALJ91530.1</t>
  </si>
  <si>
    <t>TO73_1698</t>
  </si>
  <si>
    <t>ALJ91531.1</t>
  </si>
  <si>
    <t>TO73_1699</t>
  </si>
  <si>
    <t>rhodanese-like domain protein</t>
  </si>
  <si>
    <t>ALJ91532.1</t>
  </si>
  <si>
    <t>TO73_1700</t>
  </si>
  <si>
    <t>glutaredoxin-like protein</t>
  </si>
  <si>
    <t>ALJ91533.1</t>
  </si>
  <si>
    <t>TO73_1701</t>
  </si>
  <si>
    <t>ALJ91534.1</t>
  </si>
  <si>
    <t>TO73_1702</t>
  </si>
  <si>
    <t>metallo-beta-lactamase family protein</t>
  </si>
  <si>
    <t>ALJ91535.1</t>
  </si>
  <si>
    <t>TO73_1703</t>
  </si>
  <si>
    <t>ALJ91536.1</t>
  </si>
  <si>
    <t>TO73_1704</t>
  </si>
  <si>
    <t>ALJ91537.1</t>
  </si>
  <si>
    <t>TO73_1705</t>
  </si>
  <si>
    <t>ALJ91538.1</t>
  </si>
  <si>
    <t>TO73_1706</t>
  </si>
  <si>
    <t>ALJ91539.1</t>
  </si>
  <si>
    <t>TO73_1707</t>
  </si>
  <si>
    <t>uroporphyrinogen III decarboxylase</t>
  </si>
  <si>
    <t>ALJ91540.1</t>
  </si>
  <si>
    <t>TO73_1708</t>
  </si>
  <si>
    <t>ferrochelatase, protoheme ferro-lyase</t>
  </si>
  <si>
    <t>ALJ91541.1</t>
  </si>
  <si>
    <t>TO73_1709</t>
  </si>
  <si>
    <t>protoporphyrinogen IX oxidase, aerobic, HemY</t>
  </si>
  <si>
    <t>ALJ91542.1</t>
  </si>
  <si>
    <t>TO73_1710</t>
  </si>
  <si>
    <t>ALJ91543.1</t>
  </si>
  <si>
    <t>TO73_1711</t>
  </si>
  <si>
    <t>ALJ91544.1</t>
  </si>
  <si>
    <t>TO73_1712</t>
  </si>
  <si>
    <t>Diguanylate cyclase/phosphodiesterase (GGDEF &amp; EAL domains) with PAS/PAC sensor(s)</t>
  </si>
  <si>
    <t>ALJ91545.1</t>
  </si>
  <si>
    <t>TO73_1713</t>
  </si>
  <si>
    <t>HD-hydrolase domain containing protein</t>
  </si>
  <si>
    <t>ALJ91546.1</t>
  </si>
  <si>
    <t>TO73_1714</t>
  </si>
  <si>
    <t>periplasmic serine protease, HtrA/DegQ/DegS family</t>
  </si>
  <si>
    <t>ALJ91547.1</t>
  </si>
  <si>
    <t>TO73_1715</t>
  </si>
  <si>
    <t>alkaline serine exoprotease A precursor</t>
  </si>
  <si>
    <t>ALJ91548.1</t>
  </si>
  <si>
    <t>TO73_1716</t>
  </si>
  <si>
    <t>putative hydrolase</t>
  </si>
  <si>
    <t>ALJ91549.1</t>
  </si>
  <si>
    <t>TO73_1717</t>
  </si>
  <si>
    <t>ALJ91550.1</t>
  </si>
  <si>
    <t>TO73_1718</t>
  </si>
  <si>
    <t>sorbitol dehydrogenase</t>
  </si>
  <si>
    <t>ALJ91551.1</t>
  </si>
  <si>
    <t>TO73_1719</t>
  </si>
  <si>
    <t>bacterioferritin comigratory protein</t>
  </si>
  <si>
    <t>ALJ91552.1</t>
  </si>
  <si>
    <t>TO73_1720</t>
  </si>
  <si>
    <t>cell division protein FtsX</t>
  </si>
  <si>
    <t>ALJ91553.1</t>
  </si>
  <si>
    <t>TO73_1721</t>
  </si>
  <si>
    <t>ALJ91554.1</t>
  </si>
  <si>
    <t>TO73_1722</t>
  </si>
  <si>
    <t>ribosomal subunit interface protein</t>
  </si>
  <si>
    <t>ALJ91555.1</t>
  </si>
  <si>
    <t>TO73_1723</t>
  </si>
  <si>
    <t>cell division transporter, ATP-binding protein FtsE</t>
  </si>
  <si>
    <t>ALJ91556.1</t>
  </si>
  <si>
    <t>TO73_1724</t>
  </si>
  <si>
    <t>carboxyl-terminal protease</t>
  </si>
  <si>
    <t>ALJ91557.1</t>
  </si>
  <si>
    <t>TO73_1725</t>
  </si>
  <si>
    <t>ALJ91558.1</t>
  </si>
  <si>
    <t>TO73_1726</t>
  </si>
  <si>
    <t>methionyl-tRNA synthetase</t>
  </si>
  <si>
    <t>ALJ91559.1</t>
  </si>
  <si>
    <t>TO73_1727</t>
  </si>
  <si>
    <t>ALJ91560.1</t>
  </si>
  <si>
    <t>TO73_1728</t>
  </si>
  <si>
    <t>ALJ91561.1</t>
  </si>
  <si>
    <t>TO73_1729</t>
  </si>
  <si>
    <t>ALJ91562.1</t>
  </si>
  <si>
    <t>TO73_1730</t>
  </si>
  <si>
    <t>ALJ91563.1</t>
  </si>
  <si>
    <t>TO73_1731</t>
  </si>
  <si>
    <t>ribose 5-phosphate isomerase A</t>
  </si>
  <si>
    <t>ALJ91564.1</t>
  </si>
  <si>
    <t>TO73_1732</t>
  </si>
  <si>
    <t>thiol peroxidase, Bcp-type</t>
  </si>
  <si>
    <t>ALJ91565.1</t>
  </si>
  <si>
    <t>TO73_1733</t>
  </si>
  <si>
    <t>putative transmembrane protein</t>
  </si>
  <si>
    <t>ALJ91566.1</t>
  </si>
  <si>
    <t>TO73_1734</t>
  </si>
  <si>
    <t>menaquinone via futalosine step 3</t>
  </si>
  <si>
    <t>ALJ91567.1</t>
  </si>
  <si>
    <t>TO73_1735</t>
  </si>
  <si>
    <t>tryptophan synthase alpha chain</t>
  </si>
  <si>
    <t>ALJ91568.1</t>
  </si>
  <si>
    <t>TO73_1736</t>
  </si>
  <si>
    <t>tryptophan synthase beta chain</t>
  </si>
  <si>
    <t>ALJ91569.1</t>
  </si>
  <si>
    <t>TO73_1737</t>
  </si>
  <si>
    <t>thymidylate synthase ThyX</t>
  </si>
  <si>
    <t>ALJ91570.1</t>
  </si>
  <si>
    <t>TO73_1738</t>
  </si>
  <si>
    <t>DNA ligase</t>
  </si>
  <si>
    <t>ALJ91571.1</t>
  </si>
  <si>
    <t>TO73_1739</t>
  </si>
  <si>
    <t>ALJ91572.1</t>
  </si>
  <si>
    <t>TO73_1740</t>
  </si>
  <si>
    <t>periplasmic thiol:disulfide interchange protein DsbA</t>
  </si>
  <si>
    <t>ALJ91573.1</t>
  </si>
  <si>
    <t>TO73_1741</t>
  </si>
  <si>
    <t>spermidine synthase</t>
  </si>
  <si>
    <t>ALJ91574.1</t>
  </si>
  <si>
    <t>TO73_1742</t>
  </si>
  <si>
    <t>ALJ91575.1</t>
  </si>
  <si>
    <t>TO73_1743</t>
  </si>
  <si>
    <t>cell division protein FtsK</t>
  </si>
  <si>
    <t>ALJ91576.1</t>
  </si>
  <si>
    <t>TO73_1744</t>
  </si>
  <si>
    <t>putative cationic outer membrane protein OmpH</t>
  </si>
  <si>
    <t>ALJ91577.1</t>
  </si>
  <si>
    <t>TO73_1745</t>
  </si>
  <si>
    <t>ALJ91578.1</t>
  </si>
  <si>
    <t>TO73_1746</t>
  </si>
  <si>
    <t>CBS domain protein</t>
  </si>
  <si>
    <t>ALJ91579.1</t>
  </si>
  <si>
    <t>TO73_1747</t>
  </si>
  <si>
    <t>prephenate dehydratase</t>
  </si>
  <si>
    <t>ALJ91580.1</t>
  </si>
  <si>
    <t>TO73_1748</t>
  </si>
  <si>
    <t>ALJ91581.1</t>
  </si>
  <si>
    <t>TO73_1749</t>
  </si>
  <si>
    <t>tRNA-dependent lipid II--glycine ligase / tRNA-dependent lipid II-Gly--glycine ligase</t>
  </si>
  <si>
    <t>ALJ91582.1</t>
  </si>
  <si>
    <t>TO73_1750</t>
  </si>
  <si>
    <t>ALJ91583.1</t>
  </si>
  <si>
    <t>TO73_1751</t>
  </si>
  <si>
    <t>ALJ91584.1</t>
  </si>
  <si>
    <t>TO73_1752</t>
  </si>
  <si>
    <t>ALJ91585.1</t>
  </si>
  <si>
    <t>TO73_1753</t>
  </si>
  <si>
    <t>sugar transport ATP-binding protein</t>
  </si>
  <si>
    <t>ALJ91586.1</t>
  </si>
  <si>
    <t>TO73_1754</t>
  </si>
  <si>
    <t>membrane lipoprotein</t>
  </si>
  <si>
    <t>ALJ91587.1</t>
  </si>
  <si>
    <t>TO73_1755</t>
  </si>
  <si>
    <t>ALJ91588.1</t>
  </si>
  <si>
    <t>TO73_1756</t>
  </si>
  <si>
    <t>glutathione-regulated potassium-efflux system protein KefC</t>
  </si>
  <si>
    <t>ALJ91589.1</t>
  </si>
  <si>
    <t>TO73_1757</t>
  </si>
  <si>
    <t>ALJ91590.1</t>
  </si>
  <si>
    <t>TO73_1758</t>
  </si>
  <si>
    <t>preprotein translocase subunit SecA</t>
  </si>
  <si>
    <t>ALJ91591.1</t>
  </si>
  <si>
    <t>TO73_1759</t>
  </si>
  <si>
    <t>TsaD/Kae1/Qri7 protein, required for threonylcarbamoyladenosine t(6)A37 formation in tRNA</t>
  </si>
  <si>
    <t>ALJ91592.1</t>
  </si>
  <si>
    <t>TO73_1760</t>
  </si>
  <si>
    <t>ALJ91593.1</t>
  </si>
  <si>
    <t>TO73_1761</t>
  </si>
  <si>
    <t>Fe-S binding reductase, putative</t>
  </si>
  <si>
    <t>ALJ91594.1</t>
  </si>
  <si>
    <t>TO73_1762</t>
  </si>
  <si>
    <t>ALJ91595.1</t>
  </si>
  <si>
    <t>TO73_1763</t>
  </si>
  <si>
    <t>putative ATP-dependent helicase lhr</t>
  </si>
  <si>
    <t>ALJ91596.1</t>
  </si>
  <si>
    <t>TO73_1764</t>
  </si>
  <si>
    <t>ALJ91597.1</t>
  </si>
  <si>
    <t>TO73_1765</t>
  </si>
  <si>
    <t>ALJ91598.1</t>
  </si>
  <si>
    <t>TO73_1766</t>
  </si>
  <si>
    <t>ALJ91599.1</t>
  </si>
  <si>
    <t>TO73_1767</t>
  </si>
  <si>
    <t>malate dehydrogenase</t>
  </si>
  <si>
    <t>ALJ91600.1</t>
  </si>
  <si>
    <t>TO73_1768</t>
  </si>
  <si>
    <t>aspartokinase</t>
  </si>
  <si>
    <t>ALJ91601.1</t>
  </si>
  <si>
    <t>TO73_1769</t>
  </si>
  <si>
    <t>ALJ91602.1</t>
  </si>
  <si>
    <t>TO73_2415</t>
  </si>
  <si>
    <t>ribosomal RNA small subunit methyltransferase C</t>
  </si>
  <si>
    <t>ALJ91603.1</t>
  </si>
  <si>
    <t>TO73_1770</t>
  </si>
  <si>
    <t>RNA polymerase sigma factor RpoD</t>
  </si>
  <si>
    <t>ALJ91604.1</t>
  </si>
  <si>
    <t>TO73_1771</t>
  </si>
  <si>
    <t>ALJ91605.1</t>
  </si>
  <si>
    <t>TO73_1772</t>
  </si>
  <si>
    <t>exoenzymes regulatory protein AepA precursor</t>
  </si>
  <si>
    <t>ALJ91606.1</t>
  </si>
  <si>
    <t>TO73_1773</t>
  </si>
  <si>
    <t>ALJ91607.1</t>
  </si>
  <si>
    <t>TO73_1774</t>
  </si>
  <si>
    <t>riboflavin kinase / FMN adenylyltransferase</t>
  </si>
  <si>
    <t>ALJ91608.1</t>
  </si>
  <si>
    <t>TO73_1775</t>
  </si>
  <si>
    <t>glycine dehydrogenase (decarboxylating) (glycine cleavage system P2 protein)</t>
  </si>
  <si>
    <t>ALJ91609.1</t>
  </si>
  <si>
    <t>TO73_1776</t>
  </si>
  <si>
    <t>glycine dehydrogenase (decarboxylating) (glycine cleavage system P1 protein)</t>
  </si>
  <si>
    <t>ALJ91610.1</t>
  </si>
  <si>
    <t>TO73_1777</t>
  </si>
  <si>
    <t>glycine cleavage system H protein</t>
  </si>
  <si>
    <t>ALJ91611.1</t>
  </si>
  <si>
    <t>TO73_1778</t>
  </si>
  <si>
    <t>aminomethyltransferase (glycine cleavage system T protein)</t>
  </si>
  <si>
    <t>ALJ91612.1</t>
  </si>
  <si>
    <t>TO73_1779</t>
  </si>
  <si>
    <t>bipolar DNA helicase HerA</t>
  </si>
  <si>
    <t>ALJ91613.1</t>
  </si>
  <si>
    <t>TO73_1780</t>
  </si>
  <si>
    <t>single-stranded exonuclease associated with Rad50/Mre11 complex</t>
  </si>
  <si>
    <t>ALJ91614.1</t>
  </si>
  <si>
    <t>TO73_1781</t>
  </si>
  <si>
    <t>NAD-dependent malic enzyme</t>
  </si>
  <si>
    <t>ALJ91615.1</t>
  </si>
  <si>
    <t>TO73_1782</t>
  </si>
  <si>
    <t>PaaD-like protein (DUF59) involved in Fe-S cluster assembly</t>
  </si>
  <si>
    <t>ALJ91616.1</t>
  </si>
  <si>
    <t>TO73_1783</t>
  </si>
  <si>
    <t>TerC-like integral membrane protein</t>
  </si>
  <si>
    <t>ALJ91617.1</t>
  </si>
  <si>
    <t>TO73_1784</t>
  </si>
  <si>
    <t>ALJ91618.1</t>
  </si>
  <si>
    <t>TO73_1785</t>
  </si>
  <si>
    <t>putative sodium-dependent bicarbonate transporter</t>
  </si>
  <si>
    <t>ALJ91619.1</t>
  </si>
  <si>
    <t>TO73_1786</t>
  </si>
  <si>
    <t>phosphoribosylaminoimidazole carboxylase catalytic subunit</t>
  </si>
  <si>
    <t>ALJ91620.1</t>
  </si>
  <si>
    <t>TO73_1787</t>
  </si>
  <si>
    <t>phosphoribosylaminoimidazole carboxylase ATPase subunit</t>
  </si>
  <si>
    <t>ALJ91621.1</t>
  </si>
  <si>
    <t>TO73_1788</t>
  </si>
  <si>
    <t>ALJ91622.1</t>
  </si>
  <si>
    <t>TO73_1789</t>
  </si>
  <si>
    <t>ribosomal large subunit pseudouridine synthase D</t>
  </si>
  <si>
    <t>ALJ91623.1</t>
  </si>
  <si>
    <t>TO73_1790</t>
  </si>
  <si>
    <t>3-methyl-2-oxobutanoate hydroxymethyltransferase</t>
  </si>
  <si>
    <t>ALJ91624.1</t>
  </si>
  <si>
    <t>TO73_1791</t>
  </si>
  <si>
    <t>holliday junction DNA helicase RuvB</t>
  </si>
  <si>
    <t>ALJ91625.1</t>
  </si>
  <si>
    <t>TO73_1792</t>
  </si>
  <si>
    <t>ALJ91626.1</t>
  </si>
  <si>
    <t>TO73_1793</t>
  </si>
  <si>
    <t>ALJ91627.1</t>
  </si>
  <si>
    <t>TO73_1794</t>
  </si>
  <si>
    <t>cell division protein FtsH</t>
  </si>
  <si>
    <t>ALJ91628.1</t>
  </si>
  <si>
    <t>TO73_1795</t>
  </si>
  <si>
    <t>aerobic glycerol-3-phosphate dehydrogenase</t>
  </si>
  <si>
    <t>ALJ91629.1</t>
  </si>
  <si>
    <t>TO73_1796</t>
  </si>
  <si>
    <t>glycerol kinase</t>
  </si>
  <si>
    <t>ALJ91630.1</t>
  </si>
  <si>
    <t>TO73_1797</t>
  </si>
  <si>
    <t>galactose-1-phosphate uridylyltransferase</t>
  </si>
  <si>
    <t>ALJ91631.1</t>
  </si>
  <si>
    <t>TO73_1798</t>
  </si>
  <si>
    <t>ALJ91632.1</t>
  </si>
  <si>
    <t>TO73_1799</t>
  </si>
  <si>
    <t>beta-mannosidase Man2</t>
  </si>
  <si>
    <t>ALJ91633.1</t>
  </si>
  <si>
    <t>TO73_1800</t>
  </si>
  <si>
    <t>D-alanine--D-alanine ligase</t>
  </si>
  <si>
    <t>ALJ91634.1</t>
  </si>
  <si>
    <t>TO73_1801</t>
  </si>
  <si>
    <t>peptidyl-tRNA hydrolase</t>
  </si>
  <si>
    <t>ALJ91635.1</t>
  </si>
  <si>
    <t>TO73_1802</t>
  </si>
  <si>
    <t>LSU ribosomal protein L25p</t>
  </si>
  <si>
    <t>ALJ91636.1</t>
  </si>
  <si>
    <t>TO73_1803</t>
  </si>
  <si>
    <t>ribose-phosphate pyrophosphokinase</t>
  </si>
  <si>
    <t>ALJ91637.1</t>
  </si>
  <si>
    <t>TO73_1804</t>
  </si>
  <si>
    <t>ALJ91638.1</t>
  </si>
  <si>
    <t>TO73_2411</t>
  </si>
  <si>
    <t>S-ribosylhomocysteine lyase / autoinducer-2 production protein LuxS</t>
  </si>
  <si>
    <t>ALJ91639.1</t>
  </si>
  <si>
    <t>TO73_1805</t>
  </si>
  <si>
    <t>GMP synthase (glutamine-hydrolyzing)</t>
  </si>
  <si>
    <t>ALJ91640.1</t>
  </si>
  <si>
    <t>TO73_1806</t>
  </si>
  <si>
    <t>ALJ91641.1</t>
  </si>
  <si>
    <t>TO73_1807</t>
  </si>
  <si>
    <t>ALJ91642.1</t>
  </si>
  <si>
    <t>TO73_1808</t>
  </si>
  <si>
    <t>ALJ91643.1</t>
  </si>
  <si>
    <t>TO73_1809</t>
  </si>
  <si>
    <t>GAF domain-containing protein / signal transduction response regulator</t>
  </si>
  <si>
    <t>ALJ91644.1</t>
  </si>
  <si>
    <t>TO73_1810</t>
  </si>
  <si>
    <t>ALJ91645.1</t>
  </si>
  <si>
    <t>TO73_1811</t>
  </si>
  <si>
    <t>arylsulfatase regulator</t>
  </si>
  <si>
    <t>ALJ91646.1</t>
  </si>
  <si>
    <t>TO73_1812</t>
  </si>
  <si>
    <t>ALJ91647.1</t>
  </si>
  <si>
    <t>TO73_1813</t>
  </si>
  <si>
    <t>ALJ91648.1</t>
  </si>
  <si>
    <t>TO73_1814</t>
  </si>
  <si>
    <t>ribonuclease HI</t>
  </si>
  <si>
    <t>ALJ91649.1</t>
  </si>
  <si>
    <t>TO73_1815</t>
  </si>
  <si>
    <t>methylcrotonyl-CoA carboxylase carboxyl transferase subunit</t>
  </si>
  <si>
    <t>ALJ91650.1</t>
  </si>
  <si>
    <t>TO73_1816</t>
  </si>
  <si>
    <t>hydroxymethylglutaryl-CoA lyase</t>
  </si>
  <si>
    <t>ALJ91651.1</t>
  </si>
  <si>
    <t>TO73_1817</t>
  </si>
  <si>
    <t>ALJ91652.1</t>
  </si>
  <si>
    <t>TO73_1818</t>
  </si>
  <si>
    <t>ALJ91653.1</t>
  </si>
  <si>
    <t>TO73_1819</t>
  </si>
  <si>
    <t>ALJ91654.1</t>
  </si>
  <si>
    <t>TO73_1820</t>
  </si>
  <si>
    <t>ALJ91655.1</t>
  </si>
  <si>
    <t>TO73_1821</t>
  </si>
  <si>
    <t>ALJ91656.1</t>
  </si>
  <si>
    <t>TO73_1822</t>
  </si>
  <si>
    <t>TO73_1823</t>
  </si>
  <si>
    <t>tRNA(ile)-lysidine synthetase</t>
  </si>
  <si>
    <t>ALJ91657.1</t>
  </si>
  <si>
    <t>TO73_1825</t>
  </si>
  <si>
    <t>ALJ91658.1</t>
  </si>
  <si>
    <t>TO73_1826</t>
  </si>
  <si>
    <t>ALJ91659.1</t>
  </si>
  <si>
    <t>TO73_1827</t>
  </si>
  <si>
    <t>glycolate dehydrogenase, FAD-binding subunit GlcE</t>
  </si>
  <si>
    <t>ALJ91660.1</t>
  </si>
  <si>
    <t>TO73_1828</t>
  </si>
  <si>
    <t>glycolate dehydrogenase, iron-sulfur subunit GlcF</t>
  </si>
  <si>
    <t>ALJ91661.1</t>
  </si>
  <si>
    <t>TO73_1829</t>
  </si>
  <si>
    <t>ALJ91662.1</t>
  </si>
  <si>
    <t>TO73_1830</t>
  </si>
  <si>
    <t>ALJ91663.1</t>
  </si>
  <si>
    <t>TO73_1831</t>
  </si>
  <si>
    <t>ALJ91664.1</t>
  </si>
  <si>
    <t>TO73_1832</t>
  </si>
  <si>
    <t>ALJ91665.1</t>
  </si>
  <si>
    <t>TO73_1833</t>
  </si>
  <si>
    <t>D-glycerate 2-kinase</t>
  </si>
  <si>
    <t>ALJ91666.1</t>
  </si>
  <si>
    <t>TO73_1834</t>
  </si>
  <si>
    <t>ALJ91667.1</t>
  </si>
  <si>
    <t>TO73_1835</t>
  </si>
  <si>
    <t>NADH-quinone oxidoreductase subunit 15</t>
  </si>
  <si>
    <t>ALJ91668.1</t>
  </si>
  <si>
    <t>TO73_1836</t>
  </si>
  <si>
    <t>tRNA-Val</t>
  </si>
  <si>
    <t>TO73_1837</t>
  </si>
  <si>
    <t>tRNA-Cys</t>
  </si>
  <si>
    <t>TO73_1839</t>
  </si>
  <si>
    <t>ALJ91669.1</t>
  </si>
  <si>
    <t>TO73_1841</t>
  </si>
  <si>
    <t>ALJ91670.1</t>
  </si>
  <si>
    <t>TO73_1842</t>
  </si>
  <si>
    <t>ALJ91671.1</t>
  </si>
  <si>
    <t>TO73_1843</t>
  </si>
  <si>
    <t>ALJ91672.1</t>
  </si>
  <si>
    <t>TO73_1844</t>
  </si>
  <si>
    <t>threonine synthase</t>
  </si>
  <si>
    <t>ALJ91673.1</t>
  </si>
  <si>
    <t>TO73_1845</t>
  </si>
  <si>
    <t>ALJ91674.1</t>
  </si>
  <si>
    <t>TO73_1846</t>
  </si>
  <si>
    <t>homoserine dehydrogenase</t>
  </si>
  <si>
    <t>ALJ91675.1</t>
  </si>
  <si>
    <t>TO73_1847</t>
  </si>
  <si>
    <t>4Fe-4S ferredoxin iron-sulfur binding domain protein</t>
  </si>
  <si>
    <t>ALJ91676.1</t>
  </si>
  <si>
    <t>TO73_1848</t>
  </si>
  <si>
    <t>diadenosine tetraphosphatase</t>
  </si>
  <si>
    <t>ALJ91677.1</t>
  </si>
  <si>
    <t>TO73_1849</t>
  </si>
  <si>
    <t>apolipoprotein N-acyltransferase</t>
  </si>
  <si>
    <t>ALJ91678.1</t>
  </si>
  <si>
    <t>TO73_1850</t>
  </si>
  <si>
    <t>TO73_1851</t>
  </si>
  <si>
    <t>transcriptional regulator, ArsR family</t>
  </si>
  <si>
    <t>ALJ91679.1</t>
  </si>
  <si>
    <t>TO73_1853</t>
  </si>
  <si>
    <t>methyltransferase TTHA0482</t>
  </si>
  <si>
    <t>ALJ91680.1</t>
  </si>
  <si>
    <t>TO73_1854</t>
  </si>
  <si>
    <t>ALJ91681.1</t>
  </si>
  <si>
    <t>TO73_1855</t>
  </si>
  <si>
    <t>ALJ91682.1</t>
  </si>
  <si>
    <t>TO73_1856</t>
  </si>
  <si>
    <t>tRNA(U54)-2-thioribothymidine synthetase</t>
  </si>
  <si>
    <t>ALJ91683.1</t>
  </si>
  <si>
    <t>TO73_1857</t>
  </si>
  <si>
    <t>TtuB</t>
  </si>
  <si>
    <t>ALJ91684.1</t>
  </si>
  <si>
    <t>TO73_1858</t>
  </si>
  <si>
    <t>NAD-independent protein deacetylase AcuC</t>
  </si>
  <si>
    <t>ALJ91685.1</t>
  </si>
  <si>
    <t>TO73_1859</t>
  </si>
  <si>
    <t>ALJ91686.1</t>
  </si>
  <si>
    <t>TO73_1860</t>
  </si>
  <si>
    <t>oligopeptide transport ATP-binding protein OppF</t>
  </si>
  <si>
    <t>ALJ91687.1</t>
  </si>
  <si>
    <t>TO73_1861</t>
  </si>
  <si>
    <t>oligopeptide transport ATP-binding protein OppD</t>
  </si>
  <si>
    <t>ALJ91688.1</t>
  </si>
  <si>
    <t>TO73_1862</t>
  </si>
  <si>
    <t>oligopeptide transport system permease protein OppC</t>
  </si>
  <si>
    <t>ALJ91689.1</t>
  </si>
  <si>
    <t>TO73_1863</t>
  </si>
  <si>
    <t>oligopeptide transport system permease protein OppB</t>
  </si>
  <si>
    <t>ALJ91690.1</t>
  </si>
  <si>
    <t>TO73_1864</t>
  </si>
  <si>
    <t>ALJ91691.1</t>
  </si>
  <si>
    <t>TO73_1865</t>
  </si>
  <si>
    <t>alcohol dehydrogenase</t>
  </si>
  <si>
    <t>ALJ91692.1</t>
  </si>
  <si>
    <t>TO73_1866</t>
  </si>
  <si>
    <t>ALJ91693.1</t>
  </si>
  <si>
    <t>TO73_1867</t>
  </si>
  <si>
    <t>ALJ91694.1</t>
  </si>
  <si>
    <t>TO73_1868</t>
  </si>
  <si>
    <t>ALJ91695.1</t>
  </si>
  <si>
    <t>TO73_1869</t>
  </si>
  <si>
    <t>putative cysteinyl-tRNA synthetase</t>
  </si>
  <si>
    <t>ALJ91696.1</t>
  </si>
  <si>
    <t>TO73_1870</t>
  </si>
  <si>
    <t>ALJ91697.1</t>
  </si>
  <si>
    <t>TO73_1871</t>
  </si>
  <si>
    <t>TO73_1872</t>
  </si>
  <si>
    <t>protein secretion chaperonin CsaA</t>
  </si>
  <si>
    <t>ALJ91698.1</t>
  </si>
  <si>
    <t>TO73_1874</t>
  </si>
  <si>
    <t>glucosamine-6-phosphate deaminase (isomerizing), alternative</t>
  </si>
  <si>
    <t>ALJ91699.1</t>
  </si>
  <si>
    <t>TO73_1875</t>
  </si>
  <si>
    <t>ALJ91700.1</t>
  </si>
  <si>
    <t>TO73_1876</t>
  </si>
  <si>
    <t>toxin 1, PIN domain-containing protein</t>
  </si>
  <si>
    <t>ALJ91701.1</t>
  </si>
  <si>
    <t>TO73_1877</t>
  </si>
  <si>
    <t>excinuclease ABC subunit A</t>
  </si>
  <si>
    <t>ALJ91702.1</t>
  </si>
  <si>
    <t>TO73_1878</t>
  </si>
  <si>
    <t>ALJ91703.1</t>
  </si>
  <si>
    <t>TO73_1879</t>
  </si>
  <si>
    <t>ALJ91704.1</t>
  </si>
  <si>
    <t>TO73_1880</t>
  </si>
  <si>
    <t>ALJ91705.1</t>
  </si>
  <si>
    <t>TO73_1881</t>
  </si>
  <si>
    <t>2-nitropropane dioxygenase</t>
  </si>
  <si>
    <t>ALJ91706.1</t>
  </si>
  <si>
    <t>TO73_1882</t>
  </si>
  <si>
    <t>ALJ91707.1</t>
  </si>
  <si>
    <t>TO73_1883</t>
  </si>
  <si>
    <t>glycosyl transferase, group 2 family protein</t>
  </si>
  <si>
    <t>ALJ91708.1</t>
  </si>
  <si>
    <t>TO73_1884</t>
  </si>
  <si>
    <t>ALJ91709.1</t>
  </si>
  <si>
    <t>TO73_1885</t>
  </si>
  <si>
    <t>phosphate regulon transcriptional regulatory protein PhoB (SphR)</t>
  </si>
  <si>
    <t>ALJ91710.1</t>
  </si>
  <si>
    <t>TO73_1886</t>
  </si>
  <si>
    <t>GAF sensor signal transduction histidine kinase</t>
  </si>
  <si>
    <t>ALJ91711.1</t>
  </si>
  <si>
    <t>TO73_1887</t>
  </si>
  <si>
    <t>ALJ91712.1</t>
  </si>
  <si>
    <t>TO73_1888</t>
  </si>
  <si>
    <t>TO73_1889</t>
  </si>
  <si>
    <t>ribulose-phosphate 3-epimerase</t>
  </si>
  <si>
    <t>ALJ91713.1</t>
  </si>
  <si>
    <t>TO73_1891</t>
  </si>
  <si>
    <t>ALJ91714.1</t>
  </si>
  <si>
    <t>TO73_1892</t>
  </si>
  <si>
    <t>transketolase</t>
  </si>
  <si>
    <t>ALJ91715.1</t>
  </si>
  <si>
    <t>TO73_1893</t>
  </si>
  <si>
    <t>TO73_1894</t>
  </si>
  <si>
    <t>ALJ91716.1</t>
  </si>
  <si>
    <t>TO73_1896</t>
  </si>
  <si>
    <t>DEAD-box ATP-dependent RNA helicase CshA</t>
  </si>
  <si>
    <t>ALJ91717.1</t>
  </si>
  <si>
    <t>TO73_1897</t>
  </si>
  <si>
    <t>molybdopterin biosynthesis protein MoeA</t>
  </si>
  <si>
    <t>ALJ91718.1</t>
  </si>
  <si>
    <t>TO73_1898</t>
  </si>
  <si>
    <t>ALJ91719.1</t>
  </si>
  <si>
    <t>TO73_1899</t>
  </si>
  <si>
    <t>endonuclease III</t>
  </si>
  <si>
    <t>ALJ91720.1</t>
  </si>
  <si>
    <t>TO73_1900</t>
  </si>
  <si>
    <t>ALJ91721.1</t>
  </si>
  <si>
    <t>TO73_1901</t>
  </si>
  <si>
    <t>ALJ91722.1</t>
  </si>
  <si>
    <t>TO73_1902</t>
  </si>
  <si>
    <t>ALJ91723.1</t>
  </si>
  <si>
    <t>TO73_1903</t>
  </si>
  <si>
    <t>prolyl-tRNA synthetase, archaeal/eukaryal type</t>
  </si>
  <si>
    <t>ALJ91724.1</t>
  </si>
  <si>
    <t>TO73_1904</t>
  </si>
  <si>
    <t>2,3-bisphosphoglycerate-independent phosphoglycerate mutase, archaeal type</t>
  </si>
  <si>
    <t>ALJ91725.1</t>
  </si>
  <si>
    <t>TO73_1905</t>
  </si>
  <si>
    <t>ALJ91726.1</t>
  </si>
  <si>
    <t>TO73_1906</t>
  </si>
  <si>
    <t>3'-to-5' oligoribonuclease A</t>
  </si>
  <si>
    <t>ALJ91727.1</t>
  </si>
  <si>
    <t>TO73_1907</t>
  </si>
  <si>
    <t>CRISPR-associated protein TM1812</t>
  </si>
  <si>
    <t>ALJ91728.1</t>
  </si>
  <si>
    <t>TO73_1908</t>
  </si>
  <si>
    <t>CRISPR-associated RAMP Cmr6</t>
  </si>
  <si>
    <t>ALJ91729.1</t>
  </si>
  <si>
    <t>TO73_1909</t>
  </si>
  <si>
    <t>CRISPR-associated RAMP Cmr5</t>
  </si>
  <si>
    <t>ALJ91730.1</t>
  </si>
  <si>
    <t>TO73_1910</t>
  </si>
  <si>
    <t>CRISPR-associated RAMP Cmr4</t>
  </si>
  <si>
    <t>ALJ91731.1</t>
  </si>
  <si>
    <t>TO73_1911</t>
  </si>
  <si>
    <t>CRISPR-associated RAMP Cmr1</t>
  </si>
  <si>
    <t>ALJ91732.1</t>
  </si>
  <si>
    <t>TO73_1912</t>
  </si>
  <si>
    <t>CRISPR-associated RAMP Cmr3</t>
  </si>
  <si>
    <t>ALJ91733.1</t>
  </si>
  <si>
    <t>TO73_1913</t>
  </si>
  <si>
    <t>CRISPR-associated RAMP Cmr2</t>
  </si>
  <si>
    <t>ALJ91734.1</t>
  </si>
  <si>
    <t>TO73_1914</t>
  </si>
  <si>
    <t>ALJ91735.1</t>
  </si>
  <si>
    <t>TO73_1915</t>
  </si>
  <si>
    <t>ALJ91736.1</t>
  </si>
  <si>
    <t>TO73_1916</t>
  </si>
  <si>
    <t>ALJ91737.1</t>
  </si>
  <si>
    <t>TO73_1917</t>
  </si>
  <si>
    <t>ALJ91738.1</t>
  </si>
  <si>
    <t>TO73_1918</t>
  </si>
  <si>
    <t>ALJ91739.1</t>
  </si>
  <si>
    <t>TO73_1919</t>
  </si>
  <si>
    <t>DnaJ/DnaK assembly factor DafA</t>
  </si>
  <si>
    <t>ALJ91740.1</t>
  </si>
  <si>
    <t>TO73_1920</t>
  </si>
  <si>
    <t>DnaJ-class molecular chaperone CbpA</t>
  </si>
  <si>
    <t>ALJ91741.1</t>
  </si>
  <si>
    <t>TO73_1921</t>
  </si>
  <si>
    <t>heat shock protein GrpE</t>
  </si>
  <si>
    <t>ALJ91742.1</t>
  </si>
  <si>
    <t>TO73_1922</t>
  </si>
  <si>
    <t>chaperone protein DnaK</t>
  </si>
  <si>
    <t>ALJ91743.1</t>
  </si>
  <si>
    <t>TO73_1923</t>
  </si>
  <si>
    <t>ALJ91744.1</t>
  </si>
  <si>
    <t>TO73_1924</t>
  </si>
  <si>
    <t>DNA-binding protein HBsu</t>
  </si>
  <si>
    <t>ALJ91745.1</t>
  </si>
  <si>
    <t>TO73_1925</t>
  </si>
  <si>
    <t>1-acyl-sn-glycerol-3-phosphate acyltransferase</t>
  </si>
  <si>
    <t>ALJ91746.1</t>
  </si>
  <si>
    <t>TO73_1926</t>
  </si>
  <si>
    <t>endonuclease V</t>
  </si>
  <si>
    <t>ALJ91747.1</t>
  </si>
  <si>
    <t>TO73_1927</t>
  </si>
  <si>
    <t>ALJ91748.1</t>
  </si>
  <si>
    <t>TO73_1928</t>
  </si>
  <si>
    <t>ALJ91749.1</t>
  </si>
  <si>
    <t>TO73_1929</t>
  </si>
  <si>
    <t>5-Enolpyruvylshikimate-3-phosphate synthase</t>
  </si>
  <si>
    <t>ALJ91750.1</t>
  </si>
  <si>
    <t>TO73_1930</t>
  </si>
  <si>
    <t>cytidylate kinase</t>
  </si>
  <si>
    <t>ALJ91751.1</t>
  </si>
  <si>
    <t>TO73_1931</t>
  </si>
  <si>
    <t>ALJ91752.1</t>
  </si>
  <si>
    <t>TO73_1932</t>
  </si>
  <si>
    <t>Dihydroneopterin triphosphate pyrophosphohydrolase</t>
  </si>
  <si>
    <t>ALJ91753.1</t>
  </si>
  <si>
    <t>TO73_1933</t>
  </si>
  <si>
    <t>ALJ91754.1</t>
  </si>
  <si>
    <t>TO73_1934</t>
  </si>
  <si>
    <t>ALJ91755.1</t>
  </si>
  <si>
    <t>TO73_1935</t>
  </si>
  <si>
    <t>ALJ91756.1</t>
  </si>
  <si>
    <t>TO73_1936</t>
  </si>
  <si>
    <t>transposase, IS4</t>
  </si>
  <si>
    <t>ALJ91757.1</t>
  </si>
  <si>
    <t>TO73_1937</t>
  </si>
  <si>
    <t>ALJ91758.1</t>
  </si>
  <si>
    <t>TO73_1938</t>
  </si>
  <si>
    <t>ALJ91759.1</t>
  </si>
  <si>
    <t>TO73_1939</t>
  </si>
  <si>
    <t>ClpB protein</t>
  </si>
  <si>
    <t>ALJ91760.1</t>
  </si>
  <si>
    <t>TO73_1940</t>
  </si>
  <si>
    <t>heat-stable protein</t>
  </si>
  <si>
    <t>ALJ91761.1</t>
  </si>
  <si>
    <t>TO73_1941</t>
  </si>
  <si>
    <t>ALJ91762.1</t>
  </si>
  <si>
    <t>TO73_1942</t>
  </si>
  <si>
    <t>small heat shock protein</t>
  </si>
  <si>
    <t>ALJ91763.1</t>
  </si>
  <si>
    <t>TO73_1943</t>
  </si>
  <si>
    <t>ALJ91764.1</t>
  </si>
  <si>
    <t>TO73_1944</t>
  </si>
  <si>
    <t>ALJ91765.1</t>
  </si>
  <si>
    <t>TO73_1945</t>
  </si>
  <si>
    <t>ALJ91766.1</t>
  </si>
  <si>
    <t>TO73_1946</t>
  </si>
  <si>
    <t>ALJ91767.1</t>
  </si>
  <si>
    <t>TO73_1947</t>
  </si>
  <si>
    <t>ALJ91768.1</t>
  </si>
  <si>
    <t>TO73_1948</t>
  </si>
  <si>
    <t>ALJ91769.1</t>
  </si>
  <si>
    <t>TO73_1949</t>
  </si>
  <si>
    <t>kef-type K(+) transport system, membrane component</t>
  </si>
  <si>
    <t>ALJ91770.1</t>
  </si>
  <si>
    <t>TO73_1950</t>
  </si>
  <si>
    <t>alr3825 protein</t>
  </si>
  <si>
    <t>ALJ91771.1</t>
  </si>
  <si>
    <t>TO73_1951</t>
  </si>
  <si>
    <t>GlpG protein (membrane protein of glp regulon)</t>
  </si>
  <si>
    <t>ALJ91772.1</t>
  </si>
  <si>
    <t>TO73_1952</t>
  </si>
  <si>
    <t>inosine-5'-monophosphate dehydrogenase related protein IX</t>
  </si>
  <si>
    <t>ALJ91773.1</t>
  </si>
  <si>
    <t>TO73_1953</t>
  </si>
  <si>
    <t>Na(+)/H(+) antiporter</t>
  </si>
  <si>
    <t>ALJ91774.1</t>
  </si>
  <si>
    <t>TO73_1954</t>
  </si>
  <si>
    <t>ALJ91775.1</t>
  </si>
  <si>
    <t>TO73_1955</t>
  </si>
  <si>
    <t>replicative DNA helicase</t>
  </si>
  <si>
    <t>ALJ91776.1</t>
  </si>
  <si>
    <t>TO73_1956</t>
  </si>
  <si>
    <t>tlr1989 protein</t>
  </si>
  <si>
    <t>ALJ91777.1</t>
  </si>
  <si>
    <t>TO73_1957</t>
  </si>
  <si>
    <t>glutamate synthase [NADPH] large chain</t>
  </si>
  <si>
    <t>ALJ91778.1</t>
  </si>
  <si>
    <t>TO73_1958</t>
  </si>
  <si>
    <t>ALJ91779.1</t>
  </si>
  <si>
    <t>TO73_1959</t>
  </si>
  <si>
    <t>ALJ91780.1</t>
  </si>
  <si>
    <t>TO73_1960</t>
  </si>
  <si>
    <t>ALJ91781.1</t>
  </si>
  <si>
    <t>TO73_1961</t>
  </si>
  <si>
    <t>TO73_1962</t>
  </si>
  <si>
    <t>ALJ91782.1</t>
  </si>
  <si>
    <t>TO73_1964</t>
  </si>
  <si>
    <t>phosphate regulon sensor protein PhoR (SphS)</t>
  </si>
  <si>
    <t>ALJ91783.1</t>
  </si>
  <si>
    <t>TO73_1965</t>
  </si>
  <si>
    <t>phosphate transport system regulatory protein PhoU</t>
  </si>
  <si>
    <t>ALJ91784.1</t>
  </si>
  <si>
    <t>TO73_1966</t>
  </si>
  <si>
    <t>ALJ91785.1</t>
  </si>
  <si>
    <t>TO73_1967</t>
  </si>
  <si>
    <t>peptide chain release factor 2, programmed frameshift-containing</t>
  </si>
  <si>
    <t>ALJ91786.1</t>
  </si>
  <si>
    <t>TO73_1968</t>
  </si>
  <si>
    <t>ALJ91787.1</t>
  </si>
  <si>
    <t>TO73_1969</t>
  </si>
  <si>
    <t>ALJ91788.1</t>
  </si>
  <si>
    <t>TO73_1970</t>
  </si>
  <si>
    <t>ALJ91789.1</t>
  </si>
  <si>
    <t>TO73_1971</t>
  </si>
  <si>
    <t>ALJ91790.1</t>
  </si>
  <si>
    <t>TO73_1972</t>
  </si>
  <si>
    <t>beta lacatamase</t>
  </si>
  <si>
    <t>ALJ91791.1</t>
  </si>
  <si>
    <t>TO73_1973</t>
  </si>
  <si>
    <t>ALJ91792.1</t>
  </si>
  <si>
    <t>TO73_1974</t>
  </si>
  <si>
    <t>UDP-N-acetylglucosamine 1-carboxyvinyltransferase</t>
  </si>
  <si>
    <t>ALJ91793.1</t>
  </si>
  <si>
    <t>TO73_1975</t>
  </si>
  <si>
    <t>ALJ91794.1</t>
  </si>
  <si>
    <t>TO73_1976</t>
  </si>
  <si>
    <t>ALJ91795.1</t>
  </si>
  <si>
    <t>TO73_1977</t>
  </si>
  <si>
    <t>bona fide RidA/YjgF/TdcF/RutC subgroup</t>
  </si>
  <si>
    <t>ALJ91796.1</t>
  </si>
  <si>
    <t>TO73_1978</t>
  </si>
  <si>
    <t>putative periplasmic protein kinase ArgK and related GTPases of G3E family</t>
  </si>
  <si>
    <t>ALJ91797.1</t>
  </si>
  <si>
    <t>TO73_1979</t>
  </si>
  <si>
    <t>MutT/nudix family protein</t>
  </si>
  <si>
    <t>ALJ91798.1</t>
  </si>
  <si>
    <t>TO73_1980</t>
  </si>
  <si>
    <t>TO73_1981</t>
  </si>
  <si>
    <t>ribonucleotide reductase transcriptional regulator NrdR</t>
  </si>
  <si>
    <t>ALJ91799.1</t>
  </si>
  <si>
    <t>TO73_1983</t>
  </si>
  <si>
    <t>sorbitol-6-phosphate 2-dehydrogenase</t>
  </si>
  <si>
    <t>ALJ91800.1</t>
  </si>
  <si>
    <t>TO73_1984</t>
  </si>
  <si>
    <t>ATPase associated with chromosome architecture/replication</t>
  </si>
  <si>
    <t>ALJ91801.1</t>
  </si>
  <si>
    <t>TO73_1985</t>
  </si>
  <si>
    <t>aminoglycoside 6'-N-acetyltransferase</t>
  </si>
  <si>
    <t>ALJ91802.1</t>
  </si>
  <si>
    <t>TO73_1986</t>
  </si>
  <si>
    <t>ALJ91803.1</t>
  </si>
  <si>
    <t>TO73_1987</t>
  </si>
  <si>
    <t>Deoxycytidine triphosphate deaminase</t>
  </si>
  <si>
    <t>ALJ91804.1</t>
  </si>
  <si>
    <t>TO73_1988</t>
  </si>
  <si>
    <t>peptidyl-prolyl cis-trans isomerase</t>
  </si>
  <si>
    <t>ALJ91805.1</t>
  </si>
  <si>
    <t>TO73_1989</t>
  </si>
  <si>
    <t>ATP phosphoribosyltransferase regulatory subunit</t>
  </si>
  <si>
    <t>ALJ91806.1</t>
  </si>
  <si>
    <t>TO73_1990</t>
  </si>
  <si>
    <t>ATP phosphoribosyltransferase</t>
  </si>
  <si>
    <t>ALJ91807.1</t>
  </si>
  <si>
    <t>TO73_1991</t>
  </si>
  <si>
    <t>tRNA (guanosine(18)-2'-O)-methyltransferase</t>
  </si>
  <si>
    <t>ALJ91808.1</t>
  </si>
  <si>
    <t>TO73_1992</t>
  </si>
  <si>
    <t>ALJ91809.1</t>
  </si>
  <si>
    <t>TO73_1993</t>
  </si>
  <si>
    <t>ALJ91810.1</t>
  </si>
  <si>
    <t>TO73_1994</t>
  </si>
  <si>
    <t>branched-chain amino acid aminotransferase</t>
  </si>
  <si>
    <t>ALJ91811.1</t>
  </si>
  <si>
    <t>TO73_1995</t>
  </si>
  <si>
    <t>hydrogen peroxide-inducible genes activator</t>
  </si>
  <si>
    <t>ALJ91812.1</t>
  </si>
  <si>
    <t>TO73_1996</t>
  </si>
  <si>
    <t>manganese catalase</t>
  </si>
  <si>
    <t>ALJ91813.1</t>
  </si>
  <si>
    <t>TO73_1997</t>
  </si>
  <si>
    <t>competence protein DprA</t>
  </si>
  <si>
    <t>ALJ91814.1</t>
  </si>
  <si>
    <t>TO73_1998</t>
  </si>
  <si>
    <t>GTP-binding protein Era</t>
  </si>
  <si>
    <t>ALJ91815.1</t>
  </si>
  <si>
    <t>TO73_1999</t>
  </si>
  <si>
    <t>galactoside O-acetyltransferase</t>
  </si>
  <si>
    <t>ALJ91816.1</t>
  </si>
  <si>
    <t>TO73_2000</t>
  </si>
  <si>
    <t>sulfur carrier protein adenylyltransferase ThiF</t>
  </si>
  <si>
    <t>ALJ91817.1</t>
  </si>
  <si>
    <t>TO73_2001</t>
  </si>
  <si>
    <t>citrate synthase (si)</t>
  </si>
  <si>
    <t>ALJ91818.1</t>
  </si>
  <si>
    <t>TO73_2002</t>
  </si>
  <si>
    <t>ALJ91819.1</t>
  </si>
  <si>
    <t>TO73_2003</t>
  </si>
  <si>
    <t>protease IV (signal peptide peptidase)</t>
  </si>
  <si>
    <t>ALJ91820.1</t>
  </si>
  <si>
    <t>TO73_2004</t>
  </si>
  <si>
    <t>ALJ91821.1</t>
  </si>
  <si>
    <t>TO73_2005</t>
  </si>
  <si>
    <t>IS605 family transposase</t>
  </si>
  <si>
    <t>ALJ91822.1</t>
  </si>
  <si>
    <t>TO73_2006</t>
  </si>
  <si>
    <t>TO73_2007</t>
  </si>
  <si>
    <t>TO73_2009</t>
  </si>
  <si>
    <t>TO73_2011</t>
  </si>
  <si>
    <t>TO73_2013</t>
  </si>
  <si>
    <t>ALJ91823.1</t>
  </si>
  <si>
    <t>TO73_2015</t>
  </si>
  <si>
    <t>ALJ91824.1</t>
  </si>
  <si>
    <t>TO73_2016</t>
  </si>
  <si>
    <t>alkaline shock protein</t>
  </si>
  <si>
    <t>ALJ91825.1</t>
  </si>
  <si>
    <t>TO73_2017</t>
  </si>
  <si>
    <t>alanine dehydrogenase</t>
  </si>
  <si>
    <t>ALJ91826.1</t>
  </si>
  <si>
    <t>TO73_2018</t>
  </si>
  <si>
    <t>tRNA pseudouridine synthase B</t>
  </si>
  <si>
    <t>ALJ91827.1</t>
  </si>
  <si>
    <t>TO73_2019</t>
  </si>
  <si>
    <t>enoyl-CoA hydratase</t>
  </si>
  <si>
    <t>ALJ91828.1</t>
  </si>
  <si>
    <t>TO73_2020</t>
  </si>
  <si>
    <t>ribosomal large subunit pseudouridine synthase B</t>
  </si>
  <si>
    <t>ALJ91829.1</t>
  </si>
  <si>
    <t>TO73_2021</t>
  </si>
  <si>
    <t>hypoxanthine-guanine phosphoribosyltransferase</t>
  </si>
  <si>
    <t>ALJ91830.1</t>
  </si>
  <si>
    <t>TO73_2022</t>
  </si>
  <si>
    <t>putative preQ0 transporter</t>
  </si>
  <si>
    <t>ALJ91831.1</t>
  </si>
  <si>
    <t>TO73_2023</t>
  </si>
  <si>
    <t>L-fuco-beta-pyranose dehydrogenase</t>
  </si>
  <si>
    <t>ALJ91832.1</t>
  </si>
  <si>
    <t>TO73_2024</t>
  </si>
  <si>
    <t>adenylosuccinate synthetase</t>
  </si>
  <si>
    <t>ALJ91833.1</t>
  </si>
  <si>
    <t>TO73_2025</t>
  </si>
  <si>
    <t>ALJ91834.1</t>
  </si>
  <si>
    <t>TO73_2026</t>
  </si>
  <si>
    <t>anthranilate phosphoribosyltransferase</t>
  </si>
  <si>
    <t>ALJ91835.1</t>
  </si>
  <si>
    <t>TO73_2027</t>
  </si>
  <si>
    <t>anthranilate synthase, amidotransferase component</t>
  </si>
  <si>
    <t>ALJ91836.1</t>
  </si>
  <si>
    <t>TO73_2028</t>
  </si>
  <si>
    <t>anthranilate synthase, aminase component</t>
  </si>
  <si>
    <t>ALJ91837.1</t>
  </si>
  <si>
    <t>TO73_2029</t>
  </si>
  <si>
    <t>Delta-1-pyrroline-5-carboxylate dehydrogenase</t>
  </si>
  <si>
    <t>ALJ91838.1</t>
  </si>
  <si>
    <t>TO73_2030</t>
  </si>
  <si>
    <t>proline dehydrogenase (proline oxidase)</t>
  </si>
  <si>
    <t>ALJ91839.1</t>
  </si>
  <si>
    <t>TO73_2031</t>
  </si>
  <si>
    <t>putative regulator PutR for proline utilization, GntR family</t>
  </si>
  <si>
    <t>ALJ91840.1</t>
  </si>
  <si>
    <t>TO73_2032</t>
  </si>
  <si>
    <t>ALJ91841.1</t>
  </si>
  <si>
    <t>TO73_2033</t>
  </si>
  <si>
    <t>ALJ91842.1</t>
  </si>
  <si>
    <t>TO73_2034</t>
  </si>
  <si>
    <t>2-amino-3-ketobutyrate--CoA ligase</t>
  </si>
  <si>
    <t>ALJ91843.1</t>
  </si>
  <si>
    <t>TO73_2035</t>
  </si>
  <si>
    <t>modification methylase TaqI</t>
  </si>
  <si>
    <t>ALJ91844.1</t>
  </si>
  <si>
    <t>TO73_2036</t>
  </si>
  <si>
    <t>ALJ91845.1</t>
  </si>
  <si>
    <t>TO73_2037</t>
  </si>
  <si>
    <t>DNA gyrase subunit B</t>
  </si>
  <si>
    <t>ALJ91846.1</t>
  </si>
  <si>
    <t>TO73_2038</t>
  </si>
  <si>
    <t>ATP-dependent helicase HrpB</t>
  </si>
  <si>
    <t>ALJ91847.1</t>
  </si>
  <si>
    <t>TO73_2039</t>
  </si>
  <si>
    <t>ALJ91848.1</t>
  </si>
  <si>
    <t>TO73_2040</t>
  </si>
  <si>
    <t>ALJ91849.1</t>
  </si>
  <si>
    <t>TO73_2041</t>
  </si>
  <si>
    <t>dehydrogenase</t>
  </si>
  <si>
    <t>ALJ91850.1</t>
  </si>
  <si>
    <t>TO73_2042</t>
  </si>
  <si>
    <t>ALJ91851.1</t>
  </si>
  <si>
    <t>TO73_2043</t>
  </si>
  <si>
    <t>ALJ91852.1</t>
  </si>
  <si>
    <t>TO73_2044</t>
  </si>
  <si>
    <t>ALJ91853.1</t>
  </si>
  <si>
    <t>TO73_2045</t>
  </si>
  <si>
    <t>ALJ91854.1</t>
  </si>
  <si>
    <t>TO73_2046</t>
  </si>
  <si>
    <t>ALJ91855.1</t>
  </si>
  <si>
    <t>TO73_2047</t>
  </si>
  <si>
    <t>ALJ91856.1</t>
  </si>
  <si>
    <t>TO73_2048</t>
  </si>
  <si>
    <t>ALJ91857.1</t>
  </si>
  <si>
    <t>TO73_2049</t>
  </si>
  <si>
    <t>putative methylmalonyl-CoA epimerase</t>
  </si>
  <si>
    <t>ALJ91858.1</t>
  </si>
  <si>
    <t>TO73_2050</t>
  </si>
  <si>
    <t>fumarate/succinate/L-aspartate dehydrogenase-like protein</t>
  </si>
  <si>
    <t>ALJ91859.1</t>
  </si>
  <si>
    <t>TO73_2051</t>
  </si>
  <si>
    <t>ALJ91860.1</t>
  </si>
  <si>
    <t>TO73_2052</t>
  </si>
  <si>
    <t>chorismate mutase I / 2-keto-3-deoxy-D-arabino-heptulosonate-7-phosphate synthase I beta</t>
  </si>
  <si>
    <t>ALJ91861.1</t>
  </si>
  <si>
    <t>TO73_2053</t>
  </si>
  <si>
    <t>twin-arginine translocation protein TatC</t>
  </si>
  <si>
    <t>ALJ91862.1</t>
  </si>
  <si>
    <t>TO73_2054</t>
  </si>
  <si>
    <t>ALJ91863.1</t>
  </si>
  <si>
    <t>TO73_2055</t>
  </si>
  <si>
    <t>N-acetylglucosamine-1-phosphate uridyltransferase / glucosamine-1-phosphate N-acetyltransferase</t>
  </si>
  <si>
    <t>ALJ91864.1</t>
  </si>
  <si>
    <t>TO73_2056</t>
  </si>
  <si>
    <t>prolipoprotein diacylglyceryl transferase</t>
  </si>
  <si>
    <t>ALJ91865.1</t>
  </si>
  <si>
    <t>TO73_2057</t>
  </si>
  <si>
    <t>ALJ91866.1</t>
  </si>
  <si>
    <t>TO73_2058</t>
  </si>
  <si>
    <t>putative membrane protein NMA1128</t>
  </si>
  <si>
    <t>ALJ91867.1</t>
  </si>
  <si>
    <t>TO73_2059</t>
  </si>
  <si>
    <t>ALJ91868.1</t>
  </si>
  <si>
    <t>TO73_2060</t>
  </si>
  <si>
    <t>4-hydroxybutyrate coenzyme A transferase</t>
  </si>
  <si>
    <t>ALJ91869.1</t>
  </si>
  <si>
    <t>TO73_2061</t>
  </si>
  <si>
    <t>DNA topoisomerase I</t>
  </si>
  <si>
    <t>ALJ91870.1</t>
  </si>
  <si>
    <t>TO73_2062</t>
  </si>
  <si>
    <t>vancomycin B-type resistance protein VanW</t>
  </si>
  <si>
    <t>ALJ91871.1</t>
  </si>
  <si>
    <t>TO73_2063</t>
  </si>
  <si>
    <t>ribosomal small subunit pseudouridine synthase A</t>
  </si>
  <si>
    <t>ALJ91872.1</t>
  </si>
  <si>
    <t>TO73_2064</t>
  </si>
  <si>
    <t>ALJ91873.1</t>
  </si>
  <si>
    <t>TO73_2065</t>
  </si>
  <si>
    <t>ALJ91874.1</t>
  </si>
  <si>
    <t>TO73_2066</t>
  </si>
  <si>
    <t>alanyl-tRNA synthetase family protein</t>
  </si>
  <si>
    <t>ALJ91875.1</t>
  </si>
  <si>
    <t>TO73_2067</t>
  </si>
  <si>
    <t>Dehydrogenase</t>
  </si>
  <si>
    <t>ALJ91876.1</t>
  </si>
  <si>
    <t>TO73_2068</t>
  </si>
  <si>
    <t>ALJ91877.1</t>
  </si>
  <si>
    <t>TO73_2069</t>
  </si>
  <si>
    <t>ALJ91878.1</t>
  </si>
  <si>
    <t>TO73_2070</t>
  </si>
  <si>
    <t>endonuclease</t>
  </si>
  <si>
    <t>ALJ91879.1</t>
  </si>
  <si>
    <t>TO73_2071</t>
  </si>
  <si>
    <t>UbiD family decarboxylase associated with menaquinone via futalosine</t>
  </si>
  <si>
    <t>ALJ91880.1</t>
  </si>
  <si>
    <t>TO73_2072</t>
  </si>
  <si>
    <t>ALJ91881.1</t>
  </si>
  <si>
    <t>TO73_2073</t>
  </si>
  <si>
    <t>ALJ91882.1</t>
  </si>
  <si>
    <t>TO73_2074</t>
  </si>
  <si>
    <t>tRNA (guanine46-N7-)-methyltransferase</t>
  </si>
  <si>
    <t>ALJ91883.1</t>
  </si>
  <si>
    <t>TO73_2075</t>
  </si>
  <si>
    <t>ALJ91884.1</t>
  </si>
  <si>
    <t>TO73_2076</t>
  </si>
  <si>
    <t>ALJ91885.1</t>
  </si>
  <si>
    <t>TO73_2077</t>
  </si>
  <si>
    <t>ALJ91886.1</t>
  </si>
  <si>
    <t>TO73_2078</t>
  </si>
  <si>
    <t>hydroxyacylglutathione hydrolase</t>
  </si>
  <si>
    <t>ALJ91887.1</t>
  </si>
  <si>
    <t>TO73_2079</t>
  </si>
  <si>
    <t>flagellar protein FliJ</t>
  </si>
  <si>
    <t>ALJ91888.1</t>
  </si>
  <si>
    <t>TO73_2080</t>
  </si>
  <si>
    <t>osmotically inducible protein C</t>
  </si>
  <si>
    <t>ALJ91889.1</t>
  </si>
  <si>
    <t>TO73_2081</t>
  </si>
  <si>
    <t>phosphoglyceromutase</t>
  </si>
  <si>
    <t>ALJ91890.1</t>
  </si>
  <si>
    <t>TO73_2082</t>
  </si>
  <si>
    <t>ferric iron ABC transporter, iron-binding protein</t>
  </si>
  <si>
    <t>ALJ91891.1</t>
  </si>
  <si>
    <t>TO73_2083</t>
  </si>
  <si>
    <t>ferric iron ABC transporter, permease protein</t>
  </si>
  <si>
    <t>ALJ91892.1</t>
  </si>
  <si>
    <t>TO73_2084</t>
  </si>
  <si>
    <t>ferric iron ABC transporter, ATP-binding protein</t>
  </si>
  <si>
    <t>ALJ91893.1</t>
  </si>
  <si>
    <t>TO73_2085</t>
  </si>
  <si>
    <t>tRNA pseudouridine synthase A</t>
  </si>
  <si>
    <t>ALJ91894.1</t>
  </si>
  <si>
    <t>TO73_2086</t>
  </si>
  <si>
    <t>ALJ91895.1</t>
  </si>
  <si>
    <t>TO73_2087</t>
  </si>
  <si>
    <t>ALJ91896.1</t>
  </si>
  <si>
    <t>TO73_2088</t>
  </si>
  <si>
    <t>Dipeptide-binding protein</t>
  </si>
  <si>
    <t>ALJ91897.1</t>
  </si>
  <si>
    <t>TO73_2089</t>
  </si>
  <si>
    <t>putative iron binding protein from the HesB_IscA_SufA family</t>
  </si>
  <si>
    <t>ALJ91898.1</t>
  </si>
  <si>
    <t>TO73_2090</t>
  </si>
  <si>
    <t>ALJ91899.1</t>
  </si>
  <si>
    <t>TO73_2091</t>
  </si>
  <si>
    <t>ALJ91900.1</t>
  </si>
  <si>
    <t>TO73_2092</t>
  </si>
  <si>
    <t>ALJ91901.1</t>
  </si>
  <si>
    <t>TO73_2093</t>
  </si>
  <si>
    <t>ALJ91902.1</t>
  </si>
  <si>
    <t>TO73_2094</t>
  </si>
  <si>
    <t>biosynthetic arginine decarboxylase</t>
  </si>
  <si>
    <t>ALJ91903.1</t>
  </si>
  <si>
    <t>TO73_2095</t>
  </si>
  <si>
    <t>ALJ91904.1</t>
  </si>
  <si>
    <t>TO73_2096</t>
  </si>
  <si>
    <t>S-adenosylmethionine synthetase</t>
  </si>
  <si>
    <t>ALJ91905.1</t>
  </si>
  <si>
    <t>TO73_2097</t>
  </si>
  <si>
    <t>glutamate racemase</t>
  </si>
  <si>
    <t>ALJ91906.1</t>
  </si>
  <si>
    <t>TO73_2098</t>
  </si>
  <si>
    <t>ALJ91907.1</t>
  </si>
  <si>
    <t>TO73_2099</t>
  </si>
  <si>
    <t>nucleoside 5-triphosphatase RdgB (dHAPTP, dITP, XTP-specific)</t>
  </si>
  <si>
    <t>ALJ91908.1</t>
  </si>
  <si>
    <t>TO73_2100</t>
  </si>
  <si>
    <t>ALJ91909.1</t>
  </si>
  <si>
    <t>TO73_2101</t>
  </si>
  <si>
    <t>ALJ91910.1</t>
  </si>
  <si>
    <t>TO73_2102</t>
  </si>
  <si>
    <t>ALJ91911.1</t>
  </si>
  <si>
    <t>TO73_2103</t>
  </si>
  <si>
    <t>ALJ91912.1</t>
  </si>
  <si>
    <t>TO73_2104</t>
  </si>
  <si>
    <t>ALJ91913.1</t>
  </si>
  <si>
    <t>TO73_2105</t>
  </si>
  <si>
    <t>ALJ91914.1</t>
  </si>
  <si>
    <t>TO73_2106</t>
  </si>
  <si>
    <t>recombination inhibitory protein MutS2</t>
  </si>
  <si>
    <t>ALJ91915.1</t>
  </si>
  <si>
    <t>TO73_2107</t>
  </si>
  <si>
    <t>ALJ91916.1</t>
  </si>
  <si>
    <t>TO73_2108</t>
  </si>
  <si>
    <t>4-hydroxybenzoyl-CoA thioesterase family protein</t>
  </si>
  <si>
    <t>ALJ91917.1</t>
  </si>
  <si>
    <t>TO73_2109</t>
  </si>
  <si>
    <t>ALJ91918.1</t>
  </si>
  <si>
    <t>TO73_2110</t>
  </si>
  <si>
    <t>arsenate reductase</t>
  </si>
  <si>
    <t>ALJ91919.1</t>
  </si>
  <si>
    <t>TO73_2111</t>
  </si>
  <si>
    <t>2-heptaprenyl-1,4-naphthoquinone methyltransferase MenG</t>
  </si>
  <si>
    <t>ALJ91920.1</t>
  </si>
  <si>
    <t>TO73_2112</t>
  </si>
  <si>
    <t>ALJ91921.1</t>
  </si>
  <si>
    <t>TO73_2113</t>
  </si>
  <si>
    <t>unspecified monosaccharide ABC transport system, permease component 2</t>
  </si>
  <si>
    <t>ALJ91922.1</t>
  </si>
  <si>
    <t>TO73_2114</t>
  </si>
  <si>
    <t>ALJ91923.1</t>
  </si>
  <si>
    <t>TO73_2115</t>
  </si>
  <si>
    <t>ALJ91924.1</t>
  </si>
  <si>
    <t>TO73_2116</t>
  </si>
  <si>
    <t>signal peptidase-like protein</t>
  </si>
  <si>
    <t>ALJ91925.1</t>
  </si>
  <si>
    <t>TO73_2117</t>
  </si>
  <si>
    <t>DNA polymerase III delta prime subunit</t>
  </si>
  <si>
    <t>ALJ91926.1</t>
  </si>
  <si>
    <t>TO73_2118</t>
  </si>
  <si>
    <t>serine/threonine protein phosphatase</t>
  </si>
  <si>
    <t>ALJ91927.1</t>
  </si>
  <si>
    <t>TO73_2119</t>
  </si>
  <si>
    <t>ALJ91928.1</t>
  </si>
  <si>
    <t>TO73_2120</t>
  </si>
  <si>
    <t>ALJ91929.1</t>
  </si>
  <si>
    <t>TO73_2121</t>
  </si>
  <si>
    <t>ALJ91930.1</t>
  </si>
  <si>
    <t>TO73_2122</t>
  </si>
  <si>
    <t>ALJ91931.1</t>
  </si>
  <si>
    <t>TO73_2123</t>
  </si>
  <si>
    <t>permease of the major facilitator superfamily</t>
  </si>
  <si>
    <t>ALJ91932.1</t>
  </si>
  <si>
    <t>TO73_2124</t>
  </si>
  <si>
    <t>ALJ91933.1</t>
  </si>
  <si>
    <t>TO73_2125</t>
  </si>
  <si>
    <t>ALJ91934.1</t>
  </si>
  <si>
    <t>TO73_2412</t>
  </si>
  <si>
    <t>ALJ91935.1</t>
  </si>
  <si>
    <t>TO73_2126</t>
  </si>
  <si>
    <t>ALJ91936.1</t>
  </si>
  <si>
    <t>TO73_2413</t>
  </si>
  <si>
    <t>ALJ91937.1</t>
  </si>
  <si>
    <t>TO73_2127</t>
  </si>
  <si>
    <t>atypical L-asparaginase, rhizobium type</t>
  </si>
  <si>
    <t>ALJ91938.1</t>
  </si>
  <si>
    <t>TO73_2128</t>
  </si>
  <si>
    <t>ALJ91939.1</t>
  </si>
  <si>
    <t>TO73_2129</t>
  </si>
  <si>
    <t>Translation initiation factor IF-2</t>
  </si>
  <si>
    <t>ALJ91940.1</t>
  </si>
  <si>
    <t>TO73_2130</t>
  </si>
  <si>
    <t>molybdenum cofactor biosynthesis protein MoaD</t>
  </si>
  <si>
    <t>ALJ91941.1</t>
  </si>
  <si>
    <t>TO73_2131</t>
  </si>
  <si>
    <t>ALJ91942.1</t>
  </si>
  <si>
    <t>TO73_2132</t>
  </si>
  <si>
    <t>ALJ91943.1</t>
  </si>
  <si>
    <t>TO73_2133</t>
  </si>
  <si>
    <t>Quinone oxidoreductase</t>
  </si>
  <si>
    <t>ALJ91944.1</t>
  </si>
  <si>
    <t>TO73_2134</t>
  </si>
  <si>
    <t>ALJ91945.1</t>
  </si>
  <si>
    <t>TO73_2135</t>
  </si>
  <si>
    <t>ALJ91946.1</t>
  </si>
  <si>
    <t>TO73_2136</t>
  </si>
  <si>
    <t>transcriptional regulator, marR/emrR family</t>
  </si>
  <si>
    <t>ALJ91947.1</t>
  </si>
  <si>
    <t>TO73_2137</t>
  </si>
  <si>
    <t>NADH-dependent flavin oxidoreductase</t>
  </si>
  <si>
    <t>ALJ91948.1</t>
  </si>
  <si>
    <t>TO73_2138</t>
  </si>
  <si>
    <t>amylopullulanase</t>
  </si>
  <si>
    <t>ALJ91949.1</t>
  </si>
  <si>
    <t>TO73_2139</t>
  </si>
  <si>
    <t>ALJ91950.1</t>
  </si>
  <si>
    <t>TO73_2140</t>
  </si>
  <si>
    <t>nudix family (d)NDPase DR0975</t>
  </si>
  <si>
    <t>ALJ91951.1</t>
  </si>
  <si>
    <t>TO73_2141</t>
  </si>
  <si>
    <t>peptide chain release factor 1</t>
  </si>
  <si>
    <t>ALJ91952.1</t>
  </si>
  <si>
    <t>TO73_2142</t>
  </si>
  <si>
    <t>metal transporter, ZIP family</t>
  </si>
  <si>
    <t>ALJ91953.1</t>
  </si>
  <si>
    <t>TO73_2143</t>
  </si>
  <si>
    <t>ALJ91954.1</t>
  </si>
  <si>
    <t>TO73_2144</t>
  </si>
  <si>
    <t>cytochrome oxidase biogenesis protein Sco1/SenC/PrrC, putative copper metallochaperone</t>
  </si>
  <si>
    <t>ALJ91955.1</t>
  </si>
  <si>
    <t>TO73_2145</t>
  </si>
  <si>
    <t>copper metallochaperone, Cox17-like protein</t>
  </si>
  <si>
    <t>ALJ91956.1</t>
  </si>
  <si>
    <t>TO73_2146</t>
  </si>
  <si>
    <t>nitrous oxide reductase maturation protein NosD</t>
  </si>
  <si>
    <t>ALJ91957.1</t>
  </si>
  <si>
    <t>TO73_2147</t>
  </si>
  <si>
    <t>ALJ91958.1</t>
  </si>
  <si>
    <t>TO73_2148</t>
  </si>
  <si>
    <t>ALJ91959.1</t>
  </si>
  <si>
    <t>TO73_2149</t>
  </si>
  <si>
    <t>ALJ91960.1</t>
  </si>
  <si>
    <t>TO73_2150</t>
  </si>
  <si>
    <t>ALJ91961.1</t>
  </si>
  <si>
    <t>TO73_2151</t>
  </si>
  <si>
    <t>ALJ91962.1</t>
  </si>
  <si>
    <t>TO73_2152</t>
  </si>
  <si>
    <t>ALJ91963.1</t>
  </si>
  <si>
    <t>TO73_2153</t>
  </si>
  <si>
    <t>nucleoside triphosphate pyrophosphohydrolase MazG</t>
  </si>
  <si>
    <t>ALJ91964.1</t>
  </si>
  <si>
    <t>TO73_2154</t>
  </si>
  <si>
    <t>putative nudix hydrolase YeaB</t>
  </si>
  <si>
    <t>ALJ91965.1</t>
  </si>
  <si>
    <t>TO73_2155</t>
  </si>
  <si>
    <t>ThiJ/PfpI family protein</t>
  </si>
  <si>
    <t>ALJ91966.1</t>
  </si>
  <si>
    <t>TO73_2156</t>
  </si>
  <si>
    <t>acetylglutamate kinase</t>
  </si>
  <si>
    <t>ALJ91967.1</t>
  </si>
  <si>
    <t>TO73_2157</t>
  </si>
  <si>
    <t>ALJ91968.1</t>
  </si>
  <si>
    <t>TO73_2158</t>
  </si>
  <si>
    <t>DNA polymerase III subunits gamma and tau</t>
  </si>
  <si>
    <t>ALJ91969.1</t>
  </si>
  <si>
    <t>TO73_2159</t>
  </si>
  <si>
    <t>ALJ91970.1</t>
  </si>
  <si>
    <t>TO73_2160</t>
  </si>
  <si>
    <t>ALJ91971.1</t>
  </si>
  <si>
    <t>TO73_2161</t>
  </si>
  <si>
    <t>2-oxoglutarate oxidoreductase, alpha subunit</t>
  </si>
  <si>
    <t>ALJ91972.1</t>
  </si>
  <si>
    <t>TO73_2162</t>
  </si>
  <si>
    <t>2-oxoglutarate oxidoreductase, beta subunit</t>
  </si>
  <si>
    <t>ALJ91973.1</t>
  </si>
  <si>
    <t>TO73_2163</t>
  </si>
  <si>
    <t>molybdenum cofactor biosynthesis protein MoaC</t>
  </si>
  <si>
    <t>ALJ91974.1</t>
  </si>
  <si>
    <t>TO73_2164</t>
  </si>
  <si>
    <t>ALJ91975.1</t>
  </si>
  <si>
    <t>TO73_2165</t>
  </si>
  <si>
    <t>ALJ91976.1</t>
  </si>
  <si>
    <t>TO73_2166</t>
  </si>
  <si>
    <t>exopolysaccharide biosynthesis protein</t>
  </si>
  <si>
    <t>ALJ91977.1</t>
  </si>
  <si>
    <t>TO73_2167</t>
  </si>
  <si>
    <t>RNA-2',3'-PO4:RNA-5'-OH ligase</t>
  </si>
  <si>
    <t>ALJ91978.1</t>
  </si>
  <si>
    <t>TO73_2168</t>
  </si>
  <si>
    <t>putative protein phosphatase</t>
  </si>
  <si>
    <t>ALJ91979.1</t>
  </si>
  <si>
    <t>TO73_2169</t>
  </si>
  <si>
    <t>nucleoside diphosphate kinase</t>
  </si>
  <si>
    <t>ALJ91980.1</t>
  </si>
  <si>
    <t>TO73_2170</t>
  </si>
  <si>
    <t>ALJ91981.1</t>
  </si>
  <si>
    <t>TO73_2171</t>
  </si>
  <si>
    <t>ALJ91982.1</t>
  </si>
  <si>
    <t>TO73_2172</t>
  </si>
  <si>
    <t>Dihydroneopterin aldolase</t>
  </si>
  <si>
    <t>ALJ91983.1</t>
  </si>
  <si>
    <t>TO73_2173</t>
  </si>
  <si>
    <t>Dihydropteroate synthase</t>
  </si>
  <si>
    <t>ALJ91984.1</t>
  </si>
  <si>
    <t>TO73_2174</t>
  </si>
  <si>
    <t>ALJ91985.1</t>
  </si>
  <si>
    <t>TO73_2175</t>
  </si>
  <si>
    <t>ALJ91986.1</t>
  </si>
  <si>
    <t>TO73_2176</t>
  </si>
  <si>
    <t>TRAP dicarboxylate transporter, DctQ subunit, unknown substrate 6</t>
  </si>
  <si>
    <t>ALJ91987.1</t>
  </si>
  <si>
    <t>TO73_2177</t>
  </si>
  <si>
    <t>TRAP dicarboxylate transporter, DctM subunit, unknown substrate 6</t>
  </si>
  <si>
    <t>ALJ91988.1</t>
  </si>
  <si>
    <t>TO73_2178</t>
  </si>
  <si>
    <t>ALJ91989.1</t>
  </si>
  <si>
    <t>TO73_2179</t>
  </si>
  <si>
    <t>ALJ91990.1</t>
  </si>
  <si>
    <t>TO73_2180</t>
  </si>
  <si>
    <t>ribonuclease HII</t>
  </si>
  <si>
    <t>ALJ91991.1</t>
  </si>
  <si>
    <t>TO73_2181</t>
  </si>
  <si>
    <t>type B carboxylesterase</t>
  </si>
  <si>
    <t>ALJ91992.1</t>
  </si>
  <si>
    <t>TO73_2182</t>
  </si>
  <si>
    <t>ALJ91993.1</t>
  </si>
  <si>
    <t>TO73_2183</t>
  </si>
  <si>
    <t>ALJ91994.1</t>
  </si>
  <si>
    <t>TO73_2184</t>
  </si>
  <si>
    <t>tRNA S(4U) 4-thiouridine synthase</t>
  </si>
  <si>
    <t>ALJ91995.1</t>
  </si>
  <si>
    <t>TO73_2185</t>
  </si>
  <si>
    <t>asp-tRNAAsn/glu-tRNAGln amidotransferase A subunit</t>
  </si>
  <si>
    <t>ALJ91996.1</t>
  </si>
  <si>
    <t>TO73_2186</t>
  </si>
  <si>
    <t>arsenic efflux pump protein</t>
  </si>
  <si>
    <t>ALJ91997.1</t>
  </si>
  <si>
    <t>TO73_2187</t>
  </si>
  <si>
    <t>ribosomal-protein-alanine acetyltransferase</t>
  </si>
  <si>
    <t>ALJ91998.1</t>
  </si>
  <si>
    <t>TO73_2188</t>
  </si>
  <si>
    <t>putative aminopeptidase</t>
  </si>
  <si>
    <t>ALJ91999.1</t>
  </si>
  <si>
    <t>TO73_2189</t>
  </si>
  <si>
    <t>molybdenum cofactor biosynthesis protein MoaB</t>
  </si>
  <si>
    <t>ALJ92000.1</t>
  </si>
  <si>
    <t>TO73_2190</t>
  </si>
  <si>
    <t>ALJ92001.1</t>
  </si>
  <si>
    <t>TO73_2191</t>
  </si>
  <si>
    <t>adenine deaminase</t>
  </si>
  <si>
    <t>ALJ92002.1</t>
  </si>
  <si>
    <t>TO73_2192</t>
  </si>
  <si>
    <t>ALJ92003.1</t>
  </si>
  <si>
    <t>TO73_2193</t>
  </si>
  <si>
    <t>ALJ92004.1</t>
  </si>
  <si>
    <t>TO73_2194</t>
  </si>
  <si>
    <t>subtilisin precursor</t>
  </si>
  <si>
    <t>ALJ92005.1</t>
  </si>
  <si>
    <t>TO73_2195</t>
  </si>
  <si>
    <t>TPR repeat</t>
  </si>
  <si>
    <t>ALJ92006.1</t>
  </si>
  <si>
    <t>TO73_2196</t>
  </si>
  <si>
    <t>ALJ92007.1</t>
  </si>
  <si>
    <t>TO73_2197</t>
  </si>
  <si>
    <t>peroxide stress regulator PerR, FUR family</t>
  </si>
  <si>
    <t>ALJ92008.1</t>
  </si>
  <si>
    <t>TO73_2198</t>
  </si>
  <si>
    <t>porphobilinogen deaminase</t>
  </si>
  <si>
    <t>ALJ92009.1</t>
  </si>
  <si>
    <t>TO73_2199</t>
  </si>
  <si>
    <t>Dihydrolipoamide acetyltransferase component of pyruvate dehydrogenase complex</t>
  </si>
  <si>
    <t>ALJ92010.1</t>
  </si>
  <si>
    <t>TO73_2200</t>
  </si>
  <si>
    <t>pyruvate dehydrogenase E1 component</t>
  </si>
  <si>
    <t>ALJ92011.1</t>
  </si>
  <si>
    <t>TO73_2201</t>
  </si>
  <si>
    <t>transcriptional regulatory protein, lysR family</t>
  </si>
  <si>
    <t>ALJ92012.1</t>
  </si>
  <si>
    <t>TO73_2202</t>
  </si>
  <si>
    <t>ALJ92013.1</t>
  </si>
  <si>
    <t>TO73_2203</t>
  </si>
  <si>
    <t>ALJ92014.1</t>
  </si>
  <si>
    <t>TO73_2204</t>
  </si>
  <si>
    <t>ferric uptake regulation protein FUR</t>
  </si>
  <si>
    <t>ALJ92015.1</t>
  </si>
  <si>
    <t>TO73_2205</t>
  </si>
  <si>
    <t>cytosol aminopeptidase PepA</t>
  </si>
  <si>
    <t>ALJ92016.1</t>
  </si>
  <si>
    <t>TO73_2206</t>
  </si>
  <si>
    <t>ALJ92017.1</t>
  </si>
  <si>
    <t>TO73_2414</t>
  </si>
  <si>
    <t>tRNA-specific 2-thiouridylase MnmA</t>
  </si>
  <si>
    <t>ALJ92018.1</t>
  </si>
  <si>
    <t>TO73_2207</t>
  </si>
  <si>
    <t>phosphate ABC transporter, periplasmic phosphate-binding protein PstS</t>
  </si>
  <si>
    <t>ALJ92019.1</t>
  </si>
  <si>
    <t>TO73_2208</t>
  </si>
  <si>
    <t>phosphate transport system permease protein PstC</t>
  </si>
  <si>
    <t>ALJ92020.1</t>
  </si>
  <si>
    <t>TO73_2209</t>
  </si>
  <si>
    <t>phosphate transport system permease protein PstA</t>
  </si>
  <si>
    <t>ALJ92021.1</t>
  </si>
  <si>
    <t>TO73_2210</t>
  </si>
  <si>
    <t>phosphate transport ATP-binding protein PstB</t>
  </si>
  <si>
    <t>ALJ92022.1</t>
  </si>
  <si>
    <t>TO73_2211</t>
  </si>
  <si>
    <t>multidrug-efflux transporter</t>
  </si>
  <si>
    <t>ALJ92023.1</t>
  </si>
  <si>
    <t>TO73_2212</t>
  </si>
  <si>
    <t>DNA recombination and repair protein RecF</t>
  </si>
  <si>
    <t>ALJ92024.1</t>
  </si>
  <si>
    <t>TO73_2213</t>
  </si>
  <si>
    <t>putative RNA-binding protein</t>
  </si>
  <si>
    <t>ALJ92025.1</t>
  </si>
  <si>
    <t>TO73_2214</t>
  </si>
  <si>
    <t>YcfA protein</t>
  </si>
  <si>
    <t>ALJ92026.1</t>
  </si>
  <si>
    <t>TO73_2215</t>
  </si>
  <si>
    <t>ALJ92027.1</t>
  </si>
  <si>
    <t>TO73_2216</t>
  </si>
  <si>
    <t>ALJ92028.1</t>
  </si>
  <si>
    <t>TO73_2416</t>
  </si>
  <si>
    <t>ALJ92029.1</t>
  </si>
  <si>
    <t>TO73_2217</t>
  </si>
  <si>
    <t>ALJ92030.1</t>
  </si>
  <si>
    <t>TO73_2218</t>
  </si>
  <si>
    <t>ALJ92031.1</t>
  </si>
  <si>
    <t>TO73_2219</t>
  </si>
  <si>
    <t>ALJ92032.1</t>
  </si>
  <si>
    <t>TO73_2220</t>
  </si>
  <si>
    <t>ALJ92033.1</t>
  </si>
  <si>
    <t>TO73_2221</t>
  </si>
  <si>
    <t>ALJ92034.1</t>
  </si>
  <si>
    <t>TO73_2222</t>
  </si>
  <si>
    <t>ALJ92035.1</t>
  </si>
  <si>
    <t>TO73_2223</t>
  </si>
  <si>
    <t>ALJ92036.1</t>
  </si>
  <si>
    <t>TO73_2224</t>
  </si>
  <si>
    <t>ParB-like nuclease domain containing protein</t>
  </si>
  <si>
    <t>ALJ92037.1</t>
  </si>
  <si>
    <t>TO73_2225</t>
  </si>
  <si>
    <t>ALJ92038.1</t>
  </si>
  <si>
    <t>TO73_2226</t>
  </si>
  <si>
    <t>ALJ92039.1</t>
  </si>
  <si>
    <t>TO73_2227</t>
  </si>
  <si>
    <t>ALJ92040.1</t>
  </si>
  <si>
    <t>TO73_2228</t>
  </si>
  <si>
    <t>TO73_2229</t>
  </si>
  <si>
    <t>tRNA-Glu</t>
  </si>
  <si>
    <t>TO73_2231</t>
  </si>
  <si>
    <t>TO73_2233</t>
  </si>
  <si>
    <t>ALJ92041.1</t>
  </si>
  <si>
    <t>TO73_2235</t>
  </si>
  <si>
    <t>cytochrome c oxidase polypeptide I / cytochrome c oxidase polypeptide III</t>
  </si>
  <si>
    <t>ALJ92042.1</t>
  </si>
  <si>
    <t>TO73_2236</t>
  </si>
  <si>
    <t>cytochrome c oxidase polypeptide II</t>
  </si>
  <si>
    <t>ALJ92043.1</t>
  </si>
  <si>
    <t>TO73_2237</t>
  </si>
  <si>
    <t>heme A synthase, cytochrome oxidase biogenesis protein Cox15-CtaA</t>
  </si>
  <si>
    <t>ALJ92044.1</t>
  </si>
  <si>
    <t>TO73_2238</t>
  </si>
  <si>
    <t>phosphoenolpyruvate carboxykinase (ATP)</t>
  </si>
  <si>
    <t>ALJ92045.1</t>
  </si>
  <si>
    <t>TO73_2239</t>
  </si>
  <si>
    <t>glucose-6-phosphate isomerase</t>
  </si>
  <si>
    <t>ALJ92046.1</t>
  </si>
  <si>
    <t>TO73_2240</t>
  </si>
  <si>
    <t>ALJ92047.1</t>
  </si>
  <si>
    <t>TO73_2241</t>
  </si>
  <si>
    <t>ALJ92048.1</t>
  </si>
  <si>
    <t>TO73_2242</t>
  </si>
  <si>
    <t>ALJ92049.1</t>
  </si>
  <si>
    <t>TO73_2243</t>
  </si>
  <si>
    <t>ALJ92050.1</t>
  </si>
  <si>
    <t>TO73_2244</t>
  </si>
  <si>
    <t>ALJ92051.1</t>
  </si>
  <si>
    <t>TO73_2245</t>
  </si>
  <si>
    <t>ALJ92052.1</t>
  </si>
  <si>
    <t>TO73_2246</t>
  </si>
  <si>
    <t>ALJ92053.1</t>
  </si>
  <si>
    <t>TO73_2247</t>
  </si>
  <si>
    <t>ALJ92054.1</t>
  </si>
  <si>
    <t>TO73_2248</t>
  </si>
  <si>
    <t>threonyl-tRNA synthetase</t>
  </si>
  <si>
    <t>ALJ92055.1</t>
  </si>
  <si>
    <t>TO73_2249</t>
  </si>
  <si>
    <t>phenylacetic acid degradation operon negative regulatory protein PaaX</t>
  </si>
  <si>
    <t>ALJ92056.1</t>
  </si>
  <si>
    <t>TO73_2250</t>
  </si>
  <si>
    <t>ALJ92057.1</t>
  </si>
  <si>
    <t>TO73_2251</t>
  </si>
  <si>
    <t>ALJ92058.1</t>
  </si>
  <si>
    <t>TO73_2252</t>
  </si>
  <si>
    <t>sugar phosphate isomerase/epimerase-like protein</t>
  </si>
  <si>
    <t>ALJ92059.1</t>
  </si>
  <si>
    <t>TO73_2253</t>
  </si>
  <si>
    <t>ubiquinol cytochrome C oxidoreductase, cytochrome C1 subunit</t>
  </si>
  <si>
    <t>ALJ92060.1</t>
  </si>
  <si>
    <t>TO73_2254</t>
  </si>
  <si>
    <t>ALJ92061.1</t>
  </si>
  <si>
    <t>TO73_2255</t>
  </si>
  <si>
    <t>ubiquinol-cytochrome C reductase iron-sulfur subunit</t>
  </si>
  <si>
    <t>ALJ92062.1</t>
  </si>
  <si>
    <t>TO73_2256</t>
  </si>
  <si>
    <t>ubiquinol-cytochrome C reductase, cytochrome B subunit</t>
  </si>
  <si>
    <t>ALJ92063.1</t>
  </si>
  <si>
    <t>TO73_2257</t>
  </si>
  <si>
    <t>SSU ribosomal protein S1p</t>
  </si>
  <si>
    <t>ALJ92064.1</t>
  </si>
  <si>
    <t>TO73_2258</t>
  </si>
  <si>
    <t>carboxypeptidase G2</t>
  </si>
  <si>
    <t>ALJ92065.1</t>
  </si>
  <si>
    <t>TO73_2259</t>
  </si>
  <si>
    <t>ALJ92066.1</t>
  </si>
  <si>
    <t>TO73_2260</t>
  </si>
  <si>
    <t>ALJ92067.1</t>
  </si>
  <si>
    <t>TO73_2261</t>
  </si>
  <si>
    <t>ALJ92068.1</t>
  </si>
  <si>
    <t>TO73_2262</t>
  </si>
  <si>
    <t>ALJ92069.1</t>
  </si>
  <si>
    <t>TO73_2263</t>
  </si>
  <si>
    <t>sodium/glycine symporter GlyP</t>
  </si>
  <si>
    <t>ALJ92070.1</t>
  </si>
  <si>
    <t>TO73_2264</t>
  </si>
  <si>
    <t>ALJ92071.1</t>
  </si>
  <si>
    <t>TO73_2265</t>
  </si>
  <si>
    <t>carboxylesterase</t>
  </si>
  <si>
    <t>ALJ92072.1</t>
  </si>
  <si>
    <t>TO73_2266</t>
  </si>
  <si>
    <t>putative divalent heavy-metal cations transporter</t>
  </si>
  <si>
    <t>ALJ92073.1</t>
  </si>
  <si>
    <t>TO73_2267</t>
  </si>
  <si>
    <t>sugar/maltose fermentation stimulation protein-like</t>
  </si>
  <si>
    <t>ALJ92074.1</t>
  </si>
  <si>
    <t>TO73_2268</t>
  </si>
  <si>
    <t>TO73_2269</t>
  </si>
  <si>
    <t>TO73_2271</t>
  </si>
  <si>
    <t>ALJ92075.1</t>
  </si>
  <si>
    <t>TO73_2273</t>
  </si>
  <si>
    <t>integral membrane protein</t>
  </si>
  <si>
    <t>ALJ92076.1</t>
  </si>
  <si>
    <t>TO73_2274</t>
  </si>
  <si>
    <t>ALJ92077.1</t>
  </si>
  <si>
    <t>TO73_2275</t>
  </si>
  <si>
    <t>Radical SAM, Pyruvate-formate lyase-activating enzyme like</t>
  </si>
  <si>
    <t>ALJ92078.1</t>
  </si>
  <si>
    <t>TO73_2276</t>
  </si>
  <si>
    <t>ALJ92079.1</t>
  </si>
  <si>
    <t>TO73_2277</t>
  </si>
  <si>
    <t>ALJ92080.1</t>
  </si>
  <si>
    <t>TO73_2417</t>
  </si>
  <si>
    <t>ALJ92081.1</t>
  </si>
  <si>
    <t>TO73_2278</t>
  </si>
  <si>
    <t>putative FMN hydrolase / 5-amino-6-(5'-phosphoribityl)aminouracil phosphatase</t>
  </si>
  <si>
    <t>ALJ92082.1</t>
  </si>
  <si>
    <t>TO73_2279</t>
  </si>
  <si>
    <t>ALJ92083.1</t>
  </si>
  <si>
    <t>TO73_2280</t>
  </si>
  <si>
    <t>ALJ92084.1</t>
  </si>
  <si>
    <t>TO73_2281</t>
  </si>
  <si>
    <t>ALJ92085.1</t>
  </si>
  <si>
    <t>TO73_2282</t>
  </si>
  <si>
    <t>23S rRNA (guanosine-2'-O-) -methyltransferase RlmB</t>
  </si>
  <si>
    <t>ALJ92086.1</t>
  </si>
  <si>
    <t>TO73_2283</t>
  </si>
  <si>
    <t>acetylornithine deacetylase</t>
  </si>
  <si>
    <t>ALJ92087.1</t>
  </si>
  <si>
    <t>TO73_2284</t>
  </si>
  <si>
    <t>ALJ92088.1</t>
  </si>
  <si>
    <t>TO73_2285</t>
  </si>
  <si>
    <t>glucokinase</t>
  </si>
  <si>
    <t>ALJ92089.1</t>
  </si>
  <si>
    <t>TO73_2286</t>
  </si>
  <si>
    <t>ALJ92090.1</t>
  </si>
  <si>
    <t>TO73_2287</t>
  </si>
  <si>
    <t>GTP cyclohydrolase I type 1</t>
  </si>
  <si>
    <t>ALJ92091.1</t>
  </si>
  <si>
    <t>TO73_2288</t>
  </si>
  <si>
    <t>ferripyochelin binding protein</t>
  </si>
  <si>
    <t>ALJ92092.1</t>
  </si>
  <si>
    <t>TO73_2289</t>
  </si>
  <si>
    <t>bis(5'-nucleosyl)-tetraphosphatase (asymmetrical)</t>
  </si>
  <si>
    <t>ALJ92093.1</t>
  </si>
  <si>
    <t>TO73_2290</t>
  </si>
  <si>
    <t>ALJ92094.1</t>
  </si>
  <si>
    <t>TO73_2291</t>
  </si>
  <si>
    <t>GTP-binding protein TypA/BipA</t>
  </si>
  <si>
    <t>ALJ92095.1</t>
  </si>
  <si>
    <t>TO73_2292</t>
  </si>
  <si>
    <t>ALJ92096.1</t>
  </si>
  <si>
    <t>TO73_2293</t>
  </si>
  <si>
    <t>ATPase component BioM of energizing module of biotin ECF transporter</t>
  </si>
  <si>
    <t>ALJ92097.1</t>
  </si>
  <si>
    <t>TO73_2294</t>
  </si>
  <si>
    <t>ALJ92098.1</t>
  </si>
  <si>
    <t>TO73_2295</t>
  </si>
  <si>
    <t>UPF0331 protein MJ0127</t>
  </si>
  <si>
    <t>ALJ92099.1</t>
  </si>
  <si>
    <t>TO73_2296</t>
  </si>
  <si>
    <t>ALJ92100.1</t>
  </si>
  <si>
    <t>TO73_2297</t>
  </si>
  <si>
    <t>L-carnitine dehydratase/bile acid-inducible protein F</t>
  </si>
  <si>
    <t>ALJ92101.1</t>
  </si>
  <si>
    <t>TO73_2298</t>
  </si>
  <si>
    <t>ALJ92102.1</t>
  </si>
  <si>
    <t>TO73_2418</t>
  </si>
  <si>
    <t>ALJ92103.1</t>
  </si>
  <si>
    <t>TO73_2299</t>
  </si>
  <si>
    <t>aminopeptidase</t>
  </si>
  <si>
    <t>ALJ92104.1</t>
  </si>
  <si>
    <t>TO73_2300</t>
  </si>
  <si>
    <t>ALJ92105.1</t>
  </si>
  <si>
    <t>TO73_2301</t>
  </si>
  <si>
    <t>excinuclease ABC subunit B</t>
  </si>
  <si>
    <t>ALJ92106.1</t>
  </si>
  <si>
    <t>TO73_2302</t>
  </si>
  <si>
    <t>ALJ92107.1</t>
  </si>
  <si>
    <t>TO73_2303</t>
  </si>
  <si>
    <t>glucosamine--fructose-6-phosphate aminotransferase (isomerizing)</t>
  </si>
  <si>
    <t>ALJ92108.1</t>
  </si>
  <si>
    <t>TO73_2304</t>
  </si>
  <si>
    <t>HD-hydrolase domain</t>
  </si>
  <si>
    <t>ALJ92109.1</t>
  </si>
  <si>
    <t>TO73_2305</t>
  </si>
  <si>
    <t>putative membrane associated protein</t>
  </si>
  <si>
    <t>ALJ92110.1</t>
  </si>
  <si>
    <t>TO73_2306</t>
  </si>
  <si>
    <t>ALJ92111.1</t>
  </si>
  <si>
    <t>TO73_2307</t>
  </si>
  <si>
    <t>TO73_2308</t>
  </si>
  <si>
    <t>TO73_2310</t>
  </si>
  <si>
    <t>TO73_2312</t>
  </si>
  <si>
    <t>ALJ92112.1</t>
  </si>
  <si>
    <t>TO73_2314</t>
  </si>
  <si>
    <t>ALJ92113.1</t>
  </si>
  <si>
    <t>TO73_2315</t>
  </si>
  <si>
    <t>methionyl-tRNA formyltransferase</t>
  </si>
  <si>
    <t>ALJ92114.1</t>
  </si>
  <si>
    <t>TO73_2316</t>
  </si>
  <si>
    <t>peptide deformylase</t>
  </si>
  <si>
    <t>ALJ92115.1</t>
  </si>
  <si>
    <t>TO73_2317</t>
  </si>
  <si>
    <t>putative secreted protein associated with spyDAC</t>
  </si>
  <si>
    <t>ALJ92116.1</t>
  </si>
  <si>
    <t>TO73_2318</t>
  </si>
  <si>
    <t>diadenylate cyclase spyDAC / bacterial checkpoint controller DisA with nucleotide-binding domain</t>
  </si>
  <si>
    <t>ALJ92117.1</t>
  </si>
  <si>
    <t>TO73_2319</t>
  </si>
  <si>
    <t>phosphopentomutase</t>
  </si>
  <si>
    <t>ALJ92118.1</t>
  </si>
  <si>
    <t>TO73_2320</t>
  </si>
  <si>
    <t>ALJ92119.1</t>
  </si>
  <si>
    <t>TO73_2321</t>
  </si>
  <si>
    <t>ATPase, AFG1 family</t>
  </si>
  <si>
    <t>ALJ92120.1</t>
  </si>
  <si>
    <t>TO73_2322</t>
  </si>
  <si>
    <t>glutaredoxin</t>
  </si>
  <si>
    <t>ALJ92121.1</t>
  </si>
  <si>
    <t>TO73_2323</t>
  </si>
  <si>
    <t>ALJ92122.1</t>
  </si>
  <si>
    <t>TO73_2324</t>
  </si>
  <si>
    <t>ALJ92123.1</t>
  </si>
  <si>
    <t>TO73_2325</t>
  </si>
  <si>
    <t>ALJ92124.1</t>
  </si>
  <si>
    <t>TO73_2326</t>
  </si>
  <si>
    <t>enoyl-[acyl-carrier-protein] reductase [NADH]</t>
  </si>
  <si>
    <t>ALJ92125.1</t>
  </si>
  <si>
    <t>TO73_2327</t>
  </si>
  <si>
    <t>ALJ92126.1</t>
  </si>
  <si>
    <t>TO73_2328</t>
  </si>
  <si>
    <t>ALJ92127.1</t>
  </si>
  <si>
    <t>TO73_2329</t>
  </si>
  <si>
    <t>ALJ92128.1</t>
  </si>
  <si>
    <t>TO73_2330</t>
  </si>
  <si>
    <t>1-hydroxy-2-methyl-2-(E)-butenyl 4-diphosphate synthase</t>
  </si>
  <si>
    <t>ALJ92129.1</t>
  </si>
  <si>
    <t>TO73_2331</t>
  </si>
  <si>
    <t>tRNA-guanine transglycosylase</t>
  </si>
  <si>
    <t>ALJ92130.1</t>
  </si>
  <si>
    <t>TO73_2332</t>
  </si>
  <si>
    <t>uracil permease</t>
  </si>
  <si>
    <t>ALJ92131.1</t>
  </si>
  <si>
    <t>TO73_2333</t>
  </si>
  <si>
    <t>ALJ92132.1</t>
  </si>
  <si>
    <t>TO73_2334</t>
  </si>
  <si>
    <t>ALJ92133.1</t>
  </si>
  <si>
    <t>TO73_2335</t>
  </si>
  <si>
    <t>LSU ribosomal protein L28p, zinc-independent</t>
  </si>
  <si>
    <t>ALJ92134.1</t>
  </si>
  <si>
    <t>TO73_2336</t>
  </si>
  <si>
    <t>lipoprotein signal peptidase</t>
  </si>
  <si>
    <t>ALJ92135.1</t>
  </si>
  <si>
    <t>TO73_2337</t>
  </si>
  <si>
    <t>biosynthetic Aromatic amino acid aminotransferase alpha / aspartate aminotransferase</t>
  </si>
  <si>
    <t>ALJ92136.1</t>
  </si>
  <si>
    <t>TO73_2338</t>
  </si>
  <si>
    <t>Diacylglycerol kinase-related protein</t>
  </si>
  <si>
    <t>ALJ92137.1</t>
  </si>
  <si>
    <t>TO73_2339</t>
  </si>
  <si>
    <t>phosphoglycerate mutase/fructose-2,6-bisphosphatase</t>
  </si>
  <si>
    <t>ALJ92138.1</t>
  </si>
  <si>
    <t>TO73_2340</t>
  </si>
  <si>
    <t>ALJ92139.1</t>
  </si>
  <si>
    <t>TO73_2341</t>
  </si>
  <si>
    <t>Deacetylase</t>
  </si>
  <si>
    <t>ALJ92140.1</t>
  </si>
  <si>
    <t>TO73_2342</t>
  </si>
  <si>
    <t>tRNA (cytidine(34)-2'-O)-methyltransferase</t>
  </si>
  <si>
    <t>ALJ92141.1</t>
  </si>
  <si>
    <t>TO73_2343</t>
  </si>
  <si>
    <t>ATP-dependent DNA helicase RecG-related protein</t>
  </si>
  <si>
    <t>ALJ92142.1</t>
  </si>
  <si>
    <t>TO73_2344</t>
  </si>
  <si>
    <t>ammonium transporter</t>
  </si>
  <si>
    <t>ALJ92143.1</t>
  </si>
  <si>
    <t>TO73_2345</t>
  </si>
  <si>
    <t>nitrogen regulatory protein P-II</t>
  </si>
  <si>
    <t>ALJ92144.1</t>
  </si>
  <si>
    <t>TO73_2346</t>
  </si>
  <si>
    <t>heat-inducible transcription repressor HrcA</t>
  </si>
  <si>
    <t>ALJ92145.1</t>
  </si>
  <si>
    <t>TO73_2347</t>
  </si>
  <si>
    <t>molybdenum cofactor biosynthesis protein MoaD / molybdenum cofactor biosynthesis protein MoaE</t>
  </si>
  <si>
    <t>ALJ92146.1</t>
  </si>
  <si>
    <t>TO73_2348</t>
  </si>
  <si>
    <t>ALJ92147.1</t>
  </si>
  <si>
    <t>TO73_2349</t>
  </si>
  <si>
    <t>ALJ92148.1</t>
  </si>
  <si>
    <t>TO73_2350</t>
  </si>
  <si>
    <t>ribosomal RNA large subunit methyltransferase N</t>
  </si>
  <si>
    <t>ALJ92149.1</t>
  </si>
  <si>
    <t>TO73_2351</t>
  </si>
  <si>
    <t>ALJ92150.1</t>
  </si>
  <si>
    <t>TO73_2352</t>
  </si>
  <si>
    <t>ALJ92151.1</t>
  </si>
  <si>
    <t>TO73_2353</t>
  </si>
  <si>
    <t>leucyl-tRNA synthetase</t>
  </si>
  <si>
    <t>ALJ92152.1</t>
  </si>
  <si>
    <t>TO73_2354</t>
  </si>
  <si>
    <t>ALJ92153.1</t>
  </si>
  <si>
    <t>TO73_2355</t>
  </si>
  <si>
    <t>ALJ92154.1</t>
  </si>
  <si>
    <t>TO73_2356</t>
  </si>
  <si>
    <t>gamma-glutamyl phosphate reductase</t>
  </si>
  <si>
    <t>ALJ92155.1</t>
  </si>
  <si>
    <t>TO73_2357</t>
  </si>
  <si>
    <t>glutamate 5-kinase / RNA-binding C-terminal domain PUA</t>
  </si>
  <si>
    <t>ALJ92156.1</t>
  </si>
  <si>
    <t>TO73_2358</t>
  </si>
  <si>
    <t>ALJ92157.1</t>
  </si>
  <si>
    <t>TO73_2359</t>
  </si>
  <si>
    <t>TO73_2360</t>
  </si>
  <si>
    <t>ATP:Cob(I)alamin adenosyltransferase</t>
  </si>
  <si>
    <t>ALJ92158.1</t>
  </si>
  <si>
    <t>TO73_2362</t>
  </si>
  <si>
    <t>ALJ92159.1</t>
  </si>
  <si>
    <t>TO73_2363</t>
  </si>
  <si>
    <t>ALJ92160.1</t>
  </si>
  <si>
    <t>TO73_2364</t>
  </si>
  <si>
    <t>sodium ABC transporter, permease protein NatB</t>
  </si>
  <si>
    <t>ALJ92161.1</t>
  </si>
  <si>
    <t>TO73_2365</t>
  </si>
  <si>
    <t>membrane protease family protein BA0301</t>
  </si>
  <si>
    <t>ALJ92162.1</t>
  </si>
  <si>
    <t>TO73_2366</t>
  </si>
  <si>
    <t>ALJ92163.1</t>
  </si>
  <si>
    <t>TO73_2367</t>
  </si>
  <si>
    <t>ALJ92164.1</t>
  </si>
  <si>
    <t>TO73_2368</t>
  </si>
  <si>
    <t>ALJ92165.1</t>
  </si>
  <si>
    <t>TO73_2369</t>
  </si>
  <si>
    <t>hypothetical ATP-binding protein UPF0042, contains P-loop</t>
  </si>
  <si>
    <t>ALJ92166.1</t>
  </si>
  <si>
    <t>TO73_2370</t>
  </si>
  <si>
    <t>ALJ92167.1</t>
  </si>
  <si>
    <t>TO73_2371</t>
  </si>
  <si>
    <t>ALJ92168.1</t>
  </si>
  <si>
    <t>TO73_2372</t>
  </si>
  <si>
    <t>ALJ92169.1</t>
  </si>
  <si>
    <t>TO73_2373</t>
  </si>
  <si>
    <t>alanine racemase</t>
  </si>
  <si>
    <t>ALJ92170.1</t>
  </si>
  <si>
    <t>TO73_2374</t>
  </si>
  <si>
    <t>helicase PriA essential for oriC/DnaA-independent DNA replication</t>
  </si>
  <si>
    <t>ALJ92171.1</t>
  </si>
  <si>
    <t>TO73_2375</t>
  </si>
  <si>
    <t>multidrug resistance protein, putative</t>
  </si>
  <si>
    <t>ALJ92172.1</t>
  </si>
  <si>
    <t>TO73_2376</t>
  </si>
  <si>
    <t>putative glycolate oxidase subunit E</t>
  </si>
  <si>
    <t>ALJ92173.1</t>
  </si>
  <si>
    <t>TO73_2377</t>
  </si>
  <si>
    <t>phenylalanyl-tRNA synthetase alpha chain</t>
  </si>
  <si>
    <t>ALJ92174.1</t>
  </si>
  <si>
    <t>TO73_2378</t>
  </si>
  <si>
    <t>phenylalanyl-tRNA synthetase beta chain</t>
  </si>
  <si>
    <t>ALJ92175.1</t>
  </si>
  <si>
    <t>TO73_2379</t>
  </si>
  <si>
    <t>ALJ92176.1</t>
  </si>
  <si>
    <t>TO73_2380</t>
  </si>
  <si>
    <t>6-phosphofructokinase</t>
  </si>
  <si>
    <t>ALJ92177.1</t>
  </si>
  <si>
    <t>TO73_2381</t>
  </si>
  <si>
    <t>rRNA small subunit methyltransferase I</t>
  </si>
  <si>
    <t>ALJ92178.1</t>
  </si>
  <si>
    <t>TO73_2382</t>
  </si>
  <si>
    <t>ALJ92179.1</t>
  </si>
  <si>
    <t>TO73_2383</t>
  </si>
  <si>
    <t>inorganic pyrophosphatase</t>
  </si>
  <si>
    <t>ALJ92180.1</t>
  </si>
  <si>
    <t>TO73_2384</t>
  </si>
  <si>
    <t>glycerophosphoryl diester phosphodiesterase</t>
  </si>
  <si>
    <t>ALJ92181.1</t>
  </si>
  <si>
    <t>TO73_2385</t>
  </si>
  <si>
    <t>ALJ92182.1</t>
  </si>
  <si>
    <t>TO73_2386</t>
  </si>
  <si>
    <t>competence protein/ComEA-related protein</t>
  </si>
  <si>
    <t>ALJ92183.1</t>
  </si>
  <si>
    <t>TO73_2387</t>
  </si>
  <si>
    <t>late competence protein ComEC, DNA transport</t>
  </si>
  <si>
    <t>ALJ92184.1</t>
  </si>
  <si>
    <t>TO73_2388</t>
  </si>
  <si>
    <t>chromosome (plasmid) partitioning protein ParB</t>
  </si>
  <si>
    <t>ALJ92185.1</t>
  </si>
  <si>
    <t>TO73_2389</t>
  </si>
  <si>
    <t>chromosome (plasmid) partitioning protein ParA</t>
  </si>
  <si>
    <t>ALJ92186.1</t>
  </si>
  <si>
    <t>TO73_2390</t>
  </si>
  <si>
    <t>rRNA small subunit 7-methylguanosine (m7G) methyltransferase GidB</t>
  </si>
  <si>
    <t>ALJ92187.1</t>
  </si>
  <si>
    <t>TO73_2391</t>
  </si>
  <si>
    <t>tRNA uridine 5-carboxymethylaminomethyl modification enzyme GidA</t>
  </si>
  <si>
    <t>ALJ92188.1</t>
  </si>
  <si>
    <t>TO73_2392</t>
  </si>
  <si>
    <t>CP010823.1</t>
  </si>
  <si>
    <t>pTA14</t>
  </si>
  <si>
    <t>ALJ92189.1</t>
  </si>
  <si>
    <t>TO73_2601</t>
  </si>
  <si>
    <t>ALJ92190.1</t>
  </si>
  <si>
    <t>TO73_2602</t>
  </si>
  <si>
    <t>ALJ92191.1</t>
  </si>
  <si>
    <t>TO73_2603</t>
  </si>
  <si>
    <t>ALJ92192.1</t>
  </si>
  <si>
    <t>TO73_2604</t>
  </si>
  <si>
    <t>ALJ92193.1</t>
  </si>
  <si>
    <t>TO73_2605</t>
  </si>
  <si>
    <t>peptide modification radical SAM enzyme, YydG family</t>
  </si>
  <si>
    <t>ALJ92194.1</t>
  </si>
  <si>
    <t>TO73_2606</t>
  </si>
  <si>
    <t>ALJ92195.1</t>
  </si>
  <si>
    <t>TO73_2607</t>
  </si>
  <si>
    <t>putative methyltransferase</t>
  </si>
  <si>
    <t>ALJ92196.1</t>
  </si>
  <si>
    <t>TO73_2608</t>
  </si>
  <si>
    <t>putative beta-lactamase</t>
  </si>
  <si>
    <t>ALJ92197.1</t>
  </si>
  <si>
    <t>TO73_2609</t>
  </si>
  <si>
    <t>ALJ92198.1</t>
  </si>
  <si>
    <t>TO73_2610</t>
  </si>
  <si>
    <t>ALJ92199.1</t>
  </si>
  <si>
    <t>TO73_2611</t>
  </si>
  <si>
    <t>ALJ92200.1</t>
  </si>
  <si>
    <t>TO73_2612</t>
  </si>
  <si>
    <t>ALJ92201.1</t>
  </si>
  <si>
    <t>TO73_2613</t>
  </si>
  <si>
    <t>ALJ92202.1</t>
  </si>
  <si>
    <t>TO73_2614</t>
  </si>
  <si>
    <t>ALJ92203.1</t>
  </si>
  <si>
    <t>TO73_2615</t>
  </si>
  <si>
    <t>ALJ92204.1</t>
  </si>
  <si>
    <t>TO73_2616</t>
  </si>
  <si>
    <t>primase 1 - replicase family</t>
  </si>
  <si>
    <t>ALJ92205.1</t>
  </si>
  <si>
    <t>TO73_2617</t>
  </si>
  <si>
    <t>ALJ92206.1</t>
  </si>
  <si>
    <t>TO73_2618</t>
  </si>
  <si>
    <t>ALJ92207.1</t>
  </si>
  <si>
    <t>TO73_2619</t>
  </si>
  <si>
    <t>ALJ92208.1</t>
  </si>
  <si>
    <t>TO73_2620</t>
  </si>
  <si>
    <t>ALJ92209.1</t>
  </si>
  <si>
    <t>TO73_2621</t>
  </si>
  <si>
    <t>CP010824.1</t>
  </si>
  <si>
    <t>pTA16</t>
  </si>
  <si>
    <t>ALJ92210.1</t>
  </si>
  <si>
    <t>TO73_2501</t>
  </si>
  <si>
    <t>Asr2172 protein</t>
  </si>
  <si>
    <t>ALJ92211.1</t>
  </si>
  <si>
    <t>TO73_2502</t>
  </si>
  <si>
    <t>ALJ92212.1</t>
  </si>
  <si>
    <t>TO73_2503</t>
  </si>
  <si>
    <t>ALJ92213.1</t>
  </si>
  <si>
    <t>TO73_2504</t>
  </si>
  <si>
    <t>peptidase C39 bacteriocin processing</t>
  </si>
  <si>
    <t>ALJ92214.1</t>
  </si>
  <si>
    <t>TO73_2505</t>
  </si>
  <si>
    <t>mobile element protein - transposase DDE domain-like protein</t>
  </si>
  <si>
    <t>ALJ92215.1</t>
  </si>
  <si>
    <t>TO73_2506</t>
  </si>
  <si>
    <t>putative protein-transposase</t>
  </si>
  <si>
    <t>ALJ92216.1</t>
  </si>
  <si>
    <t>TO73_2507</t>
  </si>
  <si>
    <t>ALJ92217.1</t>
  </si>
  <si>
    <t>TO73_2508</t>
  </si>
  <si>
    <t>ALJ92218.1</t>
  </si>
  <si>
    <t>TO73_2509</t>
  </si>
  <si>
    <t>mobile element protein - Integrase core domain</t>
  </si>
  <si>
    <t>ALJ92219.1</t>
  </si>
  <si>
    <t>TO73_2510</t>
  </si>
  <si>
    <t>ALJ92220.1</t>
  </si>
  <si>
    <t>TO73_2511</t>
  </si>
  <si>
    <t>ALJ92221.1</t>
  </si>
  <si>
    <t>TO73_2512</t>
  </si>
  <si>
    <t>plasmid replication region DNA-binding protein</t>
  </si>
  <si>
    <t>ALJ92222.1</t>
  </si>
  <si>
    <t>TO73_2513</t>
  </si>
  <si>
    <t>ALJ92223.1</t>
  </si>
  <si>
    <t>TO73_2514</t>
  </si>
  <si>
    <t>ALJ92224.1</t>
  </si>
  <si>
    <t>TO73_2515</t>
  </si>
  <si>
    <t>ALJ92225.1</t>
  </si>
  <si>
    <t>TO73_2516</t>
  </si>
  <si>
    <t>ALJ92226.1</t>
  </si>
  <si>
    <t>TO73_2517</t>
  </si>
  <si>
    <t>ALJ92227.1</t>
  </si>
  <si>
    <t>TO73_2518</t>
  </si>
  <si>
    <t>ALJ92228.1</t>
  </si>
  <si>
    <t>TO73_2519</t>
  </si>
  <si>
    <t>ALJ92229.1</t>
  </si>
  <si>
    <t>TO73_2520</t>
  </si>
  <si>
    <t>CP010825.1</t>
  </si>
  <si>
    <t>pTA69</t>
  </si>
  <si>
    <t>ALJ92230.1</t>
  </si>
  <si>
    <t>TO73_2701</t>
  </si>
  <si>
    <t>ALJ92231.1</t>
  </si>
  <si>
    <t>TO73_2702</t>
  </si>
  <si>
    <t>peptidase, membrane zinc metallopeptidase</t>
  </si>
  <si>
    <t>ALJ92232.1</t>
  </si>
  <si>
    <t>TO73_2703</t>
  </si>
  <si>
    <t>ALJ92233.1</t>
  </si>
  <si>
    <t>TO73_2704</t>
  </si>
  <si>
    <t>ALJ92234.1</t>
  </si>
  <si>
    <t>TO73_2705</t>
  </si>
  <si>
    <t>ALJ92235.1</t>
  </si>
  <si>
    <t>TO73_2706</t>
  </si>
  <si>
    <t>chromosome partition protein smc - prefoldin, chaperonin cofactor</t>
  </si>
  <si>
    <t>ALJ92236.1</t>
  </si>
  <si>
    <t>TO73_2707</t>
  </si>
  <si>
    <t>ALJ92237.1</t>
  </si>
  <si>
    <t>TO73_2708</t>
  </si>
  <si>
    <t>ALJ92238.1</t>
  </si>
  <si>
    <t>TO73_2709</t>
  </si>
  <si>
    <t>ALJ92239.1</t>
  </si>
  <si>
    <t>TO73_2710</t>
  </si>
  <si>
    <t>putative regulatory protein</t>
  </si>
  <si>
    <t>ALJ92240.1</t>
  </si>
  <si>
    <t>TO73_2711</t>
  </si>
  <si>
    <t>ALJ92241.1</t>
  </si>
  <si>
    <t>TO73_2712</t>
  </si>
  <si>
    <t>lytic transglycosylase, catalytic</t>
  </si>
  <si>
    <t>ALJ92242.1</t>
  </si>
  <si>
    <t>TO73_2713</t>
  </si>
  <si>
    <t>ALJ92243.1</t>
  </si>
  <si>
    <t>TO73_2714</t>
  </si>
  <si>
    <t>ALJ92244.1</t>
  </si>
  <si>
    <t>TO73_2715</t>
  </si>
  <si>
    <t>type IV secretory pathway putative VirD4 protein - membrane protein</t>
  </si>
  <si>
    <t>ALJ92245.1</t>
  </si>
  <si>
    <t>TO73_2716</t>
  </si>
  <si>
    <t>ALJ92246.1</t>
  </si>
  <si>
    <t>TO73_2717</t>
  </si>
  <si>
    <t>ALJ92247.1</t>
  </si>
  <si>
    <t>TO73_2718</t>
  </si>
  <si>
    <t>ALJ92248.1</t>
  </si>
  <si>
    <t>TO73_2719</t>
  </si>
  <si>
    <t>conjugative transfer protein TrsE-like, ATPase</t>
  </si>
  <si>
    <t>ALJ92249.1</t>
  </si>
  <si>
    <t>TO73_2720</t>
  </si>
  <si>
    <t>ALJ92250.1</t>
  </si>
  <si>
    <t>TO73_2721</t>
  </si>
  <si>
    <t>ALJ92251.1</t>
  </si>
  <si>
    <t>TO73_2722</t>
  </si>
  <si>
    <t>ALJ92252.1</t>
  </si>
  <si>
    <t>TO73_2723</t>
  </si>
  <si>
    <t>ALJ92253.1</t>
  </si>
  <si>
    <t>TO73_2724</t>
  </si>
  <si>
    <t>mobile element protein -transposase</t>
  </si>
  <si>
    <t>ALJ92254.1</t>
  </si>
  <si>
    <t>TO73_2725</t>
  </si>
  <si>
    <t>ALJ92255.1</t>
  </si>
  <si>
    <t>TO73_2726</t>
  </si>
  <si>
    <t>ALJ92256.1</t>
  </si>
  <si>
    <t>TO73_2727</t>
  </si>
  <si>
    <t>ALJ92257.1</t>
  </si>
  <si>
    <t>TO73_2728</t>
  </si>
  <si>
    <t>ALJ92258.1</t>
  </si>
  <si>
    <t>TO73_2729</t>
  </si>
  <si>
    <t>ALJ92259.1</t>
  </si>
  <si>
    <t>TO73_2730</t>
  </si>
  <si>
    <t>ALJ92260.1</t>
  </si>
  <si>
    <t>TO73_2731</t>
  </si>
  <si>
    <t>DNA primase/helicase, phage-associated</t>
  </si>
  <si>
    <t>ALJ92261.1</t>
  </si>
  <si>
    <t>TO73_2732</t>
  </si>
  <si>
    <t>ALJ92262.1</t>
  </si>
  <si>
    <t>TO73_2733</t>
  </si>
  <si>
    <t>ALJ92263.1</t>
  </si>
  <si>
    <t>TO73_2734</t>
  </si>
  <si>
    <t>ALJ92264.1</t>
  </si>
  <si>
    <t>TO73_2735</t>
  </si>
  <si>
    <t>ALJ92265.1</t>
  </si>
  <si>
    <t>TO73_2736</t>
  </si>
  <si>
    <t>ALJ92266.1</t>
  </si>
  <si>
    <t>TO73_2737</t>
  </si>
  <si>
    <t>ALJ92267.1</t>
  </si>
  <si>
    <t>TO73_2738</t>
  </si>
  <si>
    <t>ALJ92268.1</t>
  </si>
  <si>
    <t>TO73_2739</t>
  </si>
  <si>
    <t>ALJ92269.1</t>
  </si>
  <si>
    <t>TO73_2740</t>
  </si>
  <si>
    <t>micrococcal nuclease</t>
  </si>
  <si>
    <t>ALJ92270.1</t>
  </si>
  <si>
    <t>TO73_2741</t>
  </si>
  <si>
    <t>modification methylase BstVI</t>
  </si>
  <si>
    <t>ALJ92271.1</t>
  </si>
  <si>
    <t>TO73_2742</t>
  </si>
  <si>
    <t>ALJ92272.1</t>
  </si>
  <si>
    <t>TO73_2743</t>
  </si>
  <si>
    <t>ALJ92273.1</t>
  </si>
  <si>
    <t>TO73_2744</t>
  </si>
  <si>
    <t>ALJ92274.1</t>
  </si>
  <si>
    <t>TO73_2745</t>
  </si>
  <si>
    <t>subtilisin-like serine protease</t>
  </si>
  <si>
    <t>ALJ92275.1</t>
  </si>
  <si>
    <t>TO73_2746</t>
  </si>
  <si>
    <t>ALJ92276.1</t>
  </si>
  <si>
    <t>TO73_2747</t>
  </si>
  <si>
    <t>ALJ92277.1</t>
  </si>
  <si>
    <t>TO73_2748</t>
  </si>
  <si>
    <t>ALJ92278.1</t>
  </si>
  <si>
    <t>TO73_2749</t>
  </si>
  <si>
    <t>ALJ92279.1</t>
  </si>
  <si>
    <t>TO73_2750</t>
  </si>
  <si>
    <t>ALJ92280.1</t>
  </si>
  <si>
    <t>TO73_2751</t>
  </si>
  <si>
    <t>ALJ92281.1</t>
  </si>
  <si>
    <t>TO73_2752</t>
  </si>
  <si>
    <t>ALJ92282.1</t>
  </si>
  <si>
    <t>TO73_2753</t>
  </si>
  <si>
    <t>ALJ92283.1</t>
  </si>
  <si>
    <t>TO73_2754</t>
  </si>
  <si>
    <t>ALJ92284.1</t>
  </si>
  <si>
    <t>TO73_2755</t>
  </si>
  <si>
    <t>ALJ92285.1</t>
  </si>
  <si>
    <t>TO73_2756</t>
  </si>
  <si>
    <t>ALJ92286.1</t>
  </si>
  <si>
    <t>TO73_2757</t>
  </si>
  <si>
    <t>ALJ92287.1</t>
  </si>
  <si>
    <t>TO73_2758</t>
  </si>
  <si>
    <t>ALJ92288.1</t>
  </si>
  <si>
    <t>TO73_2759</t>
  </si>
  <si>
    <t>ALJ92289.1</t>
  </si>
  <si>
    <t>TO73_2760</t>
  </si>
  <si>
    <t>ALJ92290.1</t>
  </si>
  <si>
    <t>TO73_2761</t>
  </si>
  <si>
    <t>Rad52/22 family double-strand break repair protein</t>
  </si>
  <si>
    <t>ALJ92291.1</t>
  </si>
  <si>
    <t>TO73_2762</t>
  </si>
  <si>
    <t>ALJ92292.1</t>
  </si>
  <si>
    <t>TO73_2763</t>
  </si>
  <si>
    <t>ALJ92293.1</t>
  </si>
  <si>
    <t>TO73_2764</t>
  </si>
  <si>
    <t>ALJ92294.1</t>
  </si>
  <si>
    <t>TO73_2765</t>
  </si>
  <si>
    <t>ALJ92295.1</t>
  </si>
  <si>
    <t>TO73_2766</t>
  </si>
  <si>
    <t>ALJ92296.1</t>
  </si>
  <si>
    <t>TO73_2767</t>
  </si>
  <si>
    <t>ALJ92297.1</t>
  </si>
  <si>
    <t>TO73_2768</t>
  </si>
  <si>
    <t>ALJ92298.1</t>
  </si>
  <si>
    <t>TO73_2769</t>
  </si>
  <si>
    <t>ALJ92299.1</t>
  </si>
  <si>
    <t>TO73_2770</t>
  </si>
  <si>
    <t>ALJ92300.1</t>
  </si>
  <si>
    <t>TO73_2771</t>
  </si>
  <si>
    <t>ALJ92301.1</t>
  </si>
  <si>
    <t>TO73_2772</t>
  </si>
  <si>
    <t>ALJ92302.1</t>
  </si>
  <si>
    <t>TO73_2773</t>
  </si>
  <si>
    <t>ALJ92303.1</t>
  </si>
  <si>
    <t>TO73_2774</t>
  </si>
  <si>
    <t>superfamily II DNA/RNA helicase, SNF2 family</t>
  </si>
  <si>
    <t>ALJ92304.1</t>
  </si>
  <si>
    <t>TO73_2775</t>
  </si>
  <si>
    <t>ALJ92305.1</t>
  </si>
  <si>
    <t>TO73_2776</t>
  </si>
  <si>
    <t>ALJ92306.1</t>
  </si>
  <si>
    <t>TO73_2777</t>
  </si>
  <si>
    <t>ALJ92307.1</t>
  </si>
  <si>
    <t>TO73_2778</t>
  </si>
  <si>
    <t>ALJ92308.1</t>
  </si>
  <si>
    <t>TO73_2779</t>
  </si>
  <si>
    <t>ALJ92309.1</t>
  </si>
  <si>
    <t>TO73_2780</t>
  </si>
  <si>
    <t>ALJ92310.1</t>
  </si>
  <si>
    <t>TO73_2781</t>
  </si>
  <si>
    <t>ALJ92311.1</t>
  </si>
  <si>
    <t>TO73_2782</t>
  </si>
  <si>
    <t>ALJ92312.1</t>
  </si>
  <si>
    <t>TO73_2783</t>
  </si>
  <si>
    <t>ALJ92313.1</t>
  </si>
  <si>
    <t>TO73_2784</t>
  </si>
  <si>
    <t>ALJ92314.1</t>
  </si>
  <si>
    <t>TO73_2785</t>
  </si>
  <si>
    <t>ALJ92315.1</t>
  </si>
  <si>
    <t>TO73_2786</t>
  </si>
  <si>
    <t>ALJ92316.1</t>
  </si>
  <si>
    <t>TO73_2787</t>
  </si>
  <si>
    <t>ALJ92317.1</t>
  </si>
  <si>
    <t>TO73_2788</t>
  </si>
  <si>
    <t>ALJ92318.1</t>
  </si>
  <si>
    <t>TO73_2789</t>
  </si>
  <si>
    <t>ALJ92319.1</t>
  </si>
  <si>
    <t>TO73_2790</t>
  </si>
  <si>
    <t>RNA polymerase sigma-70 factor</t>
  </si>
  <si>
    <t>ALJ92320.1</t>
  </si>
  <si>
    <t>TO73_2791</t>
  </si>
  <si>
    <t>ALJ92321.1</t>
  </si>
  <si>
    <t>TO73_2792</t>
  </si>
  <si>
    <t>CP010826.1</t>
  </si>
  <si>
    <t>pTA78</t>
  </si>
  <si>
    <t>helicase, C-terminal:type III restriction enzyme, res subunit:DEAD/DEAH box helicase, N-terminal</t>
  </si>
  <si>
    <t>ALJ92322.1</t>
  </si>
  <si>
    <t>TO73_2801</t>
  </si>
  <si>
    <t>ALJ92323.1</t>
  </si>
  <si>
    <t>TO73_2802</t>
  </si>
  <si>
    <t>ALJ92324.1</t>
  </si>
  <si>
    <t>TO73_2803</t>
  </si>
  <si>
    <t>ALJ92325.1</t>
  </si>
  <si>
    <t>TO73_2804</t>
  </si>
  <si>
    <t>ALJ92326.1</t>
  </si>
  <si>
    <t>TO73_2805</t>
  </si>
  <si>
    <t>ALJ92327.1</t>
  </si>
  <si>
    <t>TO73_2806</t>
  </si>
  <si>
    <t>ALJ92328.1</t>
  </si>
  <si>
    <t>TO73_2807</t>
  </si>
  <si>
    <t>ALJ92329.1</t>
  </si>
  <si>
    <t>TO73_2808</t>
  </si>
  <si>
    <t>ALJ92330.1</t>
  </si>
  <si>
    <t>TO73_2809</t>
  </si>
  <si>
    <t>ALJ92331.1</t>
  </si>
  <si>
    <t>TO73_2810</t>
  </si>
  <si>
    <t>ALJ92332.1</t>
  </si>
  <si>
    <t>TO73_2811</t>
  </si>
  <si>
    <t>ALJ92333.1</t>
  </si>
  <si>
    <t>TO73_2812</t>
  </si>
  <si>
    <t>ALJ92334.1</t>
  </si>
  <si>
    <t>TO73_2813</t>
  </si>
  <si>
    <t>ALJ92335.1</t>
  </si>
  <si>
    <t>TO73_2814</t>
  </si>
  <si>
    <t>plasmid stability protein StbB</t>
  </si>
  <si>
    <t>ALJ92336.1</t>
  </si>
  <si>
    <t>TO73_2815</t>
  </si>
  <si>
    <t>Mobile element protein</t>
  </si>
  <si>
    <t>ALJ92337.1</t>
  </si>
  <si>
    <t>TO73_2816</t>
  </si>
  <si>
    <t>ATP-dependent DNA helicase RecQ</t>
  </si>
  <si>
    <t>ALJ92338.1</t>
  </si>
  <si>
    <t>TO73_2817</t>
  </si>
  <si>
    <t>ALJ92339.1</t>
  </si>
  <si>
    <t>TO73_2818</t>
  </si>
  <si>
    <t>ALJ92340.1</t>
  </si>
  <si>
    <t>TO73_2819</t>
  </si>
  <si>
    <t>ALJ92341.1</t>
  </si>
  <si>
    <t>TO73_2820</t>
  </si>
  <si>
    <t>ALJ92342.1</t>
  </si>
  <si>
    <t>TO73_2821</t>
  </si>
  <si>
    <t>ALJ92343.1</t>
  </si>
  <si>
    <t>TO73_2822</t>
  </si>
  <si>
    <t>putative exported protein</t>
  </si>
  <si>
    <t>ALJ92344.1</t>
  </si>
  <si>
    <t>TO73_2823</t>
  </si>
  <si>
    <t>ALJ92345.1</t>
  </si>
  <si>
    <t>TO73_2824</t>
  </si>
  <si>
    <t>ALJ92346.1</t>
  </si>
  <si>
    <t>TO73_2825</t>
  </si>
  <si>
    <t>ALJ92347.1</t>
  </si>
  <si>
    <t>TO73_2826</t>
  </si>
  <si>
    <t>ALJ92348.1</t>
  </si>
  <si>
    <t>TO73_2827</t>
  </si>
  <si>
    <t>heme ABC transporter, permease protein HmuU</t>
  </si>
  <si>
    <t>ALJ92349.1</t>
  </si>
  <si>
    <t>TO73_2828</t>
  </si>
  <si>
    <t>ALJ92350.1</t>
  </si>
  <si>
    <t>TO73_2829</t>
  </si>
  <si>
    <t>ALJ92351.1</t>
  </si>
  <si>
    <t>TO73_2830</t>
  </si>
  <si>
    <t>heme-degrading oxygenase, IsdG-like</t>
  </si>
  <si>
    <t>ALJ92352.1</t>
  </si>
  <si>
    <t>TO73_2831</t>
  </si>
  <si>
    <t>putative ABC transporter (substrate-binding protein)</t>
  </si>
  <si>
    <t>ALJ92353.1</t>
  </si>
  <si>
    <t>TO73_2832</t>
  </si>
  <si>
    <t>ALJ92354.1</t>
  </si>
  <si>
    <t>TO73_2833</t>
  </si>
  <si>
    <t>ribonucleotide reductase of class Ia (aerobic), beta subunit</t>
  </si>
  <si>
    <t>ALJ92355.1</t>
  </si>
  <si>
    <t>TO73_2834</t>
  </si>
  <si>
    <t>ribonucleotide reductase of class Ia (aerobic), alpha subunit</t>
  </si>
  <si>
    <t>ALJ92356.1</t>
  </si>
  <si>
    <t>TO73_2835</t>
  </si>
  <si>
    <t>ORF182-like protein</t>
  </si>
  <si>
    <t>ALJ92357.1</t>
  </si>
  <si>
    <t>TO73_2836</t>
  </si>
  <si>
    <t>ALJ92358.1</t>
  </si>
  <si>
    <t>TO73_2837</t>
  </si>
  <si>
    <t>ALJ92359.1</t>
  </si>
  <si>
    <t>TO73_2838</t>
  </si>
  <si>
    <t>ALJ92360.1</t>
  </si>
  <si>
    <t>TO73_2839</t>
  </si>
  <si>
    <t>ALJ92361.1</t>
  </si>
  <si>
    <t>TO73_2840</t>
  </si>
  <si>
    <t>ALJ92362.1</t>
  </si>
  <si>
    <t>TO73_2841</t>
  </si>
  <si>
    <t>ALJ92363.1</t>
  </si>
  <si>
    <t>TO73_2842</t>
  </si>
  <si>
    <t>ALJ92364.1</t>
  </si>
  <si>
    <t>TO73_2843</t>
  </si>
  <si>
    <t>ALJ92365.1</t>
  </si>
  <si>
    <t>TO73_2844</t>
  </si>
  <si>
    <t>death on curing protein, Doc toxin</t>
  </si>
  <si>
    <t>ALJ92366.1</t>
  </si>
  <si>
    <t>TO73_2845</t>
  </si>
  <si>
    <t>ALJ92367.1</t>
  </si>
  <si>
    <t>TO73_2846</t>
  </si>
  <si>
    <t>ALJ92368.1</t>
  </si>
  <si>
    <t>TO73_2847</t>
  </si>
  <si>
    <t>ALJ92369.1</t>
  </si>
  <si>
    <t>TO73_2848</t>
  </si>
  <si>
    <t>ALJ92370.1</t>
  </si>
  <si>
    <t>TO73_2849</t>
  </si>
  <si>
    <t>ALJ92371.1</t>
  </si>
  <si>
    <t>TO73_2850</t>
  </si>
  <si>
    <t>ALJ92372.1</t>
  </si>
  <si>
    <t>TO73_2851</t>
  </si>
  <si>
    <t>ALJ92373.1</t>
  </si>
  <si>
    <t>TO73_2852</t>
  </si>
  <si>
    <t>ALJ92374.1</t>
  </si>
  <si>
    <t>TO73_2853</t>
  </si>
  <si>
    <t>ALJ92375.1</t>
  </si>
  <si>
    <t>TO73_2854</t>
  </si>
  <si>
    <t>ALJ92376.1</t>
  </si>
  <si>
    <t>TO73_2855</t>
  </si>
  <si>
    <t>ALJ92377.1</t>
  </si>
  <si>
    <t>TO73_2856</t>
  </si>
  <si>
    <t>ALJ92378.1</t>
  </si>
  <si>
    <t>TO73_2857</t>
  </si>
  <si>
    <t>ALJ92379.1</t>
  </si>
  <si>
    <t>TO73_2858</t>
  </si>
  <si>
    <t>ALJ92380.1</t>
  </si>
  <si>
    <t>TO73_2859</t>
  </si>
  <si>
    <t>ALJ92381.1</t>
  </si>
  <si>
    <t>TO73_2860</t>
  </si>
  <si>
    <t>ALJ92382.1</t>
  </si>
  <si>
    <t>TO73_2861</t>
  </si>
  <si>
    <t>ALJ92383.1</t>
  </si>
  <si>
    <t>TO73_2862</t>
  </si>
  <si>
    <t>ALJ92384.1</t>
  </si>
  <si>
    <t>TO73_2863</t>
  </si>
  <si>
    <t>ALJ92385.1</t>
  </si>
  <si>
    <t>TO73_2864</t>
  </si>
  <si>
    <t>ALJ92386.1</t>
  </si>
  <si>
    <t>TO73_2865</t>
  </si>
  <si>
    <t>ALJ92387.1</t>
  </si>
  <si>
    <t>TO73_2866</t>
  </si>
  <si>
    <t>AbiD phage protein-like</t>
  </si>
  <si>
    <t>ALJ92388.1</t>
  </si>
  <si>
    <t>TO73_2867</t>
  </si>
  <si>
    <t>ALJ92389.1</t>
  </si>
  <si>
    <t>TO73_2868</t>
  </si>
  <si>
    <t>ALJ92390.1</t>
  </si>
  <si>
    <t>TO73_2869</t>
  </si>
  <si>
    <t>ALJ92391.1</t>
  </si>
  <si>
    <t>TO73_2870</t>
  </si>
  <si>
    <t>ALJ92392.1</t>
  </si>
  <si>
    <t>TO73_2871</t>
  </si>
  <si>
    <t>ALJ92393.1</t>
  </si>
  <si>
    <t>TO73_2872</t>
  </si>
  <si>
    <t>ALJ92394.1</t>
  </si>
  <si>
    <t>TO73_2873</t>
  </si>
  <si>
    <t>soi-like protein - ATPase involved in chromosome partitioning, ParA</t>
  </si>
  <si>
    <t>ALJ92395.1</t>
  </si>
  <si>
    <t>TO73_2874</t>
  </si>
  <si>
    <t>ALJ92396.1</t>
  </si>
  <si>
    <t>TO73_2875</t>
  </si>
  <si>
    <t>ALJ92397.1</t>
  </si>
  <si>
    <t>TO73_2876</t>
  </si>
  <si>
    <t>putative restriction /modification enzyme</t>
  </si>
  <si>
    <t>ALJ92398.1</t>
  </si>
  <si>
    <t>TO73_2877</t>
  </si>
  <si>
    <t>ALJ92399.1</t>
  </si>
  <si>
    <t>TO73_2878</t>
  </si>
  <si>
    <t>2.7.7.7</t>
  </si>
  <si>
    <t>4.2.1.11</t>
  </si>
  <si>
    <t>2.7.1.40</t>
  </si>
  <si>
    <t>2.2.1.7</t>
  </si>
  <si>
    <t>2.5.1.47</t>
  </si>
  <si>
    <t>5.2.1.8</t>
  </si>
  <si>
    <t>3.1.3.5</t>
  </si>
  <si>
    <t>4.6.1.12</t>
  </si>
  <si>
    <t>5.4.2.2</t>
  </si>
  <si>
    <t>1.1.1.205</t>
  </si>
  <si>
    <t>6.3.3.1</t>
  </si>
  <si>
    <t>6.3.5.6</t>
  </si>
  <si>
    <t>2.5.1.78</t>
  </si>
  <si>
    <t>3.1.3.15</t>
  </si>
  <si>
    <t>3.5.1.19</t>
  </si>
  <si>
    <t>1.5.1.20</t>
  </si>
  <si>
    <t>1.3.8.1</t>
  </si>
  <si>
    <t>2.5.1.31</t>
  </si>
  <si>
    <t>2.3.3.14</t>
  </si>
  <si>
    <t>4.2.1.36</t>
  </si>
  <si>
    <t>1.2.1.-</t>
  </si>
  <si>
    <t>2.7.2.-</t>
  </si>
  <si>
    <t>2.4.1.18</t>
  </si>
  <si>
    <t>6.3.1.5</t>
  </si>
  <si>
    <t>3.2.2.-</t>
  </si>
  <si>
    <t>2.1.1.-</t>
  </si>
  <si>
    <t>3.4.17.19</t>
  </si>
  <si>
    <t>3.2.1.4</t>
  </si>
  <si>
    <t>4.2.3.3</t>
  </si>
  <si>
    <t>1.13.12.4</t>
  </si>
  <si>
    <t>1.8.1.4</t>
  </si>
  <si>
    <t>2.3.1.168</t>
  </si>
  <si>
    <t>1.2.4.4</t>
  </si>
  <si>
    <t>6.3.4.9</t>
  </si>
  <si>
    <t>2.7.7.24</t>
  </si>
  <si>
    <t>2.7.6.5</t>
  </si>
  <si>
    <t>4.2.1.17</t>
  </si>
  <si>
    <t>1.2.4.2</t>
  </si>
  <si>
    <t>2.3.1.61</t>
  </si>
  <si>
    <t>6.3.4.5</t>
  </si>
  <si>
    <t>4.3.2.1</t>
  </si>
  <si>
    <t>2.3.1.1</t>
  </si>
  <si>
    <t>6.3.5.5</t>
  </si>
  <si>
    <t>6.3.4.3</t>
  </si>
  <si>
    <t>4.3.1.19</t>
  </si>
  <si>
    <t>3.4.21.89</t>
  </si>
  <si>
    <t>3.1.22.-</t>
  </si>
  <si>
    <t>2.7.7.18</t>
  </si>
  <si>
    <t>6.3.2.1</t>
  </si>
  <si>
    <t>4.1.2.13</t>
  </si>
  <si>
    <t>2.4.2.2</t>
  </si>
  <si>
    <t>6.4.1.2</t>
  </si>
  <si>
    <t>2.6.1.51</t>
  </si>
  <si>
    <t>3.6.1.27</t>
  </si>
  <si>
    <t>2.7.7.60</t>
  </si>
  <si>
    <t>2.7.1.148</t>
  </si>
  <si>
    <t>3.5.99.2</t>
  </si>
  <si>
    <t>3.4.15.6</t>
  </si>
  <si>
    <t>1.2.7.-</t>
  </si>
  <si>
    <t>3.5.1.-</t>
  </si>
  <si>
    <t>2.6.1.-</t>
  </si>
  <si>
    <t>2.7.7.22</t>
  </si>
  <si>
    <t>2.7.6.3</t>
  </si>
  <si>
    <t>2.7.7.8</t>
  </si>
  <si>
    <t>4.1.1.23</t>
  </si>
  <si>
    <t>2.4.2.10</t>
  </si>
  <si>
    <t>1.1.1.94</t>
  </si>
  <si>
    <t>3.1.1.24</t>
  </si>
  <si>
    <t>2.8.1.7</t>
  </si>
  <si>
    <t>3.6.3.3</t>
  </si>
  <si>
    <t>4.1.3.1</t>
  </si>
  <si>
    <t>6.1.1.7</t>
  </si>
  <si>
    <t>5.5.1.1</t>
  </si>
  <si>
    <t>4.2.1.59</t>
  </si>
  <si>
    <t>2.7.7.6</t>
  </si>
  <si>
    <t>3.2.2.23</t>
  </si>
  <si>
    <t>3.1.2.20</t>
  </si>
  <si>
    <t>4.2.1.96</t>
  </si>
  <si>
    <t>1.1.2.4</t>
  </si>
  <si>
    <t>3.5.1.11</t>
  </si>
  <si>
    <t>3.4.21.53</t>
  </si>
  <si>
    <t>2.7.7.27</t>
  </si>
  <si>
    <t>2.4.1.21</t>
  </si>
  <si>
    <t>2.5.1.90</t>
  </si>
  <si>
    <t>2.7.4.3</t>
  </si>
  <si>
    <t>3.4.11.18</t>
  </si>
  <si>
    <t>1.4.1.2</t>
  </si>
  <si>
    <t>1.1.1.95</t>
  </si>
  <si>
    <t>2.5.1.46</t>
  </si>
  <si>
    <t>2.1.1.63</t>
  </si>
  <si>
    <t>3.2.1.20</t>
  </si>
  <si>
    <t>2.7.4.8</t>
  </si>
  <si>
    <t>4.1.1.36</t>
  </si>
  <si>
    <t>2.1.2.1</t>
  </si>
  <si>
    <t>2.4.2.14</t>
  </si>
  <si>
    <t>6.3.5.3</t>
  </si>
  <si>
    <t>6.3.2.6</t>
  </si>
  <si>
    <t>4.3.2.2</t>
  </si>
  <si>
    <t>4.1.1.44</t>
  </si>
  <si>
    <t>4.2.1.75</t>
  </si>
  <si>
    <t>1.2.1.70</t>
  </si>
  <si>
    <t>2.7.9.2</t>
  </si>
  <si>
    <t>3.1.3.25</t>
  </si>
  <si>
    <t>5.3.1.24</t>
  </si>
  <si>
    <t>1.17.4.1</t>
  </si>
  <si>
    <t>2.4.2.7</t>
  </si>
  <si>
    <t>6.3.3.2</t>
  </si>
  <si>
    <t>2.7.4.9</t>
  </si>
  <si>
    <t>3.4.19.1</t>
  </si>
  <si>
    <t>4.2.1.24</t>
  </si>
  <si>
    <t>3.1.3.16</t>
  </si>
  <si>
    <t>6.3.4.2</t>
  </si>
  <si>
    <t>2.7.6.2</t>
  </si>
  <si>
    <t>6.1.1.1</t>
  </si>
  <si>
    <t>2.7.1.39</t>
  </si>
  <si>
    <t>2.7.8.7</t>
  </si>
  <si>
    <t>4.2.3.4</t>
  </si>
  <si>
    <t>2.7.1.71</t>
  </si>
  <si>
    <t>4.2.3.5</t>
  </si>
  <si>
    <t>1.1.1.87</t>
  </si>
  <si>
    <t>2.7.1.33</t>
  </si>
  <si>
    <t>3.5.1.28</t>
  </si>
  <si>
    <t>5.99.1.3</t>
  </si>
  <si>
    <t>4.2.1.10</t>
  </si>
  <si>
    <t>2.1.1.35</t>
  </si>
  <si>
    <t>6.3.2.12</t>
  </si>
  <si>
    <t>6.3.1.2</t>
  </si>
  <si>
    <t>3.5.1.10</t>
  </si>
  <si>
    <t>3.4.24.-</t>
  </si>
  <si>
    <t>5.1.3.14</t>
  </si>
  <si>
    <t>2.7.8.-</t>
  </si>
  <si>
    <t>2.4.2.9</t>
  </si>
  <si>
    <t>2.3.3.9</t>
  </si>
  <si>
    <t>3.1.3.71</t>
  </si>
  <si>
    <t>2.4.2.1</t>
  </si>
  <si>
    <t>5.4.2.10</t>
  </si>
  <si>
    <t>6.1.1.17</t>
  </si>
  <si>
    <t>3.1.26.5</t>
  </si>
  <si>
    <t>6.2.1.3</t>
  </si>
  <si>
    <t>1.1.1.100</t>
  </si>
  <si>
    <t>2.3.1.39</t>
  </si>
  <si>
    <t>2.3.1.180</t>
  </si>
  <si>
    <t>3.5.3.1</t>
  </si>
  <si>
    <t>3.5.4.5</t>
  </si>
  <si>
    <t>4.3.1.17</t>
  </si>
  <si>
    <t>3.5.4.26</t>
  </si>
  <si>
    <t>2.5.1.9</t>
  </si>
  <si>
    <t>4.1.99.12</t>
  </si>
  <si>
    <t>5.4.99.2</t>
  </si>
  <si>
    <t>6.1.1.6</t>
  </si>
  <si>
    <t>2.7.1.107</t>
  </si>
  <si>
    <t>1.1.1.25</t>
  </si>
  <si>
    <t>2.6.1.11</t>
  </si>
  <si>
    <t>2.7.7.72</t>
  </si>
  <si>
    <t>2.7.1.24</t>
  </si>
  <si>
    <t>5.1.3.2</t>
  </si>
  <si>
    <t>3.6.3.4</t>
  </si>
  <si>
    <t>1.9.3.1</t>
  </si>
  <si>
    <t>3.5.3.11</t>
  </si>
  <si>
    <t>6.3.4.14</t>
  </si>
  <si>
    <t>1.5.1.5</t>
  </si>
  <si>
    <t>1.1.1.27</t>
  </si>
  <si>
    <t>1.1.1.22</t>
  </si>
  <si>
    <t>2.4.1.187</t>
  </si>
  <si>
    <t>4.2.1.47</t>
  </si>
  <si>
    <t>1.1.1.271</t>
  </si>
  <si>
    <t>2.7.8.6</t>
  </si>
  <si>
    <t>2.4.1.-</t>
  </si>
  <si>
    <t>6.6.1.1</t>
  </si>
  <si>
    <t>3.4.25.-</t>
  </si>
  <si>
    <t>2.1.1.72</t>
  </si>
  <si>
    <t>2.7.7.-</t>
  </si>
  <si>
    <t>2.3.1.9</t>
  </si>
  <si>
    <t>1.1.1.35</t>
  </si>
  <si>
    <t>5.1.99.4</t>
  </si>
  <si>
    <t>1.7.99.4</t>
  </si>
  <si>
    <t>1.20.9.1</t>
  </si>
  <si>
    <t>2.6.1.19</t>
  </si>
  <si>
    <t>3.6.1.13</t>
  </si>
  <si>
    <t>3.5.4.10</t>
  </si>
  <si>
    <t>3.6.1.n1</t>
  </si>
  <si>
    <t>4.1.1.20</t>
  </si>
  <si>
    <t>3.5.1.25</t>
  </si>
  <si>
    <t>2.7.9.1</t>
  </si>
  <si>
    <t>2.7.7.62</t>
  </si>
  <si>
    <t>4.1.1.81</t>
  </si>
  <si>
    <t>3.1.3.11</t>
  </si>
  <si>
    <t>6.3.1.10</t>
  </si>
  <si>
    <t>3.1.3.73</t>
  </si>
  <si>
    <t>2.4.2.21</t>
  </si>
  <si>
    <t>2.7.8.26</t>
  </si>
  <si>
    <t>2.5.1.17</t>
  </si>
  <si>
    <t>2.7.7.4</t>
  </si>
  <si>
    <t>2.1.1.107</t>
  </si>
  <si>
    <t>1.8.4.10</t>
  </si>
  <si>
    <t>1.3.1.76</t>
  </si>
  <si>
    <t>1.8.7.1</t>
  </si>
  <si>
    <t>2.5.1.3</t>
  </si>
  <si>
    <t>1.4.3.19</t>
  </si>
  <si>
    <t>4.1.99.17</t>
  </si>
  <si>
    <t>2.7.4.7</t>
  </si>
  <si>
    <t>5.3.1.8</t>
  </si>
  <si>
    <t>6.2.1.26</t>
  </si>
  <si>
    <t>3.5.1.68</t>
  </si>
  <si>
    <t>2.3.1.8</t>
  </si>
  <si>
    <t>1.1.1.30</t>
  </si>
  <si>
    <t>4.6.1.1</t>
  </si>
  <si>
    <t>3.1.3.1</t>
  </si>
  <si>
    <t>2.7.1.4</t>
  </si>
  <si>
    <t>1.2.1.3</t>
  </si>
  <si>
    <t>6.2.1.30</t>
  </si>
  <si>
    <t>1.13.11.15</t>
  </si>
  <si>
    <t>1.14.14.9</t>
  </si>
  <si>
    <t>1.2.1.60</t>
  </si>
  <si>
    <t>4.1.1.68</t>
  </si>
  <si>
    <t>4.3.3.7</t>
  </si>
  <si>
    <t>4.99.1.3</t>
  </si>
  <si>
    <t>2.1.1.133</t>
  </si>
  <si>
    <t>2.1.1.130</t>
  </si>
  <si>
    <t>5.4.99.61</t>
  </si>
  <si>
    <t>1.4.3.16</t>
  </si>
  <si>
    <t>2.5.1.72</t>
  </si>
  <si>
    <t>2.4.2.19</t>
  </si>
  <si>
    <t>3.5.1.54</t>
  </si>
  <si>
    <t>1.3.8.7</t>
  </si>
  <si>
    <t>1.2.7.5</t>
  </si>
  <si>
    <t>5.3.3.2</t>
  </si>
  <si>
    <t>2.6.1.18</t>
  </si>
  <si>
    <t>2.7.1.6</t>
  </si>
  <si>
    <t>1.6.5.3</t>
  </si>
  <si>
    <t>1.2.1.2</t>
  </si>
  <si>
    <t>3.4.11.24</t>
  </si>
  <si>
    <t>2.5.1.49</t>
  </si>
  <si>
    <t>6.1.1.16</t>
  </si>
  <si>
    <t>3.4.19.3</t>
  </si>
  <si>
    <t>6.1.1.11</t>
  </si>
  <si>
    <t>3.5.4.28</t>
  </si>
  <si>
    <t>5.4.99.5</t>
  </si>
  <si>
    <t>1.2.1.22</t>
  </si>
  <si>
    <t>2.7.7.3</t>
  </si>
  <si>
    <t>2.5.1.48</t>
  </si>
  <si>
    <t>2.3.1.31</t>
  </si>
  <si>
    <t>5.4.3.8</t>
  </si>
  <si>
    <t>2.6.1.1</t>
  </si>
  <si>
    <t>5.3.1.1</t>
  </si>
  <si>
    <t>2.7.2.3</t>
  </si>
  <si>
    <t>1.2.1.12</t>
  </si>
  <si>
    <t>2.8.1.1</t>
  </si>
  <si>
    <t>2.1.1.228</t>
  </si>
  <si>
    <t>4.1.1.31</t>
  </si>
  <si>
    <t>4.1.3.38</t>
  </si>
  <si>
    <t>2.6.1.85</t>
  </si>
  <si>
    <t>2.1.1.13</t>
  </si>
  <si>
    <t>6.3.4.21</t>
  </si>
  <si>
    <t>3.4.21.92</t>
  </si>
  <si>
    <t>4.1.1.11</t>
  </si>
  <si>
    <t>2.5.1.75</t>
  </si>
  <si>
    <t>2.7.1.21</t>
  </si>
  <si>
    <t>2.7.7.49</t>
  </si>
  <si>
    <t>2.4.1.129</t>
  </si>
  <si>
    <t>6.3.2.10</t>
  </si>
  <si>
    <t>2.7.8.13</t>
  </si>
  <si>
    <t>6.3.2.9</t>
  </si>
  <si>
    <t>2.4.1.227</t>
  </si>
  <si>
    <t>6.3.2.8</t>
  </si>
  <si>
    <t>1.3.1.98</t>
  </si>
  <si>
    <t>2.5.1.32</t>
  </si>
  <si>
    <t>4.1.99.3</t>
  </si>
  <si>
    <t>1.3.-.-</t>
  </si>
  <si>
    <t>2.3.2.2</t>
  </si>
  <si>
    <t>4.1.2.48</t>
  </si>
  <si>
    <t>1.6.5.5</t>
  </si>
  <si>
    <t>4.3.1.12</t>
  </si>
  <si>
    <t>6.1.1.9</t>
  </si>
  <si>
    <t>5.3.1.16</t>
  </si>
  <si>
    <t>4.1.1.48</t>
  </si>
  <si>
    <t>2.4.1.1</t>
  </si>
  <si>
    <t>3.1.3.48</t>
  </si>
  <si>
    <t>4.1.2.4</t>
  </si>
  <si>
    <t>2.3.1.35</t>
  </si>
  <si>
    <t>1.2.1.38</t>
  </si>
  <si>
    <t>2.1.3.3</t>
  </si>
  <si>
    <t>2.3.1.182</t>
  </si>
  <si>
    <t>2.3.3.13</t>
  </si>
  <si>
    <t>1.1.1.86</t>
  </si>
  <si>
    <t>2.2.1.6</t>
  </si>
  <si>
    <t>1.8.1.9</t>
  </si>
  <si>
    <t>4.2.1.2</t>
  </si>
  <si>
    <t>1.15.1.1</t>
  </si>
  <si>
    <t>6.1.1.18</t>
  </si>
  <si>
    <t>1.2.1.11</t>
  </si>
  <si>
    <t>6.1.1.14</t>
  </si>
  <si>
    <t>6.2.1.5</t>
  </si>
  <si>
    <t>2.4.1.25</t>
  </si>
  <si>
    <t>1.1.1.157</t>
  </si>
  <si>
    <t>3.4.99.-</t>
  </si>
  <si>
    <t>5.3.1.23</t>
  </si>
  <si>
    <t>1.1.1.103</t>
  </si>
  <si>
    <t>3.6.1.7</t>
  </si>
  <si>
    <t>4.2.1.33</t>
  </si>
  <si>
    <t>1.1.1.85</t>
  </si>
  <si>
    <t>4.2.1.9</t>
  </si>
  <si>
    <t>6.2.1.1</t>
  </si>
  <si>
    <t>6.3.4.13</t>
  </si>
  <si>
    <t>2.1.2.2</t>
  </si>
  <si>
    <t>5.3.3.10</t>
  </si>
  <si>
    <t>2.5.1.54</t>
  </si>
  <si>
    <t>1.3.1.43</t>
  </si>
  <si>
    <t>1.1.99.14</t>
  </si>
  <si>
    <t>1.3.8.6</t>
  </si>
  <si>
    <t>1.1.1.79</t>
  </si>
  <si>
    <t>2.1.3.2</t>
  </si>
  <si>
    <t>3.5.2.3</t>
  </si>
  <si>
    <t>1.3.98.1</t>
  </si>
  <si>
    <t>1.1.1.42</t>
  </si>
  <si>
    <t>3.1.13.1</t>
  </si>
  <si>
    <t>4.2.1.-</t>
  </si>
  <si>
    <t>3.4.13.19</t>
  </si>
  <si>
    <t>6.1.1.19</t>
  </si>
  <si>
    <t>2.7.1.76</t>
  </si>
  <si>
    <t>4.1.3.-</t>
  </si>
  <si>
    <t>3.6.1.31</t>
  </si>
  <si>
    <t>6.1.1.23</t>
  </si>
  <si>
    <t>1.3.5.1</t>
  </si>
  <si>
    <t>4.1.1.50</t>
  </si>
  <si>
    <t>2.3.1.179</t>
  </si>
  <si>
    <t>3.1.5.1</t>
  </si>
  <si>
    <t>2.7.1.15</t>
  </si>
  <si>
    <t>4.2.1.19</t>
  </si>
  <si>
    <t>2.6.1.9</t>
  </si>
  <si>
    <t>2.7.4.16</t>
  </si>
  <si>
    <t>2.1.1.182</t>
  </si>
  <si>
    <t>4.2.1.3</t>
  </si>
  <si>
    <t>3.6.3.14</t>
  </si>
  <si>
    <t>2.7.11.1</t>
  </si>
  <si>
    <t>6.2.1.16</t>
  </si>
  <si>
    <t>1.1.1.23</t>
  </si>
  <si>
    <t>6.1.1.21</t>
  </si>
  <si>
    <t>6.1.1.12</t>
  </si>
  <si>
    <t>6.1.1.22</t>
  </si>
  <si>
    <t>1.1.1.153</t>
  </si>
  <si>
    <t>2.2.1.2</t>
  </si>
  <si>
    <t>6.1.1.5</t>
  </si>
  <si>
    <t>3.1.21.2</t>
  </si>
  <si>
    <t>2.7.4.22</t>
  </si>
  <si>
    <t>2.7.7.41</t>
  </si>
  <si>
    <t>1.1.1.267</t>
  </si>
  <si>
    <t>1.5.1.2</t>
  </si>
  <si>
    <t>4.1.1.37</t>
  </si>
  <si>
    <t>4.99.1.1</t>
  </si>
  <si>
    <t>1.3.3.4</t>
  </si>
  <si>
    <t>1.1.1.14</t>
  </si>
  <si>
    <t>3.4.21.102</t>
  </si>
  <si>
    <t>6.1.1.10</t>
  </si>
  <si>
    <t>5.3.1.6</t>
  </si>
  <si>
    <t>1.11.1.15</t>
  </si>
  <si>
    <t>4.2.1.20</t>
  </si>
  <si>
    <t>6.5.1.2</t>
  </si>
  <si>
    <t>2.5.1.16</t>
  </si>
  <si>
    <t>4.2.1.51</t>
  </si>
  <si>
    <t>1.1.1.37</t>
  </si>
  <si>
    <t>2.7.2.4</t>
  </si>
  <si>
    <t>2.1.1.172</t>
  </si>
  <si>
    <t>2.7.1.26</t>
  </si>
  <si>
    <t>1.4.4.2</t>
  </si>
  <si>
    <t>2.1.2.10</t>
  </si>
  <si>
    <t>1.1.1.38</t>
  </si>
  <si>
    <t>4.1.1.21</t>
  </si>
  <si>
    <t>4.2.1.70</t>
  </si>
  <si>
    <t>2.1.2.11</t>
  </si>
  <si>
    <t>1.1.5.3</t>
  </si>
  <si>
    <t>2.7.1.30</t>
  </si>
  <si>
    <t>2.7.7.10</t>
  </si>
  <si>
    <t>6.3.2.4</t>
  </si>
  <si>
    <t>3.1.1.29</t>
  </si>
  <si>
    <t>2.7.6.1</t>
  </si>
  <si>
    <t>3.2.2.16</t>
  </si>
  <si>
    <t>4.4.1.21</t>
  </si>
  <si>
    <t>6.3.5.2</t>
  </si>
  <si>
    <t>3.1.26.4</t>
  </si>
  <si>
    <t>6.4.1.4</t>
  </si>
  <si>
    <t>4.1.3.4</t>
  </si>
  <si>
    <t>1.6.99.5</t>
  </si>
  <si>
    <t>4.2.3.1</t>
  </si>
  <si>
    <t>1.1.1.3</t>
  </si>
  <si>
    <t>1.1.1.1</t>
  </si>
  <si>
    <t>3.5.99.6</t>
  </si>
  <si>
    <t>1.13.12.16</t>
  </si>
  <si>
    <t>5.1.3.1</t>
  </si>
  <si>
    <t>2.2.1.1</t>
  </si>
  <si>
    <t>3.6.4.13</t>
  </si>
  <si>
    <t>4.2.99.18</t>
  </si>
  <si>
    <t>6.1.1.15</t>
  </si>
  <si>
    <t>5.4.2.11</t>
  </si>
  <si>
    <t>2.3.1.51</t>
  </si>
  <si>
    <t>3.1.21.7</t>
  </si>
  <si>
    <t>2.5.1.19</t>
  </si>
  <si>
    <t>2.7.4.25</t>
  </si>
  <si>
    <t>1.4.1.13</t>
  </si>
  <si>
    <t>2.7.13.3</t>
  </si>
  <si>
    <t>2.5.1.7</t>
  </si>
  <si>
    <t>1.1.1.140</t>
  </si>
  <si>
    <t>3.5.4.13</t>
  </si>
  <si>
    <t>2.4.2.17</t>
  </si>
  <si>
    <t>2.1.1.34</t>
  </si>
  <si>
    <t>2.6.1.42</t>
  </si>
  <si>
    <t>1.11.1.6</t>
  </si>
  <si>
    <t>2.3.3.1</t>
  </si>
  <si>
    <t>1.4.1.1</t>
  </si>
  <si>
    <t>2.4.2.8</t>
  </si>
  <si>
    <t>1.1.1.122</t>
  </si>
  <si>
    <t>6.3.4.4</t>
  </si>
  <si>
    <t>2.4.2.18</t>
  </si>
  <si>
    <t>4.1.3.27</t>
  </si>
  <si>
    <t>1.2.1.88</t>
  </si>
  <si>
    <t>1.5.5.2</t>
  </si>
  <si>
    <t>2.3.1.29</t>
  </si>
  <si>
    <t>2.7.7.23</t>
  </si>
  <si>
    <t>2.4.99.-</t>
  </si>
  <si>
    <t>5.99.1.2</t>
  </si>
  <si>
    <t>2.1.1.33</t>
  </si>
  <si>
    <t>3.1.2.6</t>
  </si>
  <si>
    <t>4.1.1.19</t>
  </si>
  <si>
    <t>2.5.1.6</t>
  </si>
  <si>
    <t>5.1.1.3</t>
  </si>
  <si>
    <t>3.6.1.15</t>
  </si>
  <si>
    <t>1.20.4.1</t>
  </si>
  <si>
    <t>2.1.1.163</t>
  </si>
  <si>
    <t>3.5.1.1</t>
  </si>
  <si>
    <t>3.6.1.8</t>
  </si>
  <si>
    <t>2.7.2.8</t>
  </si>
  <si>
    <t>1.2.7.3</t>
  </si>
  <si>
    <t>2.7.4.6</t>
  </si>
  <si>
    <t>4.1.2.25</t>
  </si>
  <si>
    <t>2.5.1.15</t>
  </si>
  <si>
    <t>2.3.1.128</t>
  </si>
  <si>
    <t>2.5.1.61</t>
  </si>
  <si>
    <t>2.3.1.12</t>
  </si>
  <si>
    <t>1.2.4.1</t>
  </si>
  <si>
    <t>3.4.11.1</t>
  </si>
  <si>
    <t>4.1.1.49</t>
  </si>
  <si>
    <t>5.3.1.9</t>
  </si>
  <si>
    <t>6.1.1.3</t>
  </si>
  <si>
    <t>1.10.2.2</t>
  </si>
  <si>
    <t>3.4.17.11</t>
  </si>
  <si>
    <t>3.5.1.16</t>
  </si>
  <si>
    <t>2.7.1.2</t>
  </si>
  <si>
    <t>3.5.4.16</t>
  </si>
  <si>
    <t>3.6.1.17</t>
  </si>
  <si>
    <t>2.6.1.16</t>
  </si>
  <si>
    <t>2.1.2.9</t>
  </si>
  <si>
    <t>3.5.1.88</t>
  </si>
  <si>
    <t>5.4.2.7</t>
  </si>
  <si>
    <t>1.3.1.9</t>
  </si>
  <si>
    <t>1.17.7.1</t>
  </si>
  <si>
    <t>2.4.2.29</t>
  </si>
  <si>
    <t>3.4.23.36</t>
  </si>
  <si>
    <t>2.1.1.207</t>
  </si>
  <si>
    <t>6.1.1.4</t>
  </si>
  <si>
    <t>1.2.1.41</t>
  </si>
  <si>
    <t>2.7.2.11</t>
  </si>
  <si>
    <t>5.1.1.1</t>
  </si>
  <si>
    <t>6.1.1.20</t>
  </si>
  <si>
    <t>2.7.1.11</t>
  </si>
  <si>
    <t>3.6.1.1</t>
  </si>
  <si>
    <t>3.1.4.46</t>
  </si>
  <si>
    <t/>
  </si>
  <si>
    <t>Reactants</t>
  </si>
  <si>
    <t>Products</t>
  </si>
  <si>
    <t>C00013 | C00039</t>
  </si>
  <si>
    <t>https://www.kegg.jp/entry/R00379</t>
  </si>
  <si>
    <t>https://www.kegg.jp/entry/R00375</t>
  </si>
  <si>
    <t>https://www.kegg.jp/entry/R00376</t>
  </si>
  <si>
    <t>https://www.kegg.jp/entry/R00377</t>
  </si>
  <si>
    <t>https://www.kegg.jp/entry/R00378</t>
  </si>
  <si>
    <t>https://www.kegg.jp/entry/R11029</t>
  </si>
  <si>
    <t>Reaction number</t>
  </si>
  <si>
    <t>R05636</t>
  </si>
  <si>
    <t>R04273</t>
  </si>
  <si>
    <t>R05637</t>
  </si>
  <si>
    <t>R04208</t>
  </si>
  <si>
    <t>R04212</t>
  </si>
  <si>
    <t>R04457</t>
  </si>
  <si>
    <t>R03013</t>
  </si>
  <si>
    <t>R06447</t>
  </si>
  <si>
    <t>R00271</t>
  </si>
  <si>
    <t>R04371</t>
  </si>
  <si>
    <t>R00189</t>
  </si>
  <si>
    <t>R01016</t>
  </si>
  <si>
    <t>R00319</t>
  </si>
  <si>
    <t>R02328</t>
  </si>
  <si>
    <t>R00429</t>
  </si>
  <si>
    <t>R01954</t>
  </si>
  <si>
    <t>R01086</t>
  </si>
  <si>
    <t>R00259</t>
  </si>
  <si>
    <t>R00943</t>
  </si>
  <si>
    <t>R02473</t>
  </si>
  <si>
    <t>R00742</t>
  </si>
  <si>
    <t>R00585</t>
  </si>
  <si>
    <t>R05627</t>
  </si>
  <si>
    <t>R05633</t>
  </si>
  <si>
    <t>R05634</t>
  </si>
  <si>
    <t>R09722</t>
  </si>
  <si>
    <t>R00883</t>
  </si>
  <si>
    <t>R03503</t>
  </si>
  <si>
    <t>R00965</t>
  </si>
  <si>
    <t>R02991</t>
  </si>
  <si>
    <t>R00479</t>
  </si>
  <si>
    <t>R03038</t>
  </si>
  <si>
    <t>R00383</t>
  </si>
  <si>
    <t>R04734</t>
  </si>
  <si>
    <t>R00197</t>
  </si>
  <si>
    <t>R00948</t>
  </si>
  <si>
    <t>R09248</t>
  </si>
  <si>
    <t>R04314</t>
  </si>
  <si>
    <t>R03269</t>
  </si>
  <si>
    <t>R01072</t>
  </si>
  <si>
    <t>R04463</t>
  </si>
  <si>
    <t>R04591</t>
  </si>
  <si>
    <t>R03470</t>
  </si>
  <si>
    <t>R03165</t>
  </si>
  <si>
    <t>R04109</t>
  </si>
  <si>
    <t>R00199</t>
  </si>
  <si>
    <t>R03509</t>
  </si>
  <si>
    <t>R02301</t>
  </si>
  <si>
    <t>R00036</t>
  </si>
  <si>
    <t>R00164</t>
  </si>
  <si>
    <t>R00619</t>
  </si>
  <si>
    <t>R02918</t>
  </si>
  <si>
    <t>R01771</t>
  </si>
  <si>
    <t>R01625</t>
  </si>
  <si>
    <t>R03083</t>
  </si>
  <si>
    <t>R02412</t>
  </si>
  <si>
    <t>R01714</t>
  </si>
  <si>
    <t>R04112</t>
  </si>
  <si>
    <t>R03084</t>
  </si>
  <si>
    <t>R00594</t>
  </si>
  <si>
    <t>R00253</t>
  </si>
  <si>
    <t>R00944</t>
  </si>
  <si>
    <t>R00966</t>
  </si>
  <si>
    <t>R00472</t>
  </si>
  <si>
    <t>R05789</t>
  </si>
  <si>
    <t>R02060</t>
  </si>
  <si>
    <t>R05578</t>
  </si>
  <si>
    <t>R01626</t>
  </si>
  <si>
    <t>R10707</t>
  </si>
  <si>
    <t>R00551</t>
  </si>
  <si>
    <t>R03459</t>
  </si>
  <si>
    <t>R00066</t>
  </si>
  <si>
    <t>R07281</t>
  </si>
  <si>
    <t>R00833</t>
  </si>
  <si>
    <t>R03658</t>
  </si>
  <si>
    <t>R02240</t>
  </si>
  <si>
    <t>R02283</t>
  </si>
  <si>
    <t>R00130</t>
  </si>
  <si>
    <t>R01157</t>
  </si>
  <si>
    <t>R04385</t>
  </si>
  <si>
    <t>R01220</t>
  </si>
  <si>
    <t>R00286</t>
  </si>
  <si>
    <t>R00888</t>
  </si>
  <si>
    <t>R01535</t>
  </si>
  <si>
    <t>R03877</t>
  </si>
  <si>
    <t>R02961</t>
  </si>
  <si>
    <t>R01054</t>
  </si>
  <si>
    <t>R01127</t>
  </si>
  <si>
    <t>R00451</t>
  </si>
  <si>
    <t>R02059</t>
  </si>
  <si>
    <t>R00206</t>
  </si>
  <si>
    <t>R05222</t>
  </si>
  <si>
    <t>R06530</t>
  </si>
  <si>
    <t>R04148</t>
  </si>
  <si>
    <t>R07176</t>
  </si>
  <si>
    <t>R03947</t>
  </si>
  <si>
    <t>R03472</t>
  </si>
  <si>
    <t>R04509</t>
  </si>
  <si>
    <t>R04030</t>
  </si>
  <si>
    <t>R00525</t>
  </si>
  <si>
    <t>R01361</t>
  </si>
  <si>
    <t>R02539</t>
  </si>
  <si>
    <t>R03303</t>
  </si>
  <si>
    <t>R04418</t>
  </si>
  <si>
    <t>R10147</t>
  </si>
  <si>
    <t>R05807</t>
  </si>
  <si>
    <t>R05181</t>
  </si>
  <si>
    <t>R03948</t>
  </si>
  <si>
    <t>R05177</t>
  </si>
  <si>
    <t>R04292</t>
  </si>
  <si>
    <t>R03348</t>
  </si>
  <si>
    <t>R00005</t>
  </si>
  <si>
    <t>R01123</t>
  </si>
  <si>
    <t>R01092</t>
  </si>
  <si>
    <t>R03650</t>
  </si>
  <si>
    <t>R00193</t>
  </si>
  <si>
    <t>R01715</t>
  </si>
  <si>
    <t>R03035</t>
  </si>
  <si>
    <t>R01776</t>
  </si>
  <si>
    <t>R02272</t>
  </si>
  <si>
    <t>R01015</t>
  </si>
  <si>
    <t>R01512</t>
  </si>
  <si>
    <t>R01061</t>
  </si>
  <si>
    <t>R01931</t>
  </si>
  <si>
    <t>R00597</t>
  </si>
  <si>
    <t>R00345</t>
  </si>
  <si>
    <t>R05553</t>
  </si>
  <si>
    <t>R01724</t>
  </si>
  <si>
    <t>R00489</t>
  </si>
  <si>
    <t>R01122</t>
  </si>
  <si>
    <t>R00379</t>
  </si>
  <si>
    <t>R02783</t>
  </si>
  <si>
    <t>R03193</t>
  </si>
  <si>
    <t>R02364</t>
  </si>
  <si>
    <t>R00671</t>
  </si>
  <si>
    <t>R03665</t>
  </si>
  <si>
    <t>R04640</t>
  </si>
  <si>
    <t>R03508</t>
  </si>
  <si>
    <t>R02585</t>
  </si>
  <si>
    <t>R01066</t>
  </si>
  <si>
    <t>R02282</t>
  </si>
  <si>
    <t>R03443</t>
  </si>
  <si>
    <t>R01398</t>
  </si>
  <si>
    <t>R01213</t>
  </si>
  <si>
    <t>R01082</t>
  </si>
  <si>
    <t>R00275</t>
  </si>
  <si>
    <t>R03652</t>
  </si>
  <si>
    <t>R02291</t>
  </si>
  <si>
    <t>R03654</t>
  </si>
  <si>
    <t>R04420</t>
  </si>
  <si>
    <t>R01465</t>
  </si>
  <si>
    <t>R04144</t>
  </si>
  <si>
    <t>R01826</t>
  </si>
  <si>
    <t>R00732</t>
  </si>
  <si>
    <t>R00476</t>
  </si>
  <si>
    <t>R01397</t>
  </si>
  <si>
    <t>R01993</t>
  </si>
  <si>
    <t>R01867</t>
  </si>
  <si>
    <t>R03646</t>
  </si>
  <si>
    <t>R02089</t>
  </si>
  <si>
    <t>R04035</t>
  </si>
  <si>
    <t>R00178</t>
  </si>
  <si>
    <t>R01856</t>
  </si>
  <si>
    <t>R03457</t>
  </si>
  <si>
    <t>R00617</t>
  </si>
  <si>
    <t>R10716</t>
  </si>
  <si>
    <t>R01357</t>
  </si>
  <si>
    <t>R03655</t>
  </si>
  <si>
    <t>R05577</t>
  </si>
  <si>
    <t>R03648</t>
  </si>
  <si>
    <t>R03656</t>
  </si>
  <si>
    <t>R00158</t>
  </si>
  <si>
    <t>R01799</t>
  </si>
  <si>
    <t>R05688</t>
  </si>
  <si>
    <t>R03222</t>
  </si>
  <si>
    <t>R00382</t>
  </si>
  <si>
    <t>R00480</t>
  </si>
  <si>
    <t>R07234</t>
  </si>
  <si>
    <t>R00549</t>
  </si>
  <si>
    <t>R03425</t>
  </si>
  <si>
    <t>R04209</t>
  </si>
  <si>
    <t>R01055</t>
  </si>
  <si>
    <t>R00847</t>
  </si>
  <si>
    <t>R00502</t>
  </si>
  <si>
    <t>R01150</t>
  </si>
  <si>
    <t>R04238</t>
  </si>
  <si>
    <t>R01049</t>
  </si>
  <si>
    <t>R01401</t>
  </si>
  <si>
    <t>R01291</t>
  </si>
  <si>
    <t>R04138</t>
  </si>
  <si>
    <t>R00765</t>
  </si>
  <si>
    <t>R00025</t>
  </si>
  <si>
    <t>R01529</t>
  </si>
  <si>
    <t>R03661</t>
  </si>
  <si>
    <t>R03460</t>
  </si>
  <si>
    <t>R00660</t>
  </si>
  <si>
    <t>R02325</t>
  </si>
  <si>
    <t>R01071</t>
  </si>
  <si>
    <t>R02917</t>
  </si>
  <si>
    <t>R00351</t>
  </si>
  <si>
    <t>R01135</t>
  </si>
  <si>
    <t>R01073</t>
  </si>
  <si>
    <t>R01253</t>
  </si>
  <si>
    <t>R00371</t>
  </si>
  <si>
    <t>R00416</t>
  </si>
  <si>
    <t>R00600</t>
  </si>
  <si>
    <t>R00566</t>
  </si>
  <si>
    <t>R00260</t>
  </si>
  <si>
    <t>R05747</t>
  </si>
  <si>
    <t>R09736</t>
  </si>
  <si>
    <t>R02649</t>
  </si>
  <si>
    <t>R01197</t>
  </si>
  <si>
    <t>R03504</t>
  </si>
  <si>
    <t>R00084</t>
  </si>
  <si>
    <t>R02569</t>
  </si>
  <si>
    <t>R00341</t>
  </si>
  <si>
    <t>R03663</t>
  </si>
  <si>
    <t>R00768</t>
  </si>
  <si>
    <t>R03940</t>
  </si>
  <si>
    <t>R08689</t>
  </si>
  <si>
    <t>R10209</t>
  </si>
  <si>
    <t>R03657</t>
  </si>
  <si>
    <t>R03313</t>
  </si>
  <si>
    <t>R00239</t>
  </si>
  <si>
    <t>R00401</t>
  </si>
  <si>
    <t>R03660</t>
  </si>
  <si>
    <t>R00004</t>
  </si>
  <si>
    <t>R00375</t>
  </si>
  <si>
    <t>R00376</t>
  </si>
  <si>
    <t>R00377</t>
  </si>
  <si>
    <t>R00378</t>
  </si>
  <si>
    <t>R11029</t>
  </si>
  <si>
    <t>R04206</t>
  </si>
  <si>
    <t>R00658</t>
  </si>
  <si>
    <t>R00430</t>
  </si>
  <si>
    <t>R00572</t>
  </si>
  <si>
    <t>R00659</t>
  </si>
  <si>
    <t>R00200</t>
  </si>
  <si>
    <t>R02320</t>
  </si>
  <si>
    <t>R01858</t>
  </si>
  <si>
    <t>R01138</t>
  </si>
  <si>
    <t>R00724</t>
  </si>
  <si>
    <t>EC number</t>
  </si>
  <si>
    <t>R03601</t>
  </si>
  <si>
    <t>R00897</t>
  </si>
  <si>
    <t>R07274</t>
  </si>
  <si>
    <t>R04859</t>
  </si>
  <si>
    <t>R07297</t>
  </si>
  <si>
    <t>R01569</t>
  </si>
  <si>
    <t>R00183</t>
  </si>
  <si>
    <t>R00511</t>
  </si>
  <si>
    <t>R00963</t>
  </si>
  <si>
    <t>R01126</t>
  </si>
  <si>
    <t>R01227</t>
  </si>
  <si>
    <t>R02323</t>
  </si>
  <si>
    <t>R02719</t>
  </si>
  <si>
    <t>R03346</t>
  </si>
  <si>
    <t>R01664</t>
  </si>
  <si>
    <t>R01968</t>
  </si>
  <si>
    <t>R02088</t>
  </si>
  <si>
    <t>R02102</t>
  </si>
  <si>
    <t>R12958</t>
  </si>
  <si>
    <t xml:space="preserve"> Reaction number link</t>
  </si>
  <si>
    <t>R08639</t>
  </si>
  <si>
    <t>R03319</t>
  </si>
  <si>
    <t>R01057</t>
  </si>
  <si>
    <t>R00959</t>
  </si>
  <si>
    <t>R01268</t>
  </si>
  <si>
    <t>R06134</t>
  </si>
  <si>
    <t>R01224</t>
  </si>
  <si>
    <t>R07168</t>
  </si>
  <si>
    <t>R01178</t>
  </si>
  <si>
    <t>R04432</t>
  </si>
  <si>
    <t>R03172</t>
  </si>
  <si>
    <t>R02661</t>
  </si>
  <si>
    <t>R04751</t>
  </si>
  <si>
    <t>R01175</t>
  </si>
  <si>
    <t>R02110</t>
  </si>
  <si>
    <t>R06186</t>
  </si>
  <si>
    <t>R06200</t>
  </si>
  <si>
    <t>R11308</t>
  </si>
  <si>
    <t>R11307</t>
  </si>
  <si>
    <t>7.1.1.1</t>
  </si>
  <si>
    <t>R13176</t>
  </si>
  <si>
    <t>R08550</t>
  </si>
  <si>
    <t>R01698</t>
  </si>
  <si>
    <t>R07618</t>
  </si>
  <si>
    <t>R03815</t>
  </si>
  <si>
    <t>R02662</t>
  </si>
  <si>
    <t>R10998</t>
  </si>
  <si>
    <t>R04097</t>
  </si>
  <si>
    <t>R03174</t>
  </si>
  <si>
    <t>R01130</t>
  </si>
  <si>
    <t>R08240</t>
  </si>
  <si>
    <t>R01701</t>
  </si>
  <si>
    <t>R10997</t>
  </si>
  <si>
    <t>R10996</t>
  </si>
  <si>
    <t>R07604</t>
  </si>
  <si>
    <t>R07603</t>
  </si>
  <si>
    <t>R07602</t>
  </si>
  <si>
    <t>R07601</t>
  </si>
  <si>
    <t>R07600</t>
  </si>
  <si>
    <t>R07599</t>
  </si>
  <si>
    <t>R04225</t>
  </si>
  <si>
    <t>R01702</t>
  </si>
  <si>
    <t>R04563</t>
  </si>
  <si>
    <t>R01074</t>
  </si>
  <si>
    <t>R05145</t>
  </si>
  <si>
    <t>R02685</t>
  </si>
  <si>
    <t>R08093</t>
  </si>
  <si>
    <t>R06942</t>
  </si>
  <si>
    <t>R06412</t>
  </si>
  <si>
    <t>R06411</t>
  </si>
  <si>
    <t>R05595</t>
  </si>
  <si>
    <t>R04137</t>
  </si>
  <si>
    <t>R03224</t>
  </si>
  <si>
    <t>R07314</t>
  </si>
  <si>
    <t>R07897</t>
  </si>
  <si>
    <t>R07893</t>
  </si>
  <si>
    <t>R07889</t>
  </si>
  <si>
    <t>R04749</t>
  </si>
  <si>
    <t>R04746</t>
  </si>
  <si>
    <t>R04744</t>
  </si>
  <si>
    <t>R04740</t>
  </si>
  <si>
    <t>R04738</t>
  </si>
  <si>
    <t>R04224</t>
  </si>
  <si>
    <t>R04204</t>
  </si>
  <si>
    <t>R04170</t>
  </si>
  <si>
    <t>R03045</t>
  </si>
  <si>
    <t>R03026</t>
  </si>
  <si>
    <t>R01700</t>
  </si>
  <si>
    <t>R00621</t>
  </si>
  <si>
    <t>R03316</t>
  </si>
  <si>
    <t>R02570</t>
  </si>
  <si>
    <t>R02571</t>
  </si>
  <si>
    <t>R00256</t>
  </si>
  <si>
    <t>R07641</t>
  </si>
  <si>
    <t>R10949</t>
  </si>
  <si>
    <t>R10948</t>
  </si>
  <si>
    <t>R01395</t>
  </si>
  <si>
    <t>R00575</t>
  </si>
  <si>
    <t>R00996</t>
  </si>
  <si>
    <t>R06131</t>
  </si>
  <si>
    <t>R00220</t>
  </si>
  <si>
    <t>R11101</t>
  </si>
  <si>
    <t>R11098</t>
  </si>
  <si>
    <t>R03005</t>
  </si>
  <si>
    <t>R00137</t>
  </si>
  <si>
    <t>R01068</t>
  </si>
  <si>
    <t>R02568</t>
  </si>
  <si>
    <t>R01829</t>
  </si>
  <si>
    <t>R01070</t>
  </si>
  <si>
    <t>R01570</t>
  </si>
  <si>
    <t>R02298</t>
  </si>
  <si>
    <t>R02484</t>
  </si>
  <si>
    <t>R02296</t>
  </si>
  <si>
    <t>R01876</t>
  </si>
  <si>
    <t>R02133</t>
  </si>
  <si>
    <t>R09993</t>
  </si>
  <si>
    <t>R07282</t>
  </si>
  <si>
    <t>R00440</t>
  </si>
  <si>
    <t>R00439</t>
  </si>
  <si>
    <t>R00438</t>
  </si>
  <si>
    <t>R00437</t>
  </si>
  <si>
    <t>R01870</t>
  </si>
  <si>
    <t>R08231</t>
  </si>
  <si>
    <t>R00842</t>
  </si>
  <si>
    <t>R00844</t>
  </si>
  <si>
    <t>R07460</t>
  </si>
  <si>
    <t>R11529</t>
  </si>
  <si>
    <t>R11528</t>
  </si>
  <si>
    <t>R03959</t>
  </si>
  <si>
    <t>R09229</t>
  </si>
  <si>
    <t>R08116</t>
  </si>
  <si>
    <t>R05390</t>
  </si>
  <si>
    <t>R05300</t>
  </si>
  <si>
    <t>R06989</t>
  </si>
  <si>
    <t>R10208</t>
  </si>
  <si>
    <t>R10121</t>
  </si>
  <si>
    <t>R10117</t>
  </si>
  <si>
    <t>R04965</t>
  </si>
  <si>
    <t>R04954</t>
  </si>
  <si>
    <t>R04568</t>
  </si>
  <si>
    <t>R04544</t>
  </si>
  <si>
    <t>R04537</t>
  </si>
  <si>
    <t>R04535</t>
  </si>
  <si>
    <t>R04428</t>
  </si>
  <si>
    <t>R00444</t>
  </si>
  <si>
    <t>R10813</t>
  </si>
  <si>
    <t>R00443</t>
  </si>
  <si>
    <t>R00442</t>
  </si>
  <si>
    <t>R00441</t>
  </si>
  <si>
    <t>R00435</t>
  </si>
  <si>
    <t>R02170</t>
  </si>
  <si>
    <t>R04103</t>
  </si>
  <si>
    <t>R02421</t>
  </si>
  <si>
    <t>R06049</t>
  </si>
  <si>
    <t>1.17.12</t>
  </si>
  <si>
    <t>1.17.7.4</t>
  </si>
  <si>
    <t>R05884</t>
  </si>
  <si>
    <t>R08210</t>
  </si>
  <si>
    <t>1.6.1.2</t>
  </si>
  <si>
    <t>R00127</t>
  </si>
  <si>
    <t>R11319</t>
  </si>
  <si>
    <t>R01547</t>
  </si>
  <si>
    <t>R00243</t>
  </si>
  <si>
    <t>R00145</t>
  </si>
  <si>
    <t>R00146</t>
  </si>
  <si>
    <t>R01513</t>
  </si>
  <si>
    <t>R08198</t>
  </si>
  <si>
    <t>R05329</t>
  </si>
  <si>
    <t>R07480</t>
  </si>
  <si>
    <t>R07479</t>
  </si>
  <si>
    <t>R07478</t>
  </si>
  <si>
    <t>R07477</t>
  </si>
  <si>
    <t>R00028</t>
  </si>
  <si>
    <t>R06088</t>
  </si>
  <si>
    <t>R06087</t>
  </si>
  <si>
    <t>R06084</t>
  </si>
  <si>
    <t>R00802</t>
  </si>
  <si>
    <t>R00801</t>
  </si>
  <si>
    <t>R00332</t>
  </si>
  <si>
    <t>R02090</t>
  </si>
  <si>
    <t>R12852</t>
  </si>
  <si>
    <t>R00945</t>
  </si>
  <si>
    <t>R09099</t>
  </si>
  <si>
    <t>R01083</t>
  </si>
  <si>
    <t>R04559</t>
  </si>
  <si>
    <t>R12851</t>
  </si>
  <si>
    <t>R07343</t>
  </si>
  <si>
    <t>R01187</t>
  </si>
  <si>
    <t>R01186</t>
  </si>
  <si>
    <t>R01185</t>
  </si>
  <si>
    <t>R04294</t>
  </si>
  <si>
    <t>R11893</t>
  </si>
  <si>
    <t>R08364</t>
  </si>
  <si>
    <t>R08363</t>
  </si>
  <si>
    <t>R02024</t>
  </si>
  <si>
    <t>R02019</t>
  </si>
  <si>
    <t>R02018</t>
  </si>
  <si>
    <t>R02017</t>
  </si>
  <si>
    <t>R00190</t>
  </si>
  <si>
    <t>R04378</t>
  </si>
  <si>
    <t>R02094</t>
  </si>
  <si>
    <t>R02098</t>
  </si>
  <si>
    <t>R00573</t>
  </si>
  <si>
    <t>R00571</t>
  </si>
  <si>
    <t>R01934</t>
  </si>
  <si>
    <t>R04862</t>
  </si>
  <si>
    <t>R01936</t>
  </si>
  <si>
    <t>R03018</t>
  </si>
  <si>
    <t>R02971</t>
  </si>
  <si>
    <t>R04391</t>
  </si>
  <si>
    <t>5.6.2.2</t>
  </si>
  <si>
    <t>R02237</t>
  </si>
  <si>
    <t>R01654</t>
  </si>
  <si>
    <t>R00420</t>
  </si>
  <si>
    <t>R00414</t>
  </si>
  <si>
    <t>R02707</t>
  </si>
  <si>
    <t>R08368</t>
  </si>
  <si>
    <t>R01561</t>
  </si>
  <si>
    <t>R01863</t>
  </si>
  <si>
    <t>R02295</t>
  </si>
  <si>
    <t>R02294</t>
  </si>
  <si>
    <t>R02748</t>
  </si>
  <si>
    <t>R02557</t>
  </si>
  <si>
    <t>R01969</t>
  </si>
  <si>
    <t>R10244</t>
  </si>
  <si>
    <t>R02297</t>
  </si>
  <si>
    <t>R02147</t>
  </si>
  <si>
    <t>R00390</t>
  </si>
  <si>
    <t>R01280</t>
  </si>
  <si>
    <t>R02767</t>
  </si>
  <si>
    <t>R10120</t>
  </si>
  <si>
    <t>R10116</t>
  </si>
  <si>
    <t>R07763</t>
  </si>
  <si>
    <t>R04964</t>
  </si>
  <si>
    <t>R04953</t>
  </si>
  <si>
    <t>R04566</t>
  </si>
  <si>
    <t>R04543</t>
  </si>
  <si>
    <t>R04536</t>
  </si>
  <si>
    <t>R04534</t>
  </si>
  <si>
    <t>R04533</t>
  </si>
  <si>
    <t>R01878</t>
  </si>
  <si>
    <t>R02485</t>
  </si>
  <si>
    <t>R08221</t>
  </si>
  <si>
    <t>R11100</t>
  </si>
  <si>
    <t>R11099</t>
  </si>
  <si>
    <t>R00590</t>
  </si>
  <si>
    <t>R02413</t>
  </si>
  <si>
    <t>R12885</t>
  </si>
  <si>
    <t>R09382</t>
  </si>
  <si>
    <t>R09386</t>
  </si>
  <si>
    <t>R09384</t>
  </si>
  <si>
    <t>R09383</t>
  </si>
  <si>
    <t>R00291</t>
  </si>
  <si>
    <t>R00418</t>
  </si>
  <si>
    <t>R02984</t>
  </si>
  <si>
    <t>7.2.2.9</t>
  </si>
  <si>
    <t>7.1.1.9</t>
  </si>
  <si>
    <t>R00081</t>
  </si>
  <si>
    <t>R00082</t>
  </si>
  <si>
    <t>R00703</t>
  </si>
  <si>
    <t>R01000</t>
  </si>
  <si>
    <t>R03104</t>
  </si>
  <si>
    <t>R05566</t>
  </si>
  <si>
    <t>R06129</t>
  </si>
  <si>
    <t>R05692</t>
  </si>
  <si>
    <t>R07059</t>
  </si>
  <si>
    <t>R07060</t>
  </si>
  <si>
    <t>R00238</t>
  </si>
  <si>
    <t>R00927</t>
  </si>
  <si>
    <t>R01177</t>
  </si>
  <si>
    <t>R01778</t>
  </si>
  <si>
    <t>R08094</t>
  </si>
  <si>
    <t>R05305</t>
  </si>
  <si>
    <t>R07898</t>
  </si>
  <si>
    <t>R07894</t>
  </si>
  <si>
    <t>R07890</t>
  </si>
  <si>
    <t>R06941</t>
  </si>
  <si>
    <t>R04748</t>
  </si>
  <si>
    <t>R04745</t>
  </si>
  <si>
    <t>R04743</t>
  </si>
  <si>
    <t>R04741</t>
  </si>
  <si>
    <t>R04739</t>
  </si>
  <si>
    <t>R04737</t>
  </si>
  <si>
    <t>R04203</t>
  </si>
  <si>
    <t>R01975</t>
  </si>
  <si>
    <t>R04729</t>
  </si>
  <si>
    <t>R08734</t>
  </si>
  <si>
    <t>R08739</t>
  </si>
  <si>
    <t>R13462</t>
  </si>
  <si>
    <t>R05751</t>
  </si>
  <si>
    <t>R09787</t>
  </si>
  <si>
    <t>1.7.1.1</t>
  </si>
  <si>
    <t>1.7.1.2</t>
  </si>
  <si>
    <t>1.7.1.3</t>
  </si>
  <si>
    <t>1.7.5.1</t>
  </si>
  <si>
    <t>1.7.7.2</t>
  </si>
  <si>
    <t>1.9.6.1</t>
  </si>
  <si>
    <t>R00794</t>
  </si>
  <si>
    <t>R00796</t>
  </si>
  <si>
    <t>R09497</t>
  </si>
  <si>
    <t>R00791</t>
  </si>
  <si>
    <t xml:space="preserve">R03071 </t>
  </si>
  <si>
    <t>R00792</t>
  </si>
  <si>
    <t>R01648</t>
  </si>
  <si>
    <t>R00908</t>
  </si>
  <si>
    <t>R00762</t>
  </si>
  <si>
    <t>R01845</t>
  </si>
  <si>
    <t>R04780</t>
  </si>
  <si>
    <t>R06529</t>
  </si>
  <si>
    <t>R07302</t>
  </si>
  <si>
    <t>R04594</t>
  </si>
  <si>
    <t>R11173</t>
  </si>
  <si>
    <t>R05223</t>
  </si>
  <si>
    <t>R11174</t>
  </si>
  <si>
    <t>R12183</t>
  </si>
  <si>
    <t>R07268</t>
  </si>
  <si>
    <t>R05220</t>
  </si>
  <si>
    <t>R01492</t>
  </si>
  <si>
    <t>R12184</t>
  </si>
  <si>
    <t>R00529</t>
  </si>
  <si>
    <t>R04929</t>
  </si>
  <si>
    <t>R03194</t>
  </si>
  <si>
    <t>R03950</t>
  </si>
  <si>
    <t>R07238</t>
  </si>
  <si>
    <t>R07237</t>
  </si>
  <si>
    <t>R00859</t>
  </si>
  <si>
    <t>R03600</t>
  </si>
  <si>
    <t>R03223</t>
  </si>
  <si>
    <t>R10712</t>
  </si>
  <si>
    <t>R11312</t>
  </si>
  <si>
    <t>R00366</t>
  </si>
  <si>
    <t>R05863</t>
  </si>
  <si>
    <t>R05862</t>
  </si>
  <si>
    <t>R05861</t>
  </si>
  <si>
    <t>R10245</t>
  </si>
  <si>
    <t>R07463</t>
  </si>
  <si>
    <t>R00772</t>
  </si>
  <si>
    <t>R01819</t>
  </si>
  <si>
    <t xml:space="preserve">7.2.2.21 </t>
  </si>
  <si>
    <t>R00230</t>
  </si>
  <si>
    <t>R00921</t>
  </si>
  <si>
    <t>R00089</t>
  </si>
  <si>
    <t>R00434</t>
  </si>
  <si>
    <t>R00626</t>
  </si>
  <si>
    <t>R04620</t>
  </si>
  <si>
    <t>R01010</t>
  </si>
  <si>
    <t>R03024</t>
  </si>
  <si>
    <t>R02135</t>
  </si>
  <si>
    <t>R00760</t>
  </si>
  <si>
    <t>R00867</t>
  </si>
  <si>
    <t>R03920</t>
  </si>
  <si>
    <t>R00538</t>
  </si>
  <si>
    <t>R05238</t>
  </si>
  <si>
    <t>R05237</t>
  </si>
  <si>
    <t>R02957</t>
  </si>
  <si>
    <t>R01986</t>
  </si>
  <si>
    <t>R00264</t>
  </si>
  <si>
    <t>R08146</t>
  </si>
  <si>
    <t>R06366</t>
  </si>
  <si>
    <t>R05286</t>
  </si>
  <si>
    <t>R05050</t>
  </si>
  <si>
    <t>R04903</t>
  </si>
  <si>
    <t>R04506</t>
  </si>
  <si>
    <t>R04065</t>
  </si>
  <si>
    <t>R03869</t>
  </si>
  <si>
    <t>R03283</t>
  </si>
  <si>
    <t>R02940</t>
  </si>
  <si>
    <t>R02678</t>
  </si>
  <si>
    <t>R02549</t>
  </si>
  <si>
    <t>R01752</t>
  </si>
  <si>
    <t>R00904</t>
  </si>
  <si>
    <t>R00710</t>
  </si>
  <si>
    <t>R00631</t>
  </si>
  <si>
    <t>R02698</t>
  </si>
  <si>
    <t>R03299</t>
  </si>
  <si>
    <t>R04133</t>
  </si>
  <si>
    <t>R04380</t>
  </si>
  <si>
    <t>R00481</t>
  </si>
  <si>
    <t>R00357</t>
  </si>
  <si>
    <t>R00392</t>
  </si>
  <si>
    <t>R04754</t>
  </si>
  <si>
    <t>R04095</t>
  </si>
  <si>
    <t>R03990</t>
  </si>
  <si>
    <t>R03857</t>
  </si>
  <si>
    <t>R03777</t>
  </si>
  <si>
    <t>R01279</t>
  </si>
  <si>
    <t>R07158</t>
  </si>
  <si>
    <t>R08571</t>
  </si>
  <si>
    <t>R00907</t>
  </si>
  <si>
    <t>R04187</t>
  </si>
  <si>
    <t>R00651</t>
  </si>
  <si>
    <t>R01287</t>
  </si>
  <si>
    <t>R03662</t>
  </si>
  <si>
    <t>R08218</t>
  </si>
  <si>
    <t>R01446</t>
  </si>
  <si>
    <t>R00203</t>
  </si>
  <si>
    <t>R03260</t>
  </si>
  <si>
    <t>R04946</t>
  </si>
  <si>
    <t>R04945</t>
  </si>
  <si>
    <t>R04944</t>
  </si>
  <si>
    <t>R03217</t>
  </si>
  <si>
    <t>R02508</t>
  </si>
  <si>
    <t>R01288</t>
  </si>
  <si>
    <t>R00999</t>
  </si>
  <si>
    <t>R00355</t>
  </si>
  <si>
    <t>R05052</t>
  </si>
  <si>
    <t>R02619</t>
  </si>
  <si>
    <t>R02433</t>
  </si>
  <si>
    <t>R00896</t>
  </si>
  <si>
    <t>R00895</t>
  </si>
  <si>
    <t>R00734</t>
  </si>
  <si>
    <t>R00694</t>
  </si>
  <si>
    <t>R05552</t>
  </si>
  <si>
    <t>R01716</t>
  </si>
  <si>
    <t>R00946</t>
  </si>
  <si>
    <t>R09365</t>
  </si>
  <si>
    <t>R01567</t>
  </si>
  <si>
    <t>R08233</t>
  </si>
  <si>
    <t>R02099</t>
  </si>
  <si>
    <t>2.4.99.28</t>
  </si>
  <si>
    <t>R06178</t>
  </si>
  <si>
    <t>R06177</t>
  </si>
  <si>
    <t>R04519</t>
  </si>
  <si>
    <t>R06179</t>
  </si>
  <si>
    <t>R04573</t>
  </si>
  <si>
    <t>R04617</t>
  </si>
  <si>
    <t>R05629</t>
  </si>
  <si>
    <t>R05630</t>
  </si>
  <si>
    <t>R05662</t>
  </si>
  <si>
    <t>R06174</t>
  </si>
  <si>
    <t>R06172</t>
  </si>
  <si>
    <t>R05032</t>
  </si>
  <si>
    <t>R06173</t>
  </si>
  <si>
    <t>R03192</t>
  </si>
  <si>
    <t>R03191</t>
  </si>
  <si>
    <t>3.1.21.10</t>
  </si>
  <si>
    <t xml:space="preserve">3.1.22.4 </t>
  </si>
  <si>
    <t>R02065</t>
  </si>
  <si>
    <t>R07916</t>
  </si>
  <si>
    <t>R07270</t>
  </si>
  <si>
    <t>R10177</t>
  </si>
  <si>
    <t>R04218</t>
  </si>
  <si>
    <t>R00034</t>
  </si>
  <si>
    <t>R08765</t>
  </si>
  <si>
    <t>R04159</t>
  </si>
  <si>
    <t>R03971</t>
  </si>
  <si>
    <t>R03970</t>
  </si>
  <si>
    <t>R03916</t>
  </si>
  <si>
    <t>R04935</t>
  </si>
  <si>
    <t>R03867</t>
  </si>
  <si>
    <t>R01687</t>
  </si>
  <si>
    <t>R01262</t>
  </si>
  <si>
    <t>R00751</t>
  </si>
  <si>
    <t>R06171</t>
  </si>
  <si>
    <t>R01821</t>
  </si>
  <si>
    <t>R06185</t>
  </si>
  <si>
    <t>R02111</t>
  </si>
  <si>
    <t>R06050</t>
  </si>
  <si>
    <t>2.3.3.21</t>
  </si>
  <si>
    <t>R07399</t>
  </si>
  <si>
    <t>R04439</t>
  </si>
  <si>
    <t>R05071</t>
  </si>
  <si>
    <t>R05069</t>
  </si>
  <si>
    <t>R05068</t>
  </si>
  <si>
    <t>R04440</t>
  </si>
  <si>
    <t>R03051</t>
  </si>
  <si>
    <t>R00006</t>
  </si>
  <si>
    <t>R08648</t>
  </si>
  <si>
    <t>R04673</t>
  </si>
  <si>
    <t>R04672</t>
  </si>
  <si>
    <t>R03050</t>
  </si>
  <si>
    <t>R00014</t>
  </si>
  <si>
    <t>R00226</t>
  </si>
  <si>
    <t>R02016</t>
  </si>
  <si>
    <t>R09372</t>
  </si>
  <si>
    <t>R03596</t>
  </si>
  <si>
    <t>R00900</t>
  </si>
  <si>
    <t>R00405</t>
  </si>
  <si>
    <t>R02404</t>
  </si>
  <si>
    <t>R05196</t>
  </si>
  <si>
    <t>R06069</t>
  </si>
  <si>
    <t>R01976</t>
  </si>
  <si>
    <t>R05576</t>
  </si>
  <si>
    <t>R00539</t>
  </si>
  <si>
    <t>R01515</t>
  </si>
  <si>
    <t>R01421</t>
  </si>
  <si>
    <t>R00317</t>
  </si>
  <si>
    <t>R03968</t>
  </si>
  <si>
    <t>R10170</t>
  </si>
  <si>
    <t>R04001</t>
  </si>
  <si>
    <t>R01652</t>
  </si>
  <si>
    <t>R00994</t>
  </si>
  <si>
    <t>R10052</t>
  </si>
  <si>
    <t>R04426</t>
  </si>
  <si>
    <t>R01209</t>
  </si>
  <si>
    <t>R05070</t>
  </si>
  <si>
    <t>R04441</t>
  </si>
  <si>
    <t>R00235</t>
  </si>
  <si>
    <t>R01354</t>
  </si>
  <si>
    <t>R00926</t>
  </si>
  <si>
    <t>R00925</t>
  </si>
  <si>
    <t>R00316</t>
  </si>
  <si>
    <t>R00236</t>
  </si>
  <si>
    <t>R04325</t>
  </si>
  <si>
    <t>R04326</t>
  </si>
  <si>
    <t>R04379</t>
  </si>
  <si>
    <t>R04482</t>
  </si>
  <si>
    <t>R02488</t>
  </si>
  <si>
    <t>R10074</t>
  </si>
  <si>
    <t>R03028</t>
  </si>
  <si>
    <t>R02487</t>
  </si>
  <si>
    <t>R00465</t>
  </si>
  <si>
    <t>R02527</t>
  </si>
  <si>
    <t>R01392</t>
  </si>
  <si>
    <t>R00267</t>
  </si>
  <si>
    <t>R01899</t>
  </si>
  <si>
    <t>R00268</t>
  </si>
  <si>
    <t>R03647</t>
  </si>
  <si>
    <t>R02164</t>
  </si>
  <si>
    <t>R13223</t>
  </si>
  <si>
    <t>R02768</t>
  </si>
  <si>
    <t>R10119</t>
  </si>
  <si>
    <t>R10115</t>
  </si>
  <si>
    <t>R07762</t>
  </si>
  <si>
    <t>R04968</t>
  </si>
  <si>
    <t>R04963</t>
  </si>
  <si>
    <t>R04960</t>
  </si>
  <si>
    <t>R04957</t>
  </si>
  <si>
    <t>R04952</t>
  </si>
  <si>
    <t>R04726</t>
  </si>
  <si>
    <t>R04355</t>
  </si>
  <si>
    <t>R01051</t>
  </si>
  <si>
    <t>R02750</t>
  </si>
  <si>
    <t>R03243</t>
  </si>
  <si>
    <t>7.1.1.2</t>
  </si>
  <si>
    <t>R11945</t>
  </si>
  <si>
    <t>R01324</t>
  </si>
  <si>
    <t>R01900</t>
  </si>
  <si>
    <t>R01325</t>
  </si>
  <si>
    <t>R00162</t>
  </si>
  <si>
    <t>R03632</t>
  </si>
  <si>
    <t>R01158</t>
  </si>
  <si>
    <t>R03012</t>
  </si>
  <si>
    <t>R01163</t>
  </si>
  <si>
    <t>R02975</t>
  </si>
  <si>
    <t>R11763</t>
  </si>
  <si>
    <t>R11762</t>
  </si>
  <si>
    <t>R01813</t>
  </si>
  <si>
    <t>R08208</t>
  </si>
  <si>
    <t>7.2.2.21</t>
  </si>
  <si>
    <t>R08575</t>
  </si>
  <si>
    <t>R01827</t>
  </si>
  <si>
    <t>R01248</t>
  </si>
  <si>
    <t>R03293</t>
  </si>
  <si>
    <t>R03291</t>
  </si>
  <si>
    <t>R01251</t>
  </si>
  <si>
    <t>R03197</t>
  </si>
  <si>
    <t>R04972</t>
  </si>
  <si>
    <t>4.98.1.1</t>
  </si>
  <si>
    <t>R00310</t>
  </si>
  <si>
    <t>R07145</t>
  </si>
  <si>
    <t>R01896</t>
  </si>
  <si>
    <t>R00875</t>
  </si>
  <si>
    <t>R03659</t>
  </si>
  <si>
    <t>R04773</t>
  </si>
  <si>
    <t>R01056</t>
  </si>
  <si>
    <t>R09030</t>
  </si>
  <si>
    <t>1.11.1.24</t>
  </si>
  <si>
    <t>1.11.1.25</t>
  </si>
  <si>
    <t>1.11.1.26</t>
  </si>
  <si>
    <t>1.11.1.27</t>
  </si>
  <si>
    <t>1.11.1.28</t>
  </si>
  <si>
    <t>R12570</t>
  </si>
  <si>
    <t>R12571</t>
  </si>
  <si>
    <t>R12579</t>
  </si>
  <si>
    <t>R12602</t>
  </si>
  <si>
    <t>R12603</t>
  </si>
  <si>
    <t>1.11.1.29</t>
  </si>
  <si>
    <t>R12578</t>
  </si>
  <si>
    <t>R00674</t>
  </si>
  <si>
    <t>R02722</t>
  </si>
  <si>
    <t>R02340</t>
  </si>
  <si>
    <t>R01920</t>
  </si>
  <si>
    <t>R08359</t>
  </si>
  <si>
    <t>R01373</t>
  </si>
  <si>
    <t>R00691</t>
  </si>
  <si>
    <t>R00342</t>
  </si>
  <si>
    <t>R07136</t>
  </si>
  <si>
    <t>R04125</t>
  </si>
  <si>
    <t>R02300</t>
  </si>
  <si>
    <t>R00214</t>
  </si>
  <si>
    <t>R00217</t>
  </si>
  <si>
    <t>R01226</t>
  </si>
  <si>
    <t>R01216</t>
  </si>
  <si>
    <t>R00849</t>
  </si>
  <si>
    <t>R00848</t>
  </si>
  <si>
    <t>R08657</t>
  </si>
  <si>
    <t>R08244</t>
  </si>
  <si>
    <t>R01231</t>
  </si>
  <si>
    <t>R01230</t>
  </si>
  <si>
    <t>R01360</t>
  </si>
  <si>
    <t>R08090</t>
  </si>
  <si>
    <t>1.6.5.9</t>
  </si>
  <si>
    <t>R70358</t>
  </si>
  <si>
    <t>R02163</t>
  </si>
  <si>
    <t>R01466</t>
  </si>
  <si>
    <t>R05086</t>
  </si>
  <si>
    <t>R01773</t>
  </si>
  <si>
    <t>R01775</t>
  </si>
  <si>
    <t>R00623</t>
  </si>
  <si>
    <t>R07105</t>
  </si>
  <si>
    <t>R02246</t>
  </si>
  <si>
    <t>R08310</t>
  </si>
  <si>
    <t>R00624</t>
  </si>
  <si>
    <t>R10783</t>
  </si>
  <si>
    <t>R08558</t>
  </si>
  <si>
    <t>R08557</t>
  </si>
  <si>
    <t>R08306</t>
  </si>
  <si>
    <t>R08281</t>
  </si>
  <si>
    <t>R06927</t>
  </si>
  <si>
    <t>R06917</t>
  </si>
  <si>
    <t>R05234</t>
  </si>
  <si>
    <t>R05233</t>
  </si>
  <si>
    <t>R04880</t>
  </si>
  <si>
    <t>R04805</t>
  </si>
  <si>
    <t>R02878</t>
  </si>
  <si>
    <t>R02124</t>
  </si>
  <si>
    <t>R00754</t>
  </si>
  <si>
    <t>R01641</t>
  </si>
  <si>
    <t>R06863</t>
  </si>
  <si>
    <t>R06861</t>
  </si>
  <si>
    <t>R06590</t>
  </si>
  <si>
    <t>R01830</t>
  </si>
  <si>
    <t>R01067</t>
  </si>
  <si>
    <t>5.6.2.5</t>
  </si>
  <si>
    <t>5.6.2.6</t>
  </si>
  <si>
    <t>5.6.2.7</t>
  </si>
  <si>
    <t>R01516</t>
  </si>
  <si>
    <t>R01518</t>
  </si>
  <si>
    <t>R02241</t>
  </si>
  <si>
    <t>R09381</t>
  </si>
  <si>
    <t>R02760</t>
  </si>
  <si>
    <t>R00512</t>
  </si>
  <si>
    <t>R01665</t>
  </si>
  <si>
    <t>R00114</t>
  </si>
  <si>
    <t>R00248</t>
  </si>
  <si>
    <t>R07133</t>
  </si>
  <si>
    <t>R05607</t>
  </si>
  <si>
    <t>R01090</t>
  </si>
  <si>
    <t>R10991</t>
  </si>
  <si>
    <t>R02199</t>
  </si>
  <si>
    <t>R01214</t>
  </si>
  <si>
    <t>R00009</t>
  </si>
  <si>
    <t>R02670</t>
  </si>
  <si>
    <t>R00602</t>
  </si>
  <si>
    <t>R00396</t>
  </si>
  <si>
    <t>R00365</t>
  </si>
  <si>
    <t>R01132</t>
  </si>
  <si>
    <t>R08245</t>
  </si>
  <si>
    <t>R08238</t>
  </si>
  <si>
    <t>R08237</t>
  </si>
  <si>
    <t>R02142</t>
  </si>
  <si>
    <t>R01229</t>
  </si>
  <si>
    <t>R07148</t>
  </si>
  <si>
    <t>R07675</t>
  </si>
  <si>
    <t>R08926</t>
  </si>
  <si>
    <t>R00986</t>
  </si>
  <si>
    <t>R00985</t>
  </si>
  <si>
    <t>R00245</t>
  </si>
  <si>
    <t>R13148</t>
  </si>
  <si>
    <t>R05051</t>
  </si>
  <si>
    <t>R04445</t>
  </si>
  <si>
    <t>R04444</t>
  </si>
  <si>
    <t>R00708</t>
  </si>
  <si>
    <t>R00707</t>
  </si>
  <si>
    <t>5.6.2.1</t>
  </si>
  <si>
    <t>R04090</t>
  </si>
  <si>
    <t>R01736</t>
  </si>
  <si>
    <t>R00177</t>
  </si>
  <si>
    <t>R04771</t>
  </si>
  <si>
    <t>R02319</t>
  </si>
  <si>
    <t>R00615</t>
  </si>
  <si>
    <t>R00086</t>
  </si>
  <si>
    <t>R00485</t>
  </si>
  <si>
    <t>R00087</t>
  </si>
  <si>
    <t>R00331</t>
  </si>
  <si>
    <t>R11895</t>
  </si>
  <si>
    <t>R11894</t>
  </si>
  <si>
    <t>R12853</t>
  </si>
  <si>
    <t>R03530</t>
  </si>
  <si>
    <t>R02331</t>
  </si>
  <si>
    <t>R02326</t>
  </si>
  <si>
    <t>R02093</t>
  </si>
  <si>
    <t>R01857</t>
  </si>
  <si>
    <t>R01137</t>
  </si>
  <si>
    <t>R00722</t>
  </si>
  <si>
    <t>R00570</t>
  </si>
  <si>
    <t>R00330</t>
  </si>
  <si>
    <t>R00156</t>
  </si>
  <si>
    <t>R00139</t>
  </si>
  <si>
    <t>R00124</t>
  </si>
  <si>
    <t>R03067</t>
  </si>
  <si>
    <t>R03066</t>
  </si>
  <si>
    <t>2.3.1.266</t>
  </si>
  <si>
    <t>2.3.1.267</t>
  </si>
  <si>
    <t>R04316</t>
  </si>
  <si>
    <t>R01699</t>
  </si>
  <si>
    <t>R03270</t>
  </si>
  <si>
    <t>R00899</t>
  </si>
  <si>
    <t>R04951</t>
  </si>
  <si>
    <t>R02740</t>
  </si>
  <si>
    <t>R13199</t>
  </si>
  <si>
    <t>R03321</t>
  </si>
  <si>
    <t>R02739</t>
  </si>
  <si>
    <t>R00771</t>
  </si>
  <si>
    <t>7.1.1.8</t>
  </si>
  <si>
    <t>R13224</t>
  </si>
  <si>
    <t>R02161</t>
  </si>
  <si>
    <t>R00669</t>
  </si>
  <si>
    <t>R09107</t>
  </si>
  <si>
    <t>R00299</t>
  </si>
  <si>
    <t>R01786</t>
  </si>
  <si>
    <t>R01600</t>
  </si>
  <si>
    <t>R00424</t>
  </si>
  <si>
    <t>R05048</t>
  </si>
  <si>
    <t>R05046</t>
  </si>
  <si>
    <t>R04639</t>
  </si>
  <si>
    <t>R00428</t>
  </si>
  <si>
    <t>R01232</t>
  </si>
  <si>
    <t>R02805</t>
  </si>
  <si>
    <t>R00969</t>
  </si>
  <si>
    <t>R00184</t>
  </si>
  <si>
    <t>R05635</t>
  </si>
  <si>
    <t>R04268</t>
  </si>
  <si>
    <t>R02749</t>
  </si>
  <si>
    <t>R01403</t>
  </si>
  <si>
    <t>R07765</t>
  </si>
  <si>
    <t>R04969</t>
  </si>
  <si>
    <t>R04966</t>
  </si>
  <si>
    <t>R04961</t>
  </si>
  <si>
    <t>R04958</t>
  </si>
  <si>
    <t>R04955</t>
  </si>
  <si>
    <t>R04724</t>
  </si>
  <si>
    <t>R04429</t>
  </si>
  <si>
    <t>R04779</t>
  </si>
  <si>
    <t>R03239</t>
  </si>
  <si>
    <t>R03238</t>
  </si>
  <si>
    <t>R03237</t>
  </si>
  <si>
    <t>R03236</t>
  </si>
  <si>
    <t>R01843</t>
  </si>
  <si>
    <t>R00770</t>
  </si>
  <si>
    <t>R00769</t>
  </si>
  <si>
    <t>R00767</t>
  </si>
  <si>
    <t>R00756</t>
  </si>
  <si>
    <t>R00857</t>
  </si>
  <si>
    <t>R01470</t>
  </si>
  <si>
    <t>R01030</t>
  </si>
  <si>
    <t>C11039</t>
  </si>
  <si>
    <t>C00631</t>
  </si>
  <si>
    <t>C03356</t>
  </si>
  <si>
    <t>C00002 | C00022</t>
  </si>
  <si>
    <t>C00022 | C00118</t>
  </si>
  <si>
    <t>C00979 | C01528</t>
  </si>
  <si>
    <t>C03798</t>
  </si>
  <si>
    <t>C11436</t>
  </si>
  <si>
    <t>C00103</t>
  </si>
  <si>
    <t>C00620</t>
  </si>
  <si>
    <t>C01171</t>
  </si>
  <si>
    <t>C00002 | C04640</t>
  </si>
  <si>
    <t>C04732 | C15556</t>
  </si>
  <si>
    <t>C05662</t>
  </si>
  <si>
    <t>C00718</t>
  </si>
  <si>
    <t>C00001</t>
  </si>
  <si>
    <t>C01898</t>
  </si>
  <si>
    <t>C00111</t>
  </si>
  <si>
    <t>C00630 | C15973</t>
  </si>
  <si>
    <t>C02939 | C15973</t>
  </si>
  <si>
    <t>C00100 | C15973</t>
  </si>
  <si>
    <t>C00141 | C15972</t>
  </si>
  <si>
    <t>C00233 | C15972</t>
  </si>
  <si>
    <t>C00671 | C15972</t>
  </si>
  <si>
    <t>C00002 | C00120 | C04736</t>
  </si>
  <si>
    <t>C00002 | C00120</t>
  </si>
  <si>
    <t>C05921 | C06249</t>
  </si>
  <si>
    <t>C00002 | C00044</t>
  </si>
  <si>
    <t>C00640</t>
  </si>
  <si>
    <t>C01144</t>
  </si>
  <si>
    <t>C05668</t>
  </si>
  <si>
    <t>C05262</t>
  </si>
  <si>
    <t>C04405</t>
  </si>
  <si>
    <t>C05258</t>
  </si>
  <si>
    <t>C05260</t>
  </si>
  <si>
    <t>C05264</t>
  </si>
  <si>
    <t>C05266</t>
  </si>
  <si>
    <t>C05268</t>
  </si>
  <si>
    <t>C16329</t>
  </si>
  <si>
    <t>C16333</t>
  </si>
  <si>
    <t>C16337</t>
  </si>
  <si>
    <t>C01086</t>
  </si>
  <si>
    <t>C05998</t>
  </si>
  <si>
    <t>C00026 | C15972</t>
  </si>
  <si>
    <t>C00026 | C00068</t>
  </si>
  <si>
    <t>C05381 | C15972</t>
  </si>
  <si>
    <t>C00091 | C15973</t>
  </si>
  <si>
    <t>C00527 | C15973</t>
  </si>
  <si>
    <t>C03406</t>
  </si>
  <si>
    <t>C00024 | C00025</t>
  </si>
  <si>
    <t>C00002 | C01563</t>
  </si>
  <si>
    <t>C00002 | C00288</t>
  </si>
  <si>
    <t>C00014 | C20969</t>
  </si>
  <si>
    <t>C00188</t>
  </si>
  <si>
    <t>C17234</t>
  </si>
  <si>
    <t>C00065</t>
  </si>
  <si>
    <t>C05167</t>
  </si>
  <si>
    <t>C00002 | C01185</t>
  </si>
  <si>
    <t>C00002 | C00455</t>
  </si>
  <si>
    <t>C00354</t>
  </si>
  <si>
    <t>C05378</t>
  </si>
  <si>
    <t>C00447</t>
  </si>
  <si>
    <t>C01094</t>
  </si>
  <si>
    <t>C00002 | C00024 | C00288</t>
  </si>
  <si>
    <t>C00035 | C00636</t>
  </si>
  <si>
    <t>C00002 | C01300</t>
  </si>
  <si>
    <t>C01103</t>
  </si>
  <si>
    <t>C00097 | C02743</t>
  </si>
  <si>
    <t>C00311</t>
  </si>
  <si>
    <t>C00002 | C00041 | C01635</t>
  </si>
  <si>
    <t>C04105</t>
  </si>
  <si>
    <t>C02480</t>
  </si>
  <si>
    <t>C04559</t>
  </si>
  <si>
    <t>C03585</t>
  </si>
  <si>
    <t>C16474</t>
  </si>
  <si>
    <t>C04112</t>
  </si>
  <si>
    <t>C01271</t>
  </si>
  <si>
    <t>C04618</t>
  </si>
  <si>
    <t>C04619</t>
  </si>
  <si>
    <t>C04620</t>
  </si>
  <si>
    <t>C04633</t>
  </si>
  <si>
    <t>C04688</t>
  </si>
  <si>
    <t>C05747</t>
  </si>
  <si>
    <t>C05757</t>
  </si>
  <si>
    <t>C20373</t>
  </si>
  <si>
    <t>C20377</t>
  </si>
  <si>
    <t>C00002 | C00046</t>
  </si>
  <si>
    <t>C00044 | C00046</t>
  </si>
  <si>
    <t>C00201</t>
  </si>
  <si>
    <t>C15522</t>
  </si>
  <si>
    <t>C00002 | C00103</t>
  </si>
  <si>
    <t>C00498 | C00718</t>
  </si>
  <si>
    <t>C00002 | C00020</t>
  </si>
  <si>
    <t>C00002 | C00360</t>
  </si>
  <si>
    <t>C00002 | C00144</t>
  </si>
  <si>
    <t>C00002 | C00362</t>
  </si>
  <si>
    <t>C04352</t>
  </si>
  <si>
    <t>C00065 | C01217</t>
  </si>
  <si>
    <t>C03794</t>
  </si>
  <si>
    <t>C04823</t>
  </si>
  <si>
    <t>C22395</t>
  </si>
  <si>
    <t>C01278</t>
  </si>
  <si>
    <t>C01024</t>
  </si>
  <si>
    <t>C04302</t>
  </si>
  <si>
    <t>C00002 | C00364</t>
  </si>
  <si>
    <t>C00002 | C00365</t>
  </si>
  <si>
    <t>C00430</t>
  </si>
  <si>
    <t>C00002 | C00378</t>
  </si>
  <si>
    <t>C00002 | C00082 | C00787</t>
  </si>
  <si>
    <t>C00002 | C00263</t>
  </si>
  <si>
    <t>C00010 | C03688</t>
  </si>
  <si>
    <t>C04691</t>
  </si>
  <si>
    <t>C00002 | C00493</t>
  </si>
  <si>
    <t>C01269</t>
  </si>
  <si>
    <t>C05533</t>
  </si>
  <si>
    <t>C00002 | C00864</t>
  </si>
  <si>
    <t>C00002 | C00831</t>
  </si>
  <si>
    <t>C00002 | C04079</t>
  </si>
  <si>
    <t>C00944</t>
  </si>
  <si>
    <t>C00019 | C01764</t>
  </si>
  <si>
    <t>C00043</t>
  </si>
  <si>
    <t>C06156</t>
  </si>
  <si>
    <t>C00083 | C00229</t>
  </si>
  <si>
    <t>C00024 | C01209</t>
  </si>
  <si>
    <t>C02218</t>
  </si>
  <si>
    <t>C04332</t>
  </si>
  <si>
    <t>C00199</t>
  </si>
  <si>
    <t>C01213</t>
  </si>
  <si>
    <t>C00002 | C00047 | C01646</t>
  </si>
  <si>
    <t>C00002 | C00641</t>
  </si>
  <si>
    <t>C00002 | C00882</t>
  </si>
  <si>
    <t>C00029</t>
  </si>
  <si>
    <t>C00842</t>
  </si>
  <si>
    <t>C00007 | C01000</t>
  </si>
  <si>
    <t>C01170 | C01289</t>
  </si>
  <si>
    <t>C00096</t>
  </si>
  <si>
    <t>C01222</t>
  </si>
  <si>
    <t>C00052 | C17556</t>
  </si>
  <si>
    <t>C00019 | C00821</t>
  </si>
  <si>
    <t>C00024</t>
  </si>
  <si>
    <t>C00024 | C00136</t>
  </si>
  <si>
    <t>C05232</t>
  </si>
  <si>
    <t>C15613</t>
  </si>
  <si>
    <t>C17345</t>
  </si>
  <si>
    <t>C23011</t>
  </si>
  <si>
    <t>C00244 | C15603</t>
  </si>
  <si>
    <t>C00244 | C06259</t>
  </si>
  <si>
    <t>C00680</t>
  </si>
  <si>
    <t>C12147</t>
  </si>
  <si>
    <t>C01185 | C03114</t>
  </si>
  <si>
    <t>C00002 | C00541 | C03024</t>
  </si>
  <si>
    <t>C00002 | C00853</t>
  </si>
  <si>
    <t>C00002 | C05774</t>
  </si>
  <si>
    <t>C00002 | C00059</t>
  </si>
  <si>
    <t>C00002 | C05697</t>
  </si>
  <si>
    <t>C00019 | C01051</t>
  </si>
  <si>
    <t>C00019 | C15527</t>
  </si>
  <si>
    <t>C00019 | C02469</t>
  </si>
  <si>
    <t>C00020 | C00094 | C00343</t>
  </si>
  <si>
    <t>C04752 | C20247</t>
  </si>
  <si>
    <t>C04752 | C20246</t>
  </si>
  <si>
    <t>C00002 | C04556</t>
  </si>
  <si>
    <t>C00275</t>
  </si>
  <si>
    <t>C00002</t>
  </si>
  <si>
    <t>C00044</t>
  </si>
  <si>
    <t>C00002 | C00095</t>
  </si>
  <si>
    <t>C00002 | C02336</t>
  </si>
  <si>
    <t>C04052</t>
  </si>
  <si>
    <t>C00019 | C06407</t>
  </si>
  <si>
    <t>C00019 | C02463</t>
  </si>
  <si>
    <t>C06408</t>
  </si>
  <si>
    <t>C00040 | C04253</t>
  </si>
  <si>
    <t>C00129</t>
  </si>
  <si>
    <t>C00041 | C00222</t>
  </si>
  <si>
    <t>C00041 | C06002</t>
  </si>
  <si>
    <t>C00002 | C00984</t>
  </si>
  <si>
    <t>C00002 | C00097 | C01639</t>
  </si>
  <si>
    <t>C00002 | C00065 | C01650</t>
  </si>
  <si>
    <t>C00002 | C00065 | C16636</t>
  </si>
  <si>
    <t>C00251</t>
  </si>
  <si>
    <t>C00002 | C01134</t>
  </si>
  <si>
    <t>C01077 | C05688</t>
  </si>
  <si>
    <t>C01118 | C05688</t>
  </si>
  <si>
    <t>C00024 | C00263</t>
  </si>
  <si>
    <t>C00118</t>
  </si>
  <si>
    <t>C00002 | C00197</t>
  </si>
  <si>
    <t>C00019 | C01977</t>
  </si>
  <si>
    <t>C00009 | C00036</t>
  </si>
  <si>
    <t>C11355</t>
  </si>
  <si>
    <t>C00049</t>
  </si>
  <si>
    <t>C00235 | C17324</t>
  </si>
  <si>
    <t>C00002 | C00214</t>
  </si>
  <si>
    <t>C00002 | C00526</t>
  </si>
  <si>
    <t>C05893 | C11826</t>
  </si>
  <si>
    <t>C05898 | C11827</t>
  </si>
  <si>
    <t>C04702 | C17556</t>
  </si>
  <si>
    <t>C04882 | C17556</t>
  </si>
  <si>
    <t>C00353</t>
  </si>
  <si>
    <t>C03427</t>
  </si>
  <si>
    <t>C03103</t>
  </si>
  <si>
    <t>C17509</t>
  </si>
  <si>
    <t>C00051 | C00151</t>
  </si>
  <si>
    <t>C03193 | C05689</t>
  </si>
  <si>
    <t>C05519</t>
  </si>
  <si>
    <t>C00077</t>
  </si>
  <si>
    <t>C00002 | C00183 | C01653</t>
  </si>
  <si>
    <t>C04896</t>
  </si>
  <si>
    <t>C01302</t>
  </si>
  <si>
    <t>C00009</t>
  </si>
  <si>
    <t>C00673</t>
  </si>
  <si>
    <t>C06006</t>
  </si>
  <si>
    <t>C06010</t>
  </si>
  <si>
    <t>C00022 | C00068</t>
  </si>
  <si>
    <t>C00109 | C05125</t>
  </si>
  <si>
    <t>C00022 | C00109</t>
  </si>
  <si>
    <t>C00005 | C00080 | C18902</t>
  </si>
  <si>
    <t>C00149</t>
  </si>
  <si>
    <t>C00002 | C00064 | C01640</t>
  </si>
  <si>
    <t>C00002 | C00037 | C01642</t>
  </si>
  <si>
    <t>C00031</t>
  </si>
  <si>
    <t>C04188</t>
  </si>
  <si>
    <t>C02504</t>
  </si>
  <si>
    <t>C04411</t>
  </si>
  <si>
    <t>C04039</t>
  </si>
  <si>
    <t>C04272</t>
  </si>
  <si>
    <t>C06007</t>
  </si>
  <si>
    <t>C00002 | C00033</t>
  </si>
  <si>
    <t>C00002 | C00163</t>
  </si>
  <si>
    <t>C00234 | C03838</t>
  </si>
  <si>
    <t>C04186</t>
  </si>
  <si>
    <t>C05364</t>
  </si>
  <si>
    <t>C00527 | C04253</t>
  </si>
  <si>
    <t>C02411</t>
  </si>
  <si>
    <t>C05379</t>
  </si>
  <si>
    <t>C00002 | C00062 | C01636</t>
  </si>
  <si>
    <t>C00002 | C00559</t>
  </si>
  <si>
    <t>C00002 | C00049 | C01637</t>
  </si>
  <si>
    <t>C00019 | C00080</t>
  </si>
  <si>
    <t>C00173 | C01209</t>
  </si>
  <si>
    <t>C00002 | C00121</t>
  </si>
  <si>
    <t>C04666</t>
  </si>
  <si>
    <t>C00002 | C01081</t>
  </si>
  <si>
    <t>C00019 | C20648</t>
  </si>
  <si>
    <t>C00158</t>
  </si>
  <si>
    <t>C00002 | C00017</t>
  </si>
  <si>
    <t>C00002 | C01609</t>
  </si>
  <si>
    <t>C00002 | C00135 | C01643</t>
  </si>
  <si>
    <t>C00002 | C00152 | C01637</t>
  </si>
  <si>
    <t>C04244</t>
  </si>
  <si>
    <t>C00002 | C00407 | C01644</t>
  </si>
  <si>
    <t>C00002 | C00105</t>
  </si>
  <si>
    <t>C00063 | C00416</t>
  </si>
  <si>
    <t>C01051</t>
  </si>
  <si>
    <t>C05766</t>
  </si>
  <si>
    <t>C02191 | C14818</t>
  </si>
  <si>
    <t>C00002 | C00073 | C01647</t>
  </si>
  <si>
    <t>C00117</t>
  </si>
  <si>
    <t>C02962</t>
  </si>
  <si>
    <t>C00342 | C15498</t>
  </si>
  <si>
    <t>C07292 | C15498</t>
  </si>
  <si>
    <t>C00051 | C15498</t>
  </si>
  <si>
    <t>C04751</t>
  </si>
  <si>
    <t>C00106 | C00117</t>
  </si>
  <si>
    <t>C00966</t>
  </si>
  <si>
    <t>C00093 | C15602</t>
  </si>
  <si>
    <t>C00093 | C00399</t>
  </si>
  <si>
    <t>C00002 | C00116</t>
  </si>
  <si>
    <t>C00075 | C00446</t>
  </si>
  <si>
    <t>C00002 | C00133</t>
  </si>
  <si>
    <t>C00002 | C00117</t>
  </si>
  <si>
    <t>C03539</t>
  </si>
  <si>
    <t>C00356</t>
  </si>
  <si>
    <t>C04675</t>
  </si>
  <si>
    <t>C00085 | C00118</t>
  </si>
  <si>
    <t>C00002 | C00148 | C01649</t>
  </si>
  <si>
    <t>C00605 | C00681</t>
  </si>
  <si>
    <t>C00173 | C00681</t>
  </si>
  <si>
    <t>C00074 | C03175</t>
  </si>
  <si>
    <t>C00002 | C00055</t>
  </si>
  <si>
    <t>C00002 | C00239</t>
  </si>
  <si>
    <t>C00027</t>
  </si>
  <si>
    <t>C00668</t>
  </si>
  <si>
    <t>C00002 | C00188 | C01651</t>
  </si>
  <si>
    <t>C00002 | C00031</t>
  </si>
  <si>
    <t>C00002 | C00221</t>
  </si>
  <si>
    <t>C00002 | C00267</t>
  </si>
  <si>
    <t>C05923</t>
  </si>
  <si>
    <t>C00064 | C00085</t>
  </si>
  <si>
    <t>C00672</t>
  </si>
  <si>
    <t>C01977 | C16675</t>
  </si>
  <si>
    <t>C00002 | C00123 | C01645</t>
  </si>
  <si>
    <t>C00002 | C00025</t>
  </si>
  <si>
    <t>C00041</t>
  </si>
  <si>
    <t>C00002 | C00079 | C01648</t>
  </si>
  <si>
    <t>C00002 | C05345</t>
  </si>
  <si>
    <t>C00002 | C00085</t>
  </si>
  <si>
    <t>C00063 | C00085</t>
  </si>
  <si>
    <t>C00075 | C00085</t>
  </si>
  <si>
    <t>C00081 | C00085</t>
  </si>
  <si>
    <t>C00002 | C05382</t>
  </si>
  <si>
    <t>C00063 | C01097</t>
  </si>
  <si>
    <t>C00075 | C01097</t>
  </si>
  <si>
    <t>C00081 | C01097</t>
  </si>
  <si>
    <t>C21031</t>
  </si>
  <si>
    <t>C00008 | C00074</t>
  </si>
  <si>
    <t>C00035 | C00074</t>
  </si>
  <si>
    <t>C00015 | C00074</t>
  </si>
  <si>
    <t>C03633</t>
  </si>
  <si>
    <t>C00092</t>
  </si>
  <si>
    <t>C03735</t>
  </si>
  <si>
    <t>C00008 | C00009 | C03373</t>
  </si>
  <si>
    <t>C00369</t>
  </si>
  <si>
    <t>C00760 | C01898</t>
  </si>
  <si>
    <t>C00185</t>
  </si>
  <si>
    <t>C00010 | C15977</t>
  </si>
  <si>
    <t>C00010 | C15979</t>
  </si>
  <si>
    <t>C00010 | C15975</t>
  </si>
  <si>
    <t>C00010 | C21018</t>
  </si>
  <si>
    <t>C00013 | C05921</t>
  </si>
  <si>
    <t>C00020 | C06250</t>
  </si>
  <si>
    <t>C00013 | C00842</t>
  </si>
  <si>
    <t>C00020 | C04494</t>
  </si>
  <si>
    <t>C06000</t>
  </si>
  <si>
    <t>C05116</t>
  </si>
  <si>
    <t>C11947</t>
  </si>
  <si>
    <t>C14145</t>
  </si>
  <si>
    <t>C16469</t>
  </si>
  <si>
    <t>C00010 | C16254</t>
  </si>
  <si>
    <t>C00010 | C06157</t>
  </si>
  <si>
    <t>C00010 | C00624</t>
  </si>
  <si>
    <t>C00008 | C00009 | C00025 | C00169</t>
  </si>
  <si>
    <t>C00008 | C00169</t>
  </si>
  <si>
    <t>C00008 | C20969</t>
  </si>
  <si>
    <t>C00008 | C00009 | C00169</t>
  </si>
  <si>
    <t>C00008 | C00009 | C00234</t>
  </si>
  <si>
    <t>C20905</t>
  </si>
  <si>
    <t>C00013 | C00857</t>
  </si>
  <si>
    <t>C00111 | C00118</t>
  </si>
  <si>
    <t>C00111 | C00279</t>
  </si>
  <si>
    <t>C00111 | C00577</t>
  </si>
  <si>
    <t>C00178 | C00672</t>
  </si>
  <si>
    <t>C00106 | C00620</t>
  </si>
  <si>
    <t>C00380 | C00620</t>
  </si>
  <si>
    <t>C00106 | C00672</t>
  </si>
  <si>
    <t>C00008 | C00009 | C00083</t>
  </si>
  <si>
    <t>C19709 | C19843</t>
  </si>
  <si>
    <t>C00009 | C00096</t>
  </si>
  <si>
    <t>C00020 | C04807</t>
  </si>
  <si>
    <t>C00046 | C00454</t>
  </si>
  <si>
    <t>C00046 | C00112</t>
  </si>
  <si>
    <t>C00846</t>
  </si>
  <si>
    <t>C00041 | C21440</t>
  </si>
  <si>
    <t>C15811 | C21440</t>
  </si>
  <si>
    <t>C00042 | C00048</t>
  </si>
  <si>
    <t>C14610</t>
  </si>
  <si>
    <t>C16476</t>
  </si>
  <si>
    <t>C04558</t>
  </si>
  <si>
    <t>C00013 | C00046</t>
  </si>
  <si>
    <t>C00010 | C00060</t>
  </si>
  <si>
    <t>C00060 | C02954</t>
  </si>
  <si>
    <t>C02954 | C07086</t>
  </si>
  <si>
    <t>C00013 | C00498</t>
  </si>
  <si>
    <t>C00008 | C00718</t>
  </si>
  <si>
    <t>C00008</t>
  </si>
  <si>
    <t>C00008 | C00206</t>
  </si>
  <si>
    <t>C03800 | C11475</t>
  </si>
  <si>
    <t>C00267</t>
  </si>
  <si>
    <t>C00008 | C00035</t>
  </si>
  <si>
    <t>C00008 | C00361</t>
  </si>
  <si>
    <t>C00008 | C00009 | C04823</t>
  </si>
  <si>
    <t>C00122 | C04677</t>
  </si>
  <si>
    <t>C00035 | C00342</t>
  </si>
  <si>
    <t>C03723 | C16663</t>
  </si>
  <si>
    <t>C00008 | C00009 | C00445</t>
  </si>
  <si>
    <t>C00008 | C00363</t>
  </si>
  <si>
    <t>C00008 | C01346</t>
  </si>
  <si>
    <t>C00008 | C00009 | C00063</t>
  </si>
  <si>
    <t>C00020 | C00068</t>
  </si>
  <si>
    <t>C00008 | C01102</t>
  </si>
  <si>
    <t>C00054 | C00229</t>
  </si>
  <si>
    <t>C00008 | C03175</t>
  </si>
  <si>
    <t>C00008 | C03492</t>
  </si>
  <si>
    <t>C00008 | C01134</t>
  </si>
  <si>
    <t>C00008 | C04352</t>
  </si>
  <si>
    <t>C00021 | C03446</t>
  </si>
  <si>
    <t>C00008 | C00009 | C00415</t>
  </si>
  <si>
    <t>C00008 | C00009 | C05928</t>
  </si>
  <si>
    <t>C00008 | C00009 | C00064</t>
  </si>
  <si>
    <t>C00058 | C00101</t>
  </si>
  <si>
    <t>C01170</t>
  </si>
  <si>
    <t>C00106 | C00119</t>
  </si>
  <si>
    <t>C00147 | C00620</t>
  </si>
  <si>
    <t>C00262 | C00620</t>
  </si>
  <si>
    <t>C00242 | C00620</t>
  </si>
  <si>
    <t>C00385 | C00620</t>
  </si>
  <si>
    <t>C00242 | C00672</t>
  </si>
  <si>
    <t>C00147 | C00672</t>
  </si>
  <si>
    <t>C00262 | C00672</t>
  </si>
  <si>
    <t>C00153 | C00620</t>
  </si>
  <si>
    <t>C00352</t>
  </si>
  <si>
    <t>C00010 | C01209</t>
  </si>
  <si>
    <t>C00077 | C00086</t>
  </si>
  <si>
    <t>C20904</t>
  </si>
  <si>
    <t>C00255 | C04732</t>
  </si>
  <si>
    <t>C00091</t>
  </si>
  <si>
    <t>C00008 | C00416</t>
  </si>
  <si>
    <t>C00008 | C00010</t>
  </si>
  <si>
    <t>C00052</t>
  </si>
  <si>
    <t>C00203</t>
  </si>
  <si>
    <t>C02097</t>
  </si>
  <si>
    <t>C00008 | C00009 | C04419</t>
  </si>
  <si>
    <t>C00015 | C04881</t>
  </si>
  <si>
    <t>C14830</t>
  </si>
  <si>
    <t>C00105 | C04507</t>
  </si>
  <si>
    <t>C00021 | C03391</t>
  </si>
  <si>
    <t>C00010 | C00332</t>
  </si>
  <si>
    <t>C00010 | C03344</t>
  </si>
  <si>
    <t>C00010 | C05269</t>
  </si>
  <si>
    <t>C05329</t>
  </si>
  <si>
    <t>C17343</t>
  </si>
  <si>
    <t>C17346</t>
  </si>
  <si>
    <t>C20840</t>
  </si>
  <si>
    <t>C00020 | C00117</t>
  </si>
  <si>
    <t>C04734</t>
  </si>
  <si>
    <t>C00008 | C00009 | C06508</t>
  </si>
  <si>
    <t>C00144 | C21153</t>
  </si>
  <si>
    <t>C00536 | C06508</t>
  </si>
  <si>
    <t>C00013 | C00224</t>
  </si>
  <si>
    <t>C00013 | C05686</t>
  </si>
  <si>
    <t>C00021 | C02463</t>
  </si>
  <si>
    <t>C00021 | C15527</t>
  </si>
  <si>
    <t>C00021 | C05778</t>
  </si>
  <si>
    <t>C00224 | C00342</t>
  </si>
  <si>
    <t>C00013 | C01081</t>
  </si>
  <si>
    <t>C00008 | C04752</t>
  </si>
  <si>
    <t>C00085</t>
  </si>
  <si>
    <t>C05345</t>
  </si>
  <si>
    <t>C00010 | C00227</t>
  </si>
  <si>
    <t>C00008 | C00085</t>
  </si>
  <si>
    <t>C00008 | C05345</t>
  </si>
  <si>
    <t>C04642</t>
  </si>
  <si>
    <t>C00021 | C06416</t>
  </si>
  <si>
    <t>C06399</t>
  </si>
  <si>
    <t>C00011 | C00014</t>
  </si>
  <si>
    <t>C00605 | C04570</t>
  </si>
  <si>
    <t>C00235</t>
  </si>
  <si>
    <t>C00022 | C00099</t>
  </si>
  <si>
    <t>C00022 | C03284</t>
  </si>
  <si>
    <t>C00008 | C00446</t>
  </si>
  <si>
    <t>C00254</t>
  </si>
  <si>
    <t>C00013 | C00882</t>
  </si>
  <si>
    <t>C00010 | C01077</t>
  </si>
  <si>
    <t>C03741</t>
  </si>
  <si>
    <t>C00008 | C00236</t>
  </si>
  <si>
    <t>C00094 | C01755</t>
  </si>
  <si>
    <t>C00021 | C04157</t>
  </si>
  <si>
    <t>C00013 | C04432</t>
  </si>
  <si>
    <t>C00008 | C00364</t>
  </si>
  <si>
    <t>C00008 | C00365</t>
  </si>
  <si>
    <t>C04574 | C11826</t>
  </si>
  <si>
    <t>C04574</t>
  </si>
  <si>
    <t>C04574 | C11827</t>
  </si>
  <si>
    <t>C00008 | C00009 | C04702</t>
  </si>
  <si>
    <t>C00008 | C00009 | C04882</t>
  </si>
  <si>
    <t>C00105 | C04851</t>
  </si>
  <si>
    <t>C00105 | C05897</t>
  </si>
  <si>
    <t>C00008 | C00009 | C00692</t>
  </si>
  <si>
    <t>C00008 | C00009 | C01212</t>
  </si>
  <si>
    <t>C00013 | C03427</t>
  </si>
  <si>
    <t>C00013 | C05421</t>
  </si>
  <si>
    <t>C08249</t>
  </si>
  <si>
    <t>C17510</t>
  </si>
  <si>
    <t>C00012 | C03363</t>
  </si>
  <si>
    <t>C01419 | C03740</t>
  </si>
  <si>
    <t>C00012 | C05844</t>
  </si>
  <si>
    <t>C00012 | C05695</t>
  </si>
  <si>
    <t>C00037 | C00084</t>
  </si>
  <si>
    <t>C04916</t>
  </si>
  <si>
    <t>C00077 | C00624</t>
  </si>
  <si>
    <t>C00009 | C00327</t>
  </si>
  <si>
    <t>C14463</t>
  </si>
  <si>
    <t>C04181</t>
  </si>
  <si>
    <t>C00022</t>
  </si>
  <si>
    <t>C00008 | C00009 | C00091</t>
  </si>
  <si>
    <t>C00008 | C00009 | C00531</t>
  </si>
  <si>
    <t>C00208</t>
  </si>
  <si>
    <t>C04582</t>
  </si>
  <si>
    <t>C04236</t>
  </si>
  <si>
    <t>C00020 | C00024</t>
  </si>
  <si>
    <t>C00013 | C05993</t>
  </si>
  <si>
    <t>C00020 | C00100</t>
  </si>
  <si>
    <t>C00013 | C05983</t>
  </si>
  <si>
    <t>C00008 | C00009 | C03838</t>
  </si>
  <si>
    <t>C00101 | C04376</t>
  </si>
  <si>
    <t>C04324</t>
  </si>
  <si>
    <t>C02411 | C04570</t>
  </si>
  <si>
    <t>C00009 | C00438</t>
  </si>
  <si>
    <t>C00438</t>
  </si>
  <si>
    <t>C00008 | C00360</t>
  </si>
  <si>
    <t>C00330 | C00536</t>
  </si>
  <si>
    <t>C00008 | C00117</t>
  </si>
  <si>
    <t>C00008 | C00068</t>
  </si>
  <si>
    <t>C00021 | C20796</t>
  </si>
  <si>
    <t>C00008 | C00562</t>
  </si>
  <si>
    <t>C00008 | C02729</t>
  </si>
  <si>
    <t>C21640</t>
  </si>
  <si>
    <t>C00279 | C05345</t>
  </si>
  <si>
    <t>C00008 | C00015</t>
  </si>
  <si>
    <t>C00013 | C00269</t>
  </si>
  <si>
    <t>C00032 | C00080</t>
  </si>
  <si>
    <t>C18096</t>
  </si>
  <si>
    <t>C00101 | C00966</t>
  </si>
  <si>
    <t>C00111 | C15603</t>
  </si>
  <si>
    <t>C00111 | C00390</t>
  </si>
  <si>
    <t>C00111 | C01352</t>
  </si>
  <si>
    <t>C00008 | C00093</t>
  </si>
  <si>
    <t>C00013 | C00052</t>
  </si>
  <si>
    <t>C00008 | C00009 | C00993</t>
  </si>
  <si>
    <t>C00020 | C00119</t>
  </si>
  <si>
    <t>C00147 | C03089</t>
  </si>
  <si>
    <t>C00008 | C00009 | C03231</t>
  </si>
  <si>
    <t>C00024 | C00164</t>
  </si>
  <si>
    <t>C00231</t>
  </si>
  <si>
    <t>C00117 | C00231</t>
  </si>
  <si>
    <t>C00197 | C04262</t>
  </si>
  <si>
    <t>C00197</t>
  </si>
  <si>
    <t>C00010 | C00416</t>
  </si>
  <si>
    <t>C00229 | C00416</t>
  </si>
  <si>
    <t>C00009 | C01269</t>
  </si>
  <si>
    <t>C00008 | C00112</t>
  </si>
  <si>
    <t>C00008 | C00705</t>
  </si>
  <si>
    <t>C00002 | C00119</t>
  </si>
  <si>
    <t>C00021 | C04545</t>
  </si>
  <si>
    <t>C00108 | C00119</t>
  </si>
  <si>
    <t>C00033 | C00077</t>
  </si>
  <si>
    <t>C00033 | C00327</t>
  </si>
  <si>
    <t>C00008 | C00092</t>
  </si>
  <si>
    <t>C00008 | C01172</t>
  </si>
  <si>
    <t>C00008 | C00668</t>
  </si>
  <si>
    <t>C05922</t>
  </si>
  <si>
    <t>C06148</t>
  </si>
  <si>
    <t>C00044 | C00144</t>
  </si>
  <si>
    <t>C00075 | C00105</t>
  </si>
  <si>
    <t>C00025 | C00352</t>
  </si>
  <si>
    <t>C00101 | C03294</t>
  </si>
  <si>
    <t>C00058 | C03617</t>
  </si>
  <si>
    <t>C00008 | C03287</t>
  </si>
  <si>
    <t>C00133</t>
  </si>
  <si>
    <t>C00008 | C05378</t>
  </si>
  <si>
    <t>C00008 | C00354</t>
  </si>
  <si>
    <t>C00112 | C00354</t>
  </si>
  <si>
    <t>C00015 | C00354</t>
  </si>
  <si>
    <t>C00104 | C00354</t>
  </si>
  <si>
    <t>C00008 | C00447</t>
  </si>
  <si>
    <t>C00112 | C03785</t>
  </si>
  <si>
    <t>C00015 | C03785</t>
  </si>
  <si>
    <t>C00104 | C03785</t>
  </si>
  <si>
    <t>C00069 | C00093</t>
  </si>
  <si>
    <t>Enzymes</t>
  </si>
  <si>
    <t>No.</t>
  </si>
  <si>
    <t>Products (Multiplication)</t>
  </si>
  <si>
    <t>Reactants (Multiplication)</t>
  </si>
  <si>
    <t>Reactants (Addition)</t>
  </si>
  <si>
    <t>Rate Law</t>
  </si>
  <si>
    <t>Equation</t>
  </si>
  <si>
    <t xml:space="preserve">Products (Addition) </t>
  </si>
  <si>
    <t>Outdated EC</t>
  </si>
  <si>
    <t>KEGG EC link</t>
  </si>
  <si>
    <t>C00002 + C00022</t>
  </si>
  <si>
    <t>C00022 + C00118</t>
  </si>
  <si>
    <t>C00979 + C01528</t>
  </si>
  <si>
    <t>C00002 + C04640</t>
  </si>
  <si>
    <t>C04732 + C15556</t>
  </si>
  <si>
    <t>C00630 + C15973</t>
  </si>
  <si>
    <t>C02939 + C15973</t>
  </si>
  <si>
    <t>C00100 + C15973</t>
  </si>
  <si>
    <t>C00141 + C15972</t>
  </si>
  <si>
    <t>C00233 + C15972</t>
  </si>
  <si>
    <t>C00671 + C15972</t>
  </si>
  <si>
    <t>C00002 + C00120 + C04736</t>
  </si>
  <si>
    <t>C00002 + C00120</t>
  </si>
  <si>
    <t>C05921 + C06249</t>
  </si>
  <si>
    <t>C00002 + C00044</t>
  </si>
  <si>
    <t>C00026 + C15972</t>
  </si>
  <si>
    <t>C00026 + C00068</t>
  </si>
  <si>
    <t>C05381 + C15972</t>
  </si>
  <si>
    <t>C00091 + C15973</t>
  </si>
  <si>
    <t>C00527 + C15973</t>
  </si>
  <si>
    <t>C00024 + C00025</t>
  </si>
  <si>
    <t>C00002 + C01563</t>
  </si>
  <si>
    <t>C00002 + C00288</t>
  </si>
  <si>
    <t>C00014 + C20969</t>
  </si>
  <si>
    <t>C00002 + C01185</t>
  </si>
  <si>
    <t>C00002 + C00455</t>
  </si>
  <si>
    <t>C00002 + C00024 + C00288</t>
  </si>
  <si>
    <t>C00035 + C00636</t>
  </si>
  <si>
    <t>C00002 + C01300</t>
  </si>
  <si>
    <t>C00097 + C02743</t>
  </si>
  <si>
    <t>C00002 + C00041 + C01635</t>
  </si>
  <si>
    <t>C00002 + C00046</t>
  </si>
  <si>
    <t>C00044 + C00046</t>
  </si>
  <si>
    <t>C00002 + C00103</t>
  </si>
  <si>
    <t>C00498 + C00718</t>
  </si>
  <si>
    <t>C00002 + C00020</t>
  </si>
  <si>
    <t>C00002 + C00360</t>
  </si>
  <si>
    <t>C00002 + C00144</t>
  </si>
  <si>
    <t>C00002 + C00362</t>
  </si>
  <si>
    <t>C00065 + C01217</t>
  </si>
  <si>
    <t>C00002 + C00364</t>
  </si>
  <si>
    <t>C00002 + C00365</t>
  </si>
  <si>
    <t>C00002 + C00378</t>
  </si>
  <si>
    <t>C00002 + C00082 + C00787</t>
  </si>
  <si>
    <t>C00002 + C00263</t>
  </si>
  <si>
    <t>C00010 + C03688</t>
  </si>
  <si>
    <t>C00002 + C00493</t>
  </si>
  <si>
    <t>C00002 + C00864</t>
  </si>
  <si>
    <t>C00002 + C00831</t>
  </si>
  <si>
    <t>C00002 + C04079</t>
  </si>
  <si>
    <t>C00019 + C01764</t>
  </si>
  <si>
    <t>C00083 + C00229</t>
  </si>
  <si>
    <t>C00024 + C01209</t>
  </si>
  <si>
    <t>C00002 + C00047 + C01646</t>
  </si>
  <si>
    <t>C00002 + C00641</t>
  </si>
  <si>
    <t>C00002 + C00882</t>
  </si>
  <si>
    <t>C00007 + C01000</t>
  </si>
  <si>
    <t>C01170 + C01289</t>
  </si>
  <si>
    <t>C00052 + C17556</t>
  </si>
  <si>
    <t>C00019 + C00821</t>
  </si>
  <si>
    <t>C00024 + C00136</t>
  </si>
  <si>
    <t>C00244 + C15603</t>
  </si>
  <si>
    <t>C00244 + C06259</t>
  </si>
  <si>
    <t>C01185 + C03114</t>
  </si>
  <si>
    <t>C00002 + C00541 + C03024</t>
  </si>
  <si>
    <t>C00002 + C00853</t>
  </si>
  <si>
    <t>C00002 + C05774</t>
  </si>
  <si>
    <t>C00002 + C00059</t>
  </si>
  <si>
    <t>C00002 + C05697</t>
  </si>
  <si>
    <t>C00019 + C01051</t>
  </si>
  <si>
    <t>C00019 + C15527</t>
  </si>
  <si>
    <t>C00019 + C02469</t>
  </si>
  <si>
    <t>C00020 + C00094 + C00343</t>
  </si>
  <si>
    <t>C04752 + C20247</t>
  </si>
  <si>
    <t>C04752 + C20246</t>
  </si>
  <si>
    <t>C00002 + C04556</t>
  </si>
  <si>
    <t>C00002 + C00095</t>
  </si>
  <si>
    <t>C00002 + C02336</t>
  </si>
  <si>
    <t>C00019 + C06407</t>
  </si>
  <si>
    <t>C00019 + C02463</t>
  </si>
  <si>
    <t>C00040 + C04253</t>
  </si>
  <si>
    <t>C00041 + C00222</t>
  </si>
  <si>
    <t>C00041 + C06002</t>
  </si>
  <si>
    <t>C00002 + C00984</t>
  </si>
  <si>
    <t>C00002 + C00097 + C01639</t>
  </si>
  <si>
    <t>C00002 + C00065 + C01650</t>
  </si>
  <si>
    <t>C00002 + C00065 + C16636</t>
  </si>
  <si>
    <t>C00002 + C01134</t>
  </si>
  <si>
    <t>C01077 + C05688</t>
  </si>
  <si>
    <t>C01118 + C05688</t>
  </si>
  <si>
    <t>C00024 + C00263</t>
  </si>
  <si>
    <t>C00002 + C00197</t>
  </si>
  <si>
    <t>C00019 + C01977</t>
  </si>
  <si>
    <t>C00009 + C00036</t>
  </si>
  <si>
    <t>C00235 + C17324</t>
  </si>
  <si>
    <t>C00002 + C00214</t>
  </si>
  <si>
    <t>C00002 + C00526</t>
  </si>
  <si>
    <t>C05893 + C11826</t>
  </si>
  <si>
    <t>C05898 + C11827</t>
  </si>
  <si>
    <t>C04702 + C17556</t>
  </si>
  <si>
    <t>C04882 + C17556</t>
  </si>
  <si>
    <t>C00051 + C00151</t>
  </si>
  <si>
    <t>C03193 + C05689</t>
  </si>
  <si>
    <t>C00002 + C00183 + C01653</t>
  </si>
  <si>
    <t>C00022 + C00068</t>
  </si>
  <si>
    <t>C00109 + C05125</t>
  </si>
  <si>
    <t>C00022 + C00109</t>
  </si>
  <si>
    <t>C00005 + C00080 + C18902</t>
  </si>
  <si>
    <t>C00002 + C00064 + C01640</t>
  </si>
  <si>
    <t>C00002 + C00037 + C01642</t>
  </si>
  <si>
    <t>C00002 + C00033</t>
  </si>
  <si>
    <t>C00002 + C00163</t>
  </si>
  <si>
    <t>C00234 + C03838</t>
  </si>
  <si>
    <t>C00527 + C04253</t>
  </si>
  <si>
    <t>C00002 + C00062 + C01636</t>
  </si>
  <si>
    <t>C00002 + C00559</t>
  </si>
  <si>
    <t>C00002 + C00049 + C01637</t>
  </si>
  <si>
    <t>C00019 + C00080</t>
  </si>
  <si>
    <t>C00173 + C01209</t>
  </si>
  <si>
    <t>C00002 + C00121</t>
  </si>
  <si>
    <t>C00002 + C01081</t>
  </si>
  <si>
    <t>C00019 + C20648</t>
  </si>
  <si>
    <t>C00002 + C00017</t>
  </si>
  <si>
    <t>C00002 + C01609</t>
  </si>
  <si>
    <t>C00002 + C00135 + C01643</t>
  </si>
  <si>
    <t>C00002 + C00152 + C01637</t>
  </si>
  <si>
    <t>C00002 + C00407 + C01644</t>
  </si>
  <si>
    <t>C00002 + C00105</t>
  </si>
  <si>
    <t>C00063 + C00416</t>
  </si>
  <si>
    <t>C02191 + C14818</t>
  </si>
  <si>
    <t>C00002 + C00073 + C01647</t>
  </si>
  <si>
    <t>C00342 + C15498</t>
  </si>
  <si>
    <t>C07292 + C15498</t>
  </si>
  <si>
    <t>C00051 + C15498</t>
  </si>
  <si>
    <t>C00106 + C00117</t>
  </si>
  <si>
    <t>C00093 + C15602</t>
  </si>
  <si>
    <t>C00093 + C00399</t>
  </si>
  <si>
    <t>C00002 + C00116</t>
  </si>
  <si>
    <t>C00075 + C00446</t>
  </si>
  <si>
    <t>C00002 + C00133</t>
  </si>
  <si>
    <t>C00002 + C00117</t>
  </si>
  <si>
    <t>C00085 + C00118</t>
  </si>
  <si>
    <t>C00002 + C00148 + C01649</t>
  </si>
  <si>
    <t>C00605 + C00681</t>
  </si>
  <si>
    <t>C00173 + C00681</t>
  </si>
  <si>
    <t>C00074 + C03175</t>
  </si>
  <si>
    <t>C00002 + C00055</t>
  </si>
  <si>
    <t>C00002 + C00239</t>
  </si>
  <si>
    <t>C00002 + C00188 + C01651</t>
  </si>
  <si>
    <t>C00002 + C00031</t>
  </si>
  <si>
    <t>C00002 + C00221</t>
  </si>
  <si>
    <t>C00002 + C00267</t>
  </si>
  <si>
    <t>C00064 + C00085</t>
  </si>
  <si>
    <t>C01977 + C16675</t>
  </si>
  <si>
    <t>C00002 + C00123 + C01645</t>
  </si>
  <si>
    <t>C00002 + C00025</t>
  </si>
  <si>
    <t>C00002 + C00079 + C01648</t>
  </si>
  <si>
    <t>C00002 + C05345</t>
  </si>
  <si>
    <t>C00002 + C00085</t>
  </si>
  <si>
    <t>C00063 + C00085</t>
  </si>
  <si>
    <t>C00075 + C00085</t>
  </si>
  <si>
    <t>C00081 + C00085</t>
  </si>
  <si>
    <t>C00002 + C05382</t>
  </si>
  <si>
    <t>C00063 + C01097</t>
  </si>
  <si>
    <t>C00075 + C01097</t>
  </si>
  <si>
    <t>C00081 + C01097</t>
  </si>
  <si>
    <t>C00002 * C00022</t>
  </si>
  <si>
    <t>C00022 * C00118</t>
  </si>
  <si>
    <t>C00979 * C01528</t>
  </si>
  <si>
    <t>C00002 * C04640</t>
  </si>
  <si>
    <t>C04732 * C15556</t>
  </si>
  <si>
    <t>C00630 * C15973</t>
  </si>
  <si>
    <t>C02939 * C15973</t>
  </si>
  <si>
    <t>C00100 * C15973</t>
  </si>
  <si>
    <t>C00141 * C15972</t>
  </si>
  <si>
    <t>C00233 * C15972</t>
  </si>
  <si>
    <t>C00671 * C15972</t>
  </si>
  <si>
    <t>C00002 * C00120 * C04736</t>
  </si>
  <si>
    <t>C00002 * C00120</t>
  </si>
  <si>
    <t>C05921 * C06249</t>
  </si>
  <si>
    <t>C00002 * C00044</t>
  </si>
  <si>
    <t>C00026 * C15972</t>
  </si>
  <si>
    <t>C00026 * C00068</t>
  </si>
  <si>
    <t>C05381 * C15972</t>
  </si>
  <si>
    <t>C00091 * C15973</t>
  </si>
  <si>
    <t>C00527 * C15973</t>
  </si>
  <si>
    <t>C00024 * C00025</t>
  </si>
  <si>
    <t>C00002 * C01563</t>
  </si>
  <si>
    <t>C00002 * C00288</t>
  </si>
  <si>
    <t>C00014 * C20969</t>
  </si>
  <si>
    <t>C00002 * C01185</t>
  </si>
  <si>
    <t>C00002 * C00455</t>
  </si>
  <si>
    <t>C00002 * C00024 * C00288</t>
  </si>
  <si>
    <t>C00035 * C00636</t>
  </si>
  <si>
    <t>C00002 * C01300</t>
  </si>
  <si>
    <t>C00097 * C02743</t>
  </si>
  <si>
    <t>C00002 * C00041 * C01635</t>
  </si>
  <si>
    <t>C00002 * C00046</t>
  </si>
  <si>
    <t>C00044 * C00046</t>
  </si>
  <si>
    <t>C00002 * C00103</t>
  </si>
  <si>
    <t>C00498 * C00718</t>
  </si>
  <si>
    <t>C00002 * C00020</t>
  </si>
  <si>
    <t>C00002 * C00360</t>
  </si>
  <si>
    <t>C00002 * C00144</t>
  </si>
  <si>
    <t>C00002 * C00362</t>
  </si>
  <si>
    <t>C00065 * C01217</t>
  </si>
  <si>
    <t>C00002 * C00364</t>
  </si>
  <si>
    <t>C00002 * C00365</t>
  </si>
  <si>
    <t>C00002 * C00378</t>
  </si>
  <si>
    <t>C00002 * C00082 * C00787</t>
  </si>
  <si>
    <t>C00002 * C00263</t>
  </si>
  <si>
    <t>C00010 * C03688</t>
  </si>
  <si>
    <t>C00002 * C00493</t>
  </si>
  <si>
    <t>C00002 * C00864</t>
  </si>
  <si>
    <t>C00002 * C00831</t>
  </si>
  <si>
    <t>C00002 * C04079</t>
  </si>
  <si>
    <t>C00019 * C01764</t>
  </si>
  <si>
    <t>C00083 * C00229</t>
  </si>
  <si>
    <t>C00024 * C01209</t>
  </si>
  <si>
    <t>C00002 * C00047 * C01646</t>
  </si>
  <si>
    <t>C00002 * C00641</t>
  </si>
  <si>
    <t>C00002 * C00882</t>
  </si>
  <si>
    <t>C00007 * C01000</t>
  </si>
  <si>
    <t>C01170 * C01289</t>
  </si>
  <si>
    <t>C00052 * C17556</t>
  </si>
  <si>
    <t>C00019 * C00821</t>
  </si>
  <si>
    <t>C00024 * C00136</t>
  </si>
  <si>
    <t>C00244 * C15603</t>
  </si>
  <si>
    <t>C00244 * C06259</t>
  </si>
  <si>
    <t>C01185 * C03114</t>
  </si>
  <si>
    <t>C00002 * C00541 * C03024</t>
  </si>
  <si>
    <t>C00002 * C00853</t>
  </si>
  <si>
    <t>C00002 * C05774</t>
  </si>
  <si>
    <t>C00002 * C00059</t>
  </si>
  <si>
    <t>C00002 * C05697</t>
  </si>
  <si>
    <t>C00019 * C01051</t>
  </si>
  <si>
    <t>C00019 * C15527</t>
  </si>
  <si>
    <t>C00019 * C02469</t>
  </si>
  <si>
    <t>C00020 * C00094 * C00343</t>
  </si>
  <si>
    <t>C04752 * C20247</t>
  </si>
  <si>
    <t>C04752 * C20246</t>
  </si>
  <si>
    <t>C00002 * C04556</t>
  </si>
  <si>
    <t>C00002 * C00095</t>
  </si>
  <si>
    <t>C00002 * C02336</t>
  </si>
  <si>
    <t>C00019 * C06407</t>
  </si>
  <si>
    <t>C00019 * C02463</t>
  </si>
  <si>
    <t>C00040 * C04253</t>
  </si>
  <si>
    <t>C00041 * C00222</t>
  </si>
  <si>
    <t>C00041 * C06002</t>
  </si>
  <si>
    <t>C00002 * C00984</t>
  </si>
  <si>
    <t>C00002 * C00097 * C01639</t>
  </si>
  <si>
    <t>C00002 * C00065 * C01650</t>
  </si>
  <si>
    <t>C00002 * C00065 * C16636</t>
  </si>
  <si>
    <t>C00002 * C01134</t>
  </si>
  <si>
    <t>C01077 * C05688</t>
  </si>
  <si>
    <t>C01118 * C05688</t>
  </si>
  <si>
    <t>C00024 * C00263</t>
  </si>
  <si>
    <t>C00002 * C00197</t>
  </si>
  <si>
    <t>C00019 * C01977</t>
  </si>
  <si>
    <t>C00009 * C00036</t>
  </si>
  <si>
    <t>C00235 * C17324</t>
  </si>
  <si>
    <t>C00002 * C00214</t>
  </si>
  <si>
    <t>C00002 * C00526</t>
  </si>
  <si>
    <t>C05893 * C11826</t>
  </si>
  <si>
    <t>C05898 * C11827</t>
  </si>
  <si>
    <t>C04702 * C17556</t>
  </si>
  <si>
    <t>C04882 * C17556</t>
  </si>
  <si>
    <t>C00051 * C00151</t>
  </si>
  <si>
    <t>C03193 * C05689</t>
  </si>
  <si>
    <t>C00002 * C00183 * C01653</t>
  </si>
  <si>
    <t>C00022 * C00068</t>
  </si>
  <si>
    <t>C00109 * C05125</t>
  </si>
  <si>
    <t>C00022 * C00109</t>
  </si>
  <si>
    <t>C00005 * C00080 * C18902</t>
  </si>
  <si>
    <t>C00002 * C00064 * C01640</t>
  </si>
  <si>
    <t>C00002 * C00037 * C01642</t>
  </si>
  <si>
    <t>C00002 * C00033</t>
  </si>
  <si>
    <t>C00002 * C00163</t>
  </si>
  <si>
    <t>C00234 * C03838</t>
  </si>
  <si>
    <t>C00527 * C04253</t>
  </si>
  <si>
    <t>C00002 * C00062 * C01636</t>
  </si>
  <si>
    <t>C00002 * C00559</t>
  </si>
  <si>
    <t>C00002 * C00049 * C01637</t>
  </si>
  <si>
    <t>C00019 * C00080</t>
  </si>
  <si>
    <t>C00173 * C01209</t>
  </si>
  <si>
    <t>C00002 * C00121</t>
  </si>
  <si>
    <t>C00002 * C01081</t>
  </si>
  <si>
    <t>C00019 * C20648</t>
  </si>
  <si>
    <t>C00002 * C00017</t>
  </si>
  <si>
    <t>C00002 * C01609</t>
  </si>
  <si>
    <t>C00002 * C00135 * C01643</t>
  </si>
  <si>
    <t>C00002 * C00152 * C01637</t>
  </si>
  <si>
    <t>C00002 * C00407 * C01644</t>
  </si>
  <si>
    <t>C00002 * C00105</t>
  </si>
  <si>
    <t>C00063 * C00416</t>
  </si>
  <si>
    <t>C02191 * C14818</t>
  </si>
  <si>
    <t>C00002 * C00073 * C01647</t>
  </si>
  <si>
    <t>C00342 * C15498</t>
  </si>
  <si>
    <t>C07292 * C15498</t>
  </si>
  <si>
    <t>C00051 * C15498</t>
  </si>
  <si>
    <t>C00106 * C00117</t>
  </si>
  <si>
    <t>C00093 * C15602</t>
  </si>
  <si>
    <t>C00093 * C00399</t>
  </si>
  <si>
    <t>C00002 * C00116</t>
  </si>
  <si>
    <t>C00075 * C00446</t>
  </si>
  <si>
    <t>C00002 * C00133</t>
  </si>
  <si>
    <t>C00002 * C00117</t>
  </si>
  <si>
    <t>C00085 * C00118</t>
  </si>
  <si>
    <t>C00002 * C00148 * C01649</t>
  </si>
  <si>
    <t>C00605 * C00681</t>
  </si>
  <si>
    <t>C00173 * C00681</t>
  </si>
  <si>
    <t>C00074 * C03175</t>
  </si>
  <si>
    <t>C00002 * C00055</t>
  </si>
  <si>
    <t>C00002 * C00239</t>
  </si>
  <si>
    <t>C00002 * C00188 * C01651</t>
  </si>
  <si>
    <t>C00002 * C00031</t>
  </si>
  <si>
    <t>C00002 * C00221</t>
  </si>
  <si>
    <t>C00002 * C00267</t>
  </si>
  <si>
    <t>C00064 * C00085</t>
  </si>
  <si>
    <t>C01977 * C16675</t>
  </si>
  <si>
    <t>C00002 * C00123 * C01645</t>
  </si>
  <si>
    <t>C00002 * C00025</t>
  </si>
  <si>
    <t>C00002 * C00079 * C01648</t>
  </si>
  <si>
    <t>C00002 * C05345</t>
  </si>
  <si>
    <t>C00002 * C00085</t>
  </si>
  <si>
    <t>C00063 * C00085</t>
  </si>
  <si>
    <t>C00075 * C00085</t>
  </si>
  <si>
    <t>C00081 * C00085</t>
  </si>
  <si>
    <t>C00002 * C05382</t>
  </si>
  <si>
    <t>C00063 * C01097</t>
  </si>
  <si>
    <t>C00075 * C01097</t>
  </si>
  <si>
    <t>C00081 * C01097</t>
  </si>
  <si>
    <t>C00013 + C00039</t>
  </si>
  <si>
    <t>C00008 + C00074</t>
  </si>
  <si>
    <t>C00035 + C00074</t>
  </si>
  <si>
    <t>C00015 + C00074</t>
  </si>
  <si>
    <t>C00008 + C00009 + C03373</t>
  </si>
  <si>
    <t>C00760 + C01898</t>
  </si>
  <si>
    <t>C00010 + C15977</t>
  </si>
  <si>
    <t>C00010 + C15979</t>
  </si>
  <si>
    <t>C00010 + C15975</t>
  </si>
  <si>
    <t>C00010 + C21018</t>
  </si>
  <si>
    <t>C00013 + C05921</t>
  </si>
  <si>
    <t>C00020 + C06250</t>
  </si>
  <si>
    <t>C00013 + C00842</t>
  </si>
  <si>
    <t>C00020 + C04494</t>
  </si>
  <si>
    <t>C00010 + C16254</t>
  </si>
  <si>
    <t>C00010 + C06157</t>
  </si>
  <si>
    <t>C00010 + C00624</t>
  </si>
  <si>
    <t>C00008 + C00009 + C00025 + C00169</t>
  </si>
  <si>
    <t>C00008 + C00169</t>
  </si>
  <si>
    <t>C00008 + C20969</t>
  </si>
  <si>
    <t>C00008 + C00009 + C00169</t>
  </si>
  <si>
    <t>C00008 + C00009 + C00234</t>
  </si>
  <si>
    <t>C00013 + C00857</t>
  </si>
  <si>
    <t>C00111 + C00118</t>
  </si>
  <si>
    <t>C00111 + C00279</t>
  </si>
  <si>
    <t>C00111 + C00577</t>
  </si>
  <si>
    <t>C00178 + C00672</t>
  </si>
  <si>
    <t>C00106 + C00620</t>
  </si>
  <si>
    <t>C00380 + C00620</t>
  </si>
  <si>
    <t>C00106 + C00672</t>
  </si>
  <si>
    <t>C00008 + C00009 + C00083</t>
  </si>
  <si>
    <t>C19709 + C19843</t>
  </si>
  <si>
    <t>C00009 + C00096</t>
  </si>
  <si>
    <t>C00020 + C04807</t>
  </si>
  <si>
    <t>C00046 + C00454</t>
  </si>
  <si>
    <t>C00046 + C00112</t>
  </si>
  <si>
    <t>C00041 + C21440</t>
  </si>
  <si>
    <t>C15811 + C21440</t>
  </si>
  <si>
    <t>C00042 + C00048</t>
  </si>
  <si>
    <t>C00013 + C00046</t>
  </si>
  <si>
    <t>C00010 + C00060</t>
  </si>
  <si>
    <t>C00060 + C02954</t>
  </si>
  <si>
    <t>C02954 + C07086</t>
  </si>
  <si>
    <t>C00013 + C00498</t>
  </si>
  <si>
    <t>C00008 + C00718</t>
  </si>
  <si>
    <t>C00008 + C00206</t>
  </si>
  <si>
    <t>C03800 + C11475</t>
  </si>
  <si>
    <t>C00008 + C00035</t>
  </si>
  <si>
    <t>C00008 + C00361</t>
  </si>
  <si>
    <t>C00008 + C00009 + C04823</t>
  </si>
  <si>
    <t>C00122 + C04677</t>
  </si>
  <si>
    <t>C00035 + C00342</t>
  </si>
  <si>
    <t>C03723 + C16663</t>
  </si>
  <si>
    <t>C00008 + C00009 + C00445</t>
  </si>
  <si>
    <t>C00008 + C00363</t>
  </si>
  <si>
    <t>C00008 + C01346</t>
  </si>
  <si>
    <t>C00008 + C00009 + C00063</t>
  </si>
  <si>
    <t>C00020 + C00068</t>
  </si>
  <si>
    <t>C00008 + C01102</t>
  </si>
  <si>
    <t>C00054 + C00229</t>
  </si>
  <si>
    <t>C00008 + C03175</t>
  </si>
  <si>
    <t>C00008 + C03492</t>
  </si>
  <si>
    <t>C00008 + C01134</t>
  </si>
  <si>
    <t>C00008 + C04352</t>
  </si>
  <si>
    <t>C00021 + C03446</t>
  </si>
  <si>
    <t>C00008 + C00009 + C00415</t>
  </si>
  <si>
    <t>C00008 + C00009 + C05928</t>
  </si>
  <si>
    <t>C00008 + C00009 + C00064</t>
  </si>
  <si>
    <t>C00058 + C00101</t>
  </si>
  <si>
    <t>C00106 + C00119</t>
  </si>
  <si>
    <t>C00147 + C00620</t>
  </si>
  <si>
    <t>C00262 + C00620</t>
  </si>
  <si>
    <t>C00242 + C00620</t>
  </si>
  <si>
    <t>C00385 + C00620</t>
  </si>
  <si>
    <t>C00242 + C00672</t>
  </si>
  <si>
    <t>C00147 + C00672</t>
  </si>
  <si>
    <t>C00262 + C00672</t>
  </si>
  <si>
    <t>C00153 + C00620</t>
  </si>
  <si>
    <t>C00010 + C01209</t>
  </si>
  <si>
    <t>C00077 + C00086</t>
  </si>
  <si>
    <t>C00255 + C04732</t>
  </si>
  <si>
    <t>C00008 + C00416</t>
  </si>
  <si>
    <t>C00008 + C00010</t>
  </si>
  <si>
    <t>C00008 + C00009 + C04419</t>
  </si>
  <si>
    <t>C00015 + C04881</t>
  </si>
  <si>
    <t>C00105 + C04507</t>
  </si>
  <si>
    <t>C00021 + C03391</t>
  </si>
  <si>
    <t>C00010 + C00332</t>
  </si>
  <si>
    <t>C00010 + C03344</t>
  </si>
  <si>
    <t>C00010 + C05269</t>
  </si>
  <si>
    <t>C00020 + C00117</t>
  </si>
  <si>
    <t>C00008 + C00009 + C06508</t>
  </si>
  <si>
    <t>C00144 + C21153</t>
  </si>
  <si>
    <t>C00536 + C06508</t>
  </si>
  <si>
    <t>C00013 + C00224</t>
  </si>
  <si>
    <t>C00013 + C05686</t>
  </si>
  <si>
    <t>C00021 + C02463</t>
  </si>
  <si>
    <t>C00021 + C15527</t>
  </si>
  <si>
    <t>C00021 + C05778</t>
  </si>
  <si>
    <t>C00224 + C00342</t>
  </si>
  <si>
    <t>C00013 + C01081</t>
  </si>
  <si>
    <t>C00008 + C04752</t>
  </si>
  <si>
    <t>C00010 + C00227</t>
  </si>
  <si>
    <t>C00008 + C00085</t>
  </si>
  <si>
    <t>C00008 + C05345</t>
  </si>
  <si>
    <t>C00021 + C06416</t>
  </si>
  <si>
    <t>C00011 + C00014</t>
  </si>
  <si>
    <t>C00605 + C04570</t>
  </si>
  <si>
    <t>C00022 + C00099</t>
  </si>
  <si>
    <t>C00022 + C03284</t>
  </si>
  <si>
    <t>C00008 + C00446</t>
  </si>
  <si>
    <t>C00013 + C00882</t>
  </si>
  <si>
    <t>C00010 + C01077</t>
  </si>
  <si>
    <t>C00008 + C00236</t>
  </si>
  <si>
    <t>C00094 + C01755</t>
  </si>
  <si>
    <t>C00021 + C04157</t>
  </si>
  <si>
    <t>C00013 + C04432</t>
  </si>
  <si>
    <t>C00008 + C00364</t>
  </si>
  <si>
    <t>C00008 + C00365</t>
  </si>
  <si>
    <t>C04574 + C11826</t>
  </si>
  <si>
    <t>C04574 + C11827</t>
  </si>
  <si>
    <t>C00008 + C00009 + C04702</t>
  </si>
  <si>
    <t>C00008 + C00009 + C04882</t>
  </si>
  <si>
    <t>C00105 + C04851</t>
  </si>
  <si>
    <t>C00105 + C05897</t>
  </si>
  <si>
    <t>C00008 + C00009 + C00692</t>
  </si>
  <si>
    <t>C00008 + C00009 + C01212</t>
  </si>
  <si>
    <t>C00013 + C03427</t>
  </si>
  <si>
    <t>C00013 + C05421</t>
  </si>
  <si>
    <t>C00012 + C03363</t>
  </si>
  <si>
    <t>C01419 + C03740</t>
  </si>
  <si>
    <t>C00012 + C05844</t>
  </si>
  <si>
    <t>C00012 + C05695</t>
  </si>
  <si>
    <t>C00037 + C00084</t>
  </si>
  <si>
    <t>C00077 + C00624</t>
  </si>
  <si>
    <t>C00009 + C00327</t>
  </si>
  <si>
    <t>C00008 + C00009 + C00091</t>
  </si>
  <si>
    <t>C00008 + C00009 + C00531</t>
  </si>
  <si>
    <t>C00020 + C00024</t>
  </si>
  <si>
    <t>C00013 + C05993</t>
  </si>
  <si>
    <t>C00020 + C00100</t>
  </si>
  <si>
    <t>C00013 + C05983</t>
  </si>
  <si>
    <t>C00008 + C00009 + C03838</t>
  </si>
  <si>
    <t>C00101 + C04376</t>
  </si>
  <si>
    <t>C02411 + C04570</t>
  </si>
  <si>
    <t>C00009 + C00438</t>
  </si>
  <si>
    <t>C00008 + C00360</t>
  </si>
  <si>
    <t>C00330 + C00536</t>
  </si>
  <si>
    <t>C00008 + C00117</t>
  </si>
  <si>
    <t>C00008 + C00068</t>
  </si>
  <si>
    <t>C00021 + C20796</t>
  </si>
  <si>
    <t>C00008 + C00562</t>
  </si>
  <si>
    <t>C00008 + C02729</t>
  </si>
  <si>
    <t>C00279 + C05345</t>
  </si>
  <si>
    <t>C00008 + C00015</t>
  </si>
  <si>
    <t>C00013 + C00269</t>
  </si>
  <si>
    <t>C00032 + C00080</t>
  </si>
  <si>
    <t>C00101 + C00966</t>
  </si>
  <si>
    <t>C00111 + C15603</t>
  </si>
  <si>
    <t>C00111 + C00390</t>
  </si>
  <si>
    <t>C00111 + C01352</t>
  </si>
  <si>
    <t>C00008 + C00093</t>
  </si>
  <si>
    <t>C00013 + C00052</t>
  </si>
  <si>
    <t>C00008 + C00009 + C00993</t>
  </si>
  <si>
    <t>C00020 + C00119</t>
  </si>
  <si>
    <t>C00147 + C03089</t>
  </si>
  <si>
    <t>C00008 + C00009 + C03231</t>
  </si>
  <si>
    <t>C00024 + C00164</t>
  </si>
  <si>
    <t>C00117 + C00231</t>
  </si>
  <si>
    <t>C00197 + C04262</t>
  </si>
  <si>
    <t>C00010 + C00416</t>
  </si>
  <si>
    <t>C00229 + C00416</t>
  </si>
  <si>
    <t>C00009 + C01269</t>
  </si>
  <si>
    <t>C00008 + C00112</t>
  </si>
  <si>
    <t>C00008 + C00705</t>
  </si>
  <si>
    <t>C00002 + C00119</t>
  </si>
  <si>
    <t>C00021 + C04545</t>
  </si>
  <si>
    <t>C00108 + C00119</t>
  </si>
  <si>
    <t>C00033 + C00077</t>
  </si>
  <si>
    <t>C00033 + C00327</t>
  </si>
  <si>
    <t>C00008 + C00092</t>
  </si>
  <si>
    <t>C00008 + C01172</t>
  </si>
  <si>
    <t>C00008 + C00668</t>
  </si>
  <si>
    <t>C00044 + C00144</t>
  </si>
  <si>
    <t>C00075 + C00105</t>
  </si>
  <si>
    <t>C00025 + C00352</t>
  </si>
  <si>
    <t>C00101 + C03294</t>
  </si>
  <si>
    <t>C00058 + C03617</t>
  </si>
  <si>
    <t>C00008 + C03287</t>
  </si>
  <si>
    <t>C00008 + C05378</t>
  </si>
  <si>
    <t>C00008 + C00354</t>
  </si>
  <si>
    <t>C00112 + C00354</t>
  </si>
  <si>
    <t>C00015 + C00354</t>
  </si>
  <si>
    <t>C00104 + C00354</t>
  </si>
  <si>
    <t>C00008 + C00447</t>
  </si>
  <si>
    <t>C00112 + C03785</t>
  </si>
  <si>
    <t>C00015 + C03785</t>
  </si>
  <si>
    <t>C00104 + C03785</t>
  </si>
  <si>
    <t>C00069 + C00093</t>
  </si>
  <si>
    <t>C00013 * C00039</t>
  </si>
  <si>
    <t>C00008 * C00074</t>
  </si>
  <si>
    <t>C00035 * C00074</t>
  </si>
  <si>
    <t>C00015 * C00074</t>
  </si>
  <si>
    <t>C00008 * C00009 * C03373</t>
  </si>
  <si>
    <t>C00760 * C01898</t>
  </si>
  <si>
    <t>C00010 * C15977</t>
  </si>
  <si>
    <t>C00010 * C15979</t>
  </si>
  <si>
    <t>C00010 * C15975</t>
  </si>
  <si>
    <t>C00010 * C21018</t>
  </si>
  <si>
    <t>C00013 * C05921</t>
  </si>
  <si>
    <t>C00020 * C06250</t>
  </si>
  <si>
    <t>C00013 * C00842</t>
  </si>
  <si>
    <t>C00020 * C04494</t>
  </si>
  <si>
    <t>C00010 * C16254</t>
  </si>
  <si>
    <t>C00010 * C06157</t>
  </si>
  <si>
    <t>C00010 * C00624</t>
  </si>
  <si>
    <t>C00008 * C00009 * C00025 * C00169</t>
  </si>
  <si>
    <t>C00008 * C00169</t>
  </si>
  <si>
    <t>C00008 * C20969</t>
  </si>
  <si>
    <t>C00008 * C00009 * C00169</t>
  </si>
  <si>
    <t>C00008 * C00009 * C00234</t>
  </si>
  <si>
    <t>C00013 * C00857</t>
  </si>
  <si>
    <t>C00111 * C00118</t>
  </si>
  <si>
    <t>C00111 * C00279</t>
  </si>
  <si>
    <t>C00111 * C00577</t>
  </si>
  <si>
    <t>C00178 * C00672</t>
  </si>
  <si>
    <t>C00106 * C00620</t>
  </si>
  <si>
    <t>C00380 * C00620</t>
  </si>
  <si>
    <t>C00106 * C00672</t>
  </si>
  <si>
    <t>C00008 * C00009 * C00083</t>
  </si>
  <si>
    <t>C19709 * C19843</t>
  </si>
  <si>
    <t>C00009 * C00096</t>
  </si>
  <si>
    <t>C00020 * C04807</t>
  </si>
  <si>
    <t>C00046 * C00454</t>
  </si>
  <si>
    <t>C00046 * C00112</t>
  </si>
  <si>
    <t>C00041 * C21440</t>
  </si>
  <si>
    <t>C15811 * C21440</t>
  </si>
  <si>
    <t>C00042 * C00048</t>
  </si>
  <si>
    <t>C00013 * C00046</t>
  </si>
  <si>
    <t>C00010 * C00060</t>
  </si>
  <si>
    <t>C00060 * C02954</t>
  </si>
  <si>
    <t>C02954 * C07086</t>
  </si>
  <si>
    <t>C00013 * C00498</t>
  </si>
  <si>
    <t>C00008 * C00718</t>
  </si>
  <si>
    <t>C00008 * C00206</t>
  </si>
  <si>
    <t>C03800 * C11475</t>
  </si>
  <si>
    <t>C00008 * C00035</t>
  </si>
  <si>
    <t>C00008 * C00361</t>
  </si>
  <si>
    <t>C00008 * C00009 * C04823</t>
  </si>
  <si>
    <t>C00122 * C04677</t>
  </si>
  <si>
    <t>C00035 * C00342</t>
  </si>
  <si>
    <t>C03723 * C16663</t>
  </si>
  <si>
    <t>C00008 * C00009 * C00445</t>
  </si>
  <si>
    <t>C00008 * C00363</t>
  </si>
  <si>
    <t>C00008 * C01346</t>
  </si>
  <si>
    <t>C00008 * C00009 * C00063</t>
  </si>
  <si>
    <t>C00020 * C00068</t>
  </si>
  <si>
    <t>C00008 * C01102</t>
  </si>
  <si>
    <t>C00054 * C00229</t>
  </si>
  <si>
    <t>C00008 * C03175</t>
  </si>
  <si>
    <t>C00008 * C03492</t>
  </si>
  <si>
    <t>C00008 * C01134</t>
  </si>
  <si>
    <t>C00008 * C04352</t>
  </si>
  <si>
    <t>C00021 * C03446</t>
  </si>
  <si>
    <t>C00008 * C00009 * C00415</t>
  </si>
  <si>
    <t>C00008 * C00009 * C05928</t>
  </si>
  <si>
    <t>C00008 * C00009 * C00064</t>
  </si>
  <si>
    <t>C00058 * C00101</t>
  </si>
  <si>
    <t>C00106 * C00119</t>
  </si>
  <si>
    <t>C00147 * C00620</t>
  </si>
  <si>
    <t>C00262 * C00620</t>
  </si>
  <si>
    <t>C00242 * C00620</t>
  </si>
  <si>
    <t>C00385 * C00620</t>
  </si>
  <si>
    <t>C00242 * C00672</t>
  </si>
  <si>
    <t>C00147 * C00672</t>
  </si>
  <si>
    <t>C00262 * C00672</t>
  </si>
  <si>
    <t>C00153 * C00620</t>
  </si>
  <si>
    <t>C00010 * C01209</t>
  </si>
  <si>
    <t>C00077 * C00086</t>
  </si>
  <si>
    <t>C00255 * C04732</t>
  </si>
  <si>
    <t>C00008 * C00416</t>
  </si>
  <si>
    <t>C00008 * C00010</t>
  </si>
  <si>
    <t>C00008 * C00009 * C04419</t>
  </si>
  <si>
    <t>C00015 * C04881</t>
  </si>
  <si>
    <t>C00105 * C04507</t>
  </si>
  <si>
    <t>C00021 * C03391</t>
  </si>
  <si>
    <t>C00010 * C00332</t>
  </si>
  <si>
    <t>C00010 * C03344</t>
  </si>
  <si>
    <t>C00010 * C05269</t>
  </si>
  <si>
    <t>C00020 * C00117</t>
  </si>
  <si>
    <t>C00008 * C00009 * C06508</t>
  </si>
  <si>
    <t>C00144 * C21153</t>
  </si>
  <si>
    <t>C00536 * C06508</t>
  </si>
  <si>
    <t>C00013 * C00224</t>
  </si>
  <si>
    <t>C00013 * C05686</t>
  </si>
  <si>
    <t>C00021 * C02463</t>
  </si>
  <si>
    <t>C00021 * C15527</t>
  </si>
  <si>
    <t>C00021 * C05778</t>
  </si>
  <si>
    <t>C00224 * C00342</t>
  </si>
  <si>
    <t>C00013 * C01081</t>
  </si>
  <si>
    <t>C00008 * C04752</t>
  </si>
  <si>
    <t>C00010 * C00227</t>
  </si>
  <si>
    <t>C00008 * C00085</t>
  </si>
  <si>
    <t>C00008 * C05345</t>
  </si>
  <si>
    <t>C00021 * C06416</t>
  </si>
  <si>
    <t>C00011 * C00014</t>
  </si>
  <si>
    <t>C00605 * C04570</t>
  </si>
  <si>
    <t>C00022 * C00099</t>
  </si>
  <si>
    <t>C00022 * C03284</t>
  </si>
  <si>
    <t>C00008 * C00446</t>
  </si>
  <si>
    <t>C00013 * C00882</t>
  </si>
  <si>
    <t>C00010 * C01077</t>
  </si>
  <si>
    <t>C00008 * C00236</t>
  </si>
  <si>
    <t>C00094 * C01755</t>
  </si>
  <si>
    <t>C00021 * C04157</t>
  </si>
  <si>
    <t>C00013 * C04432</t>
  </si>
  <si>
    <t>C00008 * C00364</t>
  </si>
  <si>
    <t>C00008 * C00365</t>
  </si>
  <si>
    <t>C04574 * C11826</t>
  </si>
  <si>
    <t>C04574 * C11827</t>
  </si>
  <si>
    <t>C00008 * C00009 * C04702</t>
  </si>
  <si>
    <t>C00008 * C00009 * C04882</t>
  </si>
  <si>
    <t>C00105 * C04851</t>
  </si>
  <si>
    <t>C00105 * C05897</t>
  </si>
  <si>
    <t>C00008 * C00009 * C00692</t>
  </si>
  <si>
    <t>C00008 * C00009 * C01212</t>
  </si>
  <si>
    <t>C00013 * C03427</t>
  </si>
  <si>
    <t>C00013 * C05421</t>
  </si>
  <si>
    <t>C00012 * C03363</t>
  </si>
  <si>
    <t>C01419 * C03740</t>
  </si>
  <si>
    <t>C00012 * C05844</t>
  </si>
  <si>
    <t>C00012 * C05695</t>
  </si>
  <si>
    <t>C00037 * C00084</t>
  </si>
  <si>
    <t>C00077 * C00624</t>
  </si>
  <si>
    <t>C00009 * C00327</t>
  </si>
  <si>
    <t>C00008 * C00009 * C00091</t>
  </si>
  <si>
    <t>C00008 * C00009 * C00531</t>
  </si>
  <si>
    <t>C00020 * C00024</t>
  </si>
  <si>
    <t>C00013 * C05993</t>
  </si>
  <si>
    <t>C00020 * C00100</t>
  </si>
  <si>
    <t>C00013 * C05983</t>
  </si>
  <si>
    <t>C00008 * C00009 * C03838</t>
  </si>
  <si>
    <t>C00101 * C04376</t>
  </si>
  <si>
    <t>C02411 * C04570</t>
  </si>
  <si>
    <t>C00009 * C00438</t>
  </si>
  <si>
    <t>C00008 * C00360</t>
  </si>
  <si>
    <t>C00330 * C00536</t>
  </si>
  <si>
    <t>C00008 * C00117</t>
  </si>
  <si>
    <t>C00008 * C00068</t>
  </si>
  <si>
    <t>C00021 * C20796</t>
  </si>
  <si>
    <t>C00008 * C00562</t>
  </si>
  <si>
    <t>C00008 * C02729</t>
  </si>
  <si>
    <t>C00279 * C05345</t>
  </si>
  <si>
    <t>C00008 * C00015</t>
  </si>
  <si>
    <t>C00013 * C00269</t>
  </si>
  <si>
    <t>C00032 * C00080</t>
  </si>
  <si>
    <t>C00101 * C00966</t>
  </si>
  <si>
    <t>C00111 * C15603</t>
  </si>
  <si>
    <t>C00111 * C00390</t>
  </si>
  <si>
    <t>C00111 * C01352</t>
  </si>
  <si>
    <t>C00008 * C00093</t>
  </si>
  <si>
    <t>C00013 * C00052</t>
  </si>
  <si>
    <t>C00008 * C00009 * C00993</t>
  </si>
  <si>
    <t>C00020 * C00119</t>
  </si>
  <si>
    <t>C00147 * C03089</t>
  </si>
  <si>
    <t>C00008 * C00009 * C03231</t>
  </si>
  <si>
    <t>C00024 * C00164</t>
  </si>
  <si>
    <t>C00117 * C00231</t>
  </si>
  <si>
    <t>C00197 * C04262</t>
  </si>
  <si>
    <t>C00010 * C00416</t>
  </si>
  <si>
    <t>C00229 * C00416</t>
  </si>
  <si>
    <t>C00009 * C01269</t>
  </si>
  <si>
    <t>C00008 * C00112</t>
  </si>
  <si>
    <t>C00008 * C00705</t>
  </si>
  <si>
    <t>C00002 * C00119</t>
  </si>
  <si>
    <t>C00021 * C04545</t>
  </si>
  <si>
    <t>C00108 * C00119</t>
  </si>
  <si>
    <t>C00033 * C00077</t>
  </si>
  <si>
    <t>C00033 * C00327</t>
  </si>
  <si>
    <t>C00008 * C00092</t>
  </si>
  <si>
    <t>C00008 * C01172</t>
  </si>
  <si>
    <t>C00008 * C00668</t>
  </si>
  <si>
    <t>C00044 * C00144</t>
  </si>
  <si>
    <t>C00075 * C00105</t>
  </si>
  <si>
    <t>C00025 * C00352</t>
  </si>
  <si>
    <t>C00101 * C03294</t>
  </si>
  <si>
    <t>C00058 * C03617</t>
  </si>
  <si>
    <t>C00008 * C03287</t>
  </si>
  <si>
    <t>C00008 * C05378</t>
  </si>
  <si>
    <t>C00008 * C00354</t>
  </si>
  <si>
    <t>C00112 * C00354</t>
  </si>
  <si>
    <t>C00015 * C00354</t>
  </si>
  <si>
    <t>C00104 * C00354</t>
  </si>
  <si>
    <t>C00008 * C00447</t>
  </si>
  <si>
    <t>C00112 * C03785</t>
  </si>
  <si>
    <t>C00015 * C03785</t>
  </si>
  <si>
    <t>C00104 * C03785</t>
  </si>
  <si>
    <t>C00069 * C00093</t>
  </si>
  <si>
    <t>2_7_7_7</t>
  </si>
  <si>
    <t>4_2_1_11</t>
  </si>
  <si>
    <t>2_7_1_40</t>
  </si>
  <si>
    <t>2_2_1_7</t>
  </si>
  <si>
    <t>2_5_1_47</t>
  </si>
  <si>
    <t>5_2_1_8</t>
  </si>
  <si>
    <t>3_1_3_5</t>
  </si>
  <si>
    <t>4_6_1_12</t>
  </si>
  <si>
    <t>5_4_2_2</t>
  </si>
  <si>
    <t>1_1_1_205</t>
  </si>
  <si>
    <t>6_3_3_1</t>
  </si>
  <si>
    <t>6_3_5_6</t>
  </si>
  <si>
    <t>2_5_1_78</t>
  </si>
  <si>
    <t>3_1_3_15</t>
  </si>
  <si>
    <t>3_5_1_19</t>
  </si>
  <si>
    <t>1_5_1_20</t>
  </si>
  <si>
    <t>1_3_8_1</t>
  </si>
  <si>
    <t>2_5_1_31</t>
  </si>
  <si>
    <t>2_3_3_14</t>
  </si>
  <si>
    <t>4_2_1_36</t>
  </si>
  <si>
    <t>2_4_1_18</t>
  </si>
  <si>
    <t>6_3_1_5</t>
  </si>
  <si>
    <t>3_2_1_4</t>
  </si>
  <si>
    <t>4_2_3_3</t>
  </si>
  <si>
    <t>7_1_1_1</t>
  </si>
  <si>
    <t>1_13_12_4</t>
  </si>
  <si>
    <t>1_8_1_4</t>
  </si>
  <si>
    <t>2_3_1_168</t>
  </si>
  <si>
    <t>1_2_4_4</t>
  </si>
  <si>
    <t>6_3_4_9</t>
  </si>
  <si>
    <t>2_7_7_24</t>
  </si>
  <si>
    <t>2_7_6_5</t>
  </si>
  <si>
    <t>4_2_1_17</t>
  </si>
  <si>
    <t>1_2_4_2</t>
  </si>
  <si>
    <t>2_3_1_61</t>
  </si>
  <si>
    <t>6_3_4_5</t>
  </si>
  <si>
    <t>4_3_2_1</t>
  </si>
  <si>
    <t>2_3_1_1</t>
  </si>
  <si>
    <t>6_3_5_5</t>
  </si>
  <si>
    <t>6_3_4_3</t>
  </si>
  <si>
    <t>4_3_1_19</t>
  </si>
  <si>
    <t>2_7_7_18</t>
  </si>
  <si>
    <t>6_3_2_1</t>
  </si>
  <si>
    <t>4_1_2_13</t>
  </si>
  <si>
    <t>2_4_2_2</t>
  </si>
  <si>
    <t>6_4_1_2</t>
  </si>
  <si>
    <t>2_6_1_51</t>
  </si>
  <si>
    <t>3_6_1_27</t>
  </si>
  <si>
    <t>2_7_7_60</t>
  </si>
  <si>
    <t>2_7_1_148</t>
  </si>
  <si>
    <t>3_5_99_2</t>
  </si>
  <si>
    <t>3_4_15_6</t>
  </si>
  <si>
    <t>2_7_7_22</t>
  </si>
  <si>
    <t>2_7_6_3</t>
  </si>
  <si>
    <t>2_7_7_8</t>
  </si>
  <si>
    <t>4_1_1_23</t>
  </si>
  <si>
    <t>2_4_2_10</t>
  </si>
  <si>
    <t>1_1_1_94</t>
  </si>
  <si>
    <t>3_1_1_24</t>
  </si>
  <si>
    <t>2_8_1_7</t>
  </si>
  <si>
    <t>4_1_3_1</t>
  </si>
  <si>
    <t>6_1_1_7</t>
  </si>
  <si>
    <t>5_5_1_1</t>
  </si>
  <si>
    <t>4_2_1_59</t>
  </si>
  <si>
    <t>2_7_7_6</t>
  </si>
  <si>
    <t>3_1_2_20</t>
  </si>
  <si>
    <t>4_2_1_96</t>
  </si>
  <si>
    <t>1_1_2_4</t>
  </si>
  <si>
    <t>3_5_1_11</t>
  </si>
  <si>
    <t>2_7_7_27</t>
  </si>
  <si>
    <t>2_4_1_21</t>
  </si>
  <si>
    <t>1_17_7_4</t>
  </si>
  <si>
    <t>2_5_1_90</t>
  </si>
  <si>
    <t>2_7_4_3</t>
  </si>
  <si>
    <t>1_4_1_2</t>
  </si>
  <si>
    <t>1_1_1_95</t>
  </si>
  <si>
    <t>2_5_1_46</t>
  </si>
  <si>
    <t>2_1_1_63</t>
  </si>
  <si>
    <t>3_2_1_20</t>
  </si>
  <si>
    <t>2_7_4_8</t>
  </si>
  <si>
    <t>4_1_1_36</t>
  </si>
  <si>
    <t>2_1_2_1</t>
  </si>
  <si>
    <t>2_4_2_14</t>
  </si>
  <si>
    <t>6_3_5_3</t>
  </si>
  <si>
    <t>6_3_2_6</t>
  </si>
  <si>
    <t>4_3_2_2</t>
  </si>
  <si>
    <t>4_1_1_44</t>
  </si>
  <si>
    <t>4_2_1_75</t>
  </si>
  <si>
    <t>1_2_1_70</t>
  </si>
  <si>
    <t>2_7_9_2</t>
  </si>
  <si>
    <t>3_1_3_25</t>
  </si>
  <si>
    <t>5_3_1_24</t>
  </si>
  <si>
    <t>1_17_4_1</t>
  </si>
  <si>
    <t>2_4_2_7</t>
  </si>
  <si>
    <t>6_3_3_2</t>
  </si>
  <si>
    <t>2_7_4_9</t>
  </si>
  <si>
    <t>4_2_1_24</t>
  </si>
  <si>
    <t>3_1_3_16</t>
  </si>
  <si>
    <t>6_3_4_2</t>
  </si>
  <si>
    <t>2_7_6_2</t>
  </si>
  <si>
    <t>6_1_1_1</t>
  </si>
  <si>
    <t>2_7_1_39</t>
  </si>
  <si>
    <t>2_7_8_7</t>
  </si>
  <si>
    <t>4_2_3_4</t>
  </si>
  <si>
    <t>2_7_1_71</t>
  </si>
  <si>
    <t>4_2_3_5</t>
  </si>
  <si>
    <t>1_1_1_87</t>
  </si>
  <si>
    <t>2_7_1_33</t>
  </si>
  <si>
    <t>3_5_1_28</t>
  </si>
  <si>
    <t>4_2_1_10</t>
  </si>
  <si>
    <t>2_1_1_35</t>
  </si>
  <si>
    <t>6_3_2_12</t>
  </si>
  <si>
    <t>6_3_1_2</t>
  </si>
  <si>
    <t>3_5_1_10</t>
  </si>
  <si>
    <t>5_1_3_14</t>
  </si>
  <si>
    <t>2_4_2_9</t>
  </si>
  <si>
    <t>2_3_3_9</t>
  </si>
  <si>
    <t>3_1_3_71</t>
  </si>
  <si>
    <t>2_4_2_1</t>
  </si>
  <si>
    <t>5_4_2_10</t>
  </si>
  <si>
    <t>6_1_1_17</t>
  </si>
  <si>
    <t>6_2_1_3</t>
  </si>
  <si>
    <t>1_1_1_100</t>
  </si>
  <si>
    <t>2_3_1_39</t>
  </si>
  <si>
    <t>2_3_1_180</t>
  </si>
  <si>
    <t>3_5_3_1</t>
  </si>
  <si>
    <t>3_5_4_5</t>
  </si>
  <si>
    <t>4_3_1_17</t>
  </si>
  <si>
    <t>3_5_4_26</t>
  </si>
  <si>
    <t>2_5_1_9</t>
  </si>
  <si>
    <t>4_1_99_12</t>
  </si>
  <si>
    <t>5_4_99_2</t>
  </si>
  <si>
    <t>6_1_1_6</t>
  </si>
  <si>
    <t>2_7_1_107</t>
  </si>
  <si>
    <t>1_1_1_25</t>
  </si>
  <si>
    <t>2_6_1_11</t>
  </si>
  <si>
    <t>2_7_7_72</t>
  </si>
  <si>
    <t>2_7_1_24</t>
  </si>
  <si>
    <t>5_1_3_2</t>
  </si>
  <si>
    <t>7_1_1_9</t>
  </si>
  <si>
    <t>3_5_3_11</t>
  </si>
  <si>
    <t>6_3_4_14</t>
  </si>
  <si>
    <t>1_5_1_5</t>
  </si>
  <si>
    <t>1_1_1_27</t>
  </si>
  <si>
    <t>1_1_1_22</t>
  </si>
  <si>
    <t>2_4_1_187</t>
  </si>
  <si>
    <t>4_2_1_47</t>
  </si>
  <si>
    <t>1_1_1_271</t>
  </si>
  <si>
    <t>2_7_8_6</t>
  </si>
  <si>
    <t>6_6_1_1</t>
  </si>
  <si>
    <t>2_1_1_72</t>
  </si>
  <si>
    <t>2_3_1_9</t>
  </si>
  <si>
    <t>1_1_1_35</t>
  </si>
  <si>
    <t>5_1_99_4</t>
  </si>
  <si>
    <t>1_7_1_1</t>
  </si>
  <si>
    <t>1_7_1_2</t>
  </si>
  <si>
    <t>1_7_1_3</t>
  </si>
  <si>
    <t>1_7_5_1</t>
  </si>
  <si>
    <t>1_7_7_2</t>
  </si>
  <si>
    <t>1_9_6_1</t>
  </si>
  <si>
    <t>1_20_9_1</t>
  </si>
  <si>
    <t>2_6_1_19</t>
  </si>
  <si>
    <t>3_6_1_13</t>
  </si>
  <si>
    <t>3_5_4_10</t>
  </si>
  <si>
    <t>4_1_1_20</t>
  </si>
  <si>
    <t>3_5_1_25</t>
  </si>
  <si>
    <t>2_7_9_1</t>
  </si>
  <si>
    <t>2_7_7_62</t>
  </si>
  <si>
    <t>4_1_1_81</t>
  </si>
  <si>
    <t>3_1_3_11</t>
  </si>
  <si>
    <t>6_3_1_10</t>
  </si>
  <si>
    <t>3_1_3_73</t>
  </si>
  <si>
    <t>2_4_2_21</t>
  </si>
  <si>
    <t>2_7_8_26</t>
  </si>
  <si>
    <t>2_5_1_17</t>
  </si>
  <si>
    <t>2_7_7_4</t>
  </si>
  <si>
    <t>2_1_1_107</t>
  </si>
  <si>
    <t>1_8_4_10</t>
  </si>
  <si>
    <t>1_3_1_76</t>
  </si>
  <si>
    <t>1_8_7_1</t>
  </si>
  <si>
    <t>2_5_1_3</t>
  </si>
  <si>
    <t>1_4_3_19</t>
  </si>
  <si>
    <t>4_1_99_17</t>
  </si>
  <si>
    <t>2_7_4_7</t>
  </si>
  <si>
    <t>5_3_1_8</t>
  </si>
  <si>
    <t>6_2_1_26</t>
  </si>
  <si>
    <t>3_5_1_68</t>
  </si>
  <si>
    <t>2_3_1_8</t>
  </si>
  <si>
    <t>1_1_1_30</t>
  </si>
  <si>
    <t>4_6_1_1</t>
  </si>
  <si>
    <t>3_1_3_1</t>
  </si>
  <si>
    <t>2_7_1_4</t>
  </si>
  <si>
    <t>1_2_1_3</t>
  </si>
  <si>
    <t>6_2_1_30</t>
  </si>
  <si>
    <t>1_13_11_15</t>
  </si>
  <si>
    <t>1_14_14_9</t>
  </si>
  <si>
    <t>1_2_1_60</t>
  </si>
  <si>
    <t>4_1_1_68</t>
  </si>
  <si>
    <t>4_3_3_7</t>
  </si>
  <si>
    <t>4_99_1_3</t>
  </si>
  <si>
    <t>2_1_1_133</t>
  </si>
  <si>
    <t>2_1_1_130</t>
  </si>
  <si>
    <t>5_4_99_61</t>
  </si>
  <si>
    <t>1_4_3_16</t>
  </si>
  <si>
    <t>2_5_1_72</t>
  </si>
  <si>
    <t>2_4_2_19</t>
  </si>
  <si>
    <t>3_5_1_54</t>
  </si>
  <si>
    <t>1_3_8_7</t>
  </si>
  <si>
    <t>1_2_7_5</t>
  </si>
  <si>
    <t>5_3_3_2</t>
  </si>
  <si>
    <t>2_6_1_18</t>
  </si>
  <si>
    <t>2_7_1_6</t>
  </si>
  <si>
    <t>2_5_1_49</t>
  </si>
  <si>
    <t>6_1_1_16</t>
  </si>
  <si>
    <t>6_1_1_11</t>
  </si>
  <si>
    <t>3_5_4_28</t>
  </si>
  <si>
    <t>5_4_99_5</t>
  </si>
  <si>
    <t>1_2_1_22</t>
  </si>
  <si>
    <t>2_7_7_3</t>
  </si>
  <si>
    <t>2_5_1_48</t>
  </si>
  <si>
    <t>2_3_1_31</t>
  </si>
  <si>
    <t>5_4_3_8</t>
  </si>
  <si>
    <t>2_6_1_1</t>
  </si>
  <si>
    <t>5_3_1_1</t>
  </si>
  <si>
    <t>2_7_2_3</t>
  </si>
  <si>
    <t>1_2_1_12</t>
  </si>
  <si>
    <t>2_8_1_1</t>
  </si>
  <si>
    <t>2_1_1_228</t>
  </si>
  <si>
    <t>4_1_1_31</t>
  </si>
  <si>
    <t>4_1_3_38</t>
  </si>
  <si>
    <t>2_6_1_85</t>
  </si>
  <si>
    <t>2_1_1_13</t>
  </si>
  <si>
    <t>6_3_4_21</t>
  </si>
  <si>
    <t>4_1_1_11</t>
  </si>
  <si>
    <t>2_5_1_75</t>
  </si>
  <si>
    <t>2_7_1_21</t>
  </si>
  <si>
    <t>2_7_7_49</t>
  </si>
  <si>
    <t>2_4_99_28</t>
  </si>
  <si>
    <t>6_3_2_10</t>
  </si>
  <si>
    <t>2_7_8_13</t>
  </si>
  <si>
    <t>6_3_2_9</t>
  </si>
  <si>
    <t>2_4_1_227</t>
  </si>
  <si>
    <t>6_3_2_8</t>
  </si>
  <si>
    <t>1_3_1_98</t>
  </si>
  <si>
    <t>2_5_1_32</t>
  </si>
  <si>
    <t>4_1_99_3</t>
  </si>
  <si>
    <t>2_3_2_2</t>
  </si>
  <si>
    <t>4_1_2_48</t>
  </si>
  <si>
    <t>1_6_5_5</t>
  </si>
  <si>
    <t>4_3_1_12</t>
  </si>
  <si>
    <t>6_1_1_9</t>
  </si>
  <si>
    <t>5_3_1_16</t>
  </si>
  <si>
    <t>4_1_1_48</t>
  </si>
  <si>
    <t>2_4_1_1</t>
  </si>
  <si>
    <t>3_1_3_48</t>
  </si>
  <si>
    <t>4_1_2_4</t>
  </si>
  <si>
    <t>2_3_1_35</t>
  </si>
  <si>
    <t>1_2_1_38</t>
  </si>
  <si>
    <t>2_1_3_3</t>
  </si>
  <si>
    <t>2_3_3_21</t>
  </si>
  <si>
    <t>2_3_3_13</t>
  </si>
  <si>
    <t>1_1_1_86</t>
  </si>
  <si>
    <t>2_2_1_6</t>
  </si>
  <si>
    <t>1_8_1_9</t>
  </si>
  <si>
    <t>4_2_1_2</t>
  </si>
  <si>
    <t>1_15_1_1</t>
  </si>
  <si>
    <t>6_1_1_18</t>
  </si>
  <si>
    <t>1_2_1_11</t>
  </si>
  <si>
    <t>6_1_1_14</t>
  </si>
  <si>
    <t>6_2_1_5</t>
  </si>
  <si>
    <t>2_4_1_25</t>
  </si>
  <si>
    <t>1_1_1_157</t>
  </si>
  <si>
    <t>5_3_1_23</t>
  </si>
  <si>
    <t>1_1_1_103</t>
  </si>
  <si>
    <t>3_6_1_7</t>
  </si>
  <si>
    <t>4_2_1_33</t>
  </si>
  <si>
    <t>1_1_1_85</t>
  </si>
  <si>
    <t>4_2_1_9</t>
  </si>
  <si>
    <t>6_2_1_1</t>
  </si>
  <si>
    <t>6_3_4_13</t>
  </si>
  <si>
    <t>2_1_2_2</t>
  </si>
  <si>
    <t>5_3_3_10</t>
  </si>
  <si>
    <t>2_5_1_54</t>
  </si>
  <si>
    <t>1_3_1_43</t>
  </si>
  <si>
    <t>1_1_99_14</t>
  </si>
  <si>
    <t>1_3_8_6</t>
  </si>
  <si>
    <t>1_1_1_79</t>
  </si>
  <si>
    <t>2_1_3_2</t>
  </si>
  <si>
    <t>3_5_2_3</t>
  </si>
  <si>
    <t>1_3_98_1</t>
  </si>
  <si>
    <t>1_1_1_42</t>
  </si>
  <si>
    <t>6_1_1_19</t>
  </si>
  <si>
    <t>2_7_1_76</t>
  </si>
  <si>
    <t>3_6_1_31</t>
  </si>
  <si>
    <t>6_1_1_23</t>
  </si>
  <si>
    <t>1_3_5_1</t>
  </si>
  <si>
    <t>4_1_1_50</t>
  </si>
  <si>
    <t>2_3_1_179</t>
  </si>
  <si>
    <t>3_1_5_1</t>
  </si>
  <si>
    <t>2_7_1_15</t>
  </si>
  <si>
    <t>4_2_1_19</t>
  </si>
  <si>
    <t>2_6_1_9</t>
  </si>
  <si>
    <t>2_7_4_16</t>
  </si>
  <si>
    <t>2_1_1_182</t>
  </si>
  <si>
    <t>7_1_1_2</t>
  </si>
  <si>
    <t>4_2_1_3</t>
  </si>
  <si>
    <t>2_7_11_1</t>
  </si>
  <si>
    <t>6_2_1_16</t>
  </si>
  <si>
    <t>1_1_1_23</t>
  </si>
  <si>
    <t>6_1_1_21</t>
  </si>
  <si>
    <t>6_1_1_12</t>
  </si>
  <si>
    <t>6_1_1_22</t>
  </si>
  <si>
    <t>1_1_1_153</t>
  </si>
  <si>
    <t>2_2_1_2</t>
  </si>
  <si>
    <t>6_1_1_5</t>
  </si>
  <si>
    <t>2_7_4_22</t>
  </si>
  <si>
    <t>2_7_7_41</t>
  </si>
  <si>
    <t>1_1_1_267</t>
  </si>
  <si>
    <t>1_5_1_2</t>
  </si>
  <si>
    <t>4_1_1_37</t>
  </si>
  <si>
    <t>4_98_1_1</t>
  </si>
  <si>
    <t>1_3_3_4</t>
  </si>
  <si>
    <t>1_1_1_14</t>
  </si>
  <si>
    <t>6_1_1_10</t>
  </si>
  <si>
    <t>5_3_1_6</t>
  </si>
  <si>
    <t>1_11_1_24</t>
  </si>
  <si>
    <t>1_11_1_25</t>
  </si>
  <si>
    <t>1_11_1_26</t>
  </si>
  <si>
    <t>1_11_1_27</t>
  </si>
  <si>
    <t>1_11_1_28</t>
  </si>
  <si>
    <t>4_2_1_20</t>
  </si>
  <si>
    <t>6_5_1_2</t>
  </si>
  <si>
    <t>2_5_1_16</t>
  </si>
  <si>
    <t>4_2_1_51</t>
  </si>
  <si>
    <t>1_1_1_37</t>
  </si>
  <si>
    <t>2_7_2_4</t>
  </si>
  <si>
    <t>2_1_1_172</t>
  </si>
  <si>
    <t>2_7_1_26</t>
  </si>
  <si>
    <t>1_4_4_2</t>
  </si>
  <si>
    <t>2_1_2_10</t>
  </si>
  <si>
    <t>1_1_1_38</t>
  </si>
  <si>
    <t>4_1_1_21</t>
  </si>
  <si>
    <t>4_2_1_70</t>
  </si>
  <si>
    <t>2_1_2_11</t>
  </si>
  <si>
    <t>1_1_5_3</t>
  </si>
  <si>
    <t>2_7_1_30</t>
  </si>
  <si>
    <t>2_7_7_10</t>
  </si>
  <si>
    <t>6_3_2_4</t>
  </si>
  <si>
    <t>3_1_1_29</t>
  </si>
  <si>
    <t>2_7_6_1</t>
  </si>
  <si>
    <t>3_2_2_16</t>
  </si>
  <si>
    <t>4_4_1_21</t>
  </si>
  <si>
    <t>6_3_5_2</t>
  </si>
  <si>
    <t>6_4_1_4</t>
  </si>
  <si>
    <t>4_1_3_4</t>
  </si>
  <si>
    <t>1_6_5_9</t>
  </si>
  <si>
    <t>4_2_3_1</t>
  </si>
  <si>
    <t>1_1_1_3</t>
  </si>
  <si>
    <t>1_1_1_1</t>
  </si>
  <si>
    <t>3_5_99_6</t>
  </si>
  <si>
    <t>1_13_12_16</t>
  </si>
  <si>
    <t>5_1_3_1</t>
  </si>
  <si>
    <t>2_2_1_1</t>
  </si>
  <si>
    <t>6_1_1_15</t>
  </si>
  <si>
    <t>5_4_2_11</t>
  </si>
  <si>
    <t>2_3_1_51</t>
  </si>
  <si>
    <t>2_5_1_19</t>
  </si>
  <si>
    <t>2_7_4_25</t>
  </si>
  <si>
    <t>1_4_1_13</t>
  </si>
  <si>
    <t>2_5_1_7</t>
  </si>
  <si>
    <t>1_1_1_140</t>
  </si>
  <si>
    <t>3_5_4_13</t>
  </si>
  <si>
    <t>2_4_2_17</t>
  </si>
  <si>
    <t>2_1_1_34</t>
  </si>
  <si>
    <t>2_6_1_42</t>
  </si>
  <si>
    <t>1_11_1_6</t>
  </si>
  <si>
    <t>2_3_3_1</t>
  </si>
  <si>
    <t>1_4_1_1</t>
  </si>
  <si>
    <t>2_4_2_8</t>
  </si>
  <si>
    <t>1_1_1_122</t>
  </si>
  <si>
    <t>6_3_4_4</t>
  </si>
  <si>
    <t>2_4_2_18</t>
  </si>
  <si>
    <t>4_1_3_27</t>
  </si>
  <si>
    <t>1_2_1_88</t>
  </si>
  <si>
    <t>1_5_5_2</t>
  </si>
  <si>
    <t>2_3_1_29</t>
  </si>
  <si>
    <t>2_7_7_23</t>
  </si>
  <si>
    <t>2_1_1_33</t>
  </si>
  <si>
    <t>3_1_2_6</t>
  </si>
  <si>
    <t>4_1_1_19</t>
  </si>
  <si>
    <t>2_5_1_6</t>
  </si>
  <si>
    <t>5_1_1_3</t>
  </si>
  <si>
    <t>3_6_1_15</t>
  </si>
  <si>
    <t>1_20_4_1</t>
  </si>
  <si>
    <t>2_1_1_163</t>
  </si>
  <si>
    <t>3_5_1_1</t>
  </si>
  <si>
    <t>3_6_1_8</t>
  </si>
  <si>
    <t>2_7_2_8</t>
  </si>
  <si>
    <t>1_2_7_3</t>
  </si>
  <si>
    <t>2_7_4_6</t>
  </si>
  <si>
    <t>4_1_2_25</t>
  </si>
  <si>
    <t>2_5_1_15</t>
  </si>
  <si>
    <t>2_3_1_266</t>
  </si>
  <si>
    <t>2_3_1_267</t>
  </si>
  <si>
    <t>2_5_1_61</t>
  </si>
  <si>
    <t>2_3_1_12</t>
  </si>
  <si>
    <t>1_2_4_1</t>
  </si>
  <si>
    <t>3_4_11_1</t>
  </si>
  <si>
    <t>4_1_1_49</t>
  </si>
  <si>
    <t>5_3_1_9</t>
  </si>
  <si>
    <t>6_1_1_3</t>
  </si>
  <si>
    <t>7_1_1_8</t>
  </si>
  <si>
    <t>3_5_1_16</t>
  </si>
  <si>
    <t>2_7_1_2</t>
  </si>
  <si>
    <t>3_5_4_16</t>
  </si>
  <si>
    <t>3_6_1_17</t>
  </si>
  <si>
    <t>2_6_1_16</t>
  </si>
  <si>
    <t>2_1_2_9</t>
  </si>
  <si>
    <t>3_5_1_88</t>
  </si>
  <si>
    <t>5_4_2_7</t>
  </si>
  <si>
    <t>1_3_1_9</t>
  </si>
  <si>
    <t>1_17_7_1</t>
  </si>
  <si>
    <t>2_4_2_29</t>
  </si>
  <si>
    <t>6_1_1_4</t>
  </si>
  <si>
    <t>1_2_1_41</t>
  </si>
  <si>
    <t>2_7_2_11</t>
  </si>
  <si>
    <t>5_1_1_1</t>
  </si>
  <si>
    <t>6_1_1_20</t>
  </si>
  <si>
    <t>2_7_1_11</t>
  </si>
  <si>
    <t>3_6_1_1</t>
  </si>
  <si>
    <t>3_1_4_46</t>
  </si>
  <si>
    <t>C00677</t>
  </si>
  <si>
    <t>C00039</t>
  </si>
  <si>
    <t>C00013</t>
  </si>
  <si>
    <t>C00131</t>
  </si>
  <si>
    <t>C00286</t>
  </si>
  <si>
    <t>C00458</t>
  </si>
  <si>
    <t>C00459</t>
  </si>
  <si>
    <t>C00074</t>
  </si>
  <si>
    <t>C04309</t>
  </si>
  <si>
    <t>C00035</t>
  </si>
  <si>
    <t>C00063</t>
  </si>
  <si>
    <t>C00112</t>
  </si>
  <si>
    <t>C00075</t>
  </si>
  <si>
    <t>C00015</t>
  </si>
  <si>
    <t>C00081</t>
  </si>
  <si>
    <t>C00104</t>
  </si>
  <si>
    <t>C00206</t>
  </si>
  <si>
    <t>C00361</t>
  </si>
  <si>
    <t>C00454</t>
  </si>
  <si>
    <t>C11437</t>
  </si>
  <si>
    <t>C00011</t>
  </si>
  <si>
    <t>C00979</t>
  </si>
  <si>
    <t>C00283</t>
  </si>
  <si>
    <t>C00097</t>
  </si>
  <si>
    <t>C00033</t>
  </si>
  <si>
    <t>C01528</t>
  </si>
  <si>
    <t>C05688</t>
  </si>
  <si>
    <t>C00320</t>
  </si>
  <si>
    <t>C00342</t>
  </si>
  <si>
    <t>C00080</t>
  </si>
  <si>
    <t>C00094</t>
  </si>
  <si>
    <t>C00343</t>
  </si>
  <si>
    <t>C01005</t>
  </si>
  <si>
    <t>C02520</t>
  </si>
  <si>
    <t>C00911</t>
  </si>
  <si>
    <t>C00020</t>
  </si>
  <si>
    <t>C00212</t>
  </si>
  <si>
    <t>C00055</t>
  </si>
  <si>
    <t>C00475</t>
  </si>
  <si>
    <t>C00105</t>
  </si>
  <si>
    <t>C00299</t>
  </si>
  <si>
    <t>C00130</t>
  </si>
  <si>
    <t>C00294</t>
  </si>
  <si>
    <t>C00144</t>
  </si>
  <si>
    <t>C00387</t>
  </si>
  <si>
    <t>C00455</t>
  </si>
  <si>
    <t>C03150</t>
  </si>
  <si>
    <t>C00655</t>
  </si>
  <si>
    <t>C01762</t>
  </si>
  <si>
    <t>C01185</t>
  </si>
  <si>
    <t>C05841</t>
  </si>
  <si>
    <t>C00364</t>
  </si>
  <si>
    <t>C00214</t>
  </si>
  <si>
    <t>C00239</t>
  </si>
  <si>
    <t>C00881</t>
  </si>
  <si>
    <t>C00362</t>
  </si>
  <si>
    <t>C00330</t>
  </si>
  <si>
    <t>C00360</t>
  </si>
  <si>
    <t>C00559</t>
  </si>
  <si>
    <t>C00365</t>
  </si>
  <si>
    <t>C00526</t>
  </si>
  <si>
    <t>C06196</t>
  </si>
  <si>
    <t>C05512</t>
  </si>
  <si>
    <t>C11453</t>
  </si>
  <si>
    <t>C00003</t>
  </si>
  <si>
    <t>C00004</t>
  </si>
  <si>
    <t>C04646</t>
  </si>
  <si>
    <t>C16618</t>
  </si>
  <si>
    <t>C04640</t>
  </si>
  <si>
    <t>C03373</t>
  </si>
  <si>
    <t>C03402</t>
  </si>
  <si>
    <t>C00025</t>
  </si>
  <si>
    <t>C06113</t>
  </si>
  <si>
    <t>C00064</t>
  </si>
  <si>
    <t>C04732</t>
  </si>
  <si>
    <t>C15556</t>
  </si>
  <si>
    <t>C01100</t>
  </si>
  <si>
    <t>C00860</t>
  </si>
  <si>
    <t>C00153</t>
  </si>
  <si>
    <t>C00253</t>
  </si>
  <si>
    <t>C00014</t>
  </si>
  <si>
    <t>C00241</t>
  </si>
  <si>
    <t>C00060</t>
  </si>
  <si>
    <t>C00440</t>
  </si>
  <si>
    <t>C00006</t>
  </si>
  <si>
    <t>C00143</t>
  </si>
  <si>
    <t>C00005</t>
  </si>
  <si>
    <t>C20675</t>
  </si>
  <si>
    <t>C04253</t>
  </si>
  <si>
    <t>C20676</t>
  </si>
  <si>
    <t>C04570</t>
  </si>
  <si>
    <t>C00136</t>
  </si>
  <si>
    <t>C00016</t>
  </si>
  <si>
    <t>C01352</t>
  </si>
  <si>
    <t>C00877</t>
  </si>
  <si>
    <t>C05270</t>
  </si>
  <si>
    <t>C05271</t>
  </si>
  <si>
    <t>C00630</t>
  </si>
  <si>
    <t>C00028</t>
  </si>
  <si>
    <t>C03460</t>
  </si>
  <si>
    <t>C00030</t>
  </si>
  <si>
    <t>C15980</t>
  </si>
  <si>
    <t>C03345</t>
  </si>
  <si>
    <t>C00100</t>
  </si>
  <si>
    <t>C00894</t>
  </si>
  <si>
    <t>C00448</t>
  </si>
  <si>
    <t>C00026</t>
  </si>
  <si>
    <t>C01251</t>
  </si>
  <si>
    <t>C00010</t>
  </si>
  <si>
    <t>C04002</t>
  </si>
  <si>
    <t>C00857</t>
  </si>
  <si>
    <t>C00760</t>
  </si>
  <si>
    <t>C00546</t>
  </si>
  <si>
    <t>C00186</t>
  </si>
  <si>
    <t>C00007</t>
  </si>
  <si>
    <t>C16832</t>
  </si>
  <si>
    <t>C16237</t>
  </si>
  <si>
    <t>C02972</t>
  </si>
  <si>
    <t>C02051</t>
  </si>
  <si>
    <t>C15973</t>
  </si>
  <si>
    <t>C15972</t>
  </si>
  <si>
    <t>C00579</t>
  </si>
  <si>
    <t>C00248</t>
  </si>
  <si>
    <t>C15977</t>
  </si>
  <si>
    <t>C15979</t>
  </si>
  <si>
    <t>C02939</t>
  </si>
  <si>
    <t>C15975</t>
  </si>
  <si>
    <t>C21018</t>
  </si>
  <si>
    <t>C00141</t>
  </si>
  <si>
    <t>C00233</t>
  </si>
  <si>
    <t>C00671</t>
  </si>
  <si>
    <t>C00068</t>
  </si>
  <si>
    <t>C15976</t>
  </si>
  <si>
    <t>C15974</t>
  </si>
  <si>
    <t>C15978</t>
  </si>
  <si>
    <t>C00109</t>
  </si>
  <si>
    <t>C21017</t>
  </si>
  <si>
    <t>C00120</t>
  </si>
  <si>
    <t>C04736</t>
  </si>
  <si>
    <t>C04682</t>
  </si>
  <si>
    <t>C05921</t>
  </si>
  <si>
    <t>C06249</t>
  </si>
  <si>
    <t>C06250</t>
  </si>
  <si>
    <t>C04494</t>
  </si>
  <si>
    <t>C00658</t>
  </si>
  <si>
    <t>C03221</t>
  </si>
  <si>
    <t>C05272</t>
  </si>
  <si>
    <t>C05273</t>
  </si>
  <si>
    <t>C05275</t>
  </si>
  <si>
    <t>C05276</t>
  </si>
  <si>
    <t>C16328</t>
  </si>
  <si>
    <t>C16332</t>
  </si>
  <si>
    <t>C16336</t>
  </si>
  <si>
    <t>C05067</t>
  </si>
  <si>
    <t>C01122</t>
  </si>
  <si>
    <t>C03069</t>
  </si>
  <si>
    <t>C11946</t>
  </si>
  <si>
    <t>C11945</t>
  </si>
  <si>
    <t>C14144</t>
  </si>
  <si>
    <t>C16468</t>
  </si>
  <si>
    <t>C16254</t>
  </si>
  <si>
    <t>C05381</t>
  </si>
  <si>
    <t>C00527</t>
  </si>
  <si>
    <t>C06157</t>
  </si>
  <si>
    <t>C00327</t>
  </si>
  <si>
    <t>C00122</t>
  </si>
  <si>
    <t>C00062</t>
  </si>
  <si>
    <t>C00624</t>
  </si>
  <si>
    <t>C00288</t>
  </si>
  <si>
    <t>C00169</t>
  </si>
  <si>
    <t>C01563</t>
  </si>
  <si>
    <t>C20969</t>
  </si>
  <si>
    <t>C00101</t>
  </si>
  <si>
    <t>C00058</t>
  </si>
  <si>
    <t>C00234</t>
  </si>
  <si>
    <t>C00161</t>
  </si>
  <si>
    <t>C00522</t>
  </si>
  <si>
    <t>C00099</t>
  </si>
  <si>
    <t>C00864</t>
  </si>
  <si>
    <t>C00279</t>
  </si>
  <si>
    <t>C00577</t>
  </si>
  <si>
    <t>C00178</t>
  </si>
  <si>
    <t>C00106</t>
  </si>
  <si>
    <t>C00380</t>
  </si>
  <si>
    <t>C03169</t>
  </si>
  <si>
    <t>C00396</t>
  </si>
  <si>
    <t>C00083</t>
  </si>
  <si>
    <t>C00168</t>
  </si>
  <si>
    <t>C17556</t>
  </si>
  <si>
    <t>C11434</t>
  </si>
  <si>
    <t>C11435</t>
  </si>
  <si>
    <t>C20267</t>
  </si>
  <si>
    <t>C01279</t>
  </si>
  <si>
    <t>C00378</t>
  </si>
  <si>
    <t>C04294</t>
  </si>
  <si>
    <t>C19713</t>
  </si>
  <si>
    <t>C19709</t>
  </si>
  <si>
    <t>C19843</t>
  </si>
  <si>
    <t>C00636</t>
  </si>
  <si>
    <t>C01300</t>
  </si>
  <si>
    <t>C04807</t>
  </si>
  <si>
    <t>C00046</t>
  </si>
  <si>
    <t>C00295</t>
  </si>
  <si>
    <t>C00119</t>
  </si>
  <si>
    <t>C07649</t>
  </si>
  <si>
    <t>C16634</t>
  </si>
  <si>
    <t>C00093</t>
  </si>
  <si>
    <t>C03586</t>
  </si>
  <si>
    <t>C15811</t>
  </si>
  <si>
    <t>C15812</t>
  </si>
  <si>
    <t>C02743</t>
  </si>
  <si>
    <t>C21440</t>
  </si>
  <si>
    <t>C00042</t>
  </si>
  <si>
    <t>C00048</t>
  </si>
  <si>
    <t>C01635</t>
  </si>
  <si>
    <t>C00886</t>
  </si>
  <si>
    <t>C07090</t>
  </si>
  <si>
    <t>C01327</t>
  </si>
  <si>
    <t>C00693</t>
  </si>
  <si>
    <t>C04246</t>
  </si>
  <si>
    <t>C05754</t>
  </si>
  <si>
    <t>C05751</t>
  </si>
  <si>
    <t>C05763</t>
  </si>
  <si>
    <t>C05760</t>
  </si>
  <si>
    <t>C05748</t>
  </si>
  <si>
    <t>C05758</t>
  </si>
  <si>
    <t>C20374</t>
  </si>
  <si>
    <t>C20378</t>
  </si>
  <si>
    <t>C20864</t>
  </si>
  <si>
    <t>C00040</t>
  </si>
  <si>
    <t>C00268</t>
  </si>
  <si>
    <t>C00256</t>
  </si>
  <si>
    <t>C00125</t>
  </si>
  <si>
    <t>C00126</t>
  </si>
  <si>
    <t>C00395</t>
  </si>
  <si>
    <t>C02954</t>
  </si>
  <si>
    <t>C05551</t>
  </si>
  <si>
    <t>C07086</t>
  </si>
  <si>
    <t>C00498</t>
  </si>
  <si>
    <t>C11811</t>
  </si>
  <si>
    <t>C00138</t>
  </si>
  <si>
    <t>C00139</t>
  </si>
  <si>
    <t>C04146</t>
  </si>
  <si>
    <t>C03028</t>
  </si>
  <si>
    <t>C03232</t>
  </si>
  <si>
    <t>C02630</t>
  </si>
  <si>
    <t>C07281</t>
  </si>
  <si>
    <t>C00315</t>
  </si>
  <si>
    <t>C07282</t>
  </si>
  <si>
    <t>C00986</t>
  </si>
  <si>
    <t>C15853</t>
  </si>
  <si>
    <t>C15854</t>
  </si>
  <si>
    <t>C04250</t>
  </si>
  <si>
    <t>C03800</t>
  </si>
  <si>
    <t>C11475</t>
  </si>
  <si>
    <t>C00089</t>
  </si>
  <si>
    <t>C00095</t>
  </si>
  <si>
    <t>C02336</t>
  </si>
  <si>
    <t>C22441</t>
  </si>
  <si>
    <t>C22442</t>
  </si>
  <si>
    <t>C01134</t>
  </si>
  <si>
    <t>C00037</t>
  </si>
  <si>
    <t>C01217</t>
  </si>
  <si>
    <t>C04377</t>
  </si>
  <si>
    <t>C03090</t>
  </si>
  <si>
    <t>C04376</t>
  </si>
  <si>
    <t>C04677</t>
  </si>
  <si>
    <t>C02987</t>
  </si>
  <si>
    <t>C01641</t>
  </si>
  <si>
    <t>C15585</t>
  </si>
  <si>
    <t>C00137</t>
  </si>
  <si>
    <t>C01177</t>
  </si>
  <si>
    <t>C03546</t>
  </si>
  <si>
    <t>C04006</t>
  </si>
  <si>
    <t>C04232</t>
  </si>
  <si>
    <t>C03723</t>
  </si>
  <si>
    <t>C01346</t>
  </si>
  <si>
    <t>C00705</t>
  </si>
  <si>
    <t>C16664</t>
  </si>
  <si>
    <t>C16663</t>
  </si>
  <si>
    <t>C03170</t>
  </si>
  <si>
    <t>C02090</t>
  </si>
  <si>
    <t>C21750</t>
  </si>
  <si>
    <t>C21748</t>
  </si>
  <si>
    <t>C00147</t>
  </si>
  <si>
    <t>C04051</t>
  </si>
  <si>
    <t>C03479</t>
  </si>
  <si>
    <t>C00445</t>
  </si>
  <si>
    <t>C00363</t>
  </si>
  <si>
    <t>C00931</t>
  </si>
  <si>
    <t>C00562</t>
  </si>
  <si>
    <t>C00017</t>
  </si>
  <si>
    <t>C00082</t>
  </si>
  <si>
    <t>C00787</t>
  </si>
  <si>
    <t>C02839</t>
  </si>
  <si>
    <t>C00263</t>
  </si>
  <si>
    <t>C01102</t>
  </si>
  <si>
    <t>C03688</t>
  </si>
  <si>
    <t>C00054</t>
  </si>
  <si>
    <t>C00229</t>
  </si>
  <si>
    <t>C00493</t>
  </si>
  <si>
    <t>C03175</t>
  </si>
  <si>
    <t>C00322</t>
  </si>
  <si>
    <t>C03492</t>
  </si>
  <si>
    <t>C00831</t>
  </si>
  <si>
    <t>C04079</t>
  </si>
  <si>
    <t>C02999</t>
  </si>
  <si>
    <t>C02713</t>
  </si>
  <si>
    <t>C02637</t>
  </si>
  <si>
    <t>C00019</t>
  </si>
  <si>
    <t>C01764</t>
  </si>
  <si>
    <t>C00021</t>
  </si>
  <si>
    <t>C03446</t>
  </si>
  <si>
    <t>C00921</t>
  </si>
  <si>
    <t>C00415</t>
  </si>
  <si>
    <t>C05928</t>
  </si>
  <si>
    <t>C00645</t>
  </si>
  <si>
    <t>C11536</t>
  </si>
  <si>
    <t>C11537</t>
  </si>
  <si>
    <t>C15586</t>
  </si>
  <si>
    <t>C15587</t>
  </si>
  <si>
    <t>C00262</t>
  </si>
  <si>
    <t>C00242</t>
  </si>
  <si>
    <t>C00385</t>
  </si>
  <si>
    <t>C20463</t>
  </si>
  <si>
    <t>C00638</t>
  </si>
  <si>
    <t>C02843</t>
  </si>
  <si>
    <t>C00249</t>
  </si>
  <si>
    <t>C00154</t>
  </si>
  <si>
    <t>C00685</t>
  </si>
  <si>
    <t>C05744</t>
  </si>
  <si>
    <t>C05753</t>
  </si>
  <si>
    <t>C05750</t>
  </si>
  <si>
    <t>C05762</t>
  </si>
  <si>
    <t>C05759</t>
  </si>
  <si>
    <t>C05746</t>
  </si>
  <si>
    <t>C05756</t>
  </si>
  <si>
    <t>C16219</t>
  </si>
  <si>
    <t>C16220</t>
  </si>
  <si>
    <t>C20372</t>
  </si>
  <si>
    <t>C20376</t>
  </si>
  <si>
    <t>C01209</t>
  </si>
  <si>
    <t>C00086</t>
  </si>
  <si>
    <t>C16635</t>
  </si>
  <si>
    <t>C12739</t>
  </si>
  <si>
    <t>C01304</t>
  </si>
  <si>
    <t>C01268</t>
  </si>
  <si>
    <t>C00255</t>
  </si>
  <si>
    <t>C00047</t>
  </si>
  <si>
    <t>C01646</t>
  </si>
  <si>
    <t>C01931</t>
  </si>
  <si>
    <t>C00641</t>
  </si>
  <si>
    <t>C00416</t>
  </si>
  <si>
    <t>C22438</t>
  </si>
  <si>
    <t>C00437</t>
  </si>
  <si>
    <t>C01250</t>
  </si>
  <si>
    <t>C02211</t>
  </si>
  <si>
    <t>C19085</t>
  </si>
  <si>
    <t>C19078</t>
  </si>
  <si>
    <t>C19080</t>
  </si>
  <si>
    <t>C00882</t>
  </si>
  <si>
    <t>C01000</t>
  </si>
  <si>
    <t>C00997</t>
  </si>
  <si>
    <t>C00179</t>
  </si>
  <si>
    <t>C00134</t>
  </si>
  <si>
    <t>C04419</t>
  </si>
  <si>
    <t>C05984</t>
  </si>
  <si>
    <t>C05823</t>
  </si>
  <si>
    <t>C00957</t>
  </si>
  <si>
    <t>C00167</t>
  </si>
  <si>
    <t>C01289</t>
  </si>
  <si>
    <t>C04881</t>
  </si>
  <si>
    <t>C00325</t>
  </si>
  <si>
    <t>C04507</t>
  </si>
  <si>
    <t>C02191</t>
  </si>
  <si>
    <t>C00305</t>
  </si>
  <si>
    <t>C03516</t>
  </si>
  <si>
    <t>C00821</t>
  </si>
  <si>
    <t>C03391</t>
  </si>
  <si>
    <t>C00332</t>
  </si>
  <si>
    <t>C03344</t>
  </si>
  <si>
    <t>C05269</t>
  </si>
  <si>
    <t>C00264</t>
  </si>
  <si>
    <t>C05259</t>
  </si>
  <si>
    <t>C05261</t>
  </si>
  <si>
    <t>C05263</t>
  </si>
  <si>
    <t>C05265</t>
  </si>
  <si>
    <t>C05267</t>
  </si>
  <si>
    <t>C02232</t>
  </si>
  <si>
    <t>C16330</t>
  </si>
  <si>
    <t>C16334</t>
  </si>
  <si>
    <t>C16338</t>
  </si>
  <si>
    <t>C06714</t>
  </si>
  <si>
    <t>C06715</t>
  </si>
  <si>
    <t>C16471</t>
  </si>
  <si>
    <t>C00088</t>
  </si>
  <si>
    <t>C00244</t>
  </si>
  <si>
    <t>C15603</t>
  </si>
  <si>
    <t>C15602</t>
  </si>
  <si>
    <t>C00924</t>
  </si>
  <si>
    <t>C00923</t>
  </si>
  <si>
    <t>C06259</t>
  </si>
  <si>
    <t>C06260</t>
  </si>
  <si>
    <t>C06697</t>
  </si>
  <si>
    <t>C05357</t>
  </si>
  <si>
    <t>C11215</t>
  </si>
  <si>
    <t>C05358</t>
  </si>
  <si>
    <t>C00334</t>
  </si>
  <si>
    <t>C00232</t>
  </si>
  <si>
    <t>C00222</t>
  </si>
  <si>
    <t>C00301</t>
  </si>
  <si>
    <t>C00357</t>
  </si>
  <si>
    <t>C06509</t>
  </si>
  <si>
    <t>C06510</t>
  </si>
  <si>
    <t>C04122</t>
  </si>
  <si>
    <t>C05382</t>
  </si>
  <si>
    <t>C06507</t>
  </si>
  <si>
    <t>C03194</t>
  </si>
  <si>
    <t>C06508</t>
  </si>
  <si>
    <t>C04778</t>
  </si>
  <si>
    <t>C05775</t>
  </si>
  <si>
    <t>C21153</t>
  </si>
  <si>
    <t>C00194</t>
  </si>
  <si>
    <t>C03114</t>
  </si>
  <si>
    <t>C00541</t>
  </si>
  <si>
    <t>C03024</t>
  </si>
  <si>
    <t>C00536</t>
  </si>
  <si>
    <t>C03161</t>
  </si>
  <si>
    <t>C06504</t>
  </si>
  <si>
    <t>C06506</t>
  </si>
  <si>
    <t>C00853</t>
  </si>
  <si>
    <t>C06505</t>
  </si>
  <si>
    <t>C05774</t>
  </si>
  <si>
    <t>C00059</t>
  </si>
  <si>
    <t>C00224</t>
  </si>
  <si>
    <t>C05697</t>
  </si>
  <si>
    <t>C05686</t>
  </si>
  <si>
    <t>C02463</t>
  </si>
  <si>
    <t>C15527</t>
  </si>
  <si>
    <t>C02469</t>
  </si>
  <si>
    <t>C05778</t>
  </si>
  <si>
    <t>C05684</t>
  </si>
  <si>
    <t>C04752</t>
  </si>
  <si>
    <t>C04327</t>
  </si>
  <si>
    <t>C01081</t>
  </si>
  <si>
    <t>C20247</t>
  </si>
  <si>
    <t>C20246</t>
  </si>
  <si>
    <t>C15809</t>
  </si>
  <si>
    <t>C00213</t>
  </si>
  <si>
    <t>C00218</t>
  </si>
  <si>
    <t>C11735</t>
  </si>
  <si>
    <t>C00797</t>
  </si>
  <si>
    <t>C04556</t>
  </si>
  <si>
    <t>C05198</t>
  </si>
  <si>
    <t>C00073</t>
  </si>
  <si>
    <t>C00237</t>
  </si>
  <si>
    <t>C02730</t>
  </si>
  <si>
    <t>C03160</t>
  </si>
  <si>
    <t>C01045</t>
  </si>
  <si>
    <t>C00227</t>
  </si>
  <si>
    <t>C02876</t>
  </si>
  <si>
    <t>C01089</t>
  </si>
  <si>
    <t>C00164</t>
  </si>
  <si>
    <t>C00575</t>
  </si>
  <si>
    <t>C00942</t>
  </si>
  <si>
    <t>C01153</t>
  </si>
  <si>
    <t>C00069</t>
  </si>
  <si>
    <t>C03360</t>
  </si>
  <si>
    <t>C00870</t>
  </si>
  <si>
    <t>C00184</t>
  </si>
  <si>
    <t>C04895</t>
  </si>
  <si>
    <t>C04874</t>
  </si>
  <si>
    <t>C00071</t>
  </si>
  <si>
    <t>C00162</t>
  </si>
  <si>
    <t>C00084</t>
  </si>
  <si>
    <t>C05665</t>
  </si>
  <si>
    <t>C00258</t>
  </si>
  <si>
    <t>C00555</t>
  </si>
  <si>
    <t>C00637</t>
  </si>
  <si>
    <t>C00954</t>
  </si>
  <si>
    <t>C05985</t>
  </si>
  <si>
    <t>C00804</t>
  </si>
  <si>
    <t>C01149</t>
  </si>
  <si>
    <t>C01181</t>
  </si>
  <si>
    <t>C06002</t>
  </si>
  <si>
    <t>C02170</t>
  </si>
  <si>
    <t>C05130</t>
  </si>
  <si>
    <t>C02835</t>
  </si>
  <si>
    <t>C05445</t>
  </si>
  <si>
    <t>C04554</t>
  </si>
  <si>
    <t>C05634</t>
  </si>
  <si>
    <t>C05635</t>
  </si>
  <si>
    <t>C05936</t>
  </si>
  <si>
    <t>C02946</t>
  </si>
  <si>
    <t>C06754</t>
  </si>
  <si>
    <t>C06755</t>
  </si>
  <si>
    <t>C02576</t>
  </si>
  <si>
    <t>C11924</t>
  </si>
  <si>
    <t>C03461</t>
  </si>
  <si>
    <t>C16502</t>
  </si>
  <si>
    <t>C00433</t>
  </si>
  <si>
    <t>C02670</t>
  </si>
  <si>
    <t>C00818</t>
  </si>
  <si>
    <t>C06613</t>
  </si>
  <si>
    <t>C06614</t>
  </si>
  <si>
    <t>C16348</t>
  </si>
  <si>
    <t>C06615</t>
  </si>
  <si>
    <t>C00582</t>
  </si>
  <si>
    <t>C01161</t>
  </si>
  <si>
    <t>C00642</t>
  </si>
  <si>
    <t>C05593</t>
  </si>
  <si>
    <t>C03063</t>
  </si>
  <si>
    <t>C05600</t>
  </si>
  <si>
    <t>C00441</t>
  </si>
  <si>
    <t>C20258</t>
  </si>
  <si>
    <t>C00175</t>
  </si>
  <si>
    <t>C11538</t>
  </si>
  <si>
    <t>C06407</t>
  </si>
  <si>
    <t>C06416</t>
  </si>
  <si>
    <t>C05772</t>
  </si>
  <si>
    <t>C05840</t>
  </si>
  <si>
    <t>C00036</t>
  </si>
  <si>
    <t>C03722</t>
  </si>
  <si>
    <t>C01010</t>
  </si>
  <si>
    <t>C00605</t>
  </si>
  <si>
    <t>C01944</t>
  </si>
  <si>
    <t>C01832</t>
  </si>
  <si>
    <t>C02593</t>
  </si>
  <si>
    <t>C05274</t>
  </si>
  <si>
    <t>C03284</t>
  </si>
  <si>
    <t>C00984</t>
  </si>
  <si>
    <t>C00446</t>
  </si>
  <si>
    <t>C01077</t>
  </si>
  <si>
    <t>C00409</t>
  </si>
  <si>
    <t>C00155</t>
  </si>
  <si>
    <t>C01639</t>
  </si>
  <si>
    <t>C03125</t>
  </si>
  <si>
    <t>C01650</t>
  </si>
  <si>
    <t>C02553</t>
  </si>
  <si>
    <t>C16636</t>
  </si>
  <si>
    <t>C06481</t>
  </si>
  <si>
    <t>C03431</t>
  </si>
  <si>
    <t>C00424</t>
  </si>
  <si>
    <t>C01118</t>
  </si>
  <si>
    <t>C02291</t>
  </si>
  <si>
    <t>C00542</t>
  </si>
  <si>
    <t>C05702</t>
  </si>
  <si>
    <t>C05699</t>
  </si>
  <si>
    <t>C00079</t>
  </si>
  <si>
    <t>C00166</t>
  </si>
  <si>
    <t>C01179</t>
  </si>
  <si>
    <t>C00302</t>
  </si>
  <si>
    <t>C00506</t>
  </si>
  <si>
    <t>C05528</t>
  </si>
  <si>
    <t>C00606</t>
  </si>
  <si>
    <t>C05527</t>
  </si>
  <si>
    <t>C05947</t>
  </si>
  <si>
    <t>C05946</t>
  </si>
  <si>
    <t>C00236</t>
  </si>
  <si>
    <t>C00177</t>
  </si>
  <si>
    <t>C01755</t>
  </si>
  <si>
    <t>C01977</t>
  </si>
  <si>
    <t>C04157</t>
  </si>
  <si>
    <t>C00568</t>
  </si>
  <si>
    <t>C05698</t>
  </si>
  <si>
    <t>C04489</t>
  </si>
  <si>
    <t>C05335</t>
  </si>
  <si>
    <t>C04144</t>
  </si>
  <si>
    <t>C17324</t>
  </si>
  <si>
    <t>C04432</t>
  </si>
  <si>
    <t>C11736</t>
  </si>
  <si>
    <t>C04242</t>
  </si>
  <si>
    <t>C05893</t>
  </si>
  <si>
    <t>C11826</t>
  </si>
  <si>
    <t>C05898</t>
  </si>
  <si>
    <t>C11827</t>
  </si>
  <si>
    <t>C05892</t>
  </si>
  <si>
    <t>C00993</t>
  </si>
  <si>
    <t>C04702</t>
  </si>
  <si>
    <t>C04877</t>
  </si>
  <si>
    <t>C04882</t>
  </si>
  <si>
    <t>C04851</t>
  </si>
  <si>
    <t>C05897</t>
  </si>
  <si>
    <t>C01212</t>
  </si>
  <si>
    <t>C00217</t>
  </si>
  <si>
    <t>C00692</t>
  </si>
  <si>
    <t>C01050</t>
  </si>
  <si>
    <t>C04631</t>
  </si>
  <si>
    <t>C05421</t>
  </si>
  <si>
    <t>C05413</t>
  </si>
  <si>
    <t>C03193</t>
  </si>
  <si>
    <t>C00045</t>
  </si>
  <si>
    <t>C00012</t>
  </si>
  <si>
    <t>C03363</t>
  </si>
  <si>
    <t>C00051</t>
  </si>
  <si>
    <t>C00151</t>
  </si>
  <si>
    <t>C01419</t>
  </si>
  <si>
    <t>C03740</t>
  </si>
  <si>
    <t>C00245</t>
  </si>
  <si>
    <t>C05844</t>
  </si>
  <si>
    <t>C02166</t>
  </si>
  <si>
    <t>C05951</t>
  </si>
  <si>
    <t>C05689</t>
  </si>
  <si>
    <t>C05695</t>
  </si>
  <si>
    <t>C02320</t>
  </si>
  <si>
    <t>C05729</t>
  </si>
  <si>
    <t>C02512</t>
  </si>
  <si>
    <t>C05711</t>
  </si>
  <si>
    <t>C05670</t>
  </si>
  <si>
    <t>C06114</t>
  </si>
  <si>
    <t>C05309</t>
  </si>
  <si>
    <t>C00148</t>
  </si>
  <si>
    <t>C00183</t>
  </si>
  <si>
    <t>C01653</t>
  </si>
  <si>
    <t>C02554</t>
  </si>
  <si>
    <t>C03506</t>
  </si>
  <si>
    <t>C01167</t>
  </si>
  <si>
    <t>C00585</t>
  </si>
  <si>
    <t>C04133</t>
  </si>
  <si>
    <t>C02612</t>
  </si>
  <si>
    <t>C00900</t>
  </si>
  <si>
    <t>C05125</t>
  </si>
  <si>
    <t>C05526</t>
  </si>
  <si>
    <t>C18902</t>
  </si>
  <si>
    <t>C05703</t>
  </si>
  <si>
    <t>C00704</t>
  </si>
  <si>
    <t>C01640</t>
  </si>
  <si>
    <t>C02282</t>
  </si>
  <si>
    <t>C03082</t>
  </si>
  <si>
    <t>C01642</t>
  </si>
  <si>
    <t>C02412</t>
  </si>
  <si>
    <t>C00490</t>
  </si>
  <si>
    <t>C00531</t>
  </si>
  <si>
    <t>C03508</t>
  </si>
  <si>
    <t>C02133</t>
  </si>
  <si>
    <t>C06206</t>
  </si>
  <si>
    <t>C00180</t>
  </si>
  <si>
    <t>C02631</t>
  </si>
  <si>
    <t>C06032</t>
  </si>
  <si>
    <t>C05993</t>
  </si>
  <si>
    <t>C00163</t>
  </si>
  <si>
    <t>C05983</t>
  </si>
  <si>
    <t>C03838</t>
  </si>
  <si>
    <t>C00826</t>
  </si>
  <si>
    <t>C00160</t>
  </si>
  <si>
    <t>C00937</t>
  </si>
  <si>
    <t>C00337</t>
  </si>
  <si>
    <t>C01636</t>
  </si>
  <si>
    <t>C02163</t>
  </si>
  <si>
    <t>C02739</t>
  </si>
  <si>
    <t>C02741</t>
  </si>
  <si>
    <t>C01637</t>
  </si>
  <si>
    <t>C01638</t>
  </si>
  <si>
    <t>C02984</t>
  </si>
  <si>
    <t>C00399</t>
  </si>
  <si>
    <t>C00390</t>
  </si>
  <si>
    <t>C01137</t>
  </si>
  <si>
    <t>C00173</t>
  </si>
  <si>
    <t>C03939</t>
  </si>
  <si>
    <t>C05223</t>
  </si>
  <si>
    <t>C05745</t>
  </si>
  <si>
    <t>C05749</t>
  </si>
  <si>
    <t>C05752</t>
  </si>
  <si>
    <t>C05755</t>
  </si>
  <si>
    <t>C05761</t>
  </si>
  <si>
    <t>C05764</t>
  </si>
  <si>
    <t>C19673</t>
  </si>
  <si>
    <t>C20375</t>
  </si>
  <si>
    <t>C00121</t>
  </si>
  <si>
    <t>C01801</t>
  </si>
  <si>
    <t>C01267</t>
  </si>
  <si>
    <t>C20648</t>
  </si>
  <si>
    <t>C20796</t>
  </si>
  <si>
    <t>C00417</t>
  </si>
  <si>
    <t>C01609</t>
  </si>
  <si>
    <t>C02729</t>
  </si>
  <si>
    <t>C00135</t>
  </si>
  <si>
    <t>C01929</t>
  </si>
  <si>
    <t>C01643</t>
  </si>
  <si>
    <t>C02988</t>
  </si>
  <si>
    <t>C00152</t>
  </si>
  <si>
    <t>C02953</t>
  </si>
  <si>
    <t>C00835</t>
  </si>
  <si>
    <t>C00272</t>
  </si>
  <si>
    <t>C03684</t>
  </si>
  <si>
    <t>C00407</t>
  </si>
  <si>
    <t>C01644</t>
  </si>
  <si>
    <t>C03127</t>
  </si>
  <si>
    <t>C00269</t>
  </si>
  <si>
    <t>C03912</t>
  </si>
  <si>
    <t>C01157</t>
  </si>
  <si>
    <t>C04281</t>
  </si>
  <si>
    <t>C03263</t>
  </si>
  <si>
    <t>C05768</t>
  </si>
  <si>
    <t>C14818</t>
  </si>
  <si>
    <t>C00032</t>
  </si>
  <si>
    <t>C01079</t>
  </si>
  <si>
    <t>C01507</t>
  </si>
  <si>
    <t>C00247</t>
  </si>
  <si>
    <t>C00794</t>
  </si>
  <si>
    <t>C00379</t>
  </si>
  <si>
    <t>C00310</t>
  </si>
  <si>
    <t>C01647</t>
  </si>
  <si>
    <t>C02430</t>
  </si>
  <si>
    <t>C05336</t>
  </si>
  <si>
    <t>C15498</t>
  </si>
  <si>
    <t>C01335</t>
  </si>
  <si>
    <t>C07292</t>
  </si>
  <si>
    <t>C07293</t>
  </si>
  <si>
    <t>C00127</t>
  </si>
  <si>
    <t>C01168</t>
  </si>
  <si>
    <t>C00067</t>
  </si>
  <si>
    <t>C00116</t>
  </si>
  <si>
    <t>C03880</t>
  </si>
  <si>
    <t>C03523</t>
  </si>
  <si>
    <t>C00066</t>
  </si>
  <si>
    <t>C00170</t>
  </si>
  <si>
    <t>C03089</t>
  </si>
  <si>
    <t>C11838</t>
  </si>
  <si>
    <t>C16619</t>
  </si>
  <si>
    <t>C03231</t>
  </si>
  <si>
    <t>C16466</t>
  </si>
  <si>
    <t>C06055</t>
  </si>
  <si>
    <t>C06056</t>
  </si>
  <si>
    <t>C00226</t>
  </si>
  <si>
    <t>C00469</t>
  </si>
  <si>
    <t>C00473</t>
  </si>
  <si>
    <t>C00376</t>
  </si>
  <si>
    <t>C00756</t>
  </si>
  <si>
    <t>C01545</t>
  </si>
  <si>
    <t>C05444</t>
  </si>
  <si>
    <t>C05576</t>
  </si>
  <si>
    <t>C05577</t>
  </si>
  <si>
    <t>C06611</t>
  </si>
  <si>
    <t>C06612</t>
  </si>
  <si>
    <t>C14089</t>
  </si>
  <si>
    <t>C14090</t>
  </si>
  <si>
    <t>C02909</t>
  </si>
  <si>
    <t>C14099</t>
  </si>
  <si>
    <t>C07645</t>
  </si>
  <si>
    <t>C16551</t>
  </si>
  <si>
    <t>C16586</t>
  </si>
  <si>
    <t>C16587</t>
  </si>
  <si>
    <t>C00114</t>
  </si>
  <si>
    <t>C00576</t>
  </si>
  <si>
    <t>C16310</t>
  </si>
  <si>
    <t>C08492</t>
  </si>
  <si>
    <t>C01612</t>
  </si>
  <si>
    <t>C01450</t>
  </si>
  <si>
    <t>C16595</t>
  </si>
  <si>
    <t>C16596</t>
  </si>
  <si>
    <t>C00418</t>
  </si>
  <si>
    <t>C00772</t>
  </si>
  <si>
    <t>C06899</t>
  </si>
  <si>
    <t>C07490</t>
  </si>
  <si>
    <t>C18091</t>
  </si>
  <si>
    <t>C01847</t>
  </si>
  <si>
    <t>C00061</t>
  </si>
  <si>
    <t>C12214</t>
  </si>
  <si>
    <t>C12215</t>
  </si>
  <si>
    <t>C13378</t>
  </si>
  <si>
    <t>C01649</t>
  </si>
  <si>
    <t>C02702</t>
  </si>
  <si>
    <t>C01159</t>
  </si>
  <si>
    <t>C00615</t>
  </si>
  <si>
    <t>C04262</t>
  </si>
  <si>
    <t>C00681</t>
  </si>
  <si>
    <t>C01096</t>
  </si>
  <si>
    <t>C00460</t>
  </si>
  <si>
    <t>C04545</t>
  </si>
  <si>
    <t>C00123</t>
  </si>
  <si>
    <t>C02356</t>
  </si>
  <si>
    <t>C00132</t>
  </si>
  <si>
    <t>C00632</t>
  </si>
  <si>
    <t>C05640</t>
  </si>
  <si>
    <t>C02380</t>
  </si>
  <si>
    <t>C16614</t>
  </si>
  <si>
    <t>C16615</t>
  </si>
  <si>
    <t>C07648</t>
  </si>
  <si>
    <t>C02143</t>
  </si>
  <si>
    <t>C16581</t>
  </si>
  <si>
    <t>C01019</t>
  </si>
  <si>
    <t>C18028</t>
  </si>
  <si>
    <t>C01825</t>
  </si>
  <si>
    <t>C01115</t>
  </si>
  <si>
    <t>C00108</t>
  </si>
  <si>
    <t>C01165</t>
  </si>
  <si>
    <t>C05938</t>
  </si>
  <si>
    <t>C01651</t>
  </si>
  <si>
    <t>C02992</t>
  </si>
  <si>
    <t>C15532</t>
  </si>
  <si>
    <t>C00221</t>
  </si>
  <si>
    <t>C01172</t>
  </si>
  <si>
    <t>C01261</t>
  </si>
  <si>
    <t>C01260</t>
  </si>
  <si>
    <t>C06198</t>
  </si>
  <si>
    <t>C04392</t>
  </si>
  <si>
    <t>C00700</t>
  </si>
  <si>
    <t>C03294</t>
  </si>
  <si>
    <t>C11439</t>
  </si>
  <si>
    <t>C11440</t>
  </si>
  <si>
    <t>C04258</t>
  </si>
  <si>
    <t>C03617</t>
  </si>
  <si>
    <t>C16221</t>
  </si>
  <si>
    <t>C04088</t>
  </si>
  <si>
    <t>C16675</t>
  </si>
  <si>
    <t>C20446</t>
  </si>
  <si>
    <t>C01645</t>
  </si>
  <si>
    <t>C02047</t>
  </si>
  <si>
    <t>C03287</t>
  </si>
  <si>
    <t>C01648</t>
  </si>
  <si>
    <t>C03511</t>
  </si>
  <si>
    <t>C01097</t>
  </si>
  <si>
    <t>C03785</t>
  </si>
  <si>
    <t>C03120</t>
  </si>
  <si>
    <t>C00670</t>
  </si>
  <si>
    <t>C01233</t>
  </si>
  <si>
    <t>C00189</t>
  </si>
  <si>
    <t>Metabolites</t>
  </si>
  <si>
    <t>Water</t>
  </si>
  <si>
    <t>ATP</t>
  </si>
  <si>
    <t>NAD+</t>
  </si>
  <si>
    <t>NADH</t>
  </si>
  <si>
    <t>NADPH</t>
  </si>
  <si>
    <t>NADP+</t>
  </si>
  <si>
    <t>Oxygen</t>
  </si>
  <si>
    <t>ADP</t>
  </si>
  <si>
    <t xml:space="preserve">Phosphoric Acid </t>
  </si>
  <si>
    <t>CoA</t>
  </si>
  <si>
    <t xml:space="preserve">Carbon Dioxide </t>
  </si>
  <si>
    <t>peptide</t>
  </si>
  <si>
    <t xml:space="preserve">Diphosphoric Acid </t>
  </si>
  <si>
    <t>Ammonia</t>
  </si>
  <si>
    <t>UDP</t>
  </si>
  <si>
    <t>FAD</t>
  </si>
  <si>
    <t>SAM</t>
  </si>
  <si>
    <t>AMP</t>
  </si>
  <si>
    <t>S-Adenosyl-L-Homocysteine(SAH)</t>
  </si>
  <si>
    <t xml:space="preserve">Pyruvate </t>
  </si>
  <si>
    <t>Acetyl-CoA</t>
  </si>
  <si>
    <t>L-Glutamate</t>
  </si>
  <si>
    <t xml:space="preserve">2-Oxoglutarate </t>
  </si>
  <si>
    <t xml:space="preserve">Hydrogen Peroxide </t>
  </si>
  <si>
    <t>Acceptor</t>
  </si>
  <si>
    <t>UDP-glucose</t>
  </si>
  <si>
    <t xml:space="preserve">Reduced Acceptor </t>
  </si>
  <si>
    <t>D-Glucose</t>
  </si>
  <si>
    <t>Acetate</t>
  </si>
  <si>
    <t>GDP</t>
  </si>
  <si>
    <t>Oxaloacetate</t>
  </si>
  <si>
    <t>Glycine</t>
  </si>
  <si>
    <t>DNA</t>
  </si>
  <si>
    <t>Acyl-CoA</t>
  </si>
  <si>
    <t>L-Alanine</t>
  </si>
  <si>
    <t>UDP-N-Acetyl-Alpha-D-Glucosamine</t>
  </si>
  <si>
    <t>GTP</t>
  </si>
  <si>
    <t>RNA</t>
  </si>
  <si>
    <t>L-Lysine</t>
  </si>
  <si>
    <t>Glyoxylate</t>
  </si>
  <si>
    <t>L-Aspartate</t>
  </si>
  <si>
    <t>Glutathione</t>
  </si>
  <si>
    <t>UDP-D-Galactose</t>
  </si>
  <si>
    <t xml:space="preserve">Adenosine 3',5'-bisphosphate </t>
  </si>
  <si>
    <t>Cytidine-5'-monophosphate/CMP</t>
  </si>
  <si>
    <t>Formate</t>
  </si>
  <si>
    <t xml:space="preserve">Carboxylate </t>
  </si>
  <si>
    <t>Flavin Mononucleotide/FMN</t>
  </si>
  <si>
    <t>L-Arginine</t>
  </si>
  <si>
    <t>CTP</t>
  </si>
  <si>
    <t>L-Glutamine</t>
  </si>
  <si>
    <t>L-Serine</t>
  </si>
  <si>
    <t xml:space="preserve">Thiamin Diphosphate </t>
  </si>
  <si>
    <t xml:space="preserve">Aldehyde </t>
  </si>
  <si>
    <t xml:space="preserve">L-Methionine </t>
  </si>
  <si>
    <t xml:space="preserve">Phosphoenolpyruvate </t>
  </si>
  <si>
    <t>UTP</t>
  </si>
  <si>
    <t>L-Phenylalanine</t>
  </si>
  <si>
    <t>H+</t>
  </si>
  <si>
    <t>ITP</t>
  </si>
  <si>
    <t>L-Tyrosine</t>
  </si>
  <si>
    <t>Acetaldehyde</t>
  </si>
  <si>
    <t xml:space="preserve">D-Fructose </t>
  </si>
  <si>
    <t xml:space="preserve">Sucrose </t>
  </si>
  <si>
    <t xml:space="preserve">sn-Glycerol 3-Phosphate </t>
  </si>
  <si>
    <t xml:space="preserve">Sulfite </t>
  </si>
  <si>
    <t xml:space="preserve">L-Cysteine </t>
  </si>
  <si>
    <t>Propanoyl-CoA</t>
  </si>
  <si>
    <t xml:space="preserve">Tetrahydrofolate </t>
  </si>
  <si>
    <t xml:space="preserve">Glucose 1-Phosphate </t>
  </si>
  <si>
    <t>IDP</t>
  </si>
  <si>
    <t>UMP</t>
  </si>
  <si>
    <t>Uracil</t>
  </si>
  <si>
    <t xml:space="preserve">2-Oxobutanoate </t>
  </si>
  <si>
    <t xml:space="preserve">Glycerone Phosphate </t>
  </si>
  <si>
    <t>CDP</t>
  </si>
  <si>
    <t xml:space="preserve">Choline </t>
  </si>
  <si>
    <t>Glycerol</t>
  </si>
  <si>
    <t xml:space="preserve">D-Ribose 5-Phosphate </t>
  </si>
  <si>
    <t xml:space="preserve">D-Glyceraldehyde 3-Phosphate </t>
  </si>
  <si>
    <t xml:space="preserve">5-Phospho-alpha-D-ribose 1-diphosphate </t>
  </si>
  <si>
    <t>D-Ribose</t>
  </si>
  <si>
    <t>Fumarate</t>
  </si>
  <si>
    <t>L-Leucine</t>
  </si>
  <si>
    <t xml:space="preserve">Isopentenyl Diphosphate </t>
  </si>
  <si>
    <t>IMP</t>
  </si>
  <si>
    <t>dATP</t>
  </si>
  <si>
    <t>D-Alanine</t>
  </si>
  <si>
    <t>Butanoyl-CoA</t>
  </si>
  <si>
    <t xml:space="preserve">3-Methyl-2-oxobutanoic acid </t>
  </si>
  <si>
    <t>5,10-Methylenetetrahydrofolate</t>
  </si>
  <si>
    <t>GMP</t>
  </si>
  <si>
    <t>Adenine</t>
  </si>
  <si>
    <t xml:space="preserve">L-Proline </t>
  </si>
  <si>
    <t>(S)-Malate</t>
  </si>
  <si>
    <t>L-Asparagine</t>
  </si>
  <si>
    <t>Nicotinamide</t>
  </si>
  <si>
    <t>L-Homocysteine</t>
  </si>
  <si>
    <t>Citrate</t>
  </si>
  <si>
    <t>Glycolate</t>
  </si>
  <si>
    <t>2-Oxo acid</t>
  </si>
  <si>
    <t>Propanoate</t>
  </si>
  <si>
    <t>Phenylpyruvate</t>
  </si>
  <si>
    <t xml:space="preserve">Carbamoyl Phosphate </t>
  </si>
  <si>
    <t xml:space="preserve">5'-Methylthioadenosine </t>
  </si>
  <si>
    <t>Acyl-[acyl-carrier protein]</t>
  </si>
  <si>
    <t>L-Valine</t>
  </si>
  <si>
    <t>Glycerone</t>
  </si>
  <si>
    <t>(S)-Lactate</t>
  </si>
  <si>
    <t>L-Threonine</t>
  </si>
  <si>
    <t xml:space="preserve">Ethanolamine </t>
  </si>
  <si>
    <t xml:space="preserve">3-Phospho-D-glycerate </t>
  </si>
  <si>
    <t xml:space="preserve">D-Ribulose 5-phosphate </t>
  </si>
  <si>
    <t>NTP</t>
  </si>
  <si>
    <t>UDP-N-acetyl-D-galactosamine</t>
  </si>
  <si>
    <t>dADP</t>
  </si>
  <si>
    <t xml:space="preserve">Adenosine </t>
  </si>
  <si>
    <t xml:space="preserve">Thymidine </t>
  </si>
  <si>
    <t xml:space="preserve">D-Glutamate </t>
  </si>
  <si>
    <t xml:space="preserve">Adenylyl Sulfate </t>
  </si>
  <si>
    <t>Primary Alcohol</t>
  </si>
  <si>
    <t>Acetyl Phosphate</t>
  </si>
  <si>
    <t xml:space="preserve">Acyl-carrier protein </t>
  </si>
  <si>
    <t xml:space="preserve">D-Xylulose 5-Phosphate </t>
  </si>
  <si>
    <t xml:space="preserve">4-Methyl-2-oxopentanoate </t>
  </si>
  <si>
    <t>10-Formyltetrahydrofolate</t>
  </si>
  <si>
    <t>Dimethylallyl diphosphate</t>
  </si>
  <si>
    <t>3-Phospho-D-glyceroyl phosphate</t>
  </si>
  <si>
    <t>dCMP</t>
  </si>
  <si>
    <t>Amide</t>
  </si>
  <si>
    <t>Guanine</t>
  </si>
  <si>
    <t>Taurine</t>
  </si>
  <si>
    <t>Nicotinate</t>
  </si>
  <si>
    <t>Riboflavin</t>
  </si>
  <si>
    <t>(R)-Lactate</t>
  </si>
  <si>
    <t>D-Glycerate</t>
  </si>
  <si>
    <t>Hypoxanthine</t>
  </si>
  <si>
    <t>L-Homoserine</t>
  </si>
  <si>
    <t xml:space="preserve">alpha-D-Glucose </t>
  </si>
  <si>
    <t>CDP-diacylglycerol</t>
  </si>
  <si>
    <t>Tetrahydrobiopterin</t>
  </si>
  <si>
    <t xml:space="preserve">Hydrogen Sulfide </t>
  </si>
  <si>
    <t>dGTP</t>
  </si>
  <si>
    <t>HCO3-</t>
  </si>
  <si>
    <t>Inosine</t>
  </si>
  <si>
    <t>Orotate</t>
  </si>
  <si>
    <t>Uridine</t>
  </si>
  <si>
    <t>ADP-ribose</t>
  </si>
  <si>
    <t xml:space="preserve">Glutamate </t>
  </si>
  <si>
    <t>Thiosulfate</t>
  </si>
  <si>
    <t>Deoxyguanosine</t>
  </si>
  <si>
    <t>Acetoacetyl-CoA</t>
  </si>
  <si>
    <t>(S)-Dihydroorotate</t>
  </si>
  <si>
    <t>Thioredoxin</t>
  </si>
  <si>
    <t xml:space="preserve">Thioredoxin disulfide </t>
  </si>
  <si>
    <t>D-Glucosamine 6-phosphate</t>
  </si>
  <si>
    <t>D-Fructose 1,6-bisphosphate</t>
  </si>
  <si>
    <t>(S)-3-Hydroxy-3-methylglutaryl-CoA</t>
  </si>
  <si>
    <t>N-Acetyl-D-glucosamine 6-phosphate</t>
  </si>
  <si>
    <t>dAMP</t>
  </si>
  <si>
    <t>dGDP</t>
  </si>
  <si>
    <t>dGMP</t>
  </si>
  <si>
    <t>dTMP</t>
  </si>
  <si>
    <t>dUMP</t>
  </si>
  <si>
    <t>Starch</t>
  </si>
  <si>
    <t>Retinal</t>
  </si>
  <si>
    <t>Thiamine</t>
  </si>
  <si>
    <t>Xanthine</t>
  </si>
  <si>
    <t xml:space="preserve">Guanosine </t>
  </si>
  <si>
    <t>L-Isoleucine</t>
  </si>
  <si>
    <t>Dihydrofolate</t>
  </si>
  <si>
    <t>Phosphatidate</t>
  </si>
  <si>
    <t>( R )-Mevalonate</t>
  </si>
  <si>
    <t>N-Carbamoyl-L-aspartate</t>
  </si>
  <si>
    <t>L-Aspartate 4-semialdehyde</t>
  </si>
  <si>
    <t>5,10-Methenyltetrahydrofolate</t>
  </si>
  <si>
    <t xml:space="preserve">alpha-D-Galactose 1-phosphate </t>
  </si>
  <si>
    <t>Sedoheptulose 1,7-bisphosphate</t>
  </si>
  <si>
    <t>NDP</t>
  </si>
  <si>
    <t>Nicotinamide-D-ribonucleotide</t>
  </si>
  <si>
    <t>dCTP</t>
  </si>
  <si>
    <t>dTTP</t>
  </si>
  <si>
    <t>dUTP</t>
  </si>
  <si>
    <t>Ethanol</t>
  </si>
  <si>
    <t>Retinol</t>
  </si>
  <si>
    <t>Cytidine</t>
  </si>
  <si>
    <t>ADP-glucose</t>
  </si>
  <si>
    <t>L-Cysteate</t>
  </si>
  <si>
    <t>Deoxyuridine</t>
  </si>
  <si>
    <t>Deoxyadenosine</t>
  </si>
  <si>
    <t xml:space="preserve">Betaine aldehyde </t>
  </si>
  <si>
    <t>Protein tyrosine</t>
  </si>
  <si>
    <t>2,3-Dehydroacyl-CoA</t>
  </si>
  <si>
    <t>3-Sulfino-L-alanine</t>
  </si>
  <si>
    <t>Protein histidine</t>
  </si>
  <si>
    <t>2-Phospho-D-glycerate</t>
  </si>
  <si>
    <t>N-Acetyl-D-mannosamine</t>
  </si>
  <si>
    <t>Xanthosine 5'-phosphate</t>
  </si>
  <si>
    <t xml:space="preserve">alpha-D-Glucose 6-phosphate </t>
  </si>
  <si>
    <t>(S)-3-Methyl-2-oxopentanoic acid</t>
  </si>
  <si>
    <t>2-Deoxy-D-ribose 5-phosphate</t>
  </si>
  <si>
    <t>Deoxynucleoside triphosphate</t>
  </si>
  <si>
    <t>meso-2,6-Diaminoheptanedioate</t>
  </si>
  <si>
    <t>1-Acyl-sn-glycerol 3-phosphate</t>
  </si>
  <si>
    <t>UDP-N-acetylmuramoyl-L-alanyl-D-glutamate</t>
  </si>
  <si>
    <t>dCDP</t>
  </si>
  <si>
    <t>Amylose</t>
  </si>
  <si>
    <t>1-Octanol</t>
  </si>
  <si>
    <t>Mevaldate</t>
  </si>
  <si>
    <t>tRNA(Tyr)</t>
  </si>
  <si>
    <t xml:space="preserve">Pantethiene </t>
  </si>
  <si>
    <t>dTDP-glucose</t>
  </si>
  <si>
    <t>Deamino-NAD+</t>
  </si>
  <si>
    <t>Pantothenate</t>
  </si>
  <si>
    <t>Deoxycytidine</t>
  </si>
  <si>
    <t>Dephospho-CoA</t>
  </si>
  <si>
    <t>L-Alanyl-tRNA</t>
  </si>
  <si>
    <t>Ribonucleoside</t>
  </si>
  <si>
    <t>Mercaptopyruvate</t>
  </si>
  <si>
    <t>O-Acetyl-L-serine</t>
  </si>
  <si>
    <t>alpha-D-Galactose</t>
  </si>
  <si>
    <t>D-Alanyl-D-alanine</t>
  </si>
  <si>
    <t>O-Phospho-L-serine</t>
  </si>
  <si>
    <t>UDP-N-acetylmuramate</t>
  </si>
  <si>
    <t>D-Fructose 1-phosphate</t>
  </si>
  <si>
    <t>D-Tagatose 6-phosphate</t>
  </si>
  <si>
    <t>O-Phospho-L-homoserine</t>
  </si>
  <si>
    <t xml:space="preserve">Orotidine 5'-phosphate </t>
  </si>
  <si>
    <t>Pantetheine 4'-phosphate</t>
  </si>
  <si>
    <t>Protein tyrosine phosphate</t>
  </si>
  <si>
    <t>UDP-N-acetyl-D-mannosamine</t>
  </si>
  <si>
    <t>beta-D-Glucose 6-phosphate</t>
  </si>
  <si>
    <t>3-(4-Hydroxyphenyl)pyruvate</t>
  </si>
  <si>
    <t>Nicotinate D-ribonucleotide</t>
  </si>
  <si>
    <t>UDP-N-acetylmuramoyl-L-alanine</t>
  </si>
  <si>
    <t>5,6,7,8-Tetrahydromethanopterin</t>
  </si>
  <si>
    <t>P1,P4-Bis(5'-adenosyl)tetraphosphate</t>
  </si>
  <si>
    <t>4-Amino-5-hydroxymethyl-2-methylpyrimidine</t>
  </si>
  <si>
    <t>dUDP</t>
  </si>
  <si>
    <t>Ketone</t>
  </si>
  <si>
    <t>Hydrogen Selenide</t>
  </si>
  <si>
    <t>Octanal</t>
  </si>
  <si>
    <t>Carbamate</t>
  </si>
  <si>
    <t>Secondary alcohol</t>
  </si>
  <si>
    <t>tRNA(Ala)</t>
  </si>
  <si>
    <t>tRNA(Arg)</t>
  </si>
  <si>
    <t>tRNA(Asp)</t>
  </si>
  <si>
    <t>tRNA(Cys)</t>
  </si>
  <si>
    <t>tRNA(Glu)</t>
  </si>
  <si>
    <t>tRNA(Gly)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</si>
  <si>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</si>
  <si>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</si>
  <si>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</si>
  <si>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</si>
  <si>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</si>
  <si>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</si>
  <si>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</si>
  <si>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</si>
  <si>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tRNA(Val)</t>
  </si>
  <si>
    <t>Xanthosine</t>
  </si>
  <si>
    <t>Deoxyribose</t>
  </si>
  <si>
    <t>L-Lysyl-tRNA</t>
  </si>
  <si>
    <t>tRNA guanine</t>
  </si>
  <si>
    <t>L-Leucyl-tRNA</t>
  </si>
  <si>
    <t>Trypanothione</t>
  </si>
  <si>
    <t>dTDP-galactose</t>
  </si>
  <si>
    <t xml:space="preserve">Acyl phosphate </t>
  </si>
  <si>
    <t>L-Arginyl-tRNA(Arg)</t>
  </si>
  <si>
    <t>tRNA precursor</t>
  </si>
  <si>
    <t>beta-D-Fructose</t>
  </si>
  <si>
    <t>(S)-2-Aminobutanoate</t>
  </si>
  <si>
    <t>6-Mercaptopurine</t>
  </si>
  <si>
    <t>Glycyl-tRNA(Gly)</t>
  </si>
  <si>
    <t>L-Methionyl-tRNA</t>
  </si>
  <si>
    <t>5'-Ribonucleotide</t>
  </si>
  <si>
    <t>L-Seryl-tRNA(Ser)</t>
  </si>
  <si>
    <t xml:space="preserve">L-Valyl-tRNA(Val) </t>
  </si>
  <si>
    <t>L-Prolyl-tRNA(Pro)</t>
  </si>
  <si>
    <t>[Protein]-L-cysteine </t>
  </si>
  <si>
    <t>L-Tyrosyl-tRNA(Tyr)</t>
  </si>
  <si>
    <t>Propanoyl phosphate</t>
  </si>
  <si>
    <t>(2-Naphthyl)methanol</t>
  </si>
  <si>
    <t>7,8-Dihydrobiopterin</t>
  </si>
  <si>
    <t>D-Allose 6-phosphate</t>
  </si>
  <si>
    <t>L-Aspartyl-tRNA(Asp)</t>
  </si>
  <si>
    <t>L-Glutamyl-tRNA(Glu)</t>
  </si>
  <si>
    <t>L-Threonyl-tRNA(Thr)</t>
  </si>
  <si>
    <t xml:space="preserve">Thiamine Triphosphate </t>
  </si>
  <si>
    <t>4-Phospho-L-aspartate</t>
  </si>
  <si>
    <t>5-Methylthio-D-ribose</t>
  </si>
  <si>
    <t>5-Phosphoribosylamine</t>
  </si>
  <si>
    <t>L-Cysteinyl-tRNA(Cys)</t>
  </si>
  <si>
    <t>L-Isoleucyl-tRNA(Ile)</t>
  </si>
  <si>
    <t>Nicotinamide-beta-riboside</t>
  </si>
  <si>
    <t>Trypanothione disulfide</t>
  </si>
  <si>
    <t>N-Formylmethionyl-tRNA</t>
  </si>
  <si>
    <t>3-Phospho-D-erythronate</t>
  </si>
  <si>
    <t>Aminoimidazole Ribotide</t>
  </si>
  <si>
    <t>Folinic Acid</t>
  </si>
  <si>
    <t>D-4'-Phosphopantothenate</t>
  </si>
  <si>
    <t>L-Phenylalanyl-tRNA(Phe)</t>
  </si>
  <si>
    <t xml:space="preserve">N-Substituted amino acid </t>
  </si>
  <si>
    <t>S-Ribosyl-L-homocysteine</t>
  </si>
  <si>
    <t>L-Methionylaminoacyl-tRNA</t>
  </si>
  <si>
    <t>Peptidylproline (omega=0)</t>
  </si>
  <si>
    <t>Apo-[acyl-carrier protein]</t>
  </si>
  <si>
    <t>Ribonucleoside diphosphate</t>
  </si>
  <si>
    <t>D-Tagatose 1,6-bisphosphate</t>
  </si>
  <si>
    <t>N6-(1,2-Dicarboxyethyl)-AMP</t>
  </si>
  <si>
    <t>Peptidylproline (omega=180)</t>
  </si>
  <si>
    <t>Protein S-methyl-L-cysteine</t>
  </si>
  <si>
    <t>5'-Phosphoribosylglycinamide</t>
  </si>
  <si>
    <t>N-Substituted aminoacyl-tRNA</t>
  </si>
  <si>
    <t>5-Amino-4-imidazolecarboxyamide</t>
  </si>
  <si>
    <t>N-((R)-Pantothenoyl)-L-cysteine</t>
  </si>
  <si>
    <t>Tetrahydropteroyltri-L-glutamate</t>
  </si>
  <si>
    <t>tRNA containing N1-methylguanine</t>
  </si>
  <si>
    <t>2'-Deoxyribonucleoside diphosphate</t>
  </si>
  <si>
    <t>5-Fluorodeoxyuridine monophosphate</t>
  </si>
  <si>
    <t>DNA containing 6-O-methylguanine</t>
  </si>
  <si>
    <t>N-Formyl-L-methionylaminoacyl-tRNA</t>
  </si>
  <si>
    <t>Phosphoenol-4-deoxy-3-tetrulosonate</t>
  </si>
  <si>
    <t>( R )- 4' - Phosphopantothenoyl -L-cysteine</t>
  </si>
  <si>
    <t>5'-Phosphoribosyl-N-formylglycinamide</t>
  </si>
  <si>
    <t>5,10-Methylenetetrahydromenthanopterin</t>
  </si>
  <si>
    <t>tRNA containing 6-isopentenyladenosine</t>
  </si>
  <si>
    <t>5-Methyltetrahydropteroyltri-L-glutamate</t>
  </si>
  <si>
    <t>4-Amino-2-methyl-5-(phosphooxymethyl)pyrimidine</t>
  </si>
  <si>
    <t>di-trans,poly-cis-Undecaprenyl diphosphate</t>
  </si>
  <si>
    <t>UDP-N-acetyl-3-(1-carboxyvinyl)-D-glucosamine</t>
  </si>
  <si>
    <t>2-(Formamido)-N1-(5'-phosphoribosyl)acetamidine</t>
  </si>
  <si>
    <t>6-Thioinosine-5'-monophosphate</t>
  </si>
  <si>
    <t>1-(5'-Phosphoribosyl)-5-amino-4-imidazolecarboxamide</t>
  </si>
  <si>
    <t>UDPMurNAc(oyl-L-Ala-D-gamma-Glu-L-Lys-D-Ala-D-Ala)</t>
  </si>
  <si>
    <t>1-(5'-Phosphoribosyl)-5-formamido-4-imidazolecarboxamide</t>
  </si>
  <si>
    <t>1-(5-Phospho-D-ribosyl)-5-amino-4-imidazolecarboxylate</t>
  </si>
  <si>
    <t>4-Amino-5-hydroxymethyl-2-methylpyrimidine diphosphate</t>
  </si>
  <si>
    <t>1-(5'-Phosphoribosyl)-5-amino-4-(N-succinocarboxamide)-imidazole</t>
  </si>
  <si>
    <t>MurAc(oyl-L-Ala-D-gamma-Glu-L-Lys-D-Ala-D-Ala)-diphospho-undecaprenol</t>
  </si>
  <si>
    <t>UDP-N-acetylmuramoyl-L-alanyl-gamma-D-glutamyl-meso-2,6-diaminopimelate</t>
  </si>
  <si>
    <t xml:space="preserve">UDP-N-acetylmuramoyl-L-alanyl-D-glutamyl-6-carboxyl-L-lysyl-D-alanyl-D-alanine </t>
  </si>
  <si>
    <t>5'-Deoxyadenosine</t>
  </si>
  <si>
    <t>L-Selenomethionine</t>
  </si>
  <si>
    <t>Selenomethionyl-tRNA(Met)</t>
  </si>
  <si>
    <t>beta-D-Fructose 6-phosphate</t>
  </si>
  <si>
    <t>beta-D-Fructose 1,6-bisphosphate</t>
  </si>
  <si>
    <t>Sedoheptulose 7-phosphate</t>
  </si>
  <si>
    <t>3alpha,7alpha,26-Trihydroxy-5beta-cholestane</t>
  </si>
  <si>
    <t>3alpha,7alpha-Dihydroxy-5beta-cholestan-26-al</t>
  </si>
  <si>
    <t>Deoxyinosine</t>
  </si>
  <si>
    <t>S-Glutathionyl-L-cysteine</t>
  </si>
  <si>
    <t>3-Sulfinylpyruvate</t>
  </si>
  <si>
    <t>3-Sulfopyruvate</t>
  </si>
  <si>
    <t>3,4-Dihydroxyphenylethyleneglycol</t>
  </si>
  <si>
    <t>3,4-Dihydroxymandelaldehyde</t>
  </si>
  <si>
    <t>Selenite</t>
  </si>
  <si>
    <t>L-Selenocysteine</t>
  </si>
  <si>
    <t>Selenohomocysteine</t>
  </si>
  <si>
    <t>Methaneselenol</t>
  </si>
  <si>
    <t>3-Mercaptolactate</t>
  </si>
  <si>
    <t>Nicotinate D-ribonucleoside</t>
  </si>
  <si>
    <t>UDP-N-acetylmuramoyl-L-alanyl-gamma-D-glutamyl-L-lysine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</si>
  <si>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</si>
  <si>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</si>
  <si>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Undecaprenyl-diphospho-N-acetylmuramoyl-(N-acetylglucosamine)-L-alanyl-D-glutamyl-meso-2,6-diaminopimeloyl-D-alanyl-D-alanine</t>
  </si>
  <si>
    <t>(4R)-4-Hydroxy-2-oxoglutarate</t>
  </si>
  <si>
    <t>L-erythro-4-Hydroxyglutamate</t>
  </si>
  <si>
    <t xml:space="preserve">2-Hydroxybutanoic acid </t>
  </si>
  <si>
    <t>O-Phospho-4-hydroxy-L-threonine</t>
  </si>
  <si>
    <t>4-Hydroxy-L-threonine</t>
  </si>
  <si>
    <t>alpha-D-Glucosamine 1-phosphate</t>
  </si>
  <si>
    <t>2'-Deoxyinosine 5'-phosphate</t>
  </si>
  <si>
    <t>L-Seryl-tRNA(Sec)</t>
  </si>
  <si>
    <t>trans-3-Chloro-2-propene-1-ol</t>
  </si>
  <si>
    <t>cis-3-Chloro-2-propene-1-ol</t>
  </si>
  <si>
    <t>trans-3-Chloroallyl aldehyde</t>
  </si>
  <si>
    <t>Chloral hydrate</t>
  </si>
  <si>
    <t>Trichloroethanol</t>
  </si>
  <si>
    <t>Aldophosphamide</t>
  </si>
  <si>
    <t>Thioguanine</t>
  </si>
  <si>
    <t>5-FU</t>
  </si>
  <si>
    <t>3-Hexenol</t>
  </si>
  <si>
    <t>2'-Deoxy-5-hydroxymethylcytidine-5'-triphosphate</t>
  </si>
  <si>
    <t>1-Deoxy-D-xylulose 5-phosphate</t>
  </si>
  <si>
    <t>Formyl-L-methionyl peptide</t>
  </si>
  <si>
    <t>Methionyl peptide</t>
  </si>
  <si>
    <t>DNA containing guanine</t>
  </si>
  <si>
    <t>5-Fluorodeoxyuridine</t>
  </si>
  <si>
    <t>[GlcNAc-(1-&gt;4)-Mur2Ac(oyl-L-Ala-g-D-Glu-L-Lys-D-Ala-D-Ala)]n-diphosphoundecaprenol</t>
  </si>
  <si>
    <t>[GlcNAc-(1-&gt;4)-Mur2Ac(oyl-L-Ala-g-D-Glu-A2pm-D-Ala-D-Ala)]n-diphosphoundecaprenol</t>
  </si>
  <si>
    <t>(S)-4,5-Dihydroxypentane-2,3-dione</t>
  </si>
  <si>
    <t>1-Hydroxymethylnaphthalene</t>
  </si>
  <si>
    <t>1-Naphthaldehyde</t>
  </si>
  <si>
    <t>2-Naphthaldehyde</t>
  </si>
  <si>
    <t>[Enzyme]-cysteine</t>
  </si>
  <si>
    <t>[Enzyme]-S-sulfanylcysteine</t>
  </si>
  <si>
    <t>3-Hexenal</t>
  </si>
  <si>
    <t>cis-3-Chloroallyl aldehyde</t>
  </si>
  <si>
    <t>Alcophosphamide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</si>
  <si>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</si>
  <si>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</si>
  <si>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</si>
  <si>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</si>
  <si>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</si>
  <si>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6-Methylthiopurine 5'-monophosphate ribonucleotide</t>
  </si>
  <si>
    <t>6-Thioxanthine 5'-monophosphate</t>
  </si>
  <si>
    <t>6-Thioguanosine monophosphate</t>
  </si>
  <si>
    <t>5-Fluorouridine monophosphate</t>
  </si>
  <si>
    <t>tRNA(Sec)</t>
  </si>
  <si>
    <t xml:space="preserve">Tryparedoxin </t>
  </si>
  <si>
    <t>Tryparedoxin disulfide</t>
  </si>
  <si>
    <t>tRNA adenine</t>
  </si>
  <si>
    <t>di-trans,poly-cis-Undecaprenyl phosphate</t>
  </si>
  <si>
    <t>D-Allulose 6-phosphate</t>
  </si>
  <si>
    <t xml:space="preserve">Methylselenic acid </t>
  </si>
  <si>
    <t>tRNA with a 3' cytidine</t>
  </si>
  <si>
    <t>tRNA with a 3' CC end</t>
  </si>
  <si>
    <t>tRNA with a 3' CCA end</t>
  </si>
  <si>
    <t>(2S,4S)-4-Hydroxy-2,3,4,5-tetrahydrodipicolinate</t>
  </si>
  <si>
    <t>Adenine in rRNA</t>
  </si>
  <si>
    <t>N6-Dimethyladenine in rRNA</t>
  </si>
  <si>
    <t>5'Triphospho-[mRNA]</t>
  </si>
  <si>
    <t>Carboxyphosphate</t>
  </si>
  <si>
    <t>5-Hydroxymethylcytosine in DNA</t>
  </si>
  <si>
    <t>5-Fluorouridine diphosphate</t>
  </si>
  <si>
    <t>5-Fluorodeoxyuridine diphosphate</t>
  </si>
  <si>
    <t xml:space="preserve"> N6-Succino-2-amino-2'-deoxyadenylate</t>
  </si>
  <si>
    <t>dZMP</t>
  </si>
  <si>
    <t>dZDP</t>
  </si>
  <si>
    <t>Initial concentration</t>
  </si>
  <si>
    <t>Object</t>
  </si>
  <si>
    <t>C00001:1000</t>
  </si>
  <si>
    <t>C00002:1000</t>
  </si>
  <si>
    <t>C00003:1000</t>
  </si>
  <si>
    <t>C00004:1000</t>
  </si>
  <si>
    <t>C00005:1000</t>
  </si>
  <si>
    <t>C00006:1000</t>
  </si>
  <si>
    <t>C00007:1000</t>
  </si>
  <si>
    <t>C00008:1</t>
  </si>
  <si>
    <t>C00009:1</t>
  </si>
  <si>
    <t>C00010:1</t>
  </si>
  <si>
    <t>C00011:1000</t>
  </si>
  <si>
    <t>C00012:1</t>
  </si>
  <si>
    <t>C00013:1</t>
  </si>
  <si>
    <t>C00014:1000</t>
  </si>
  <si>
    <t>C00015:1</t>
  </si>
  <si>
    <t>C00016:1</t>
  </si>
  <si>
    <t>C00019:1</t>
  </si>
  <si>
    <t>C00020:1</t>
  </si>
  <si>
    <t>C00021:1</t>
  </si>
  <si>
    <t>C00022:1</t>
  </si>
  <si>
    <t>C00024:1</t>
  </si>
  <si>
    <t>C00025:1000</t>
  </si>
  <si>
    <t>C00026:1</t>
  </si>
  <si>
    <t>C00027:1</t>
  </si>
  <si>
    <t>C00028:1</t>
  </si>
  <si>
    <t>C00029:1</t>
  </si>
  <si>
    <t>C00030:1</t>
  </si>
  <si>
    <t>C00031:1000</t>
  </si>
  <si>
    <t>C00033:1</t>
  </si>
  <si>
    <t>C00035:1</t>
  </si>
  <si>
    <t>C00036:1</t>
  </si>
  <si>
    <t>C00037:1000</t>
  </si>
  <si>
    <t>C00039:1</t>
  </si>
  <si>
    <t>C00040:1</t>
  </si>
  <si>
    <t>C00041:1000</t>
  </si>
  <si>
    <t>C00043:1</t>
  </si>
  <si>
    <t>C00044:1</t>
  </si>
  <si>
    <t>C00046:1</t>
  </si>
  <si>
    <t>C00047:1000</t>
  </si>
  <si>
    <t>C00048:1</t>
  </si>
  <si>
    <t>C00049:1000</t>
  </si>
  <si>
    <t>C00051:1</t>
  </si>
  <si>
    <t>C00052:1</t>
  </si>
  <si>
    <t>C00054:1</t>
  </si>
  <si>
    <t>C00055:1</t>
  </si>
  <si>
    <t>C00058:1</t>
  </si>
  <si>
    <t>C00060:1</t>
  </si>
  <si>
    <t>C00061:1</t>
  </si>
  <si>
    <t>C00062:1</t>
  </si>
  <si>
    <t>C00063:1</t>
  </si>
  <si>
    <t>C00064:1000</t>
  </si>
  <si>
    <t>C00065:1000</t>
  </si>
  <si>
    <t>C00066:1</t>
  </si>
  <si>
    <t>C00068:1</t>
  </si>
  <si>
    <t>C00071:1</t>
  </si>
  <si>
    <t>C00073:1000</t>
  </si>
  <si>
    <t>C00074:1</t>
  </si>
  <si>
    <t>C00075:1</t>
  </si>
  <si>
    <t>C00080:1</t>
  </si>
  <si>
    <t>C00081:1</t>
  </si>
  <si>
    <t>C00084:1</t>
  </si>
  <si>
    <t>C00085:1</t>
  </si>
  <si>
    <t>C00089:1</t>
  </si>
  <si>
    <t>C00092:1</t>
  </si>
  <si>
    <t>C00093:1</t>
  </si>
  <si>
    <t>C00094:1</t>
  </si>
  <si>
    <t>C00095:1</t>
  </si>
  <si>
    <t>C00097:1000</t>
  </si>
  <si>
    <t>C00100:1</t>
  </si>
  <si>
    <t>C00101:1</t>
  </si>
  <si>
    <t>C00103:1</t>
  </si>
  <si>
    <t>C00104:1</t>
  </si>
  <si>
    <t>C00105:1</t>
  </si>
  <si>
    <t>C00106:1</t>
  </si>
  <si>
    <t>C00109:1</t>
  </si>
  <si>
    <t>C00111:1</t>
  </si>
  <si>
    <t>C00112:1</t>
  </si>
  <si>
    <t>C00114:1</t>
  </si>
  <si>
    <t>C00116:1</t>
  </si>
  <si>
    <t>C00117:1</t>
  </si>
  <si>
    <t>C00118:1</t>
  </si>
  <si>
    <t>C00119:1</t>
  </si>
  <si>
    <t>C00121:1</t>
  </si>
  <si>
    <t>C00122:1</t>
  </si>
  <si>
    <t>C00129:1</t>
  </si>
  <si>
    <t>C00130:1</t>
  </si>
  <si>
    <t>C00131:1</t>
  </si>
  <si>
    <t>C00133:1000</t>
  </si>
  <si>
    <t>C00136:1</t>
  </si>
  <si>
    <t>C00141:1</t>
  </si>
  <si>
    <t>C00143:1</t>
  </si>
  <si>
    <t>C00144:1</t>
  </si>
  <si>
    <t>C00147:1</t>
  </si>
  <si>
    <t>C00148:1000</t>
  </si>
  <si>
    <t>C00149:1</t>
  </si>
  <si>
    <t>C00153:1</t>
  </si>
  <si>
    <t>C00158:1</t>
  </si>
  <si>
    <t>C00160:1</t>
  </si>
  <si>
    <t>C00161:1</t>
  </si>
  <si>
    <t>C00163:1</t>
  </si>
  <si>
    <t>C00166:1</t>
  </si>
  <si>
    <t>C00169:1</t>
  </si>
  <si>
    <t>C00170:1</t>
  </si>
  <si>
    <t>C00173:1</t>
  </si>
  <si>
    <t>C00184:1</t>
  </si>
  <si>
    <t>C00186:1</t>
  </si>
  <si>
    <t>C00189:1</t>
  </si>
  <si>
    <t>C00197:1</t>
  </si>
  <si>
    <t>C00199:1</t>
  </si>
  <si>
    <t>C00201:1</t>
  </si>
  <si>
    <t>C00203:1</t>
  </si>
  <si>
    <t>C00206:1</t>
  </si>
  <si>
    <t>C00212:1</t>
  </si>
  <si>
    <t>C00214:1</t>
  </si>
  <si>
    <t>C00217:1</t>
  </si>
  <si>
    <t>C00224:1</t>
  </si>
  <si>
    <t>C00226:1</t>
  </si>
  <si>
    <t>C00227:1</t>
  </si>
  <si>
    <t>C00229:1</t>
  </si>
  <si>
    <t>C00231:1</t>
  </si>
  <si>
    <t>C00233:1</t>
  </si>
  <si>
    <t>C00234:1</t>
  </si>
  <si>
    <t>C00235:1</t>
  </si>
  <si>
    <t>C00236:1</t>
  </si>
  <si>
    <t>C00239:1</t>
  </si>
  <si>
    <t>C00241:1</t>
  </si>
  <si>
    <t>C00242:1</t>
  </si>
  <si>
    <t>C00245:1</t>
  </si>
  <si>
    <t>C00253:1</t>
  </si>
  <si>
    <t>C00255:1</t>
  </si>
  <si>
    <t>C00256:1</t>
  </si>
  <si>
    <t>C00258:1</t>
  </si>
  <si>
    <t>C00262:1</t>
  </si>
  <si>
    <t>C00263:1</t>
  </si>
  <si>
    <t>C00267:1</t>
  </si>
  <si>
    <t>C00269:1</t>
  </si>
  <si>
    <t>C00272:1</t>
  </si>
  <si>
    <t>C00283:1</t>
  </si>
  <si>
    <t>C00286:1</t>
  </si>
  <si>
    <t>C00288:1</t>
  </si>
  <si>
    <t>C00294:1</t>
  </si>
  <si>
    <t>C00295:1</t>
  </si>
  <si>
    <t>C00299:1</t>
  </si>
  <si>
    <t>C00301:1</t>
  </si>
  <si>
    <t>C00302:1</t>
  </si>
  <si>
    <t>C00320:1</t>
  </si>
  <si>
    <t>C00330:1</t>
  </si>
  <si>
    <t>C00332:1</t>
  </si>
  <si>
    <t>C00337:1</t>
  </si>
  <si>
    <t>C00342:1</t>
  </si>
  <si>
    <t>C00343:1</t>
  </si>
  <si>
    <t>C00352:1</t>
  </si>
  <si>
    <t>C00354:1</t>
  </si>
  <si>
    <t>C00356:1</t>
  </si>
  <si>
    <t>C00357:1</t>
  </si>
  <si>
    <t>C00360:1</t>
  </si>
  <si>
    <t>C00361:1</t>
  </si>
  <si>
    <t>C00362:1</t>
  </si>
  <si>
    <t>C00364:1</t>
  </si>
  <si>
    <t>C00365:1</t>
  </si>
  <si>
    <t>C00369:1</t>
  </si>
  <si>
    <t>C00376:1</t>
  </si>
  <si>
    <t>C00378:1</t>
  </si>
  <si>
    <t>C00385:1</t>
  </si>
  <si>
    <t>C00387:1</t>
  </si>
  <si>
    <t>C00415:1</t>
  </si>
  <si>
    <t>C00416:1</t>
  </si>
  <si>
    <t>C00418:1</t>
  </si>
  <si>
    <t>C00438:1</t>
  </si>
  <si>
    <t>C00441:1</t>
  </si>
  <si>
    <t>C00445:1</t>
  </si>
  <si>
    <t>C00446:1</t>
  </si>
  <si>
    <t>C00447:1</t>
  </si>
  <si>
    <t>C00454:1</t>
  </si>
  <si>
    <t>C00455:1</t>
  </si>
  <si>
    <t>C00458:1</t>
  </si>
  <si>
    <t>C00459:1</t>
  </si>
  <si>
    <t>C00460:1</t>
  </si>
  <si>
    <t>C00469:1</t>
  </si>
  <si>
    <t>C00473:1</t>
  </si>
  <si>
    <t>C00475:1</t>
  </si>
  <si>
    <t>C00498:1</t>
  </si>
  <si>
    <t>C00506:1</t>
  </si>
  <si>
    <t>C00526:1</t>
  </si>
  <si>
    <t>C00559:1</t>
  </si>
  <si>
    <t>C00576:1</t>
  </si>
  <si>
    <t>C00585:1</t>
  </si>
  <si>
    <t>C00605:1</t>
  </si>
  <si>
    <t>C00606:1</t>
  </si>
  <si>
    <t>C00615:1</t>
  </si>
  <si>
    <t>C00631:1</t>
  </si>
  <si>
    <t>C00645:1</t>
  </si>
  <si>
    <t>C00655:1</t>
  </si>
  <si>
    <t>C00668:1</t>
  </si>
  <si>
    <t>C00671:1</t>
  </si>
  <si>
    <t>C00673:1</t>
  </si>
  <si>
    <t>C00677:1</t>
  </si>
  <si>
    <t>C00680:1</t>
  </si>
  <si>
    <t>C00681:1</t>
  </si>
  <si>
    <t>C00692:1</t>
  </si>
  <si>
    <t>C00705:1</t>
  </si>
  <si>
    <t>C00718:1</t>
  </si>
  <si>
    <t>C00756:1</t>
  </si>
  <si>
    <t>C00772:1</t>
  </si>
  <si>
    <t>C00787:1</t>
  </si>
  <si>
    <t>C00831:1</t>
  </si>
  <si>
    <t>C00842:1</t>
  </si>
  <si>
    <t>C00857:1</t>
  </si>
  <si>
    <t>C00864:1</t>
  </si>
  <si>
    <t>C00881:1</t>
  </si>
  <si>
    <t>C00882:1</t>
  </si>
  <si>
    <t>C00886:1</t>
  </si>
  <si>
    <t>C00911:1</t>
  </si>
  <si>
    <t>C00957:1</t>
  </si>
  <si>
    <t>C00979:1</t>
  </si>
  <si>
    <t>C00984:1</t>
  </si>
  <si>
    <t>C00993:1</t>
  </si>
  <si>
    <t>C01005:1</t>
  </si>
  <si>
    <t>C01050:1</t>
  </si>
  <si>
    <t>C01094:1</t>
  </si>
  <si>
    <t>C01097:1</t>
  </si>
  <si>
    <t>C01102:1</t>
  </si>
  <si>
    <t>C01103:1</t>
  </si>
  <si>
    <t>C01134:1</t>
  </si>
  <si>
    <t>C01167:1</t>
  </si>
  <si>
    <t>C01170:1</t>
  </si>
  <si>
    <t>C01172:1</t>
  </si>
  <si>
    <t>C01179:1</t>
  </si>
  <si>
    <t>C01185:1</t>
  </si>
  <si>
    <t>C01212:1</t>
  </si>
  <si>
    <t>C01217:1</t>
  </si>
  <si>
    <t>C01260:1</t>
  </si>
  <si>
    <t>C01279:1</t>
  </si>
  <si>
    <t>C01346:1</t>
  </si>
  <si>
    <t>C01450:1</t>
  </si>
  <si>
    <t>C01528:1</t>
  </si>
  <si>
    <t>C01545:1</t>
  </si>
  <si>
    <t>C01563:1</t>
  </si>
  <si>
    <t>C01612:1</t>
  </si>
  <si>
    <t>C01635:1</t>
  </si>
  <si>
    <t>C01636:1</t>
  </si>
  <si>
    <t>C01638:1</t>
  </si>
  <si>
    <t>C01639:1</t>
  </si>
  <si>
    <t>C01641:1</t>
  </si>
  <si>
    <t>C01642:1</t>
  </si>
  <si>
    <t>C01644:1</t>
  </si>
  <si>
    <t>C01645:1</t>
  </si>
  <si>
    <t>C01646:1</t>
  </si>
  <si>
    <t>C01647:1</t>
  </si>
  <si>
    <t>C01648:1</t>
  </si>
  <si>
    <t>C01649:1</t>
  </si>
  <si>
    <t>C01650:1</t>
  </si>
  <si>
    <t>C01651:1</t>
  </si>
  <si>
    <t>C01653:1</t>
  </si>
  <si>
    <t>C01762:1</t>
  </si>
  <si>
    <t>C01801:1</t>
  </si>
  <si>
    <t>C01931:1</t>
  </si>
  <si>
    <t>C01977:1</t>
  </si>
  <si>
    <t>C02047:1</t>
  </si>
  <si>
    <t>C02090:1</t>
  </si>
  <si>
    <t>C02097:1</t>
  </si>
  <si>
    <t>C02133:1</t>
  </si>
  <si>
    <t>C02163:1</t>
  </si>
  <si>
    <t>C02211:1</t>
  </si>
  <si>
    <t>C02336:1</t>
  </si>
  <si>
    <t>C02356:1</t>
  </si>
  <si>
    <t>C02380:1</t>
  </si>
  <si>
    <t>C02412:1</t>
  </si>
  <si>
    <t>C02430:1</t>
  </si>
  <si>
    <t>C02520:1</t>
  </si>
  <si>
    <t>C02553:1</t>
  </si>
  <si>
    <t>C02554:1</t>
  </si>
  <si>
    <t>C02702:1</t>
  </si>
  <si>
    <t>C02743:1</t>
  </si>
  <si>
    <t>C02839:1</t>
  </si>
  <si>
    <t>C02876:1</t>
  </si>
  <si>
    <t>C02909:1</t>
  </si>
  <si>
    <t>C02953:1</t>
  </si>
  <si>
    <t>C02962:1</t>
  </si>
  <si>
    <t>C02984:1</t>
  </si>
  <si>
    <t>C02987:1</t>
  </si>
  <si>
    <t>C02992:1</t>
  </si>
  <si>
    <t>C03028:1</t>
  </si>
  <si>
    <t>C03082:1</t>
  </si>
  <si>
    <t>C03089:1</t>
  </si>
  <si>
    <t>C03090:1</t>
  </si>
  <si>
    <t>C03125:1</t>
  </si>
  <si>
    <t>C03127:1</t>
  </si>
  <si>
    <t>C03150:1</t>
  </si>
  <si>
    <t>C03170:1</t>
  </si>
  <si>
    <t>C03294:1</t>
  </si>
  <si>
    <t>C03356:1</t>
  </si>
  <si>
    <t>C03373:1</t>
  </si>
  <si>
    <t>C03479:1</t>
  </si>
  <si>
    <t>C03492:1</t>
  </si>
  <si>
    <t>C03511:1</t>
  </si>
  <si>
    <t>C03523:1</t>
  </si>
  <si>
    <t>C03539:1</t>
  </si>
  <si>
    <t>C03617:1</t>
  </si>
  <si>
    <t>C03633:1</t>
  </si>
  <si>
    <t>C03688:1</t>
  </si>
  <si>
    <t>C03723:1</t>
  </si>
  <si>
    <t>C03785:1</t>
  </si>
  <si>
    <t>C03794:1</t>
  </si>
  <si>
    <t>C03798:1</t>
  </si>
  <si>
    <t>C03800:1</t>
  </si>
  <si>
    <t>C03838:1</t>
  </si>
  <si>
    <t>C03880:1</t>
  </si>
  <si>
    <t>C04051:1</t>
  </si>
  <si>
    <t>C04079:1</t>
  </si>
  <si>
    <t>C04144:1</t>
  </si>
  <si>
    <t>C04157:1</t>
  </si>
  <si>
    <t>C04232:1</t>
  </si>
  <si>
    <t>C04242:1</t>
  </si>
  <si>
    <t>C04250:1</t>
  </si>
  <si>
    <t>C04258:1</t>
  </si>
  <si>
    <t>C04309:1</t>
  </si>
  <si>
    <t>C04352:1</t>
  </si>
  <si>
    <t>C04376:1</t>
  </si>
  <si>
    <t>C04377:1</t>
  </si>
  <si>
    <t>C04432:1</t>
  </si>
  <si>
    <t>C04489:1</t>
  </si>
  <si>
    <t>C04556:1</t>
  </si>
  <si>
    <t>C04574:1</t>
  </si>
  <si>
    <t>C04631:1</t>
  </si>
  <si>
    <t>C04640:1</t>
  </si>
  <si>
    <t>C04646:1</t>
  </si>
  <si>
    <t>C04677:1</t>
  </si>
  <si>
    <t>C04702:1</t>
  </si>
  <si>
    <t>C04734:1</t>
  </si>
  <si>
    <t>C04751:1</t>
  </si>
  <si>
    <t>C04752:1</t>
  </si>
  <si>
    <t>C04823:1</t>
  </si>
  <si>
    <t>C04851:1</t>
  </si>
  <si>
    <t>C04877:1</t>
  </si>
  <si>
    <t>C04882:1</t>
  </si>
  <si>
    <t>C05198:1</t>
  </si>
  <si>
    <t>C05335:1</t>
  </si>
  <si>
    <t>C05336:1</t>
  </si>
  <si>
    <t>C05345:1</t>
  </si>
  <si>
    <t>C05378:1</t>
  </si>
  <si>
    <t>C05382:1</t>
  </si>
  <si>
    <t>C05444:1</t>
  </si>
  <si>
    <t>C05445:1</t>
  </si>
  <si>
    <t>C05512:1</t>
  </si>
  <si>
    <t>C05526:1</t>
  </si>
  <si>
    <t>C05527:1</t>
  </si>
  <si>
    <t>C05528:1</t>
  </si>
  <si>
    <t>C05576:1</t>
  </si>
  <si>
    <t>C05577:1</t>
  </si>
  <si>
    <t>C05684:1</t>
  </si>
  <si>
    <t>C05688:1</t>
  </si>
  <si>
    <t>C05698:1</t>
  </si>
  <si>
    <t>C05703:1</t>
  </si>
  <si>
    <t>C05823:1</t>
  </si>
  <si>
    <t>C05841:1</t>
  </si>
  <si>
    <t>C05892:1</t>
  </si>
  <si>
    <t>C05893:1</t>
  </si>
  <si>
    <t>C05897:1</t>
  </si>
  <si>
    <t>C05898:1</t>
  </si>
  <si>
    <t>C05946:1</t>
  </si>
  <si>
    <t>C05947:1</t>
  </si>
  <si>
    <t>C05984:1</t>
  </si>
  <si>
    <t>C06055:1</t>
  </si>
  <si>
    <t>C06056:1</t>
  </si>
  <si>
    <t>C06156:1</t>
  </si>
  <si>
    <t>C06196:1</t>
  </si>
  <si>
    <t>C06481:1</t>
  </si>
  <si>
    <t>C06611:1</t>
  </si>
  <si>
    <t>C06612:1</t>
  </si>
  <si>
    <t>C06613:1</t>
  </si>
  <si>
    <t>C06899:1</t>
  </si>
  <si>
    <t>C07490:1</t>
  </si>
  <si>
    <t>C07645:1</t>
  </si>
  <si>
    <t>C07648:1</t>
  </si>
  <si>
    <t>C07649:1</t>
  </si>
  <si>
    <t>C08492:1</t>
  </si>
  <si>
    <t>C11039:1</t>
  </si>
  <si>
    <t>C11437:1</t>
  </si>
  <si>
    <t>C11439:1</t>
  </si>
  <si>
    <t>C11440:1</t>
  </si>
  <si>
    <t>C11475:1</t>
  </si>
  <si>
    <t>C11736:1</t>
  </si>
  <si>
    <t>C11826:1</t>
  </si>
  <si>
    <t>C11827:1</t>
  </si>
  <si>
    <t>C11838:1</t>
  </si>
  <si>
    <t>C14089:1</t>
  </si>
  <si>
    <t>C14090:1</t>
  </si>
  <si>
    <t>C14099:1</t>
  </si>
  <si>
    <t>C15811:1</t>
  </si>
  <si>
    <t>C15812:1</t>
  </si>
  <si>
    <t>C16310:1</t>
  </si>
  <si>
    <t>C16348:1</t>
  </si>
  <si>
    <t>C16551:1</t>
  </si>
  <si>
    <t>C16586:1</t>
  </si>
  <si>
    <t>C16587:1</t>
  </si>
  <si>
    <t>C16595:1</t>
  </si>
  <si>
    <t>C16596:1</t>
  </si>
  <si>
    <t>C16614:1</t>
  </si>
  <si>
    <t>C16615:1</t>
  </si>
  <si>
    <t>C16618:1</t>
  </si>
  <si>
    <t>C16619:1</t>
  </si>
  <si>
    <t>C16634:1</t>
  </si>
  <si>
    <t>C16636:1</t>
  </si>
  <si>
    <t>C16663:1</t>
  </si>
  <si>
    <t>C16664:1</t>
  </si>
  <si>
    <t>C17324:1</t>
  </si>
  <si>
    <t>C17556:1</t>
  </si>
  <si>
    <t>C18096:1</t>
  </si>
  <si>
    <t>C18902:1</t>
  </si>
  <si>
    <t>C19078:1</t>
  </si>
  <si>
    <t>C19080:1</t>
  </si>
  <si>
    <t>C19085:1</t>
  </si>
  <si>
    <t>C20258:1</t>
  </si>
  <si>
    <t>C20648:1</t>
  </si>
  <si>
    <t>C20796:1</t>
  </si>
  <si>
    <t>C20864:1</t>
  </si>
  <si>
    <t>C20969:1</t>
  </si>
  <si>
    <t>C21031:1</t>
  </si>
  <si>
    <t>C21748:1</t>
  </si>
  <si>
    <t>C21750:1</t>
  </si>
  <si>
    <t>C22395:1</t>
  </si>
  <si>
    <t>C22441:1</t>
  </si>
  <si>
    <t>C22442:1</t>
  </si>
  <si>
    <t>Protein</t>
  </si>
  <si>
    <t>Enzyme mRNA</t>
  </si>
  <si>
    <t>Enzyme Turnover (/s)</t>
  </si>
  <si>
    <t>Enzyme Km (mM)</t>
  </si>
  <si>
    <t xml:space="preserve">Enzyme mRNA Objects </t>
  </si>
  <si>
    <t xml:space="preserve">Enzyme Objects </t>
  </si>
  <si>
    <t>Enzyme mRNA Initial Concentration (mM)</t>
  </si>
  <si>
    <t>Enzyme Initial Concentration (mM)</t>
  </si>
  <si>
    <t>Transcription Rate Law</t>
  </si>
  <si>
    <t xml:space="preserve">Translation Rate Law </t>
  </si>
  <si>
    <t>Transcription Equation</t>
  </si>
  <si>
    <t>Translation Equation</t>
  </si>
  <si>
    <t>URL</t>
  </si>
  <si>
    <t>NCBI RefSeq assembly</t>
  </si>
  <si>
    <t>BioSample ID</t>
  </si>
  <si>
    <t xml:space="preserve">Sample name </t>
  </si>
  <si>
    <t xml:space="preserve">Assembly number </t>
  </si>
  <si>
    <t>Chromosome ref seq</t>
  </si>
  <si>
    <t xml:space="preserve">Genome Size </t>
  </si>
  <si>
    <t>Total ungapped length</t>
  </si>
  <si>
    <t xml:space="preserve">Number of chromosomes </t>
  </si>
  <si>
    <t xml:space="preserve">Number of scaffolds </t>
  </si>
  <si>
    <t>Scaffold N50</t>
  </si>
  <si>
    <t>Scaffold L50</t>
  </si>
  <si>
    <t xml:space="preserve">Number of contigs </t>
  </si>
  <si>
    <t>Contig N50</t>
  </si>
  <si>
    <t>Contig L50</t>
  </si>
  <si>
    <t xml:space="preserve">GC percent </t>
  </si>
  <si>
    <t>Assembly level</t>
  </si>
  <si>
    <t xml:space="preserve">Genes </t>
  </si>
  <si>
    <t xml:space="preserve">Protein-coding </t>
  </si>
  <si>
    <t xml:space="preserve">Chromosome </t>
  </si>
  <si>
    <t xml:space="preserve">CheckM analysis </t>
  </si>
  <si>
    <t>Completeness</t>
  </si>
  <si>
    <t>Contamination</t>
  </si>
  <si>
    <t>https://www.ncbi.nlm.nih.gov/datasets/genome/GCF_001399775.1</t>
  </si>
  <si>
    <t>GCF_001399775.1</t>
  </si>
  <si>
    <t>SAMN02441811</t>
  </si>
  <si>
    <t>ABVK</t>
  </si>
  <si>
    <t>ASM139977v1</t>
  </si>
  <si>
    <t>RefSeq</t>
  </si>
  <si>
    <t>Genbank</t>
  </si>
  <si>
    <t>2.3 Mb</t>
  </si>
  <si>
    <t>2.2 Mb</t>
  </si>
  <si>
    <t>Complete Genome</t>
  </si>
  <si>
    <t> 99.37%</t>
  </si>
  <si>
    <t>C00017:1</t>
  </si>
  <si>
    <t>Heme</t>
  </si>
  <si>
    <t>C00032:1</t>
  </si>
  <si>
    <t>C00042:1</t>
  </si>
  <si>
    <t>Succinate</t>
  </si>
  <si>
    <t>C00059:1</t>
  </si>
  <si>
    <t>C00067:1</t>
  </si>
  <si>
    <t>Amino acid</t>
  </si>
  <si>
    <t>C00045:1000</t>
  </si>
  <si>
    <t>Sulfate</t>
  </si>
  <si>
    <t>C00069:1</t>
  </si>
  <si>
    <t>Formaldehyde</t>
  </si>
  <si>
    <t>C00077:1</t>
  </si>
  <si>
    <t>C00083:1</t>
  </si>
  <si>
    <t>Alcohol</t>
  </si>
  <si>
    <t>NZ_CP010822.1</t>
  </si>
  <si>
    <t>L-Ornithine</t>
  </si>
  <si>
    <t>C00086:1</t>
  </si>
  <si>
    <t>C00088:1</t>
  </si>
  <si>
    <t>C00091:1</t>
  </si>
  <si>
    <t>C00096:1</t>
  </si>
  <si>
    <t>Malonyl-CoA</t>
  </si>
  <si>
    <t>Urea</t>
  </si>
  <si>
    <t>Nitrite</t>
  </si>
  <si>
    <t>Succinyl-CoA</t>
  </si>
  <si>
    <t>GDP-mannose</t>
  </si>
  <si>
    <t>beta-Alanine</t>
  </si>
  <si>
    <t>C00099:1000</t>
  </si>
  <si>
    <t>Anthranilate</t>
  </si>
  <si>
    <t>C00108:1</t>
  </si>
  <si>
    <t>Biotin</t>
  </si>
  <si>
    <t>C00120:1</t>
  </si>
  <si>
    <t>C00125:1</t>
  </si>
  <si>
    <t>C00126:1</t>
  </si>
  <si>
    <t>C00127:1</t>
  </si>
  <si>
    <t>C00132:1</t>
  </si>
  <si>
    <t>Ferricytochrome c</t>
  </si>
  <si>
    <t>Ferrocytochrome c</t>
  </si>
  <si>
    <t>Glutathione disulfide</t>
  </si>
  <si>
    <t>C00134:1</t>
  </si>
  <si>
    <t>C00137:1</t>
  </si>
  <si>
    <t>C00138:1</t>
  </si>
  <si>
    <t>C00139:1</t>
  </si>
  <si>
    <t>Methanol</t>
  </si>
  <si>
    <t>Putrescine</t>
  </si>
  <si>
    <t>L-Histidine</t>
  </si>
  <si>
    <t>myo-Inositol</t>
  </si>
  <si>
    <t>Reduced ferredoxin</t>
  </si>
  <si>
    <t>Oxidized ferredoxin</t>
  </si>
  <si>
    <t>L-Amino acid</t>
  </si>
  <si>
    <t>C00151:1000</t>
  </si>
  <si>
    <t>C00162:1000</t>
  </si>
  <si>
    <t>Palmitoyl-CoA</t>
  </si>
  <si>
    <t>C00154:1</t>
  </si>
  <si>
    <t>C00164:1</t>
  </si>
  <si>
    <t>Fatty acid</t>
  </si>
  <si>
    <t>Acetoacetate</t>
  </si>
  <si>
    <t>C00167:1</t>
  </si>
  <si>
    <t>C00168:1</t>
  </si>
  <si>
    <t>C00175:1</t>
  </si>
  <si>
    <t>C00177:1</t>
  </si>
  <si>
    <t>UDP-glucuronate</t>
  </si>
  <si>
    <t>Hydroxypyruvate</t>
  </si>
  <si>
    <t>Cobalt ion</t>
  </si>
  <si>
    <t>C00179:1</t>
  </si>
  <si>
    <t>C00180:1</t>
  </si>
  <si>
    <t>C00185:1</t>
  </si>
  <si>
    <t>C00194:1</t>
  </si>
  <si>
    <t>Cyanide ion</t>
  </si>
  <si>
    <t>Thymine</t>
  </si>
  <si>
    <t>C00178:1000</t>
  </si>
  <si>
    <t>Agmatine</t>
  </si>
  <si>
    <t>Benzoate</t>
  </si>
  <si>
    <t>Cellobiose</t>
  </si>
  <si>
    <t>Cobamide coenzyme</t>
  </si>
  <si>
    <t>Maltose</t>
  </si>
  <si>
    <t>C00221:1000</t>
  </si>
  <si>
    <t>Sarcosine</t>
  </si>
  <si>
    <t>C00213:1</t>
  </si>
  <si>
    <t>C00218:1</t>
  </si>
  <si>
    <t>C00222:1</t>
  </si>
  <si>
    <t>C00232:1</t>
  </si>
  <si>
    <t>C00237:1</t>
  </si>
  <si>
    <t>C00244:1</t>
  </si>
  <si>
    <t>C00247:1</t>
  </si>
  <si>
    <t>C00248:1</t>
  </si>
  <si>
    <t>Methylamine</t>
  </si>
  <si>
    <t>beta-D-Glucose</t>
  </si>
  <si>
    <t>3-Oxopropanoate</t>
  </si>
  <si>
    <t>Succinate semialdehyde</t>
  </si>
  <si>
    <t>Carbon monoxide</t>
  </si>
  <si>
    <t>C00249:1</t>
  </si>
  <si>
    <t>C00251:1</t>
  </si>
  <si>
    <t>C00254:1</t>
  </si>
  <si>
    <t>Nitrate</t>
  </si>
  <si>
    <t>C00264:1</t>
  </si>
  <si>
    <t>C00268:1</t>
  </si>
  <si>
    <t>C00275:1</t>
  </si>
  <si>
    <t>C00279:1</t>
  </si>
  <si>
    <t>L-Sorbose</t>
  </si>
  <si>
    <t>Lipoamide</t>
  </si>
  <si>
    <t>Hexadecanoic acid</t>
  </si>
  <si>
    <t>Chorismate</t>
  </si>
  <si>
    <t>Prephenate</t>
  </si>
  <si>
    <t>3-Oxoacyl-CoA</t>
  </si>
  <si>
    <t>C00305:1</t>
  </si>
  <si>
    <t>C00310:1</t>
  </si>
  <si>
    <t>C00311:1</t>
  </si>
  <si>
    <t>C00315:1</t>
  </si>
  <si>
    <t>Dihydrobiopterin</t>
  </si>
  <si>
    <t>D-Mannose 6-phosphate</t>
  </si>
  <si>
    <t>D-Erythrose 4-phosphate</t>
  </si>
  <si>
    <t>Magnesium cation</t>
  </si>
  <si>
    <t>D-Xylulose</t>
  </si>
  <si>
    <t>Isocitrate</t>
  </si>
  <si>
    <t>Spermidine</t>
  </si>
  <si>
    <t>C00322:1</t>
  </si>
  <si>
    <t>C00325:1</t>
  </si>
  <si>
    <t>C00327:1</t>
  </si>
  <si>
    <t>C00334:1</t>
  </si>
  <si>
    <t>2-Oxoadipate</t>
  </si>
  <si>
    <t>GDP-L-fucose</t>
  </si>
  <si>
    <t>L-Citrulline</t>
  </si>
  <si>
    <t>4-Aminobutanoate</t>
  </si>
  <si>
    <t>Geranylgeranyl diphosphate</t>
  </si>
  <si>
    <t>C00353:1</t>
  </si>
  <si>
    <t>dTDP</t>
  </si>
  <si>
    <t>C00363:1</t>
  </si>
  <si>
    <t>C00379:1</t>
  </si>
  <si>
    <t>C00390:1</t>
  </si>
  <si>
    <t>C00395:1</t>
  </si>
  <si>
    <t>Xylitol</t>
  </si>
  <si>
    <t>Cytosine</t>
  </si>
  <si>
    <t>C00380:1000</t>
  </si>
  <si>
    <t>Ubiquinol</t>
  </si>
  <si>
    <t>Penicillin</t>
  </si>
  <si>
    <t>Pyrimidine</t>
  </si>
  <si>
    <t>Ubiquinone</t>
  </si>
  <si>
    <t>C00399:1</t>
  </si>
  <si>
    <t>C00409:1</t>
  </si>
  <si>
    <t>C00417:1</t>
  </si>
  <si>
    <t>C00424:1</t>
  </si>
  <si>
    <t>C00430:1</t>
  </si>
  <si>
    <t>C00433:1</t>
  </si>
  <si>
    <t>C00437:1</t>
  </si>
  <si>
    <t>C00440:1</t>
  </si>
  <si>
    <t>Methanethiol</t>
  </si>
  <si>
    <t>cis-Aconitate</t>
  </si>
  <si>
    <t>( S )-Lactaldehyde</t>
  </si>
  <si>
    <t>5-Aminolevulinate</t>
  </si>
  <si>
    <t>2,5-Dioxopentanoate</t>
  </si>
  <si>
    <t>N-Acetylornithine</t>
  </si>
  <si>
    <t>5-Methyltetrahydrofolate</t>
  </si>
  <si>
    <t>trans, trans-Farnesyl diphosphate</t>
  </si>
  <si>
    <t>C00448:1</t>
  </si>
  <si>
    <t>C00490:1</t>
  </si>
  <si>
    <t>C00493:1</t>
  </si>
  <si>
    <t>Itaconate</t>
  </si>
  <si>
    <t>Shikimate</t>
  </si>
  <si>
    <t>C00522:1</t>
  </si>
  <si>
    <t>C00527:1</t>
  </si>
  <si>
    <t>C00531:1</t>
  </si>
  <si>
    <t>C00536:1</t>
  </si>
  <si>
    <t>C00541:1</t>
  </si>
  <si>
    <t>(R)-Pantoate</t>
  </si>
  <si>
    <t>C00542:1</t>
  </si>
  <si>
    <t>C00546:1</t>
  </si>
  <si>
    <t>C00555:1</t>
  </si>
  <si>
    <t>C00562:1</t>
  </si>
  <si>
    <t>C00568:1</t>
  </si>
  <si>
    <t>Glutaryl-CoA</t>
  </si>
  <si>
    <t>Itaconyl-CoA</t>
  </si>
  <si>
    <t>Triphosphate</t>
  </si>
  <si>
    <t>Cob(II)alamin</t>
  </si>
  <si>
    <t>Cystathionine</t>
  </si>
  <si>
    <t>Methylglyoxal</t>
  </si>
  <si>
    <t>4-Aminobutyraldehyde</t>
  </si>
  <si>
    <t>C00575:1</t>
  </si>
  <si>
    <t>C00577:1</t>
  </si>
  <si>
    <t>C00579:1</t>
  </si>
  <si>
    <t>C00582:1</t>
  </si>
  <si>
    <t>Phosphoprotein</t>
  </si>
  <si>
    <t>4-Aminobenzoate</t>
  </si>
  <si>
    <t>3', 5'-Cyclic AMP</t>
  </si>
  <si>
    <t>D-Glyceraldehyde</t>
  </si>
  <si>
    <t>Dihydrolipoamide</t>
  </si>
  <si>
    <t>Phenylacetyl-CoA</t>
  </si>
  <si>
    <t>alpha-D-Ribose 1-phosphate</t>
  </si>
  <si>
    <t>N-Acetyl-L-glutamate</t>
  </si>
  <si>
    <t>2-Methylpropanoyl-CoA</t>
  </si>
  <si>
    <t>3-Hydroxyanthranilate</t>
  </si>
  <si>
    <t>D-Mannose 1-phosphate</t>
  </si>
  <si>
    <t>Indole-3-acetaldehyde</t>
  </si>
  <si>
    <t>Long-chain fatty acid</t>
  </si>
  <si>
    <t>C00638:1000</t>
  </si>
  <si>
    <t>( S )-3-Hydroxyacyl-CoA</t>
  </si>
  <si>
    <t>1,2-Diacyl-sn-glycerol</t>
  </si>
  <si>
    <t>4-Hydroxyphenylacetate</t>
  </si>
  <si>
    <t>C00620:1</t>
  </si>
  <si>
    <t>C00624:1</t>
  </si>
  <si>
    <t>C00630:1</t>
  </si>
  <si>
    <t>C00632:1</t>
  </si>
  <si>
    <t>C00636:1</t>
  </si>
  <si>
    <t>C00637:1</t>
  </si>
  <si>
    <t>C00640:1</t>
  </si>
  <si>
    <t>C00641:1</t>
  </si>
  <si>
    <t>C00642:1</t>
  </si>
  <si>
    <t>C00658:1</t>
  </si>
  <si>
    <t>C00670:1</t>
  </si>
  <si>
    <t>C00672:1</t>
  </si>
  <si>
    <t>C00685:1</t>
  </si>
  <si>
    <t>C00693:1</t>
  </si>
  <si>
    <t>C00700:1</t>
  </si>
  <si>
    <t>C00704:1</t>
  </si>
  <si>
    <t>C00760:1</t>
  </si>
  <si>
    <t>C00794:1</t>
  </si>
  <si>
    <t>C00797:1</t>
  </si>
  <si>
    <t>C00804:1</t>
  </si>
  <si>
    <t>C00818:1</t>
  </si>
  <si>
    <t>C00821:1</t>
  </si>
  <si>
    <t>C00826:1</t>
  </si>
  <si>
    <t>C00835:1</t>
  </si>
  <si>
    <t>C00846:1</t>
  </si>
  <si>
    <t>C00853:1</t>
  </si>
  <si>
    <t>C00860:1</t>
  </si>
  <si>
    <t>C00870:1</t>
  </si>
  <si>
    <t>C00877:1</t>
  </si>
  <si>
    <t>C00894:1</t>
  </si>
  <si>
    <t>C00900:1</t>
  </si>
  <si>
    <t>C00921:1</t>
  </si>
  <si>
    <t>C00923:1</t>
  </si>
  <si>
    <t>C00924:1</t>
  </si>
  <si>
    <t>C00931:1</t>
  </si>
  <si>
    <t>C00937:1</t>
  </si>
  <si>
    <t>C00942:1</t>
  </si>
  <si>
    <t>C00944:1</t>
  </si>
  <si>
    <t>C00954:1</t>
  </si>
  <si>
    <t>C00966:1</t>
  </si>
  <si>
    <t>C00986:1</t>
  </si>
  <si>
    <t>C00997:1</t>
  </si>
  <si>
    <t>C01000:1</t>
  </si>
  <si>
    <t>C01010:1</t>
  </si>
  <si>
    <t>C01019:1</t>
  </si>
  <si>
    <t>C01024:1</t>
  </si>
  <si>
    <t>C01045:1</t>
  </si>
  <si>
    <t>C01051:1</t>
  </si>
  <si>
    <t>C01077:1</t>
  </si>
  <si>
    <t>C01079:1</t>
  </si>
  <si>
    <t>C01081:1</t>
  </si>
  <si>
    <t>C01086:1</t>
  </si>
  <si>
    <t>C01089:1</t>
  </si>
  <si>
    <t>C01096:1</t>
  </si>
  <si>
    <t>C01100:1</t>
  </si>
  <si>
    <t>C01115:1</t>
  </si>
  <si>
    <t>C01118:1</t>
  </si>
  <si>
    <t>C01122:1</t>
  </si>
  <si>
    <t>C01137:1</t>
  </si>
  <si>
    <t>C01144:1</t>
  </si>
  <si>
    <t>C01149:1</t>
  </si>
  <si>
    <t>C01153:1</t>
  </si>
  <si>
    <t>C01157:1</t>
  </si>
  <si>
    <t>C01159:1</t>
  </si>
  <si>
    <t>C01161:1</t>
  </si>
  <si>
    <t>C01165:1</t>
  </si>
  <si>
    <t>C01168:1</t>
  </si>
  <si>
    <t>C01171:1</t>
  </si>
  <si>
    <t>C01177:1</t>
  </si>
  <si>
    <t>C01181:1</t>
  </si>
  <si>
    <t>C01209:1</t>
  </si>
  <si>
    <t>C01213:1</t>
  </si>
  <si>
    <t>C01222:1</t>
  </si>
  <si>
    <t>C01233:1</t>
  </si>
  <si>
    <t>C01250:1</t>
  </si>
  <si>
    <t>C01251:1</t>
  </si>
  <si>
    <t>C01261:1</t>
  </si>
  <si>
    <t>C01267:1</t>
  </si>
  <si>
    <t>C01268:1</t>
  </si>
  <si>
    <t>C01269:1</t>
  </si>
  <si>
    <t>C01271:1</t>
  </si>
  <si>
    <t>C01278:1</t>
  </si>
  <si>
    <t>C01289:1</t>
  </si>
  <si>
    <t>C01300:1</t>
  </si>
  <si>
    <t>C01302:1</t>
  </si>
  <si>
    <t>C01304:1</t>
  </si>
  <si>
    <t>C01327:1</t>
  </si>
  <si>
    <t>C01335:1</t>
  </si>
  <si>
    <t>C01352:1</t>
  </si>
  <si>
    <t>C01419:1</t>
  </si>
  <si>
    <t>C01507:1</t>
  </si>
  <si>
    <t>C01609:1</t>
  </si>
  <si>
    <t>C01637:1</t>
  </si>
  <si>
    <t>C01640:1</t>
  </si>
  <si>
    <t>C01643:1</t>
  </si>
  <si>
    <t>C01755:1</t>
  </si>
  <si>
    <t>C01764:1</t>
  </si>
  <si>
    <t>C01825:1</t>
  </si>
  <si>
    <t>C01832:1</t>
  </si>
  <si>
    <t>C01847:1</t>
  </si>
  <si>
    <t>C01898:1</t>
  </si>
  <si>
    <t>C01929:1</t>
  </si>
  <si>
    <t>C01944:1</t>
  </si>
  <si>
    <t>C02051:1</t>
  </si>
  <si>
    <t>C02143:1</t>
  </si>
  <si>
    <t>C02166:1</t>
  </si>
  <si>
    <t>C02170:1</t>
  </si>
  <si>
    <t>C02191:1</t>
  </si>
  <si>
    <t>C02218:1</t>
  </si>
  <si>
    <t>C02232:1</t>
  </si>
  <si>
    <t>C02282:1</t>
  </si>
  <si>
    <t>C02291:1</t>
  </si>
  <si>
    <t>C02320:1</t>
  </si>
  <si>
    <t>C02411:1</t>
  </si>
  <si>
    <t>C02463:1</t>
  </si>
  <si>
    <t>C02469:1</t>
  </si>
  <si>
    <t>C02480:1</t>
  </si>
  <si>
    <t>C02504:1</t>
  </si>
  <si>
    <t>C02512:1</t>
  </si>
  <si>
    <t>C02576:1</t>
  </si>
  <si>
    <t>C02593:1</t>
  </si>
  <si>
    <t>C02612:1</t>
  </si>
  <si>
    <t>C02630:1</t>
  </si>
  <si>
    <t>C02631:1</t>
  </si>
  <si>
    <t>C02637:1</t>
  </si>
  <si>
    <t>C02670:1</t>
  </si>
  <si>
    <t>C02713:1</t>
  </si>
  <si>
    <t>C02729:1</t>
  </si>
  <si>
    <t>C02730:1</t>
  </si>
  <si>
    <t>C02739:1</t>
  </si>
  <si>
    <t>C02741:1</t>
  </si>
  <si>
    <t>C02835:1</t>
  </si>
  <si>
    <t>C02843:1</t>
  </si>
  <si>
    <t>C02939:1</t>
  </si>
  <si>
    <t>C02946:1</t>
  </si>
  <si>
    <t>C02954:1</t>
  </si>
  <si>
    <t>C02972:1</t>
  </si>
  <si>
    <t>C02988:1</t>
  </si>
  <si>
    <t>C02999:1</t>
  </si>
  <si>
    <t>C03024:1</t>
  </si>
  <si>
    <t>C03063:1</t>
  </si>
  <si>
    <t>C03069:1</t>
  </si>
  <si>
    <t>C03103:1</t>
  </si>
  <si>
    <t>C03114:1</t>
  </si>
  <si>
    <t>C03120:1</t>
  </si>
  <si>
    <t>C03160:1</t>
  </si>
  <si>
    <t>C03161:1</t>
  </si>
  <si>
    <t>C03169:1</t>
  </si>
  <si>
    <t>C03175:1</t>
  </si>
  <si>
    <t>C03193:1</t>
  </si>
  <si>
    <t>C03194:1</t>
  </si>
  <si>
    <t>C03221:1</t>
  </si>
  <si>
    <t>C03231:1</t>
  </si>
  <si>
    <t>C03232:1</t>
  </si>
  <si>
    <t>C03263:1</t>
  </si>
  <si>
    <t>C03284:1</t>
  </si>
  <si>
    <t>C03287:1</t>
  </si>
  <si>
    <t>C03344:1</t>
  </si>
  <si>
    <t>C03345:1</t>
  </si>
  <si>
    <t>C03360:1</t>
  </si>
  <si>
    <t>C03363:1</t>
  </si>
  <si>
    <t>C03391:1</t>
  </si>
  <si>
    <t>C03402:1</t>
  </si>
  <si>
    <t>C03406:1</t>
  </si>
  <si>
    <t>C03427:1</t>
  </si>
  <si>
    <t>C03431:1</t>
  </si>
  <si>
    <t>C03446:1</t>
  </si>
  <si>
    <t>C03460:1</t>
  </si>
  <si>
    <t>C03461:1</t>
  </si>
  <si>
    <t>C03506:1</t>
  </si>
  <si>
    <t>C03508:1</t>
  </si>
  <si>
    <t>C03516:1</t>
  </si>
  <si>
    <t>C03546:1</t>
  </si>
  <si>
    <t>C03585:1</t>
  </si>
  <si>
    <t>C03586:1</t>
  </si>
  <si>
    <t>C03684:1</t>
  </si>
  <si>
    <t>C03722:1</t>
  </si>
  <si>
    <t>C03735:1</t>
  </si>
  <si>
    <t>C03740:1</t>
  </si>
  <si>
    <t>C03741:1</t>
  </si>
  <si>
    <t>C03912:1</t>
  </si>
  <si>
    <t>C03939:1</t>
  </si>
  <si>
    <t>C04002:1</t>
  </si>
  <si>
    <t>C04006:1</t>
  </si>
  <si>
    <t>C04039:1</t>
  </si>
  <si>
    <t>C04052:1</t>
  </si>
  <si>
    <t>C04088:1</t>
  </si>
  <si>
    <t>C04105:1</t>
  </si>
  <si>
    <t>C04112:1</t>
  </si>
  <si>
    <t>C04122:1</t>
  </si>
  <si>
    <t>C04133:1</t>
  </si>
  <si>
    <t>C04146:1</t>
  </si>
  <si>
    <t>C04181:1</t>
  </si>
  <si>
    <t>C04186:1</t>
  </si>
  <si>
    <t>C04188:1</t>
  </si>
  <si>
    <t>C04236:1</t>
  </si>
  <si>
    <t>C04244:1</t>
  </si>
  <si>
    <t>C04246:1</t>
  </si>
  <si>
    <t>C04253:1</t>
  </si>
  <si>
    <t>C04262:1</t>
  </si>
  <si>
    <t>C04272:1</t>
  </si>
  <si>
    <t>C04281:1</t>
  </si>
  <si>
    <t>C04294:1</t>
  </si>
  <si>
    <t>C04302:1</t>
  </si>
  <si>
    <t>C04324:1</t>
  </si>
  <si>
    <t>C04327:1</t>
  </si>
  <si>
    <t>C04332:1</t>
  </si>
  <si>
    <t>C04392:1</t>
  </si>
  <si>
    <t>C04405:1</t>
  </si>
  <si>
    <t>C04411:1</t>
  </si>
  <si>
    <t>C04419:1</t>
  </si>
  <si>
    <t>C04494:1</t>
  </si>
  <si>
    <t>C04507:1</t>
  </si>
  <si>
    <t>C04545:1</t>
  </si>
  <si>
    <t>C04554:1</t>
  </si>
  <si>
    <t>C04558:1</t>
  </si>
  <si>
    <t>C04559:1</t>
  </si>
  <si>
    <t>C04570:1</t>
  </si>
  <si>
    <t>C04582:1</t>
  </si>
  <si>
    <t>C04618:1</t>
  </si>
  <si>
    <t>C04619:1</t>
  </si>
  <si>
    <t>C04620:1</t>
  </si>
  <si>
    <t>C04633:1</t>
  </si>
  <si>
    <t>C04642:1</t>
  </si>
  <si>
    <t>C04666:1</t>
  </si>
  <si>
    <t>C04675:1</t>
  </si>
  <si>
    <t>C04682:1</t>
  </si>
  <si>
    <t>C04688:1</t>
  </si>
  <si>
    <t>C04691:1</t>
  </si>
  <si>
    <t>C04732:1</t>
  </si>
  <si>
    <t>C04736:1</t>
  </si>
  <si>
    <t>C04778:1</t>
  </si>
  <si>
    <t>C04807:1</t>
  </si>
  <si>
    <t>C04874:1</t>
  </si>
  <si>
    <t>C04881:1</t>
  </si>
  <si>
    <t>C04895:1</t>
  </si>
  <si>
    <t>C04896:1</t>
  </si>
  <si>
    <t>C04916:1</t>
  </si>
  <si>
    <t>C05067:1</t>
  </si>
  <si>
    <t>C05116:1</t>
  </si>
  <si>
    <t>C05125:1</t>
  </si>
  <si>
    <t>C05130:1</t>
  </si>
  <si>
    <t>C05223:1</t>
  </si>
  <si>
    <t>C05232:1</t>
  </si>
  <si>
    <t>C05258:1</t>
  </si>
  <si>
    <t>C05259:1</t>
  </si>
  <si>
    <t>C05260:1</t>
  </si>
  <si>
    <t>C05261:1</t>
  </si>
  <si>
    <t>C05262:1</t>
  </si>
  <si>
    <t>C05263:1</t>
  </si>
  <si>
    <t>C05264:1</t>
  </si>
  <si>
    <t>C05265:1</t>
  </si>
  <si>
    <t>C05266:1</t>
  </si>
  <si>
    <t>C05267:1</t>
  </si>
  <si>
    <t>C05268:1</t>
  </si>
  <si>
    <t>C05269:1</t>
  </si>
  <si>
    <t>C05270:1</t>
  </si>
  <si>
    <t>C05271:1</t>
  </si>
  <si>
    <t>C05272:1</t>
  </si>
  <si>
    <t>C05273:1</t>
  </si>
  <si>
    <t>C05274:1</t>
  </si>
  <si>
    <t>C05275:1</t>
  </si>
  <si>
    <t>C05276:1</t>
  </si>
  <si>
    <t>C05309:1</t>
  </si>
  <si>
    <t>C05329:1</t>
  </si>
  <si>
    <t>C05357:1</t>
  </si>
  <si>
    <t>C05358:1</t>
  </si>
  <si>
    <t>C05364:1</t>
  </si>
  <si>
    <t>C05379:1</t>
  </si>
  <si>
    <t>C05381:1</t>
  </si>
  <si>
    <t>C05413:1</t>
  </si>
  <si>
    <t>C05421:1</t>
  </si>
  <si>
    <t>C05519:1</t>
  </si>
  <si>
    <t>C05533:1</t>
  </si>
  <si>
    <t>C05551:1</t>
  </si>
  <si>
    <t>C05593:1</t>
  </si>
  <si>
    <t>C05600:1</t>
  </si>
  <si>
    <t>C05634:1</t>
  </si>
  <si>
    <t>C05635:1</t>
  </si>
  <si>
    <t>C05640:1</t>
  </si>
  <si>
    <t>C05662:1</t>
  </si>
  <si>
    <t>C05665:1</t>
  </si>
  <si>
    <t>C05668:1</t>
  </si>
  <si>
    <t>C05670:1</t>
  </si>
  <si>
    <t>C05686:1</t>
  </si>
  <si>
    <t>C05689:1</t>
  </si>
  <si>
    <t>C05695:1</t>
  </si>
  <si>
    <t>C05697:1</t>
  </si>
  <si>
    <t>C05699:1</t>
  </si>
  <si>
    <t>C05702:1</t>
  </si>
  <si>
    <t>C05711:1</t>
  </si>
  <si>
    <t>C05729:1</t>
  </si>
  <si>
    <t>C05744:1</t>
  </si>
  <si>
    <t>C05745:1</t>
  </si>
  <si>
    <t>C05746:1</t>
  </si>
  <si>
    <t>C05747:1</t>
  </si>
  <si>
    <t>C05748:1</t>
  </si>
  <si>
    <t>C05749:1</t>
  </si>
  <si>
    <t>C05750:1</t>
  </si>
  <si>
    <t>C05751:1</t>
  </si>
  <si>
    <t>C05752:1</t>
  </si>
  <si>
    <t>C05753:1</t>
  </si>
  <si>
    <t>C05754:1</t>
  </si>
  <si>
    <t>C05755:1</t>
  </si>
  <si>
    <t>C05756:1</t>
  </si>
  <si>
    <t>C05757:1</t>
  </si>
  <si>
    <t>C05758:1</t>
  </si>
  <si>
    <t>C05759:1</t>
  </si>
  <si>
    <t>C05760:1</t>
  </si>
  <si>
    <t>C05761:1</t>
  </si>
  <si>
    <t>C05762:1</t>
  </si>
  <si>
    <t>C05763:1</t>
  </si>
  <si>
    <t>C05764:1</t>
  </si>
  <si>
    <t>C05766:1</t>
  </si>
  <si>
    <t>C05768:1</t>
  </si>
  <si>
    <t>C05772:1</t>
  </si>
  <si>
    <t>C05774:1</t>
  </si>
  <si>
    <t>C05775:1</t>
  </si>
  <si>
    <t>C05778:1</t>
  </si>
  <si>
    <t>C05840:1</t>
  </si>
  <si>
    <t>C05844:1</t>
  </si>
  <si>
    <t>C05921:1</t>
  </si>
  <si>
    <t>C05922:1</t>
  </si>
  <si>
    <t>C05923:1</t>
  </si>
  <si>
    <t>C05928:1</t>
  </si>
  <si>
    <t>C05936:1</t>
  </si>
  <si>
    <t>C05938:1</t>
  </si>
  <si>
    <t>C05951:1</t>
  </si>
  <si>
    <t>C05983:1</t>
  </si>
  <si>
    <t>C05985:1</t>
  </si>
  <si>
    <t>C05993:1</t>
  </si>
  <si>
    <t>C05998:1</t>
  </si>
  <si>
    <t>C06000:1</t>
  </si>
  <si>
    <t>C06002:1</t>
  </si>
  <si>
    <t>C06006:1</t>
  </si>
  <si>
    <t>C06007:1</t>
  </si>
  <si>
    <t>C06010:1</t>
  </si>
  <si>
    <t>C06032:1</t>
  </si>
  <si>
    <t>C06113:1</t>
  </si>
  <si>
    <t>C06114:1</t>
  </si>
  <si>
    <t>C06148:1</t>
  </si>
  <si>
    <t>C06157:1</t>
  </si>
  <si>
    <t>C06198:1</t>
  </si>
  <si>
    <t>C06206:1</t>
  </si>
  <si>
    <t>C06249:1</t>
  </si>
  <si>
    <t>C06250:1</t>
  </si>
  <si>
    <t>C06259:1</t>
  </si>
  <si>
    <t>C06260:1</t>
  </si>
  <si>
    <t>C06399:1</t>
  </si>
  <si>
    <t>C06407:1</t>
  </si>
  <si>
    <t>C06408:1</t>
  </si>
  <si>
    <t>C06416:1</t>
  </si>
  <si>
    <t>C06504:1</t>
  </si>
  <si>
    <t>C06505:1</t>
  </si>
  <si>
    <t>C06506:1</t>
  </si>
  <si>
    <t>C06507:1</t>
  </si>
  <si>
    <t>C06508:1</t>
  </si>
  <si>
    <t>C06509:1</t>
  </si>
  <si>
    <t>C06510:1</t>
  </si>
  <si>
    <t>C06614:1</t>
  </si>
  <si>
    <t>C06615:1</t>
  </si>
  <si>
    <t>C06697:1</t>
  </si>
  <si>
    <t>C06714:1</t>
  </si>
  <si>
    <t>C06715:1</t>
  </si>
  <si>
    <t>C06754:1</t>
  </si>
  <si>
    <t>C06755:1</t>
  </si>
  <si>
    <t>C07086:1</t>
  </si>
  <si>
    <t>C07090:1</t>
  </si>
  <si>
    <t>C07281:1</t>
  </si>
  <si>
    <t>C07282:1</t>
  </si>
  <si>
    <t>C07292:1</t>
  </si>
  <si>
    <t>C07293:1</t>
  </si>
  <si>
    <t>C08249:1</t>
  </si>
  <si>
    <t>C11215:1</t>
  </si>
  <si>
    <t>C11355:1</t>
  </si>
  <si>
    <t>C11434:1</t>
  </si>
  <si>
    <t>C11435:1</t>
  </si>
  <si>
    <t>C11436:1</t>
  </si>
  <si>
    <t>C11453:1</t>
  </si>
  <si>
    <t>C11536:1</t>
  </si>
  <si>
    <t>C11537:1</t>
  </si>
  <si>
    <t>C11538:1</t>
  </si>
  <si>
    <t>C11735:1</t>
  </si>
  <si>
    <t>C11811:1</t>
  </si>
  <si>
    <t>C11924:1</t>
  </si>
  <si>
    <t>C11945:1</t>
  </si>
  <si>
    <t>C11946:1</t>
  </si>
  <si>
    <t>C11947:1</t>
  </si>
  <si>
    <t>C12147:1</t>
  </si>
  <si>
    <t>C12214:1</t>
  </si>
  <si>
    <t>C12215:1</t>
  </si>
  <si>
    <t>C12739:1</t>
  </si>
  <si>
    <t>C13378:1</t>
  </si>
  <si>
    <t>C14144:1</t>
  </si>
  <si>
    <t>C14145:1</t>
  </si>
  <si>
    <t>C14463:1</t>
  </si>
  <si>
    <t>C14610:1</t>
  </si>
  <si>
    <t>C14818:1</t>
  </si>
  <si>
    <t>C14830:1</t>
  </si>
  <si>
    <t>C15498:1</t>
  </si>
  <si>
    <t>C15522:1</t>
  </si>
  <si>
    <t>C15527:1</t>
  </si>
  <si>
    <t>C15532:1</t>
  </si>
  <si>
    <t>C15556:1</t>
  </si>
  <si>
    <t>C15585:1</t>
  </si>
  <si>
    <t>C15586:1</t>
  </si>
  <si>
    <t>C15587:1</t>
  </si>
  <si>
    <t>C15602:1</t>
  </si>
  <si>
    <t>C15603:1</t>
  </si>
  <si>
    <t>C15613:1</t>
  </si>
  <si>
    <t>C15809:1</t>
  </si>
  <si>
    <t>C15853:1</t>
  </si>
  <si>
    <t>C15854:1</t>
  </si>
  <si>
    <t>C15972:1</t>
  </si>
  <si>
    <t>C15973:1</t>
  </si>
  <si>
    <t>C15974:1</t>
  </si>
  <si>
    <t>C15975:1</t>
  </si>
  <si>
    <t>C15976:1</t>
  </si>
  <si>
    <t>C15977:1</t>
  </si>
  <si>
    <t>C15978:1</t>
  </si>
  <si>
    <t>C15979:1</t>
  </si>
  <si>
    <t>C15980:1</t>
  </si>
  <si>
    <t>C16219:1</t>
  </si>
  <si>
    <t>C16220:1</t>
  </si>
  <si>
    <t>C16221:1</t>
  </si>
  <si>
    <t>C16237:1</t>
  </si>
  <si>
    <t>C16254:1</t>
  </si>
  <si>
    <t>C16328:1</t>
  </si>
  <si>
    <t>C16329:1</t>
  </si>
  <si>
    <t>C16330:1</t>
  </si>
  <si>
    <t>C16332:1</t>
  </si>
  <si>
    <t>C16333:1</t>
  </si>
  <si>
    <t>C16334:1</t>
  </si>
  <si>
    <t>C16336:1</t>
  </si>
  <si>
    <t>C16337:1</t>
  </si>
  <si>
    <t>C16338:1</t>
  </si>
  <si>
    <t>C16466:1</t>
  </si>
  <si>
    <t>C16468:1</t>
  </si>
  <si>
    <t>C16469:1</t>
  </si>
  <si>
    <t>C16471:1</t>
  </si>
  <si>
    <t>C16474:1</t>
  </si>
  <si>
    <t>C16476:1</t>
  </si>
  <si>
    <t>C16502:1</t>
  </si>
  <si>
    <t>C16581:1</t>
  </si>
  <si>
    <t>C16635:1</t>
  </si>
  <si>
    <t>C16675:1</t>
  </si>
  <si>
    <t>C16832:1</t>
  </si>
  <si>
    <t>C17234:1</t>
  </si>
  <si>
    <t>C17343:1</t>
  </si>
  <si>
    <t>C17345:1</t>
  </si>
  <si>
    <t>C17346:1</t>
  </si>
  <si>
    <t>C17509:1</t>
  </si>
  <si>
    <t>C17510:1</t>
  </si>
  <si>
    <t>C18028:1</t>
  </si>
  <si>
    <t>C18091:1</t>
  </si>
  <si>
    <t>C19673:1</t>
  </si>
  <si>
    <t>C19709:1</t>
  </si>
  <si>
    <t>C19713:1</t>
  </si>
  <si>
    <t>C19843:1</t>
  </si>
  <si>
    <t>C20246:1</t>
  </si>
  <si>
    <t>C20247:1</t>
  </si>
  <si>
    <t>C20267:1</t>
  </si>
  <si>
    <t>C20372:1</t>
  </si>
  <si>
    <t>C20373:1</t>
  </si>
  <si>
    <t>C20374:1</t>
  </si>
  <si>
    <t>C20375:1</t>
  </si>
  <si>
    <t>C20376:1</t>
  </si>
  <si>
    <t>C20377:1</t>
  </si>
  <si>
    <t>C20378:1</t>
  </si>
  <si>
    <t>C20446:1</t>
  </si>
  <si>
    <t>C20463:1</t>
  </si>
  <si>
    <t>C20675:1</t>
  </si>
  <si>
    <t>C20676:1</t>
  </si>
  <si>
    <t>C20840:1</t>
  </si>
  <si>
    <t>C20904:1</t>
  </si>
  <si>
    <t>C20905:1</t>
  </si>
  <si>
    <t>C21017:1</t>
  </si>
  <si>
    <t>C21018:1</t>
  </si>
  <si>
    <t>C21153:1</t>
  </si>
  <si>
    <t>C21440:1</t>
  </si>
  <si>
    <t>C21640:1</t>
  </si>
  <si>
    <t>C22438:1</t>
  </si>
  <si>
    <t>C23011:1</t>
  </si>
  <si>
    <t>trans-2,3-Dehydroacyl-CoA</t>
  </si>
  <si>
    <t>sn-Glycero-3-phosphocholine</t>
  </si>
  <si>
    <t>2-Deoxy-D-ribose 1-phosphate</t>
  </si>
  <si>
    <t>3-Oxoacyl-[acyl-carrier protein]</t>
  </si>
  <si>
    <t>trans-2,3-Dehydroacyl-[acyl-carrier protein]</t>
  </si>
  <si>
    <t>XTP</t>
  </si>
  <si>
    <t>Superoxide</t>
  </si>
  <si>
    <t>Cellulose</t>
  </si>
  <si>
    <t>D-Sorbitol</t>
  </si>
  <si>
    <t>Ethylamine</t>
  </si>
  <si>
    <t>Propynoate</t>
  </si>
  <si>
    <t>D-Glucarate</t>
  </si>
  <si>
    <t>DNA adenine</t>
  </si>
  <si>
    <t>L-Arogenate</t>
  </si>
  <si>
    <t>C00208:1</t>
  </si>
  <si>
    <t>Sepiapterin</t>
  </si>
  <si>
    <t>3-Oxoadipate</t>
  </si>
  <si>
    <t>Cob(I)alamin</t>
  </si>
  <si>
    <t>L-Histidinol</t>
  </si>
  <si>
    <t>4-Nitrophenol</t>
  </si>
  <si>
    <t>Crotonoyl-CoA</t>
  </si>
  <si>
    <t>Propenoyl-CoA</t>
  </si>
  <si>
    <t>2-Acetolactate</t>
  </si>
  <si>
    <t>Dihydropteroate</t>
  </si>
  <si>
    <t>Ferricytochrome</t>
  </si>
  <si>
    <t>Ferrocytochrome</t>
  </si>
  <si>
    <t>Porphobilinogen</t>
  </si>
  <si>
    <t>( R )-Lactaldehyde</t>
  </si>
  <si>
    <t>3', 5'-Cyclic GMP</t>
  </si>
  <si>
    <t>3-Dehydroquinate</t>
  </si>
  <si>
    <t>Indole-3-acetate</t>
  </si>
  <si>
    <t>2-Dehydropantoate</t>
  </si>
  <si>
    <t>1,3-Diaminopropane</t>
  </si>
  <si>
    <t>Ferricytochrome c2</t>
  </si>
  <si>
    <t>Ferrocytochrome c2</t>
  </si>
  <si>
    <t>Urea-1-carboxylate</t>
  </si>
  <si>
    <t>L-Fucose</t>
  </si>
  <si>
    <t>Hydroxymethylbilane</t>
  </si>
  <si>
    <t>N-Formyl-L-glutamate</t>
  </si>
  <si>
    <t>Uroporphyrinogen III</t>
  </si>
  <si>
    <t>O-Acetyl-L-homoserine</t>
  </si>
  <si>
    <t>Protoporphyrinogen IX</t>
  </si>
  <si>
    <t>Thiamin monophosphate</t>
  </si>
  <si>
    <t>( 3R )-3-Hydroxyacyl-CoA</t>
  </si>
  <si>
    <t>( R )-3-Hydroxybutanoate</t>
  </si>
  <si>
    <t>Sorbitol 6-phosphate</t>
  </si>
  <si>
    <t>L-Histidinol phosphate</t>
  </si>
  <si>
    <t>L-Galactono-1,4-lactone</t>
  </si>
  <si>
    <t>O-Succinyl-L-homoserine</t>
  </si>
  <si>
    <t>cis-2,3-Dehydroacyl-CoA</t>
  </si>
  <si>
    <t>S-Adenosylmethioninamine</t>
  </si>
  <si>
    <t>( S )-3-Hydroxybutanoyl-CoA</t>
  </si>
  <si>
    <t>4-Trimethylammoniobutanal</t>
  </si>
  <si>
    <t>Orthophosphoric monoester</t>
  </si>
  <si>
    <t>Hydroxyproline</t>
  </si>
  <si>
    <t>2,3-Bisphospho-D-glycerate</t>
  </si>
  <si>
    <t>3,4-Dihydroxyphenylacetate</t>
  </si>
  <si>
    <t>L-Glutamate 5-semialdehyde</t>
  </si>
  <si>
    <t>Pseudouridine 5'-phosphate</t>
  </si>
  <si>
    <t>alpha-D-Hexose 1-phosphate</t>
  </si>
  <si>
    <t>Inositol 1-phosphate</t>
  </si>
  <si>
    <t>4-Trimethylammoniobutanoate</t>
  </si>
  <si>
    <t>Malonyl-[acyl-carrier protein]</t>
  </si>
  <si>
    <t>( R )-Methylmalonyl-CoA</t>
  </si>
  <si>
    <t xml:space="preserve">  GDP-4-dehydro-6-deoxy-D-mannose</t>
  </si>
  <si>
    <t>sn-Glycero-3-phosphoethanolamine</t>
  </si>
  <si>
    <t>N-Acetyl-L-glutamate 5-semialdehyde</t>
  </si>
  <si>
    <t>Homocitrate</t>
  </si>
  <si>
    <t>P1,P4-Bis(5'-guanosyl) tetraphosphate</t>
  </si>
  <si>
    <t>3-(Imidazol-4-yl)-2-oxopropyl phosphate</t>
  </si>
  <si>
    <t>5-Amino-6-(5'-phosphoribosylamino)uracil</t>
  </si>
  <si>
    <t>5-O-(1-Carboxyvinyl)-3-phosphoshikimate</t>
  </si>
  <si>
    <t>(3R)-3-Hydroxyacyl-[acyl-carrier protein]</t>
  </si>
  <si>
    <t>2-Carboxy-2,5-dihydro-5-oxofuran-2-acetate</t>
  </si>
  <si>
    <t>N-Acetyl-D-glucosaminyldiphosphoundecaprenol</t>
  </si>
  <si>
    <t>6-(Hydroxymethyl)-7,8-dihydropterin</t>
  </si>
  <si>
    <t>1-(2-Carboxyphenylamino)-1-deoxy-D-ribulose 5-phosphate</t>
  </si>
  <si>
    <t>2,5-Diamino-6-(5-phospho-D-ribosylamino)pyrimidin-4(3H)-one</t>
  </si>
  <si>
    <t>Hydrochloric acid</t>
  </si>
  <si>
    <t>ROH</t>
  </si>
  <si>
    <t>FADH2</t>
  </si>
  <si>
    <t>L-Cysteinylglycine</t>
  </si>
  <si>
    <t>L-Iditol</t>
  </si>
  <si>
    <t>Protamine</t>
  </si>
  <si>
    <t>tRNA(Asn)</t>
  </si>
  <si>
    <t>tRNA(Gln)</t>
  </si>
  <si>
    <t>tRNA(His)</t>
  </si>
  <si>
    <t>Thiocyanate</t>
  </si>
  <si>
    <t>tRNA containing uridine at position 54</t>
  </si>
  <si>
    <t>L-Galactose</t>
  </si>
  <si>
    <t>Lauroyl-CoA</t>
  </si>
  <si>
    <t>Reduced FMN</t>
  </si>
  <si>
    <t>Cellodextrin</t>
  </si>
  <si>
    <t>L-Histidinal</t>
  </si>
  <si>
    <t>Octanoyl-CoA</t>
  </si>
  <si>
    <t>Lipoylprotein</t>
  </si>
  <si>
    <t>D-threo-Aldose</t>
  </si>
  <si>
    <t>Leukotriene C4</t>
  </si>
  <si>
    <t>Methylmalonate</t>
  </si>
  <si>
    <t>Protoporphyrin</t>
  </si>
  <si>
    <t>Dehydroalanine</t>
  </si>
  <si>
    <t>3-Oxoadipyl-CoA</t>
  </si>
  <si>
    <t>Glutaminyl-tRNA</t>
  </si>
  <si>
    <t>L-Cystathionine</t>
  </si>
  <si>
    <t>R-S-Glutathione</t>
  </si>
  <si>
    <t>Glutaconyl-1-CoA</t>
  </si>
  <si>
    <t>Precorrin 2</t>
  </si>
  <si>
    <t>Uroporphyrin III</t>
  </si>
  <si>
    <t>cis,cis-Muconate</t>
  </si>
  <si>
    <t>alpha-Isopropylmalate</t>
  </si>
  <si>
    <t>3-Cyano-L-alanine</t>
  </si>
  <si>
    <t>Perillyl aldehyde</t>
  </si>
  <si>
    <t>Tetradecanoyl-CoA</t>
  </si>
  <si>
    <t>( R )-2-Methylmalate</t>
  </si>
  <si>
    <t>2-Hydroxyglutarate</t>
  </si>
  <si>
    <t>2-Isopropylmaleate</t>
  </si>
  <si>
    <t>3-Dehydroshikimate</t>
  </si>
  <si>
    <t>D-Glucuronolactone</t>
  </si>
  <si>
    <t>N-Acetylmuramate</t>
  </si>
  <si>
    <t>O-Phosphoprotamine</t>
  </si>
  <si>
    <t>2-Succinylbenzoate</t>
  </si>
  <si>
    <t>1-(5-Phospho-D-ribosyl)-ATP</t>
  </si>
  <si>
    <t>Phosphoribosyl-AMP</t>
  </si>
  <si>
    <t>Imidazole-4-acetate</t>
  </si>
  <si>
    <t>Long-chain acyl-CoA</t>
  </si>
  <si>
    <t>3-Methylbutanoyl-CoA</t>
  </si>
  <si>
    <t>4-Acetamidobutanoate</t>
  </si>
  <si>
    <t>6-Aminopenicillanate</t>
  </si>
  <si>
    <t>Dihydrolipoylprotein</t>
  </si>
  <si>
    <t>L-Histidyl-tRNA(His)</t>
  </si>
  <si>
    <t>N-Acetylmuramoyl-Ala</t>
  </si>
  <si>
    <t>Reduced flavoprotein</t>
  </si>
  <si>
    <t>2-Oxohept-3-enedioate</t>
  </si>
  <si>
    <t>3-Methylcrotonyl-CoA</t>
  </si>
  <si>
    <t>Cyclobutadipyrimidine</t>
  </si>
  <si>
    <t>Dimethylbenzimidazole</t>
  </si>
  <si>
    <t>Glycerophosphodiester</t>
  </si>
  <si>
    <t>2-Succinylbenzoyl-CoA</t>
  </si>
  <si>
    <t>Oxidized flavoprotein</t>
  </si>
  <si>
    <t>Pyrimidine nucleoside</t>
  </si>
  <si>
    <t>Shikimate 3-phosphate</t>
  </si>
  <si>
    <t>(5-L-Glutamyl)-peptide</t>
  </si>
  <si>
    <t>( R )-1-Aminopropan-2-ol</t>
  </si>
  <si>
    <t>2-trans-Dodecenoyl-CoA</t>
  </si>
  <si>
    <t>3-Methylglutaconyl-CoA</t>
  </si>
  <si>
    <t>3-Phosphonooxypyruvate</t>
  </si>
  <si>
    <t>Coproporphyrinogen III</t>
  </si>
  <si>
    <t>L-3-Aminoisobutanoate</t>
  </si>
  <si>
    <t>L-Glutamyl 5-phosphate</t>
  </si>
  <si>
    <t>2-Methylacetoacetyl-CoA</t>
  </si>
  <si>
    <t>2-Methylbut-2-enoyl-CoA</t>
  </si>
  <si>
    <t>4-Nitrophenyl phosphate</t>
  </si>
  <si>
    <t>5-L-Glutamyl amino acid</t>
  </si>
  <si>
    <t>DNA 6-methylaminopurine</t>
  </si>
  <si>
    <t>L-Asparaginyl-tRNA(Asn)</t>
  </si>
  <si>
    <t>N-(L-Arginino)succinate</t>
  </si>
  <si>
    <t>Prephytoene diphosphate</t>
  </si>
  <si>
    <t>S-Inosyl-L-homocysteine</t>
  </si>
  <si>
    <t>tRNA TpsiC</t>
  </si>
  <si>
    <t>2-Methylprop-2-enoyl-CoA</t>
  </si>
  <si>
    <t>2-trans,6-trans-Farnesal</t>
  </si>
  <si>
    <t>Indoleglycerol phosphate</t>
  </si>
  <si>
    <t>L-2-Amino-3-oxobutanoic acid</t>
  </si>
  <si>
    <t>Magnesium protoporphyrin</t>
  </si>
  <si>
    <t>myo-Inositol 4-phosphate</t>
  </si>
  <si>
    <t>3-Chloro-cis,cis-muconate</t>
  </si>
  <si>
    <t>2-Oxo-2,3-dihydrofuran-5-acetate</t>
  </si>
  <si>
    <t>6-Pyruvoyltetrahydropterin</t>
  </si>
  <si>
    <t>Quinolinate</t>
  </si>
  <si>
    <t>alpha-D-Hexose 6-phosphate</t>
  </si>
  <si>
    <t>(5-L-Glutamyl)-L-amino acid</t>
  </si>
  <si>
    <t>( S )-4-Amino-5-oxopentanoate</t>
  </si>
  <si>
    <t>( S )-1-Pyrroline-5-carboxylate</t>
  </si>
  <si>
    <t>Acetyl-[acyl-carrier protein]</t>
  </si>
  <si>
    <t>Homo-cis-aconitate</t>
  </si>
  <si>
    <t>1D-myo-Inositol 3-phosphate</t>
  </si>
  <si>
    <t>2,3-Dihydroxy-3-methylbutanoate</t>
  </si>
  <si>
    <t>5-Carboxy-2-oxohept-3-enedioate</t>
  </si>
  <si>
    <t>Octadecanoyl-[acyl-carrier protein]</t>
  </si>
  <si>
    <t>2,5-Dihydro-5-oxofuran-2-acetate</t>
  </si>
  <si>
    <t>3-Methyl-cis,cis-hexadienedioate</t>
  </si>
  <si>
    <t>D-1-Aminopropan-2-ol O-phosphate</t>
  </si>
  <si>
    <t>N-Acetyl-L-glutamate 5-phosphate</t>
  </si>
  <si>
    <t>all-trans-Octaprenyl diphosphate</t>
  </si>
  <si>
    <t>3-Hydroxy-3-methyl-2-oxobutanoic acid</t>
  </si>
  <si>
    <t>5-Carboxymethyl-2-hydroxymuconate</t>
  </si>
  <si>
    <t>S-Methyl-5-thio-D-ribose 1-phosphate</t>
  </si>
  <si>
    <t>( 2S )-2-Isopropyl-3-oxosuccinate</t>
  </si>
  <si>
    <t>6-Lactoyl-5,6,7,8-tetrahydropterin</t>
  </si>
  <si>
    <t>But-2-enoyl-[acyl-carrier protein]</t>
  </si>
  <si>
    <t>Electron-transferring flavoprotein</t>
  </si>
  <si>
    <t>Protein N(tau)-phospho-L-histidine</t>
  </si>
  <si>
    <t>(R)-2,3-Dihydroxy-3-methylbutanoate</t>
  </si>
  <si>
    <t>L-1-Pyrroline-3-hydroxy-5-carboxylate</t>
  </si>
  <si>
    <t>5-(2-Hydroxyethyl)-4-methylthiazole</t>
  </si>
  <si>
    <t>N-(5-Phospho-D-ribosyl)anthranilate</t>
  </si>
  <si>
    <t>(1E,3E)-4-Hydroxybuta-1,3-diene-1,2,4-tricarboxylate</t>
  </si>
  <si>
    <t>4-Methyl-5-(2-phosphooxyethyl)thiazole</t>
  </si>
  <si>
    <t>6,7-Dimethyl-8-(D-ribityl)lumazine</t>
  </si>
  <si>
    <t>P1,P4-Bis(5'-xanthosyl) tetraphosphate</t>
  </si>
  <si>
    <t>(2S,3S)-3-Hydroxy-2-methylbutanoyl-CoA</t>
  </si>
  <si>
    <t>(2R,3S)-3-Isopropylmalate</t>
  </si>
  <si>
    <t>Carboxybiotin-carboxyl-carrier protein</t>
  </si>
  <si>
    <t>Guanosine 3'-diphosphate 5'-triphosphate</t>
  </si>
  <si>
    <t>alpha-D-Galactosyl-diphosphoundecaprenol</t>
  </si>
  <si>
    <t>tRNA containing 2'-O-methylguanosine</t>
  </si>
  <si>
    <t>3alpha,7alpha-Dihydroxy-5beta-cholestanate</t>
  </si>
  <si>
    <t>3-Methylmuconolactone</t>
  </si>
  <si>
    <t>4-Methylmuconolactone</t>
  </si>
  <si>
    <t>Reduced electron-transferring flavoprotein</t>
  </si>
  <si>
    <t>S-Methyl-5-thio-D-ribulose 1-phosphate</t>
  </si>
  <si>
    <t>(3R)-3-Hydroxybutanoyl-[acyl-carrier protein]</t>
  </si>
  <si>
    <t>(3R)-3-Hydroxydecanoyl-[acyl-carrier protein]</t>
  </si>
  <si>
    <t>(3R)-3-Hydroxyoctanoyl-[acyl-carrier protein]</t>
  </si>
  <si>
    <t>(3R)-3-Hydroxypalmitoyl-[acyl-carrier protein]</t>
  </si>
  <si>
    <t>2-Hydroxy-5-carboxymethylmuconate semialdehyde</t>
  </si>
  <si>
    <t>D-erythro-1-(Imidazol-4-yl)glycerol 3-phosphate</t>
  </si>
  <si>
    <t>3-Hydroxy-3-(4-methylpent-3-en-1-yl)glutaryl-CoA</t>
  </si>
  <si>
    <t>[Methylmalonyl-CoA:pyruvate carboxytransferase]</t>
  </si>
  <si>
    <t>(3R)-3-Hydroxytetradecanoyl-[acyl-carrier protein]</t>
  </si>
  <si>
    <t>2-Dehydro-3-deoxy-D-arabino-heptonate 7-phosphate</t>
  </si>
  <si>
    <t>5-Amino-6-(1-D-ribitylamino)uracil</t>
  </si>
  <si>
    <t>Apo-[methylmalonyl-CoA:pyruvate carboxytransferase]</t>
  </si>
  <si>
    <t>alpha-Ribazole 5'-phosphate</t>
  </si>
  <si>
    <t>6-Hydroxymethyl-7,8-dihydropterin diphosphate</t>
  </si>
  <si>
    <t>7,8-Dihydroneopterin</t>
  </si>
  <si>
    <t>N-Acetyl-beta-D-mannosaminyl-1,4-N-acetyl-D-glucosaminyldiphosphoundecaprenol</t>
  </si>
  <si>
    <t>7,8-Dihydroneopterin 3'-triphosphate</t>
  </si>
  <si>
    <t>5-(5-Phospho-D-ribosylaminoformimino)-1-(5-phosphoribosyl)-imidazole-4-carboxamide</t>
  </si>
  <si>
    <t>N-(5'-Phospho-D-1'-ribulosylformimino)-5-amino-1-(5''-phospho-D-ribosyl)-4-imidazolecarboxamide</t>
  </si>
  <si>
    <t>trans-3-Enoyl-CoA</t>
  </si>
  <si>
    <t>3-Hydroxybutanoyl-CoA</t>
  </si>
  <si>
    <t>2-(alpha-Hydroxyethyl)thiamine diphosphate</t>
  </si>
  <si>
    <t>Imidazole-4-acetaldehyde</t>
  </si>
  <si>
    <t>alpha-Amino acid</t>
  </si>
  <si>
    <t>C05167:1000</t>
  </si>
  <si>
    <t>Dodecanoyl-[acyl-carrier protein]</t>
  </si>
  <si>
    <t>(2S)-2-Methylacyl-CoA</t>
  </si>
  <si>
    <t>(S)-3-Hydroxyhexadecanoyl-CoA</t>
  </si>
  <si>
    <t>3-Oxopalmitoyl-CoA</t>
  </si>
  <si>
    <t>(S)-3-Hydroxytetradecanoyl-CoA</t>
  </si>
  <si>
    <t>3-Oxotetradecanoyl-CoA</t>
  </si>
  <si>
    <t>(S)-3-Hydroxydodecanoyl-CoA</t>
  </si>
  <si>
    <t>3-Oxododecanoyl-CoA</t>
  </si>
  <si>
    <t>(S)-Hydroxydecanoyl-CoA</t>
  </si>
  <si>
    <t>3-Oxodecanoyl-CoA</t>
  </si>
  <si>
    <t>(S)-3-Hydroxyoctanoyl-CoA</t>
  </si>
  <si>
    <t>3-Oxooctanoyl-CoA</t>
  </si>
  <si>
    <t>(S)-Hydroxyhexanoyl-CoA</t>
  </si>
  <si>
    <t>3-Oxohexanoyl-CoA</t>
  </si>
  <si>
    <t>Hexanoyl-CoA</t>
  </si>
  <si>
    <t>trans-Hex-2-enoyl-CoA</t>
  </si>
  <si>
    <t>trans-Hexadec-2-enoyl-CoA</t>
  </si>
  <si>
    <t>trans-Tetradec-2-enoyl-CoA</t>
  </si>
  <si>
    <t>Decanoyl-CoA</t>
  </si>
  <si>
    <t>trans-Dec-2-enoyl-CoA</t>
  </si>
  <si>
    <t>trans-Oct-2-enoyl-CoA</t>
  </si>
  <si>
    <t>Semiquinone</t>
  </si>
  <si>
    <t>(2R)-2-Methylacyl-CoA</t>
  </si>
  <si>
    <t>Oxidized azurin</t>
  </si>
  <si>
    <t>Reduced azurin</t>
  </si>
  <si>
    <t>4-Carboxy-2-oxo-3-hexenedioate</t>
  </si>
  <si>
    <t>Oxalosuccinate</t>
  </si>
  <si>
    <t>3-Carboxy-1-hydroxypropyl-ThPP</t>
  </si>
  <si>
    <t>all-trans-Phytoene</t>
  </si>
  <si>
    <t>15-cis-Phytoene</t>
  </si>
  <si>
    <t>L-Allothreonine</t>
  </si>
  <si>
    <t>Oxaloglutarate</t>
  </si>
  <si>
    <t>Penicillin G</t>
  </si>
  <si>
    <t>3-Hydroxyphenylacetate</t>
  </si>
  <si>
    <t>2-Hydroxyhepta-2,4-dienedioate</t>
  </si>
  <si>
    <t>5-Hydroxyindoleacetaldehyde</t>
  </si>
  <si>
    <t>5-Hydroxyindoleacetate</t>
  </si>
  <si>
    <t>Cinnavalininate</t>
  </si>
  <si>
    <t>Homoisocitrate</t>
  </si>
  <si>
    <t>3-Aminopropanal</t>
  </si>
  <si>
    <t>3-Hydroxypropionyl-CoA</t>
  </si>
  <si>
    <t>3-Aminopropiononitrile</t>
  </si>
  <si>
    <t>Adenylylselenate</t>
  </si>
  <si>
    <t>Se-Methyl-L-selenocysteine</t>
  </si>
  <si>
    <t>gamma-Glutamyl-Se-methylselenocysteine</t>
  </si>
  <si>
    <t>Selenate</t>
  </si>
  <si>
    <t>L-Selenocystathionine</t>
  </si>
  <si>
    <t>O-Phosphorylhomoserine</t>
  </si>
  <si>
    <t>R-S-Cysteinylglycine</t>
  </si>
  <si>
    <t>gamma-Glutamyl-beta-cyanoalanine</t>
  </si>
  <si>
    <t>Acetoacetyl-[acp]</t>
  </si>
  <si>
    <t>Butyryl-[acp]</t>
  </si>
  <si>
    <t>3-Oxohexanoyl-[acp]</t>
  </si>
  <si>
    <t>(3R)-3-Hydroxyhexanoyl-[acyl-carrier protein]</t>
  </si>
  <si>
    <t>trans-Hex-2-enoyl-[acp]</t>
  </si>
  <si>
    <t>Hexanoyl-[acp]</t>
  </si>
  <si>
    <t>3-Oxooctanoyl-[acp]</t>
  </si>
  <si>
    <t>trans-Oct-2-enoyl-[acp]</t>
  </si>
  <si>
    <t>Octanoyl-[acp]</t>
  </si>
  <si>
    <t>3-Oxodecanoyl-[acp]</t>
  </si>
  <si>
    <t>trans-Dec-2-enoyl-[acp]</t>
  </si>
  <si>
    <t>Decanoyl-[acp]</t>
  </si>
  <si>
    <t>3-Oxododecanoyl-[acp]</t>
  </si>
  <si>
    <t>(3R)-3-Hydroxydodecanoyl-[acyl-carrier protein]</t>
  </si>
  <si>
    <t>trans-Dodec-2-enoyl-[acp]</t>
  </si>
  <si>
    <t>3-Oxotetradecanoyl-[acp]</t>
  </si>
  <si>
    <t>trans-Tetradec-2-enoyl-[acp]</t>
  </si>
  <si>
    <t>Tetradecanoyl-[acp]</t>
  </si>
  <si>
    <t>3-Oxohexadecanoyl-[acp]</t>
  </si>
  <si>
    <t>trans-Hexadec-2-enoyl-[acp]</t>
  </si>
  <si>
    <t>Hexadecanoyl-[acp]</t>
  </si>
  <si>
    <t>Uroporphyrinogen I</t>
  </si>
  <si>
    <t>Coproporphyrinogen I</t>
  </si>
  <si>
    <t>Precorrin 3A</t>
  </si>
  <si>
    <t>Cobinamide</t>
  </si>
  <si>
    <t>alpha-Ribazole</t>
  </si>
  <si>
    <t>Sirohydrochlorin</t>
  </si>
  <si>
    <t>Iminoaspartate</t>
  </si>
  <si>
    <t>5-L-Glutamyl-taurine</t>
  </si>
  <si>
    <t>Biotinyl-5'-AMP</t>
  </si>
  <si>
    <t>Formamidopyrimidine nucleoside triphosphate</t>
  </si>
  <si>
    <t>2,5-Diaminopyrimidine nucleoside triphosphate</t>
  </si>
  <si>
    <t>(6R)-10-Formyltetrahydropteroyldiglutamate</t>
  </si>
  <si>
    <t>N4-Acetylaminobutanal</t>
  </si>
  <si>
    <t>L-4-Hydroxyglutamate semialdehyde</t>
  </si>
  <si>
    <t>Leukotriene D4</t>
  </si>
  <si>
    <t>Propionyladenylate</t>
  </si>
  <si>
    <t>2-Propynal</t>
  </si>
  <si>
    <t>Acetyl adenylate</t>
  </si>
  <si>
    <t>3-Hydroxyisovaleryl-CoA</t>
  </si>
  <si>
    <t>( S )-3-Hydroxyisobutyryl-CoA</t>
  </si>
  <si>
    <t>( S )-Methylmalonate semialdehyde</t>
  </si>
  <si>
    <t>( S )-2-Aceto-2-hydroxybutanoate</t>
  </si>
  <si>
    <t>(R)-2,3-Dihydroxy-3-methylpentanoate</t>
  </si>
  <si>
    <t>( S )-2-Acetolactate</t>
  </si>
  <si>
    <t>D-erythro-3-Methylmalate</t>
  </si>
  <si>
    <t>L-Aspartyl-tRNA(Asn)</t>
  </si>
  <si>
    <t>gamma-Glutamyl-beta-aminopropiononitrile</t>
  </si>
  <si>
    <t>2,5-Diamino-6-(5'-triphosphoryl-3',4'-trihydroxy-2'-oxopentyl)-amino-4-oxopyrimidine</t>
  </si>
  <si>
    <t>S-Glutaryldihydrolipoamide-E</t>
  </si>
  <si>
    <t>P1,P4-Bis(5'-uridyl) tetraphosphate</t>
  </si>
  <si>
    <t>Benzoyl phosphate</t>
  </si>
  <si>
    <t>Apo-[carboxylase]</t>
  </si>
  <si>
    <t>Holo-[carboxylase]</t>
  </si>
  <si>
    <t>Ferrocytochrome b</t>
  </si>
  <si>
    <t>Ferricytochrome b</t>
  </si>
  <si>
    <t>Hydrogenobyrinate</t>
  </si>
  <si>
    <t>Precorrin 4</t>
  </si>
  <si>
    <t>Precorrin 8X</t>
  </si>
  <si>
    <t>Precorrin 5</t>
  </si>
  <si>
    <t>Cob(II)yrinate a,c diamide</t>
  </si>
  <si>
    <t>Cob(I)yrinate a,c diamide</t>
  </si>
  <si>
    <t>Adenosyl cobyrinate a,c diamide</t>
  </si>
  <si>
    <t>Adenosyl cobyrinate hexaamide</t>
  </si>
  <si>
    <t>Adenosyl cobinamide</t>
  </si>
  <si>
    <t>Adenosyl cobinamide phosphate</t>
  </si>
  <si>
    <t>Adenosine-GDP-cobinamide</t>
  </si>
  <si>
    <t>trans-3-Chloroacrylic acid</t>
  </si>
  <si>
    <t>cis-3-Chloroacrylic acid</t>
  </si>
  <si>
    <t>Arsenite</t>
  </si>
  <si>
    <t>3-Hydroxypimeloyl-CoA</t>
  </si>
  <si>
    <t>3-Oxopimeloyl-CoA</t>
  </si>
  <si>
    <t>Chloroacetaldehyde</t>
  </si>
  <si>
    <t>Chloroacetic acid</t>
  </si>
  <si>
    <t>Phenylacetic acid</t>
  </si>
  <si>
    <t>Protoanemonin</t>
  </si>
  <si>
    <t>[eIF5A-precursor]-lysine</t>
  </si>
  <si>
    <t>[eIF5A-precursor]-deoxyhypusine</t>
  </si>
  <si>
    <t>Glutaredoxin</t>
  </si>
  <si>
    <t>Glutaredoxin disulfide</t>
  </si>
  <si>
    <t>Pyrimidine 5'-deoxynucleotide</t>
  </si>
  <si>
    <t>Arsenate ion</t>
  </si>
  <si>
    <t>4-Amino-4-deoxychorismate</t>
  </si>
  <si>
    <t>4-(Cytidine 5'-diphospho)-2-C-methyl-D-erythritol</t>
  </si>
  <si>
    <t>2-Phospho-4-(cytidine 5'-diphospho)-2-C-methyl-D-erythritol</t>
  </si>
  <si>
    <t>2-C-Methyl-D-erythritol 4-phosphate</t>
  </si>
  <si>
    <t>2-C-Methyl-D-erythritol 2,4-cyclodiphosphate</t>
  </si>
  <si>
    <t>( 2R )-O-Phospho-3-sulfolactate</t>
  </si>
  <si>
    <t>( 2R )-3-Sulfolactate</t>
  </si>
  <si>
    <t>Cobalt-sirohydrochlorin</t>
  </si>
  <si>
    <t>N-Ethylglycine</t>
  </si>
  <si>
    <t>1-Hydroxy-2-methyl-2-butenyl 4-diphosphate</t>
  </si>
  <si>
    <t>Perillic acid</t>
  </si>
  <si>
    <t>trans-2-Methyl-5-isopropylhexa-2,5-dienoyl-CoA</t>
  </si>
  <si>
    <t>cis-2-Methyl-5-isopropylhexa-2,5-dienoyl-CoA</t>
  </si>
  <si>
    <t>3-Hydroxy-2,6-dimethyl-5-methylene-heptanoyl-CoA</t>
  </si>
  <si>
    <t>L-Threonine O-3-phosphate</t>
  </si>
  <si>
    <t>Aminofructose 6-phosphate</t>
  </si>
  <si>
    <t>Iminoerythrose 4-phosphate</t>
  </si>
  <si>
    <t>5'-Deoxy-5-fluorouridine</t>
  </si>
  <si>
    <t>alpha,beta-Dihydroxyethyl-TPP</t>
  </si>
  <si>
    <t>5-Carboxy-2-pentenoyl-CoA</t>
  </si>
  <si>
    <t>( 3S )-3-Hydroxyadipyl-CoA</t>
  </si>
  <si>
    <t>( R )-3-Hydroxy-3-methyl-2-oxopentanoate</t>
  </si>
  <si>
    <t>( S )-5-Oxo-2,5-dihydrofuran-2-acetate</t>
  </si>
  <si>
    <t>Fe2+</t>
  </si>
  <si>
    <t>GDP-4-keto-6-L-deoxygalactose</t>
  </si>
  <si>
    <t>Hydroperoxide</t>
  </si>
  <si>
    <t>4a-Hydroxytetrahydrobiopterin</t>
  </si>
  <si>
    <t>Precorrin 1</t>
  </si>
  <si>
    <t>N-Acetyl-L-citrulline</t>
  </si>
  <si>
    <t>L-3,4-Dihydroxybutan-2-one 4-phosphate</t>
  </si>
  <si>
    <t>myo-Inositol phosphate</t>
  </si>
  <si>
    <t>N-D-Ribosylpurine</t>
  </si>
  <si>
    <t>Purine</t>
  </si>
  <si>
    <t>Quinone</t>
  </si>
  <si>
    <t>Hydroquinone</t>
  </si>
  <si>
    <t>(25R)-3alpha,7alpha,12alpha-Trihydroxy-5beta-cholestan-26-oyl-CoA</t>
  </si>
  <si>
    <t>Iminoglycine</t>
  </si>
  <si>
    <t>C00396:1</t>
  </si>
  <si>
    <t>Dehydrospermidine</t>
  </si>
  <si>
    <t>N-(4-Aminobutylidene)-[eIF5A-precursor]-lysine</t>
  </si>
  <si>
    <t>Enzyme N6-(lipoyl)lysine</t>
  </si>
  <si>
    <t>Enzyme N6-(dihydrolipoyl)lysine</t>
  </si>
  <si>
    <t>3-Methyl-1-hydroxybutyl-ThPP</t>
  </si>
  <si>
    <t>S-(3-Methylbutanoyl)-dihydrolipoamide-E</t>
  </si>
  <si>
    <t>2-Methyl-1-hydroxypropyl-ThPP</t>
  </si>
  <si>
    <t>Enzyme N6-(S-[2-methylpropanoyl]dihydrolipoyl)lysine</t>
  </si>
  <si>
    <t>2-Methyl-1-hydroxybutyl-ThPP</t>
  </si>
  <si>
    <t>S-(2-Methylbutanoyl)-dihydrolipoamide-E</t>
  </si>
  <si>
    <t>(S)-2-Methylbutanoyl-CoA</t>
  </si>
  <si>
    <t>3-Oxostearoyl-[acp]</t>
  </si>
  <si>
    <t>(3R)-3-Hydroxyoctadecanoyl-[acyl-carrier protein]</t>
  </si>
  <si>
    <t>(2E)-Octadecenoyl-[acp]</t>
  </si>
  <si>
    <t>Protein N6-(lipoyl)lysine</t>
  </si>
  <si>
    <t>Enzyme N6-(S-succinyldihydrolipoyl)lysine</t>
  </si>
  <si>
    <t>trans-2-Enoyl-OPC8-CoA</t>
  </si>
  <si>
    <t>3-Hydroxy-OPC8-CoA</t>
  </si>
  <si>
    <t>3-Oxo-OPC8-CoA</t>
  </si>
  <si>
    <t>trans-2-Enoyl-OPC6-CoA</t>
  </si>
  <si>
    <t>3-Hydroxy-OPC6-CoA</t>
  </si>
  <si>
    <t>3-Oxo-OPC6-CoA</t>
  </si>
  <si>
    <t>trans-2-Enoyl-OPC4-CoA</t>
  </si>
  <si>
    <t>3-Hydroxy-OPC4-CoA</t>
  </si>
  <si>
    <t>3-Oxo-OPC4-CoA</t>
  </si>
  <si>
    <t>7-Methyl-3-oxo-6-octenoyl-CoA</t>
  </si>
  <si>
    <t>(2E)-5-Methylhexa-2,4-dienoyl-CoA</t>
  </si>
  <si>
    <t>3-Hydroxy-5-methylhex-4-enoyl-CoA</t>
  </si>
  <si>
    <t>5-Methyl-3-oxo-4-hexenoyl-CoA</t>
  </si>
  <si>
    <t>3-Fluoro-cis,cis-muconate</t>
  </si>
  <si>
    <t>4-Fluoromuconolactone</t>
  </si>
  <si>
    <t>Farnesoic acid</t>
  </si>
  <si>
    <t>D-threo-Aldono-1,5-lactone</t>
  </si>
  <si>
    <t>5'-Deoxy-5-fluorocytidine</t>
  </si>
  <si>
    <t>7-Aminomethyl-7-carbaguanine</t>
  </si>
  <si>
    <t>Protein N6-(dihydrolipoyl)lysine</t>
  </si>
  <si>
    <t>2-Aminobut-2-enoate</t>
  </si>
  <si>
    <t>(25S)-3alpha,7alpha,12alpha-Trihydroxy-5beta-cholestan-26-oyl-CoA</t>
  </si>
  <si>
    <t>(25R)-3alpha,7alpha-Dihydroxy-5beta-cholestanoyl-CoA</t>
  </si>
  <si>
    <t>(25S)-3alpha,7alpha-Dihydroxy-5beta-cholestanoyl-CoA</t>
  </si>
  <si>
    <t>Thymine dimer</t>
  </si>
  <si>
    <t>Two thymine residues (in DNA)</t>
  </si>
  <si>
    <t>L-Fucono-1,5-lactone</t>
  </si>
  <si>
    <t>Ethylnitronate</t>
  </si>
  <si>
    <t>Malonyl-[acp] methyl ester</t>
  </si>
  <si>
    <t>Cyanophycin</t>
  </si>
  <si>
    <t>[L-Asp(4-L-Arg)]n+1</t>
  </si>
  <si>
    <t>L-Asp(4-L-Arg)</t>
  </si>
  <si>
    <t>2-[(2R,5Z)-2-Carboxy-4-methylthiazol-5(2H)-ylidene]ethyl phosphate</t>
  </si>
  <si>
    <t>2-(2-Carboxy-4-methylthiazol-5-yl)ethyl phosphate</t>
  </si>
  <si>
    <t>4-Amino-5-aminomethyl-2-methylpyrimidine</t>
  </si>
  <si>
    <t>3-Ketoglutaryl-[acp] methyl ester</t>
  </si>
  <si>
    <t>3-Hydroxyglutaryl-[acp] methyl ester</t>
  </si>
  <si>
    <t>Enoylglutaryl-[acp] methyl ester</t>
  </si>
  <si>
    <t>Glutaryl-[acp] methyl ester</t>
  </si>
  <si>
    <t>3-Ketopimeloyl-[acp] methyl ester</t>
  </si>
  <si>
    <t>3-Hydroxypimeloyl-[acp] methyl ester</t>
  </si>
  <si>
    <t>Enoylpimeloyl-[acp] methyl ester</t>
  </si>
  <si>
    <t>tRNA 7-aminomethyl-7-carbaguanine</t>
  </si>
  <si>
    <t>Purine deoxyribonucleoside</t>
  </si>
  <si>
    <t>Short-chain acyl-CoA</t>
  </si>
  <si>
    <t>Short-chain trans-2,3-dehydroacyl-CoA</t>
  </si>
  <si>
    <t>(25S)-3-Oxocholest-4-en-26-oyl-CoA</t>
  </si>
  <si>
    <t>2-Iminopropanoate</t>
  </si>
  <si>
    <t>2-Iminobutanoate</t>
  </si>
  <si>
    <t>2-(alpha-Hydroxypropyl)thiamine diphosphate</t>
  </si>
  <si>
    <t>Enzyme N6-(S-propyldihydrolipoyl)lysine</t>
  </si>
  <si>
    <t>Adenosylcobalamin 5'-phosphate</t>
  </si>
  <si>
    <t>[Protein]-S-sulfanyl-L-cysteine</t>
  </si>
  <si>
    <t>6-(1'-Hydroxy-2'-oxopropyl)-tetrahydropterin</t>
  </si>
  <si>
    <t>3,5-Dehydroshikimate</t>
  </si>
  <si>
    <t>(25R)-3-Oxocholest-4-en-26-oyl-CoA</t>
  </si>
  <si>
    <t>C00079:1000</t>
  </si>
  <si>
    <t>C00082:1000</t>
  </si>
  <si>
    <t>C00123:1000</t>
  </si>
  <si>
    <t>C00135:1000</t>
  </si>
  <si>
    <t>C00152:1000</t>
  </si>
  <si>
    <t>C00155:1000</t>
  </si>
  <si>
    <t>C00183:1000</t>
  </si>
  <si>
    <t>C00188:1000</t>
  </si>
  <si>
    <t>C00407:1000</t>
  </si>
  <si>
    <t>C00039 | C00677</t>
  </si>
  <si>
    <t>C00039 | C00131</t>
  </si>
  <si>
    <t>C00039 | C00286</t>
  </si>
  <si>
    <t>C00039 | C00458</t>
  </si>
  <si>
    <t>C00039 | C00459</t>
  </si>
  <si>
    <t>C00001 | C00074</t>
  </si>
  <si>
    <t>C00001 | C04309</t>
  </si>
  <si>
    <t>C00022 | C00044</t>
  </si>
  <si>
    <t>C00022 | C00063</t>
  </si>
  <si>
    <t>C00074 | C00112</t>
  </si>
  <si>
    <t>C00022 | C00075</t>
  </si>
  <si>
    <t>C00022 | C00081</t>
  </si>
  <si>
    <t>C00074 | C00104</t>
  </si>
  <si>
    <t>C00022 | C00131</t>
  </si>
  <si>
    <t>C00074 | C00206</t>
  </si>
  <si>
    <t>C00022 | C00286</t>
  </si>
  <si>
    <t>C00074 | C00361</t>
  </si>
  <si>
    <t>C00022 | C00201</t>
  </si>
  <si>
    <t>C00074 | C00454</t>
  </si>
  <si>
    <t>C00011 | C11437</t>
  </si>
  <si>
    <t>C00283 | C00979</t>
  </si>
  <si>
    <t>C00033 | C00097</t>
  </si>
  <si>
    <t>C00033 | C05688</t>
  </si>
  <si>
    <t>C00080 | C00320 | C00342 | C00979</t>
  </si>
  <si>
    <t>C00033 | C00094 | C00097 | C00343</t>
  </si>
  <si>
    <t>C00283 | C01005</t>
  </si>
  <si>
    <t>C00009 | C00097</t>
  </si>
  <si>
    <t>C00001 | C02520</t>
  </si>
  <si>
    <t>C00009 | C00911</t>
  </si>
  <si>
    <t>C00001 | C00020</t>
  </si>
  <si>
    <t>C00009 | C00212</t>
  </si>
  <si>
    <t>C00001 | C00055</t>
  </si>
  <si>
    <t>C00009 | C00475</t>
  </si>
  <si>
    <t>C00001 | C00105</t>
  </si>
  <si>
    <t>C00009 | C00299</t>
  </si>
  <si>
    <t>C00001 | C00130</t>
  </si>
  <si>
    <t>C00009 | C00294</t>
  </si>
  <si>
    <t>C00001 | C00144</t>
  </si>
  <si>
    <t>C00009 | C00387</t>
  </si>
  <si>
    <t>C00001 | C00455</t>
  </si>
  <si>
    <t>C00009 | C03150</t>
  </si>
  <si>
    <t>C00001 | C00655</t>
  </si>
  <si>
    <t>C00009 | C01762</t>
  </si>
  <si>
    <t>C00001 | C01185</t>
  </si>
  <si>
    <t>C00009 | C05841</t>
  </si>
  <si>
    <t>C00001 | C00364</t>
  </si>
  <si>
    <t>C00009 | C00214</t>
  </si>
  <si>
    <t>C00001 | C00239</t>
  </si>
  <si>
    <t>C00009 | C00881</t>
  </si>
  <si>
    <t>C00001 | C00362</t>
  </si>
  <si>
    <t>C00009 | C00330</t>
  </si>
  <si>
    <t>C00001 | C00360</t>
  </si>
  <si>
    <t>C00009 | C00559</t>
  </si>
  <si>
    <t>C00001 | C00365</t>
  </si>
  <si>
    <t>C00009 | C00526</t>
  </si>
  <si>
    <t>C00001 | C06196</t>
  </si>
  <si>
    <t>C00009 | C05512</t>
  </si>
  <si>
    <t>C00055 | C11453</t>
  </si>
  <si>
    <t>C00001 | C00003 | C00130</t>
  </si>
  <si>
    <t>C00004 | C00080 | C00655</t>
  </si>
  <si>
    <t>C00001 | C00003 | C04646</t>
  </si>
  <si>
    <t>C00004 | C00080 | C16618</t>
  </si>
  <si>
    <t>C00008 | C00009 | C00025 | C03402</t>
  </si>
  <si>
    <t>C00001 | C00002 | C00064 | C06113</t>
  </si>
  <si>
    <t>C00001 | C00009 | C04332</t>
  </si>
  <si>
    <t>C00001 | C01100</t>
  </si>
  <si>
    <t>C00009 | C00860</t>
  </si>
  <si>
    <t>C00001 | C00153</t>
  </si>
  <si>
    <t>C00014 | C00253</t>
  </si>
  <si>
    <t>C00001 | C00241</t>
  </si>
  <si>
    <t>C00014 | C00060</t>
  </si>
  <si>
    <t>C00006 | C00440</t>
  </si>
  <si>
    <t>C00005 | C00080 | C00143</t>
  </si>
  <si>
    <t>C00003 | C00440</t>
  </si>
  <si>
    <t>C00004 | C00080 | C00143</t>
  </si>
  <si>
    <t>C04253 | C20675</t>
  </si>
  <si>
    <t>C04570 | C20676</t>
  </si>
  <si>
    <t>C00016 | C00136</t>
  </si>
  <si>
    <t>C00877 | C01352</t>
  </si>
  <si>
    <t>C00016 | C05270</t>
  </si>
  <si>
    <t>C01352 | C05271</t>
  </si>
  <si>
    <t>C00028 | C00630</t>
  </si>
  <si>
    <t>C00030 | C03460</t>
  </si>
  <si>
    <t>C00028 | C15980</t>
  </si>
  <si>
    <t>C00030 | C03345</t>
  </si>
  <si>
    <t>C00100 | C04253</t>
  </si>
  <si>
    <t>C00894 | C04570</t>
  </si>
  <si>
    <t>C00129 | C00448</t>
  </si>
  <si>
    <t>C00013 | C04574</t>
  </si>
  <si>
    <t>C00001 | C00024 | C00026</t>
  </si>
  <si>
    <t>C00010 | C01251</t>
  </si>
  <si>
    <t>C00001 | C04002</t>
  </si>
  <si>
    <t>G10495</t>
  </si>
  <si>
    <t>G10545</t>
  </si>
  <si>
    <t>C00002 | C00014 | C00857</t>
  </si>
  <si>
    <t>C00003 | C00013 | C00020</t>
  </si>
  <si>
    <t>C00001 | G10481</t>
  </si>
  <si>
    <t>G00289 | G10481</t>
  </si>
  <si>
    <t>C00001 | C00760</t>
  </si>
  <si>
    <t>C00009 | C00546</t>
  </si>
  <si>
    <t>C00003 | C00005 | C00080</t>
  </si>
  <si>
    <t>C00004 | C00006 | C00080</t>
  </si>
  <si>
    <t>C00007 | C00186</t>
  </si>
  <si>
    <t>C00001 | C00011 | C00033</t>
  </si>
  <si>
    <t>C00003 | C16832</t>
  </si>
  <si>
    <t>C00004 | C00080 | C16237</t>
  </si>
  <si>
    <t>C00003 | C02972</t>
  </si>
  <si>
    <t>C00004 | C00080 | C02051</t>
  </si>
  <si>
    <t>C00003 | C15973</t>
  </si>
  <si>
    <t>C00004 | C00080 | C15972</t>
  </si>
  <si>
    <t>C00003 | C00579</t>
  </si>
  <si>
    <t>C00004 | C00080 | C00248</t>
  </si>
  <si>
    <t>C15973 | C15980</t>
  </si>
  <si>
    <t>C00011 | C15977</t>
  </si>
  <si>
    <t>C00011 | C15975</t>
  </si>
  <si>
    <t>C00011 | C15979</t>
  </si>
  <si>
    <t>C00068 | C00141</t>
  </si>
  <si>
    <t>C00011 | C15976</t>
  </si>
  <si>
    <t>C15972 | C15976</t>
  </si>
  <si>
    <t>C00068 | C15977</t>
  </si>
  <si>
    <t>C00068 | C00233</t>
  </si>
  <si>
    <t>C00011 | C15974</t>
  </si>
  <si>
    <t>C15972 | C15974</t>
  </si>
  <si>
    <t>C00068 | C15975</t>
  </si>
  <si>
    <t>C00068 | C00671</t>
  </si>
  <si>
    <t>C00011 | C15978</t>
  </si>
  <si>
    <t>C15972 | C15978</t>
  </si>
  <si>
    <t>C00068 | C15979</t>
  </si>
  <si>
    <t>C00068 | C00109</t>
  </si>
  <si>
    <t>C00011 | C21017</t>
  </si>
  <si>
    <t>C15972 | C21017</t>
  </si>
  <si>
    <t>C00068 | C21018</t>
  </si>
  <si>
    <t>C00013 | C00020 | C04682</t>
  </si>
  <si>
    <t>C00103 | C00459</t>
  </si>
  <si>
    <t>C00001 | C00658</t>
  </si>
  <si>
    <t>C00001 | C00877</t>
  </si>
  <si>
    <t>C00001 | C00894</t>
  </si>
  <si>
    <t>C00001 | C03221</t>
  </si>
  <si>
    <t>C00001 | C03345</t>
  </si>
  <si>
    <t>C00001 | C03460</t>
  </si>
  <si>
    <t>C00001 | C05272</t>
  </si>
  <si>
    <t>C00001 | C05273</t>
  </si>
  <si>
    <t>C00001 | C05275</t>
  </si>
  <si>
    <t>C00001 | C05276</t>
  </si>
  <si>
    <t>C00001 | C05271</t>
  </si>
  <si>
    <t>C00001 | C16328</t>
  </si>
  <si>
    <t>C00001 | C16332</t>
  </si>
  <si>
    <t>C00001 | C16336</t>
  </si>
  <si>
    <t>C00001 | C05067</t>
  </si>
  <si>
    <t>C00001 | C01122</t>
  </si>
  <si>
    <t>C00001 | C03069</t>
  </si>
  <si>
    <t>C00001 | C11946</t>
  </si>
  <si>
    <t>C00001 | C11945</t>
  </si>
  <si>
    <t>C00001 | C14144</t>
  </si>
  <si>
    <t>C00001 | C16468</t>
  </si>
  <si>
    <t>C00011 | C16254</t>
  </si>
  <si>
    <t>C00011 | C05381</t>
  </si>
  <si>
    <t>C00068 | C16254</t>
  </si>
  <si>
    <t>C00002 | C00049 | C00327</t>
  </si>
  <si>
    <t>C00013 | C00020 | C03406</t>
  </si>
  <si>
    <t>C00062 | C00122</t>
  </si>
  <si>
    <t>C00001 | C00064</t>
  </si>
  <si>
    <t>C00014 | C00025</t>
  </si>
  <si>
    <t>C00001 | C00002 | C00064 | C00288</t>
  </si>
  <si>
    <t>C00009 | C01563</t>
  </si>
  <si>
    <t>C00002 | C00014 | C00288</t>
  </si>
  <si>
    <t>C00002 | C00058 | C00101</t>
  </si>
  <si>
    <t>C00014 | C00109</t>
  </si>
  <si>
    <t>C00001 | C20905</t>
  </si>
  <si>
    <t>C00014 | C00022</t>
  </si>
  <si>
    <t>C00014 | C00161</t>
  </si>
  <si>
    <t>C00003 | C00013</t>
  </si>
  <si>
    <t>C00002 | C00099 | C00522</t>
  </si>
  <si>
    <t>C00013 | C00020 | C00864</t>
  </si>
  <si>
    <t>C00009 | C03169</t>
  </si>
  <si>
    <t>C00080 | C00396 | C00620</t>
  </si>
  <si>
    <t>C00022 | C00065</t>
  </si>
  <si>
    <t>C00041 | C00168</t>
  </si>
  <si>
    <t>C00001 | C04574</t>
  </si>
  <si>
    <t>C00009 | C17556</t>
  </si>
  <si>
    <t>C00063 | C11434</t>
  </si>
  <si>
    <t>C00013 | C11435</t>
  </si>
  <si>
    <t>C00002 | C11435</t>
  </si>
  <si>
    <t>C00008 | C11436</t>
  </si>
  <si>
    <t>C00001 | C20267</t>
  </si>
  <si>
    <t>C00014 | C01279</t>
  </si>
  <si>
    <t>C00001 | C00378</t>
  </si>
  <si>
    <t>C00080 | C01279 | C04294</t>
  </si>
  <si>
    <t>C00001 | C19713</t>
  </si>
  <si>
    <t>C00009 | C00046</t>
  </si>
  <si>
    <t>C00008 | C00046</t>
  </si>
  <si>
    <t>C00015 | C00046</t>
  </si>
  <si>
    <t>C00035 | C00046</t>
  </si>
  <si>
    <t>C00011 | C00105</t>
  </si>
  <si>
    <t>C00013 | C01103</t>
  </si>
  <si>
    <t>C00119 | C00295</t>
  </si>
  <si>
    <t>C00119 | C07649</t>
  </si>
  <si>
    <t>C00013 | C16634</t>
  </si>
  <si>
    <t>C00003 | C00093</t>
  </si>
  <si>
    <t>C00004 | C00080 | C00111</t>
  </si>
  <si>
    <t>C00006 | C00093</t>
  </si>
  <si>
    <t>C00005 | C00080 | C00111</t>
  </si>
  <si>
    <t>C00001 | C03586</t>
  </si>
  <si>
    <t>C00097 | C15811</t>
  </si>
  <si>
    <t>C00041 | C15812</t>
  </si>
  <si>
    <t>C02743 | C15812</t>
  </si>
  <si>
    <t>C00013 | C00020 | C00886</t>
  </si>
  <si>
    <t>C00011 | C01327 | C07090</t>
  </si>
  <si>
    <t>C00001 | C00693</t>
  </si>
  <si>
    <t>C00001 | C04246</t>
  </si>
  <si>
    <t>C00001 | C05754</t>
  </si>
  <si>
    <t>C00001 | C05751</t>
  </si>
  <si>
    <t>C00001 | C05763</t>
  </si>
  <si>
    <t>C00001 | C05760</t>
  </si>
  <si>
    <t>C00001 | C05748</t>
  </si>
  <si>
    <t>C00001 | C05758</t>
  </si>
  <si>
    <t>C00001 | C20374</t>
  </si>
  <si>
    <t>C00001 | C20378</t>
  </si>
  <si>
    <t>C00046 | C00201</t>
  </si>
  <si>
    <t>C00046 | C00063</t>
  </si>
  <si>
    <t>C00046 | C00075</t>
  </si>
  <si>
    <t>C00013 | C20864</t>
  </si>
  <si>
    <t>C00001 | C00040</t>
  </si>
  <si>
    <t>C00001 | C00268</t>
  </si>
  <si>
    <t>C00125 | C00256</t>
  </si>
  <si>
    <t>C00022 | C00080 | C00126</t>
  </si>
  <si>
    <t>C00001 | C00395</t>
  </si>
  <si>
    <t>C00001 | C05551</t>
  </si>
  <si>
    <t>G10495 | G11109</t>
  </si>
  <si>
    <t>G10495 | G11113</t>
  </si>
  <si>
    <t>C00080 | C00138 | C11811</t>
  </si>
  <si>
    <t>C00001 | C00129 | C00139</t>
  </si>
  <si>
    <t>C00001 | C00139 | C00235</t>
  </si>
  <si>
    <t>C00013 | C04146</t>
  </si>
  <si>
    <t>C00020 | C03028</t>
  </si>
  <si>
    <t>C00001 | C00003 | C00025</t>
  </si>
  <si>
    <t>C00004 | C00014 | C00026 | C00080</t>
  </si>
  <si>
    <t>C00001 | C00003 | C05167</t>
  </si>
  <si>
    <t>C00004 | C00014 | C00080 | C00161</t>
  </si>
  <si>
    <t>C00001 | C00006 | C05167</t>
  </si>
  <si>
    <t>C00005 | C00014 | C00080 | C00161</t>
  </si>
  <si>
    <t>C00003 | C00197</t>
  </si>
  <si>
    <t>C00004 | C00080 | C03232</t>
  </si>
  <si>
    <t>C00003 | C02630</t>
  </si>
  <si>
    <t>C00004 | C00026 | C00080</t>
  </si>
  <si>
    <t>C00315 | C07281</t>
  </si>
  <si>
    <t>C00986 | C07282</t>
  </si>
  <si>
    <t>C00003 | C00315</t>
  </si>
  <si>
    <t>C00004 | C00080 | C15853</t>
  </si>
  <si>
    <t>C00004 | C00080 | C15854</t>
  </si>
  <si>
    <t>C00003 | C07282</t>
  </si>
  <si>
    <t>C07281 | C15853</t>
  </si>
  <si>
    <t>C00986 | C15854</t>
  </si>
  <si>
    <t>C07281 | C15854</t>
  </si>
  <si>
    <t>C02743 | C04250</t>
  </si>
  <si>
    <t>C00001 | C00208</t>
  </si>
  <si>
    <t>C00001 | C00089</t>
  </si>
  <si>
    <t>C00031 | C00095</t>
  </si>
  <si>
    <t>C00267 | C02336</t>
  </si>
  <si>
    <t>C00001 | G00275</t>
  </si>
  <si>
    <t>C00001 | G00370</t>
  </si>
  <si>
    <t>C00002 | C22441</t>
  </si>
  <si>
    <t>C00008 | C22442</t>
  </si>
  <si>
    <t>C00011 | C01134</t>
  </si>
  <si>
    <t>C00001 | C00037 | C00143</t>
  </si>
  <si>
    <t>C00065 | C00101</t>
  </si>
  <si>
    <t>C00001 | C00037 | C04377</t>
  </si>
  <si>
    <t>C00013 | C00025 | C03090</t>
  </si>
  <si>
    <t>C00001 | C00064 | C00119</t>
  </si>
  <si>
    <t>C00001 | C00002 | C00064 | C04376</t>
  </si>
  <si>
    <t>C00008 | C00009 | C00025 | C04640</t>
  </si>
  <si>
    <t>C00002 | C00049 | C04751</t>
  </si>
  <si>
    <t>C00020 | C00122</t>
  </si>
  <si>
    <t>C00122 | C22441</t>
  </si>
  <si>
    <t>C00011 | C03586</t>
  </si>
  <si>
    <t>C00001 | C01051</t>
  </si>
  <si>
    <t>C00005 | C00080 | C02987</t>
  </si>
  <si>
    <t>C00006 | C01641 | C03741</t>
  </si>
  <si>
    <t>C00001 | C00002 | C00022</t>
  </si>
  <si>
    <t>C00009 | C00020 | C00074</t>
  </si>
  <si>
    <t>C00001 | C15585</t>
  </si>
  <si>
    <t>C00009 | C00137</t>
  </si>
  <si>
    <t>C00001 | C01177</t>
  </si>
  <si>
    <t>C00001 | C03546</t>
  </si>
  <si>
    <t>C00001 | C04006</t>
  </si>
  <si>
    <t>C00001 | C00343 | C04232</t>
  </si>
  <si>
    <t>C00342 | C03723</t>
  </si>
  <si>
    <t>C00001 | C00206 | C00343</t>
  </si>
  <si>
    <t>C00008 | C00342</t>
  </si>
  <si>
    <t>C00001 | C00343 | C01346</t>
  </si>
  <si>
    <t>C00015 | C00342</t>
  </si>
  <si>
    <t>C00001 | C00343 | C00361</t>
  </si>
  <si>
    <t>C00001 | C00343 | C00705</t>
  </si>
  <si>
    <t>C00112 | C00342</t>
  </si>
  <si>
    <t>C00001 | C04232 | C16664</t>
  </si>
  <si>
    <t>C00001 | C03170 | C04232</t>
  </si>
  <si>
    <t>C02090 | C03723</t>
  </si>
  <si>
    <t>C00001 | C00343 | C21750</t>
  </si>
  <si>
    <t>C00342 | C21748</t>
  </si>
  <si>
    <t>C00013 | C00020</t>
  </si>
  <si>
    <t>C00119 | C00147</t>
  </si>
  <si>
    <t>C00013 | C04677</t>
  </si>
  <si>
    <t>C00119 | C04051</t>
  </si>
  <si>
    <t>C00002 | C00080 | C03479</t>
  </si>
  <si>
    <t>C00001 | C00931</t>
  </si>
  <si>
    <t>C00001 | C00562</t>
  </si>
  <si>
    <t>C00009 | C00017</t>
  </si>
  <si>
    <t>C00002 | C00014 | C00075</t>
  </si>
  <si>
    <t>C00001 | C00002 | C00064 | C00075</t>
  </si>
  <si>
    <t>C00008 | C00009 | C00025 | C00063</t>
  </si>
  <si>
    <t>C00013 | C00020 | C02839</t>
  </si>
  <si>
    <t>C00009 | C00944</t>
  </si>
  <si>
    <t>C00009 | C00251</t>
  </si>
  <si>
    <t>C00003 | C05662</t>
  </si>
  <si>
    <t>C00004 | C00011 | C00080 | C00322</t>
  </si>
  <si>
    <t>C00011 | C00322</t>
  </si>
  <si>
    <t>C00004 | C00080 | C05533</t>
  </si>
  <si>
    <t>C00001 | C02999</t>
  </si>
  <si>
    <t>C00041 | C02713</t>
  </si>
  <si>
    <t>C00001 | C02637</t>
  </si>
  <si>
    <t>C00002 | C00025 | C00921</t>
  </si>
  <si>
    <t>C00002 | C00025 | C00234</t>
  </si>
  <si>
    <t>C00002 | C00014 | C00025</t>
  </si>
  <si>
    <t>C00001 | C00234</t>
  </si>
  <si>
    <t>C00001 | C00043</t>
  </si>
  <si>
    <t>C00015 | C00645</t>
  </si>
  <si>
    <t>C00001 | C01170</t>
  </si>
  <si>
    <t>C00013 | C00105</t>
  </si>
  <si>
    <t>C00010 | C00149</t>
  </si>
  <si>
    <t>C00001 | C00024 | C00048</t>
  </si>
  <si>
    <t>C00001 | C11536</t>
  </si>
  <si>
    <t>C00009 | C11537</t>
  </si>
  <si>
    <t>C00009 | C15586</t>
  </si>
  <si>
    <t>C00620 | C15587</t>
  </si>
  <si>
    <t>C00009 | C20463</t>
  </si>
  <si>
    <t>C00672 | C15587</t>
  </si>
  <si>
    <t>C00080 | C00253 | C00620</t>
  </si>
  <si>
    <t>C00002 | C00025 | C01641</t>
  </si>
  <si>
    <t>C00013 | C00020 | C02987</t>
  </si>
  <si>
    <t>C00002 | C00010 | C00638</t>
  </si>
  <si>
    <t>C00013 | C00020 | C02843</t>
  </si>
  <si>
    <t>C00002 | C00010 | C00249</t>
  </si>
  <si>
    <t>C00013 | C00020 | C00154</t>
  </si>
  <si>
    <t>C00006 | C01271</t>
  </si>
  <si>
    <t>C00005 | C00080 | C00685</t>
  </si>
  <si>
    <t>C00006 | C04618</t>
  </si>
  <si>
    <t>C00005 | C00080 | C05744</t>
  </si>
  <si>
    <t>C00006 | C04619</t>
  </si>
  <si>
    <t>C00005 | C05753</t>
  </si>
  <si>
    <t>C00006 | C04620</t>
  </si>
  <si>
    <t>C00005 | C00080 | C05750</t>
  </si>
  <si>
    <t>C00006 | C04633</t>
  </si>
  <si>
    <t>C00005 | C00080 | C05762</t>
  </si>
  <si>
    <t>C00006 | C04688</t>
  </si>
  <si>
    <t>C00005 | C00080 | C05759</t>
  </si>
  <si>
    <t>C00006 | C05747</t>
  </si>
  <si>
    <t>C00005 | C00080 | C05746</t>
  </si>
  <si>
    <t>C00006 | C05757</t>
  </si>
  <si>
    <t>C00005 | C00080 | C05756</t>
  </si>
  <si>
    <t>C00005 | C00080 | C16219</t>
  </si>
  <si>
    <t>C00006 | C16220</t>
  </si>
  <si>
    <t>C00005 | C00080 | C20372</t>
  </si>
  <si>
    <t>C00006 | C20373</t>
  </si>
  <si>
    <t>C00005 | C00080 | C20376</t>
  </si>
  <si>
    <t>C00006 | C20377</t>
  </si>
  <si>
    <t>C00010 | C00011 | C05744</t>
  </si>
  <si>
    <t>C00001 | C00062</t>
  </si>
  <si>
    <t>C00001 | C00475</t>
  </si>
  <si>
    <t>C00014 | C00299</t>
  </si>
  <si>
    <t>C00001 | C00881</t>
  </si>
  <si>
    <t>C00014 | C00526</t>
  </si>
  <si>
    <t>C00001 | C16635</t>
  </si>
  <si>
    <t>C00014 | C12739</t>
  </si>
  <si>
    <t>C00001 | C02218</t>
  </si>
  <si>
    <t>C00001 | C20904</t>
  </si>
  <si>
    <t>C00001 | C01304</t>
  </si>
  <si>
    <t>C00014 | C01268</t>
  </si>
  <si>
    <t>C00058 | C15556</t>
  </si>
  <si>
    <t>C00013 | C00020 | C01931</t>
  </si>
  <si>
    <t>C00006 | C00493</t>
  </si>
  <si>
    <t>C00005 | C00080 | C02637</t>
  </si>
  <si>
    <t>C00006 | C02637</t>
  </si>
  <si>
    <t>C00005 | C00080 | C22438</t>
  </si>
  <si>
    <t>C00026 | C00437</t>
  </si>
  <si>
    <t>C00025 | C01250</t>
  </si>
  <si>
    <t>C00002 | C00063 | C02211</t>
  </si>
  <si>
    <t>C00013 | C19085</t>
  </si>
  <si>
    <t>C00063 | C02211</t>
  </si>
  <si>
    <t>C00013 | C19078</t>
  </si>
  <si>
    <t>C00063 | C19078</t>
  </si>
  <si>
    <t>C00013 | C19080</t>
  </si>
  <si>
    <t>C00002 | C19080</t>
  </si>
  <si>
    <t>C00007 | C00080 | C00126</t>
  </si>
  <si>
    <t>C00001 | C00080 | C00125</t>
  </si>
  <si>
    <t>C00001 | C00997</t>
  </si>
  <si>
    <t>C00001 | C00179</t>
  </si>
  <si>
    <t>C00086 | C00134</t>
  </si>
  <si>
    <t>C00002 | C00288 | C06250</t>
  </si>
  <si>
    <t>C00006 | C00143</t>
  </si>
  <si>
    <t>C00005 | C00445</t>
  </si>
  <si>
    <t>C00003 | C00186</t>
  </si>
  <si>
    <t>C00004 | C00022 | C00080</t>
  </si>
  <si>
    <t>C00003 | C05984</t>
  </si>
  <si>
    <t>C00004 | C00080 | C00109</t>
  </si>
  <si>
    <t>C00003 | C05823</t>
  </si>
  <si>
    <t>C00004 | C00080 | C00957</t>
  </si>
  <si>
    <t>C00001 | C00003 | C00029</t>
  </si>
  <si>
    <t>C00004 | C00080 | C00167</t>
  </si>
  <si>
    <t>G11112 | G13164</t>
  </si>
  <si>
    <t>G00177 | G10619</t>
  </si>
  <si>
    <t>C00001 | C01222</t>
  </si>
  <si>
    <t>C00006 | C00325</t>
  </si>
  <si>
    <t>C00005 | C00080 | C01222</t>
  </si>
  <si>
    <t>C00005 | C00080 | C14830</t>
  </si>
  <si>
    <t>C00001 | C00002 | C00305 | C02191</t>
  </si>
  <si>
    <t>C00008 | C00009 | C00080 | C03516</t>
  </si>
  <si>
    <t>C00024 | C00100</t>
  </si>
  <si>
    <t>C00003 | C00640</t>
  </si>
  <si>
    <t>C00004 | C00080 | C00264</t>
  </si>
  <si>
    <t>C00003 | C01144</t>
  </si>
  <si>
    <t>C00004 | C00080 | C00332</t>
  </si>
  <si>
    <t>C00003 | C04405</t>
  </si>
  <si>
    <t>C00004 | C00080 | C03344</t>
  </si>
  <si>
    <t>C00003 | C05258</t>
  </si>
  <si>
    <t>C00004 | C00080 | C05259</t>
  </si>
  <si>
    <t>C00003 | C05260</t>
  </si>
  <si>
    <t>C00004 | C05261</t>
  </si>
  <si>
    <t>C00003 | C05262</t>
  </si>
  <si>
    <t>C00004 | C00080 | C05263</t>
  </si>
  <si>
    <t>C00003 | C05264</t>
  </si>
  <si>
    <t>C00004 | C00080 | C05265</t>
  </si>
  <si>
    <t>C00003 | C05266</t>
  </si>
  <si>
    <t>C00004 | C00080 | C05267</t>
  </si>
  <si>
    <t>C00003 | C05268</t>
  </si>
  <si>
    <t>C00004 | C00080 | C05269</t>
  </si>
  <si>
    <t>C00003 | C14145</t>
  </si>
  <si>
    <t>C00004 | C00080 | C02232</t>
  </si>
  <si>
    <t>C00003 | C16329</t>
  </si>
  <si>
    <t>C00004 | C00080 | C16330</t>
  </si>
  <si>
    <t>C00003 | C16333</t>
  </si>
  <si>
    <t>C00004 | C00080 | C16334</t>
  </si>
  <si>
    <t>C00003 | C16337</t>
  </si>
  <si>
    <t>C00004 | C00080 | C16338</t>
  </si>
  <si>
    <t>C00003 | C06714</t>
  </si>
  <si>
    <t>C00004 | C00080 | C06715</t>
  </si>
  <si>
    <t>C00003 | C16469</t>
  </si>
  <si>
    <t>C00004 | C00080 | C16471</t>
  </si>
  <si>
    <t>C00001 | C00003 | C00088</t>
  </si>
  <si>
    <t>C00004 | C00080 | C00244</t>
  </si>
  <si>
    <t>C00001 | C00006 | C00088</t>
  </si>
  <si>
    <t>C00005 | C00080 | C00244</t>
  </si>
  <si>
    <t>C00001 | C00088 | C15602</t>
  </si>
  <si>
    <t>C00001 | C00088 | C00139</t>
  </si>
  <si>
    <t>C00138 | C00244</t>
  </si>
  <si>
    <t>C00244 | C00924</t>
  </si>
  <si>
    <t>C00001 | C00088 | C00923</t>
  </si>
  <si>
    <t>C00001 | C00088 | C06260</t>
  </si>
  <si>
    <t>C00001 | C05357 | C06697</t>
  </si>
  <si>
    <t>C00080 | C05358 | C11215</t>
  </si>
  <si>
    <t>C00001 | C00125 | C06697</t>
  </si>
  <si>
    <t>C00080 | C00126 | C11215</t>
  </si>
  <si>
    <t>C00026 | C00334</t>
  </si>
  <si>
    <t>C00025 | C00232</t>
  </si>
  <si>
    <t>C00026 | C00099</t>
  </si>
  <si>
    <t>C00025 | C00222</t>
  </si>
  <si>
    <t>C00001 | C00301</t>
  </si>
  <si>
    <t>C00011 | C00047</t>
  </si>
  <si>
    <t>C00001 | C00357</t>
  </si>
  <si>
    <t>C00033 | C00352</t>
  </si>
  <si>
    <t>C00002 | C00009 | C00022</t>
  </si>
  <si>
    <t>C00013 | C00020 | C00074</t>
  </si>
  <si>
    <t>C00044 | C06509</t>
  </si>
  <si>
    <t>C00013 | C06510</t>
  </si>
  <si>
    <t>C00011 | C04122</t>
  </si>
  <si>
    <t>C00001 | C00354</t>
  </si>
  <si>
    <t>C00009 | C00085</t>
  </si>
  <si>
    <t>C00001 | C05378</t>
  </si>
  <si>
    <t>C00009 | C05345</t>
  </si>
  <si>
    <t>C00001 | C00447</t>
  </si>
  <si>
    <t>C00009 | C05382</t>
  </si>
  <si>
    <t>C00002 | C04122 | C06507</t>
  </si>
  <si>
    <t>C00008 | C00009 | C06509</t>
  </si>
  <si>
    <t>C00002 | C03194 | C06507</t>
  </si>
  <si>
    <t>C00001 | C04778</t>
  </si>
  <si>
    <t>C00009 | C05775</t>
  </si>
  <si>
    <t>C00001 | C21153</t>
  </si>
  <si>
    <t>C00009 | C00194</t>
  </si>
  <si>
    <t>C00080 | C00253 | C04778</t>
  </si>
  <si>
    <t>C00144 | C00194</t>
  </si>
  <si>
    <t>C05775 | C06510</t>
  </si>
  <si>
    <t>C04778 | C06510</t>
  </si>
  <si>
    <t>C00194 | C00536 | C03161</t>
  </si>
  <si>
    <t>C00002 | C03024 | C06504</t>
  </si>
  <si>
    <t>C00536 | C03161 | C06506</t>
  </si>
  <si>
    <t>C00194 | C00536</t>
  </si>
  <si>
    <t>C00002 | C06505</t>
  </si>
  <si>
    <t>C00536 | C06506</t>
  </si>
  <si>
    <t>C00003 | C02463</t>
  </si>
  <si>
    <t>C00004 | C00080 | C05778</t>
  </si>
  <si>
    <t>C00001 | C00139 | C00283</t>
  </si>
  <si>
    <t>C00080 | C00094 | C00138</t>
  </si>
  <si>
    <t>C00001 | C00139 | C01528</t>
  </si>
  <si>
    <t>C00080 | C00138 | C05684</t>
  </si>
  <si>
    <t>C04327 | C04752</t>
  </si>
  <si>
    <t>C00011 | C00013 | C01081</t>
  </si>
  <si>
    <t>C00001 | C00007 | C00037</t>
  </si>
  <si>
    <t>C00014 | C00027 | C00048</t>
  </si>
  <si>
    <t>C00007 | C00037</t>
  </si>
  <si>
    <t>C00027 | C15809</t>
  </si>
  <si>
    <t>C00001 | C15809</t>
  </si>
  <si>
    <t>C00014 | C00048</t>
  </si>
  <si>
    <t>C00001 | C00007 | C00133</t>
  </si>
  <si>
    <t>C00014 | C00022 | C00027</t>
  </si>
  <si>
    <t>C00001 | C00007 | C00213</t>
  </si>
  <si>
    <t>C00027 | C00048 | C00218</t>
  </si>
  <si>
    <t>C00001 | C00007 | C11735</t>
  </si>
  <si>
    <t>C00027 | C00048 | C00797</t>
  </si>
  <si>
    <t>C00019 | C03373</t>
  </si>
  <si>
    <t>C00058 | C00073 | C00237 | C04556 | C05198</t>
  </si>
  <si>
    <t>C00002 | C00010 | C02730</t>
  </si>
  <si>
    <t>C00013 | C00020 | C03160</t>
  </si>
  <si>
    <t>C00001 | C01045</t>
  </si>
  <si>
    <t>C00025 | C00058</t>
  </si>
  <si>
    <t>C00009 | C00024</t>
  </si>
  <si>
    <t>C00009 | C00100</t>
  </si>
  <si>
    <t>C00010 | C02876</t>
  </si>
  <si>
    <t>C00003 | C01089</t>
  </si>
  <si>
    <t>C00004 | C00080 | C00164</t>
  </si>
  <si>
    <t>C00013 | C00575</t>
  </si>
  <si>
    <t>C00013 | C00942</t>
  </si>
  <si>
    <t>C00001 | C01153</t>
  </si>
  <si>
    <t>C00009 | C00069</t>
  </si>
  <si>
    <t>C00001 | C01081</t>
  </si>
  <si>
    <t>C00009 | C00378</t>
  </si>
  <si>
    <t>C00001 | C03360</t>
  </si>
  <si>
    <t>C00009 | C00870</t>
  </si>
  <si>
    <t>C00001 | C00111</t>
  </si>
  <si>
    <t>C00009 | C00184</t>
  </si>
  <si>
    <t>C00001 | C04895</t>
  </si>
  <si>
    <t>C00009 | C04874</t>
  </si>
  <si>
    <t>C00001 | C00003 | C00071</t>
  </si>
  <si>
    <t>C00004 | C00060 | C00080</t>
  </si>
  <si>
    <t>C00004 | C00080 | C00162</t>
  </si>
  <si>
    <t>C00001 | C00003 | C00084</t>
  </si>
  <si>
    <t>C00004 | C00033 | C00080</t>
  </si>
  <si>
    <t>C00001 | C00003 | C05665</t>
  </si>
  <si>
    <t>C00004 | C00080 | C00099</t>
  </si>
  <si>
    <t>C00001 | C00003 | C00577</t>
  </si>
  <si>
    <t>C00004 | C00080 | C00258</t>
  </si>
  <si>
    <t>C00001 | C00003 | C00555</t>
  </si>
  <si>
    <t>C00004 | C00080 | C00334</t>
  </si>
  <si>
    <t>C00001 | C00003 | C00637</t>
  </si>
  <si>
    <t>C00004 | C00080 | C00954</t>
  </si>
  <si>
    <t>C00001 | C00003 | C05985</t>
  </si>
  <si>
    <t>C00004 | C00080 | C00804</t>
  </si>
  <si>
    <t>C00001 | C00003 | C01149</t>
  </si>
  <si>
    <t>C00004 | C00080 | C01181</t>
  </si>
  <si>
    <t>C00001 | C00003 | C06002</t>
  </si>
  <si>
    <t>C00004 | C00080 | C02170</t>
  </si>
  <si>
    <t>C00001 | C00003 | C05130</t>
  </si>
  <si>
    <t>C00004 | C00080 | C02835</t>
  </si>
  <si>
    <t>C00001 | C00003 | C05445</t>
  </si>
  <si>
    <t>C00004 | C00080 | C04554</t>
  </si>
  <si>
    <t>C00001 | C00003 | C05634</t>
  </si>
  <si>
    <t>C00004 | C00080 | C05635</t>
  </si>
  <si>
    <t>C00001 | C00003 | C05936</t>
  </si>
  <si>
    <t>C00004 | C00080 | C02946</t>
  </si>
  <si>
    <t>C00001 | C00003 | C06754</t>
  </si>
  <si>
    <t>C00004 | C00080 | C06755</t>
  </si>
  <si>
    <t>C00001 | C00003 | C02576</t>
  </si>
  <si>
    <t>C00004 | C00080 | C11924</t>
  </si>
  <si>
    <t>C00001 | C00003 | C03461</t>
  </si>
  <si>
    <t>C00004 | C00080 | C16502</t>
  </si>
  <si>
    <t>C00001 | C00006 | C00433</t>
  </si>
  <si>
    <t>C00005 | C00026 | C00080</t>
  </si>
  <si>
    <t>C00001 | C00006 | C00555</t>
  </si>
  <si>
    <t>C00005 | C00080 | C00334</t>
  </si>
  <si>
    <t>C00001 | C00003 | C02670</t>
  </si>
  <si>
    <t>C00004 | C00080 | C00818</t>
  </si>
  <si>
    <t>C00001 | C06613</t>
  </si>
  <si>
    <t>C00080 | C06614</t>
  </si>
  <si>
    <t>C00001 | C16348</t>
  </si>
  <si>
    <t>C00080 | C06615</t>
  </si>
  <si>
    <t>C00002 | C00010 | C07086</t>
  </si>
  <si>
    <t>C00013 | C00020 | C00582</t>
  </si>
  <si>
    <t>C00007 | C01161</t>
  </si>
  <si>
    <t>C00004 | C00007 | C00080 | C00642</t>
  </si>
  <si>
    <t>C00001 | C00003 | C01161</t>
  </si>
  <si>
    <t>C00004 | C00007 | C00080 | C05593</t>
  </si>
  <si>
    <t>C00001 | C00003 | C04642</t>
  </si>
  <si>
    <t>C00004 | C00080 | C04186</t>
  </si>
  <si>
    <t>C00011 | C03063</t>
  </si>
  <si>
    <t>C00011 | C05600</t>
  </si>
  <si>
    <t>C00022 | C00441</t>
  </si>
  <si>
    <t>C00001 | C20258</t>
  </si>
  <si>
    <t>C00175 | C05778</t>
  </si>
  <si>
    <t>C00080 | C11538</t>
  </si>
  <si>
    <t>C00021 | C00080 | C05772</t>
  </si>
  <si>
    <t>C00007 | C00049</t>
  </si>
  <si>
    <t>C00027 | C05840</t>
  </si>
  <si>
    <t>C00001 | C00007 | C00049</t>
  </si>
  <si>
    <t>C00014 | C00027 | C00036</t>
  </si>
  <si>
    <t>C00001 | C00009 | C03722</t>
  </si>
  <si>
    <t>C00111 | C05840</t>
  </si>
  <si>
    <t>C00011 | C00013 | C01185</t>
  </si>
  <si>
    <t>C00119 | C03722</t>
  </si>
  <si>
    <t>C00001 | C01010</t>
  </si>
  <si>
    <t>C00016 | C00154</t>
  </si>
  <si>
    <t>C01352 | C05272</t>
  </si>
  <si>
    <t>C00016 | C01944</t>
  </si>
  <si>
    <t>C01352 | C05276</t>
  </si>
  <si>
    <t>C00016 | C01832</t>
  </si>
  <si>
    <t>C01352 | C03221</t>
  </si>
  <si>
    <t>C00016 | C02593</t>
  </si>
  <si>
    <t>C01352 | C05273</t>
  </si>
  <si>
    <t>C00016 | C02939</t>
  </si>
  <si>
    <t>C01352 | C03069</t>
  </si>
  <si>
    <t>C00016 | C05274</t>
  </si>
  <si>
    <t>C01352 | C05275</t>
  </si>
  <si>
    <t>C00001 | C00071 | C00139</t>
  </si>
  <si>
    <t>C00060 | C00080 | C00138</t>
  </si>
  <si>
    <t>C00001 | C00139 | C00577</t>
  </si>
  <si>
    <t>C00080 | C00138 | C00258</t>
  </si>
  <si>
    <t>C00409 | C01077</t>
  </si>
  <si>
    <t>C00033 | C00073</t>
  </si>
  <si>
    <t>C00283 | C01077</t>
  </si>
  <si>
    <t>C00033 | C00155</t>
  </si>
  <si>
    <t>C00013 | C00020 | C03125</t>
  </si>
  <si>
    <t>C00013 | C00020 | C02553</t>
  </si>
  <si>
    <t>C00013 | C00020 | C06481</t>
  </si>
  <si>
    <t>C00001 | C00021</t>
  </si>
  <si>
    <t>C00014 | C03431</t>
  </si>
  <si>
    <t>C00001 | C00003 | C00424</t>
  </si>
  <si>
    <t>C00004 | C00080 | C00186</t>
  </si>
  <si>
    <t>C00001 | C00003 | C00546</t>
  </si>
  <si>
    <t>C00097 | C01118</t>
  </si>
  <si>
    <t>C00042 | C02291</t>
  </si>
  <si>
    <t>C00001 | C01118</t>
  </si>
  <si>
    <t>C00014 | C00042 | C00109</t>
  </si>
  <si>
    <t>C00283 | C01118</t>
  </si>
  <si>
    <t>C00042 | C00155</t>
  </si>
  <si>
    <t>C00042 | C00542</t>
  </si>
  <si>
    <t>C00097 | C01077</t>
  </si>
  <si>
    <t>C00033 | C02291</t>
  </si>
  <si>
    <t>C05688 | C05702</t>
  </si>
  <si>
    <t>C00009 | C05699</t>
  </si>
  <si>
    <t>C00033 | C05699</t>
  </si>
  <si>
    <t>C00042 | C05699</t>
  </si>
  <si>
    <t>C00026 | C00049</t>
  </si>
  <si>
    <t>C00025 | C00036</t>
  </si>
  <si>
    <t>C00026 | C00079</t>
  </si>
  <si>
    <t>C00025 | C00166</t>
  </si>
  <si>
    <t>C00026 | C00082</t>
  </si>
  <si>
    <t>C00025 | C01179</t>
  </si>
  <si>
    <t>C00026 | C00097</t>
  </si>
  <si>
    <t>C00025 | C00957</t>
  </si>
  <si>
    <t>C00302 | C00957</t>
  </si>
  <si>
    <t>C00026 | C00506</t>
  </si>
  <si>
    <t>C00025 | C05528</t>
  </si>
  <si>
    <t>C00026 | C00606</t>
  </si>
  <si>
    <t>C00025 | C05527</t>
  </si>
  <si>
    <t>C00026 | C05947</t>
  </si>
  <si>
    <t>C00025 | C05946</t>
  </si>
  <si>
    <t>C00003 | C00009 | C00118</t>
  </si>
  <si>
    <t>C00004 | C00080 | C00236</t>
  </si>
  <si>
    <t>C00177 | C00320</t>
  </si>
  <si>
    <t>C00001 | C00011 | C00074</t>
  </si>
  <si>
    <t>C00022 | C00568</t>
  </si>
  <si>
    <t>C00064 | C00251</t>
  </si>
  <si>
    <t>C00025 | C11355</t>
  </si>
  <si>
    <t>C00014 | C00251</t>
  </si>
  <si>
    <t>C00001 | C11355</t>
  </si>
  <si>
    <t>C00155 | C00440</t>
  </si>
  <si>
    <t>C00073 | C00101</t>
  </si>
  <si>
    <t>C04489 | C05698</t>
  </si>
  <si>
    <t>C04144 | C05335</t>
  </si>
  <si>
    <t>C00008 | C00009 | C00013 | C01185</t>
  </si>
  <si>
    <t>C00001 | C00002 | C00080 | C00119 | C00253</t>
  </si>
  <si>
    <t>C00011 | C00099</t>
  </si>
  <si>
    <t>C00002 | C11736</t>
  </si>
  <si>
    <t>C00008 | C04242</t>
  </si>
  <si>
    <t>G10553 | G10554</t>
  </si>
  <si>
    <t>C04574 | G10554</t>
  </si>
  <si>
    <t>G10555 | G10557</t>
  </si>
  <si>
    <t>C04574 | G10557</t>
  </si>
  <si>
    <t>C00002 | C00993 | C05892</t>
  </si>
  <si>
    <t>C00002 | C00993 | C04877</t>
  </si>
  <si>
    <t>C00002 | C00217 | C01212</t>
  </si>
  <si>
    <t>C00043 | C04851</t>
  </si>
  <si>
    <t>C00015 | C05893</t>
  </si>
  <si>
    <t>G10552 | G10610</t>
  </si>
  <si>
    <t>G10553 | G10619</t>
  </si>
  <si>
    <t>C00043 | C05897</t>
  </si>
  <si>
    <t>C00015 | C05898</t>
  </si>
  <si>
    <t>G10551 | G10610</t>
  </si>
  <si>
    <t>G10550 | G10619</t>
  </si>
  <si>
    <t>G10556 | G10610</t>
  </si>
  <si>
    <t>G10555 | G10619</t>
  </si>
  <si>
    <t>C00002 | C00041 | C01050</t>
  </si>
  <si>
    <t>C00006 | C01050</t>
  </si>
  <si>
    <t>C00005 | C00080 | C04631</t>
  </si>
  <si>
    <t>C00003 | C01050</t>
  </si>
  <si>
    <t>C00004 | C00080 | C04631</t>
  </si>
  <si>
    <t>C00013 | C05413</t>
  </si>
  <si>
    <t>C00045 | C03193</t>
  </si>
  <si>
    <t>C00245 | C03193</t>
  </si>
  <si>
    <t>C00045 | C02166</t>
  </si>
  <si>
    <t>C03363 | C05951</t>
  </si>
  <si>
    <t>C00001 | C02320</t>
  </si>
  <si>
    <t>C00025 | C05729</t>
  </si>
  <si>
    <t>C00025 | C02512</t>
  </si>
  <si>
    <t>C00001 | C05711</t>
  </si>
  <si>
    <t>C00025 | C05670</t>
  </si>
  <si>
    <t>C00001 | C06114</t>
  </si>
  <si>
    <t>C00005 | C00080 | C15602</t>
  </si>
  <si>
    <t>C00006 | C05309</t>
  </si>
  <si>
    <t>C00014 | C00148</t>
  </si>
  <si>
    <t>C00013 | C00020 | C02554</t>
  </si>
  <si>
    <t>C00001 | C00011 | C03506</t>
  </si>
  <si>
    <t>C00009 | C00718</t>
  </si>
  <si>
    <t>C00103 | C00718</t>
  </si>
  <si>
    <t>C00009 | G10495</t>
  </si>
  <si>
    <t>C00103 | G10495</t>
  </si>
  <si>
    <t>C00009 | C00369</t>
  </si>
  <si>
    <t>C00009 | G10545</t>
  </si>
  <si>
    <t>C00001 | C01167</t>
  </si>
  <si>
    <t>C00009 | C00585</t>
  </si>
  <si>
    <t>C00084 | C00118</t>
  </si>
  <si>
    <t>C00025 | C00437</t>
  </si>
  <si>
    <t>C00006 | C00009 | C01250</t>
  </si>
  <si>
    <t>C00005 | C00080 | C04133</t>
  </si>
  <si>
    <t>C00077 | C00169</t>
  </si>
  <si>
    <t>C00001 | C00022 | C00024</t>
  </si>
  <si>
    <t>C00010 | C02612</t>
  </si>
  <si>
    <t>C00010 | C02504</t>
  </si>
  <si>
    <t>C00001 | C00024 | C00141</t>
  </si>
  <si>
    <t>C00006 | C04272</t>
  </si>
  <si>
    <t>C00005 | C00080 | C06010</t>
  </si>
  <si>
    <t>C00005 | C00080 | C00900</t>
  </si>
  <si>
    <t>C00006 | C04039</t>
  </si>
  <si>
    <t>C00005 | C00080 | C04181</t>
  </si>
  <si>
    <t>C00006 | C06007</t>
  </si>
  <si>
    <t>C00005 | C00080 | C14463</t>
  </si>
  <si>
    <t>C00011 | C00900</t>
  </si>
  <si>
    <t>C00011 | C06010</t>
  </si>
  <si>
    <t>C00011 | C05125</t>
  </si>
  <si>
    <t>C00068 | C00900</t>
  </si>
  <si>
    <t>C00022 | C05125</t>
  </si>
  <si>
    <t>C00068 | C06010</t>
  </si>
  <si>
    <t>C00068 | C06006</t>
  </si>
  <si>
    <t>C00011 | C06006</t>
  </si>
  <si>
    <t>C00006 | C00342</t>
  </si>
  <si>
    <t>C00005 | C00080 | C00343</t>
  </si>
  <si>
    <t>C00006 | C00051 | C00097</t>
  </si>
  <si>
    <t>C00005 | C05526</t>
  </si>
  <si>
    <t>C00001 | C00006 | C01528</t>
  </si>
  <si>
    <t>C00005 | C00080 | C05684</t>
  </si>
  <si>
    <t>C00001 | C00006 | C05703</t>
  </si>
  <si>
    <t>C00001 | C00122</t>
  </si>
  <si>
    <t>C00080 | C00704</t>
  </si>
  <si>
    <t>C00007 | C00027</t>
  </si>
  <si>
    <t>C00013 | C00020 | C02282</t>
  </si>
  <si>
    <t>C00006 | C00009 | C00441</t>
  </si>
  <si>
    <t>C00005 | C00080 | C03082</t>
  </si>
  <si>
    <t>C00013 | C00020 | C02412</t>
  </si>
  <si>
    <t>C00002 | C00010 | C00042</t>
  </si>
  <si>
    <t>C00002 | C00010 | C00490</t>
  </si>
  <si>
    <t>C00031 | C00718</t>
  </si>
  <si>
    <t>C00031 | G10495</t>
  </si>
  <si>
    <t>G00275</t>
  </si>
  <si>
    <t>C00006 | C01144</t>
  </si>
  <si>
    <t>C00005 | C00080 | C00332</t>
  </si>
  <si>
    <t>C00006 | C05116</t>
  </si>
  <si>
    <t>C00003 | C00188</t>
  </si>
  <si>
    <t>C00004 | C00080 | C03508</t>
  </si>
  <si>
    <t>C00001 | C02133</t>
  </si>
  <si>
    <t>C00009 | C00060</t>
  </si>
  <si>
    <t>C00001 | C00227</t>
  </si>
  <si>
    <t>C00009 | C00033</t>
  </si>
  <si>
    <t>C00001 | C06206</t>
  </si>
  <si>
    <t>C00009 | C00180</t>
  </si>
  <si>
    <t>C00001 | C00236</t>
  </si>
  <si>
    <t>C00009 | C00197</t>
  </si>
  <si>
    <t>C00001 | C02631</t>
  </si>
  <si>
    <t>C00011 | C00233</t>
  </si>
  <si>
    <t>C00003 | C04411</t>
  </si>
  <si>
    <t>C00004 | C00080 | C04236</t>
  </si>
  <si>
    <t>C00004 | C00011 | C00080 | C00233</t>
  </si>
  <si>
    <t>C00004 | C00011 | C00080 | C00109</t>
  </si>
  <si>
    <t>C00003 | C06032</t>
  </si>
  <si>
    <t>C00001 | C00141</t>
  </si>
  <si>
    <t>C00001 | C00671</t>
  </si>
  <si>
    <t>C00002 | C00010 | C00033</t>
  </si>
  <si>
    <t>C00013 | C00020 | C00024</t>
  </si>
  <si>
    <t>C00010 | C05993</t>
  </si>
  <si>
    <t>C00002 | C00010 | C00163</t>
  </si>
  <si>
    <t>C00013 | C00020 | C00100</t>
  </si>
  <si>
    <t>C00010 | C05983</t>
  </si>
  <si>
    <t>C00002 | C00037 | C03090</t>
  </si>
  <si>
    <t>C00001 | C00445 | C03838</t>
  </si>
  <si>
    <t>C00001 | C00074 | C00279</t>
  </si>
  <si>
    <t>C00009 | C04691</t>
  </si>
  <si>
    <t>C00003 | C00826</t>
  </si>
  <si>
    <t>C00004 | C00011 | C00080 | C00082</t>
  </si>
  <si>
    <t>C00028 | C00160</t>
  </si>
  <si>
    <t>C00030 | C00048</t>
  </si>
  <si>
    <t>C00011 | C00877 | C04570</t>
  </si>
  <si>
    <t>C00016 | C00527</t>
  </si>
  <si>
    <t>C00011 | C00877 | C01352</t>
  </si>
  <si>
    <t>C00011 | C00877</t>
  </si>
  <si>
    <t>C00006 | C00160</t>
  </si>
  <si>
    <t>C00005 | C00048 | C00080</t>
  </si>
  <si>
    <t>C00006 | C00258</t>
  </si>
  <si>
    <t>C00005 | C00080 | C00168</t>
  </si>
  <si>
    <t>C00003 | C00937</t>
  </si>
  <si>
    <t>C00004 | C00080 | C00546</t>
  </si>
  <si>
    <t>C00049 | C00169</t>
  </si>
  <si>
    <t>C00001 | C00337</t>
  </si>
  <si>
    <t>C00122 | C00337</t>
  </si>
  <si>
    <t>C00042 | C00295</t>
  </si>
  <si>
    <t>C00006 | C00311</t>
  </si>
  <si>
    <t>C00005 | C00011 | C00026 | C00080</t>
  </si>
  <si>
    <t>C00011 | C00026</t>
  </si>
  <si>
    <t>C00005 | C00080 | C05379</t>
  </si>
  <si>
    <t>C00013 | C00020 | C02163</t>
  </si>
  <si>
    <t>C00001 | C02739</t>
  </si>
  <si>
    <t>C00013 | C02741</t>
  </si>
  <si>
    <t>C00013 | C00020 | C06113</t>
  </si>
  <si>
    <t>C00002 | C00049 | C01638</t>
  </si>
  <si>
    <t>C00013 | C00020 | C02984</t>
  </si>
  <si>
    <t>C00042 | C15602</t>
  </si>
  <si>
    <t>C00122 | C15603</t>
  </si>
  <si>
    <t>C00042 | C00399</t>
  </si>
  <si>
    <t>C00122 | C00390</t>
  </si>
  <si>
    <t>C00011 | C01137</t>
  </si>
  <si>
    <t>C00011 | C00229 | C00685</t>
  </si>
  <si>
    <t>C01209 | C03939</t>
  </si>
  <si>
    <t>C00011 | C00229 | C05744</t>
  </si>
  <si>
    <t>C01209 | C05223</t>
  </si>
  <si>
    <t>C00011 | C00229 | C05759</t>
  </si>
  <si>
    <t>C01209 | C05745</t>
  </si>
  <si>
    <t>C00011 | C00229 | C05746</t>
  </si>
  <si>
    <t>C01209 | C05749</t>
  </si>
  <si>
    <t>C00011 | C00229 | C05750</t>
  </si>
  <si>
    <t>C01209 | C05752</t>
  </si>
  <si>
    <t>C00011 | C00229 | C05753</t>
  </si>
  <si>
    <t>C01209 | C05755</t>
  </si>
  <si>
    <t>C00011 | C00229 | C05756</t>
  </si>
  <si>
    <t>C01209 | C05761</t>
  </si>
  <si>
    <t>C00011 | C00229 | C05762</t>
  </si>
  <si>
    <t>C01209 | C05764</t>
  </si>
  <si>
    <t>C00011 | C00229 | C16219</t>
  </si>
  <si>
    <t>C01209 | C19673</t>
  </si>
  <si>
    <t>C00011 | C00229 | C20372</t>
  </si>
  <si>
    <t>C01209 | C20375</t>
  </si>
  <si>
    <t>C00011 | C00229 | C20376</t>
  </si>
  <si>
    <t>C00001 | C00286</t>
  </si>
  <si>
    <t>C00008 | C00673</t>
  </si>
  <si>
    <t>C00002 | C01801</t>
  </si>
  <si>
    <t>C00001 | C01267</t>
  </si>
  <si>
    <t>C00026 | C01100</t>
  </si>
  <si>
    <t>C00025 | C01267</t>
  </si>
  <si>
    <t>C00004 | C00080 | C00399</t>
  </si>
  <si>
    <t>C00003 | C00080 | C00390</t>
  </si>
  <si>
    <t>C00001 | C00417</t>
  </si>
  <si>
    <t>C00002 | C00010 | C00164</t>
  </si>
  <si>
    <t>C00013 | C00020 | C00332</t>
  </si>
  <si>
    <t>C00001 | C00003 | C00860</t>
  </si>
  <si>
    <t>C00004 | C00080 | C00135</t>
  </si>
  <si>
    <t>C00001 | C00003 | C01929</t>
  </si>
  <si>
    <t>C00003 | C00860</t>
  </si>
  <si>
    <t>C00004 | C00080 | C01929</t>
  </si>
  <si>
    <t>C00013 | C00020 | C02988</t>
  </si>
  <si>
    <t>C00013 | C00020 | C03402</t>
  </si>
  <si>
    <t>C00006 | C02953</t>
  </si>
  <si>
    <t>C00005 | C00080 | C00835</t>
  </si>
  <si>
    <t>C00006 | C00272</t>
  </si>
  <si>
    <t>C00005 | C00080 | C03684</t>
  </si>
  <si>
    <t>C00005 | C00080 | C04244</t>
  </si>
  <si>
    <t>C00006 | C21640</t>
  </si>
  <si>
    <t>C00118 | C05382</t>
  </si>
  <si>
    <t>C00085 | C00279</t>
  </si>
  <si>
    <t>C00013 | C00020 | C03127</t>
  </si>
  <si>
    <t>C00006 | C11434</t>
  </si>
  <si>
    <t>C00005 | C00080 | C11437</t>
  </si>
  <si>
    <t>C00003 | C00148</t>
  </si>
  <si>
    <t>C00004 | C00080 | C03912</t>
  </si>
  <si>
    <t>C00006 | C00148</t>
  </si>
  <si>
    <t>C00005 | C00080 | C03912</t>
  </si>
  <si>
    <t>C00003 | C01157</t>
  </si>
  <si>
    <t>C00004 | C00080 | C04281</t>
  </si>
  <si>
    <t>C00006 | C01157</t>
  </si>
  <si>
    <t>C00005 | C00080 | C04281</t>
  </si>
  <si>
    <t>C00011 | C03263</t>
  </si>
  <si>
    <t>C00011 | C05768</t>
  </si>
  <si>
    <t>C00007 | C01079</t>
  </si>
  <si>
    <t>C00027 | C02191</t>
  </si>
  <si>
    <t>C00003 | C01507</t>
  </si>
  <si>
    <t>C00004 | C00080 | C00247</t>
  </si>
  <si>
    <t>C00003 | C00794</t>
  </si>
  <si>
    <t>C00004 | C00080 | C00095</t>
  </si>
  <si>
    <t>C00003 | C00379</t>
  </si>
  <si>
    <t>C00004 | C00080 | C00310</t>
  </si>
  <si>
    <t>C00013 | C00020 | C02430</t>
  </si>
  <si>
    <t>C00002 | C01647 | C05335</t>
  </si>
  <si>
    <t>C00013 | C00020 | C05336</t>
  </si>
  <si>
    <t>C00001 | C00343 | C01335</t>
  </si>
  <si>
    <t>C00001 | C01335 | C07293</t>
  </si>
  <si>
    <t>C00004 | C00080 | C15498</t>
  </si>
  <si>
    <t>C00001 | C00003 | C01335</t>
  </si>
  <si>
    <t>C00001 | C00127 | C01335</t>
  </si>
  <si>
    <t>C15498 | C16832</t>
  </si>
  <si>
    <t>C00001 | C01335 | C16237</t>
  </si>
  <si>
    <t>C15498 | C15973</t>
  </si>
  <si>
    <t>C00001 | C01335 | C15972</t>
  </si>
  <si>
    <t>C00065 | C00463</t>
  </si>
  <si>
    <t>C00001 | C00078</t>
  </si>
  <si>
    <t>C00118 | C00463</t>
  </si>
  <si>
    <t>C00065 | C03506</t>
  </si>
  <si>
    <t>C00001 | C00078 | C00118</t>
  </si>
  <si>
    <t>C00003 | C00039 | C02128</t>
  </si>
  <si>
    <t>C00020 | C00039 | C00455</t>
  </si>
  <si>
    <t>C00134 | C01137</t>
  </si>
  <si>
    <t>C00170 | C00315</t>
  </si>
  <si>
    <t>C01137 | C01672</t>
  </si>
  <si>
    <t>C00170 | C16565</t>
  </si>
  <si>
    <t>C00001 | C00011 | C00166</t>
  </si>
  <si>
    <t>C00001 | C00011 | C00079</t>
  </si>
  <si>
    <t>C00003 | C00149</t>
  </si>
  <si>
    <t>C00004 | C00036 | C00080</t>
  </si>
  <si>
    <t>C00003 | C11537</t>
  </si>
  <si>
    <t>C00004 | C00080 | C05528</t>
  </si>
  <si>
    <t>C00002 | C00049</t>
  </si>
  <si>
    <t>C00008 | C03082</t>
  </si>
  <si>
    <t>C00019 | C00240</t>
  </si>
  <si>
    <t>C00021 | C04153</t>
  </si>
  <si>
    <t>C00002 | C00255</t>
  </si>
  <si>
    <t>C00008 | C00061</t>
  </si>
  <si>
    <t>C00037 | C02051</t>
  </si>
  <si>
    <t>C00011 | C01242</t>
  </si>
  <si>
    <t>C00101 | C01242</t>
  </si>
  <si>
    <t>C00014 | C00143 | C02972</t>
  </si>
  <si>
    <t>C00001 | C00445</t>
  </si>
  <si>
    <t>C00004 | C00011 | C00022 | C00080</t>
  </si>
  <si>
    <t>C00011 | C00022</t>
  </si>
  <si>
    <t>C00011 | C03373</t>
  </si>
  <si>
    <t>C00001 | C01168</t>
  </si>
  <si>
    <t>C00001 | C00141 | C00143</t>
  </si>
  <si>
    <t>C00067 | C00141</t>
  </si>
  <si>
    <t>C00016 | C00093</t>
  </si>
  <si>
    <t>C00001 | C03880</t>
  </si>
  <si>
    <t>C00066 | C03523</t>
  </si>
  <si>
    <t>C00001 | C00170</t>
  </si>
  <si>
    <t>C00155 | C11838</t>
  </si>
  <si>
    <t>C00002 | C00014 | C00655</t>
  </si>
  <si>
    <t>C00013 | C00020 | C00144</t>
  </si>
  <si>
    <t>C00001 | C00002 | C00064 | C00655</t>
  </si>
  <si>
    <t>C00013 | C00020 | C00025 | C00144</t>
  </si>
  <si>
    <t>C00001 | C00002 | C00064 | C16618</t>
  </si>
  <si>
    <t>C00013 | C00020 | C00025 | C16619</t>
  </si>
  <si>
    <t>C00002 | C00288 | C03069</t>
  </si>
  <si>
    <t>C00033 | C16466</t>
  </si>
  <si>
    <t>C00004 | C00080 | C15602</t>
  </si>
  <si>
    <t>C00003 | C15603</t>
  </si>
  <si>
    <t>C00003 | C00390</t>
  </si>
  <si>
    <t>C00001 | C01102</t>
  </si>
  <si>
    <t>C00009 | C00188</t>
  </si>
  <si>
    <t>C00001 | C06055</t>
  </si>
  <si>
    <t>C00009 | C06056</t>
  </si>
  <si>
    <t>C00003 | C00263</t>
  </si>
  <si>
    <t>C00004 | C00080 | C00441</t>
  </si>
  <si>
    <t>C00006 | C00263</t>
  </si>
  <si>
    <t>C00005 | C00080 | C00441</t>
  </si>
  <si>
    <t>C00003 | C00226</t>
  </si>
  <si>
    <t>C00004 | C00071 | C00080</t>
  </si>
  <si>
    <t>C00003 | C00469</t>
  </si>
  <si>
    <t>C00004 | C00080 | C00084</t>
  </si>
  <si>
    <t>C00003 | C00473</t>
  </si>
  <si>
    <t>C00004 | C00080 | C00376</t>
  </si>
  <si>
    <t>C00003 | C00756</t>
  </si>
  <si>
    <t>C00004 | C00080 | C01545</t>
  </si>
  <si>
    <t>C00003 | C05444</t>
  </si>
  <si>
    <t>C00004 | C00080 | C05445</t>
  </si>
  <si>
    <t>C00003 | C05576</t>
  </si>
  <si>
    <t>C00004 | C00080 | C05577</t>
  </si>
  <si>
    <t>C00003 | C06611</t>
  </si>
  <si>
    <t>C00004 | C00080 | C06613</t>
  </si>
  <si>
    <t>C00003 | C06612</t>
  </si>
  <si>
    <t>C00004 | C00080 | C16348</t>
  </si>
  <si>
    <t>C00003 | C14089</t>
  </si>
  <si>
    <t>C00004 | C00080 | C14090</t>
  </si>
  <si>
    <t>C00003 | C02909</t>
  </si>
  <si>
    <t>C00004 | C00080 | C14099</t>
  </si>
  <si>
    <t>C00004 | C00080 | C07645</t>
  </si>
  <si>
    <t>C00003 | C16551</t>
  </si>
  <si>
    <t>C00003 | C16586</t>
  </si>
  <si>
    <t>C00004 | C00080 | C16587</t>
  </si>
  <si>
    <t>C00003 | C00114</t>
  </si>
  <si>
    <t>C00004 | C00080 | C00576</t>
  </si>
  <si>
    <t>C00006 | C00114</t>
  </si>
  <si>
    <t>C00005 | C00080 | C00576</t>
  </si>
  <si>
    <t>C00004 | C00080 | C16310</t>
  </si>
  <si>
    <t>C00003 | C08492</t>
  </si>
  <si>
    <t>C00003 | C01612</t>
  </si>
  <si>
    <t>C00004 | C00080 | C01450</t>
  </si>
  <si>
    <t>C00003 | C16595</t>
  </si>
  <si>
    <t>C00004 | C00080 | C16596</t>
  </si>
  <si>
    <t>C00003 | C00418</t>
  </si>
  <si>
    <t>C00004 | C00080 | C00772</t>
  </si>
  <si>
    <t>C00004 | C00080 | C06899</t>
  </si>
  <si>
    <t>C00001 | C00003 | C07490</t>
  </si>
  <si>
    <t>C00001 | C00352</t>
  </si>
  <si>
    <t>C00014 | C00085</t>
  </si>
  <si>
    <t>C00007 | C01847 | C18091</t>
  </si>
  <si>
    <t>C00001 | C00061 | C00084 | C00088</t>
  </si>
  <si>
    <t>C00231 | C00279</t>
  </si>
  <si>
    <t>C00118 | C05345</t>
  </si>
  <si>
    <t>C00117 | C12214</t>
  </si>
  <si>
    <t>C05382 | C12215</t>
  </si>
  <si>
    <t>C00068 | C00231</t>
  </si>
  <si>
    <t>C00118 | C13378</t>
  </si>
  <si>
    <t>C00068 | C05382</t>
  </si>
  <si>
    <t>C00117 | C13378</t>
  </si>
  <si>
    <t>C00013 | C00020 | C02702</t>
  </si>
  <si>
    <t>C00615 | C01159</t>
  </si>
  <si>
    <t>C00040 | C00681</t>
  </si>
  <si>
    <t>C00006 | C00025</t>
  </si>
  <si>
    <t>C00005 | C00026 | C00064 | C00080</t>
  </si>
  <si>
    <t>C00001 | C00006 | C00025</t>
  </si>
  <si>
    <t>C00005 | C00014 | C00026 | C00080</t>
  </si>
  <si>
    <t>C00043 | C00074</t>
  </si>
  <si>
    <t>C00009 | C04631</t>
  </si>
  <si>
    <t>C00003 | C01096</t>
  </si>
  <si>
    <t>C00004 | C00080 | C00085</t>
  </si>
  <si>
    <t>C00004 | C00080 | C05345</t>
  </si>
  <si>
    <t>C00001 | C00458</t>
  </si>
  <si>
    <t>C00014 | C00460</t>
  </si>
  <si>
    <t>C00013 | C02739</t>
  </si>
  <si>
    <t>C00026 | C00123</t>
  </si>
  <si>
    <t>C00025 | C00233</t>
  </si>
  <si>
    <t>C00026 | C00183</t>
  </si>
  <si>
    <t>C00025 | C00141</t>
  </si>
  <si>
    <t>C00026 | C00407</t>
  </si>
  <si>
    <t>C00025 | C00671</t>
  </si>
  <si>
    <t>C00026 | C02356</t>
  </si>
  <si>
    <t>C00025 | C00109</t>
  </si>
  <si>
    <t>C00001 | C00007</t>
  </si>
  <si>
    <t>C00027 | C00132</t>
  </si>
  <si>
    <t>C00001 | C00067</t>
  </si>
  <si>
    <t>C00007 | C00632</t>
  </si>
  <si>
    <t>C00027 | C00080 | C00704 | C05640</t>
  </si>
  <si>
    <t>C00010 | C00158</t>
  </si>
  <si>
    <t>C00001 | C00024 | C00036</t>
  </si>
  <si>
    <t>C00001 | C00003 | C00041</t>
  </si>
  <si>
    <t>C00004 | C00014 | C00022 | C00080</t>
  </si>
  <si>
    <t>C00001 | C00003 | C00037</t>
  </si>
  <si>
    <t>C00004 | C00014 | C00048 | C00080</t>
  </si>
  <si>
    <t>C00013 | C00130</t>
  </si>
  <si>
    <t>C00119 | C00262</t>
  </si>
  <si>
    <t>C00013 | C00144</t>
  </si>
  <si>
    <t>C00119 | C00242</t>
  </si>
  <si>
    <t>C00013 | C00655</t>
  </si>
  <si>
    <t>C00119 | C00385</t>
  </si>
  <si>
    <t>C00119 | C02380</t>
  </si>
  <si>
    <t>C00013 | C04646</t>
  </si>
  <si>
    <t>C00119 | C16614</t>
  </si>
  <si>
    <t>C00013 | C16615</t>
  </si>
  <si>
    <t>C00119 | C07648</t>
  </si>
  <si>
    <t>C00013 | C16619</t>
  </si>
  <si>
    <t>C00003 | C02143</t>
  </si>
  <si>
    <t>C00004 | C00080 | C16581</t>
  </si>
  <si>
    <t>C00003 | C01019</t>
  </si>
  <si>
    <t>C00004 | C00080 | C18028</t>
  </si>
  <si>
    <t>C00003 | C01825</t>
  </si>
  <si>
    <t>C00004 | C00080 | C01115</t>
  </si>
  <si>
    <t>C00044 | C00049 | C00130</t>
  </si>
  <si>
    <t>C00009 | C00035 | C03794</t>
  </si>
  <si>
    <t>C00013 | C04302</t>
  </si>
  <si>
    <t>C00022 | C00025 | C00108</t>
  </si>
  <si>
    <t>C00001 | C00022 | C00108</t>
  </si>
  <si>
    <t>C00001 | C00003 | C01165</t>
  </si>
  <si>
    <t>C00004 | C00025 | C00080</t>
  </si>
  <si>
    <t>C00001 | C00003 | C03912</t>
  </si>
  <si>
    <t>C00001 | C00006 | C03912</t>
  </si>
  <si>
    <t>C00005 | C00025 | C00080</t>
  </si>
  <si>
    <t>C00001 | C00003 | C04281</t>
  </si>
  <si>
    <t>C00004 | C00080 | C05947</t>
  </si>
  <si>
    <t>C00001 | C00006 | C04281</t>
  </si>
  <si>
    <t>C00005 | C00080 | C05947</t>
  </si>
  <si>
    <t>C00001 | C00003 | C05938</t>
  </si>
  <si>
    <t>C00001 | C00006 | C01165</t>
  </si>
  <si>
    <t>C00148 | C15602</t>
  </si>
  <si>
    <t>C03912 | C15603</t>
  </si>
  <si>
    <t>C00024 | C00037</t>
  </si>
  <si>
    <t>C00010 | C03508</t>
  </si>
  <si>
    <t>C00075 | C04501</t>
  </si>
  <si>
    <t>C00013 | C00043</t>
  </si>
  <si>
    <t>C00021 | C04160</t>
  </si>
  <si>
    <t>C00001 | C03899</t>
  </si>
  <si>
    <t>C00051 | C02929</t>
  </si>
  <si>
    <t>C00001 | C03451</t>
  </si>
  <si>
    <t>C00051 | C00256</t>
  </si>
  <si>
    <t>C00011 | C00179</t>
  </si>
  <si>
    <t>C00009 | C00013 | C00019</t>
  </si>
  <si>
    <t>C00001 | C00002 | C00073</t>
  </si>
  <si>
    <t>C00001 | C00002 | C05335</t>
  </si>
  <si>
    <t>C00009 | C00013 | C05691</t>
  </si>
  <si>
    <t>C00001 | C00201</t>
  </si>
  <si>
    <t>C00009 | C00454</t>
  </si>
  <si>
    <t>C00001 | C00002</t>
  </si>
  <si>
    <t>C00008 | C00009</t>
  </si>
  <si>
    <t>C00001 | C00068</t>
  </si>
  <si>
    <t>C00009 | C01081</t>
  </si>
  <si>
    <t>C07292 | C11215</t>
  </si>
  <si>
    <t>C06697 | C07293</t>
  </si>
  <si>
    <t>C00019 | C19847</t>
  </si>
  <si>
    <t>C00021 | C05819</t>
  </si>
  <si>
    <t>C00001 | C00152</t>
  </si>
  <si>
    <t>C00014 | C00049</t>
  </si>
  <si>
    <t>C00002 | C00624</t>
  </si>
  <si>
    <t>C00008 | C04133</t>
  </si>
  <si>
    <t>C00011 | C00080 | C00091 | C00138</t>
  </si>
  <si>
    <t>C00010 | C00026 | C00139</t>
  </si>
  <si>
    <t>C00002 | C00454</t>
  </si>
  <si>
    <t>C00008 | C00201</t>
  </si>
  <si>
    <t>C00002 | C00008</t>
  </si>
  <si>
    <t>C00002 | C11038</t>
  </si>
  <si>
    <t>C00008 | C11039</t>
  </si>
  <si>
    <t>C00002 | C00015</t>
  </si>
  <si>
    <t>C00008 | C00075</t>
  </si>
  <si>
    <t>C00002 | C00035</t>
  </si>
  <si>
    <t>C00008 | C00044</t>
  </si>
  <si>
    <t>C00002 | C00112</t>
  </si>
  <si>
    <t>C00008 | C00063</t>
  </si>
  <si>
    <t>C00002 | C00104</t>
  </si>
  <si>
    <t>C00008 | C00081</t>
  </si>
  <si>
    <t>C00002 | C00206</t>
  </si>
  <si>
    <t>C00008 | C00131</t>
  </si>
  <si>
    <t>C00002 | C00361</t>
  </si>
  <si>
    <t>C00008 | C00286</t>
  </si>
  <si>
    <t>C00002 | C00363</t>
  </si>
  <si>
    <t>C00008 | C00459</t>
  </si>
  <si>
    <t>C00002 | C00705</t>
  </si>
  <si>
    <t>C00008 | C00458</t>
  </si>
  <si>
    <t>C00002 | C01346</t>
  </si>
  <si>
    <t>C00008 | C00460</t>
  </si>
  <si>
    <t>C00002 | C01344</t>
  </si>
  <si>
    <t>C00008 | C01345</t>
  </si>
  <si>
    <t>C00002 | C22442</t>
  </si>
  <si>
    <t>C00008 | C22443</t>
  </si>
  <si>
    <t>C00002 | C21748</t>
  </si>
  <si>
    <t>C00008 | C21749</t>
  </si>
  <si>
    <t>C00002 | C21750</t>
  </si>
  <si>
    <t>C00008 | C21751</t>
  </si>
  <si>
    <t>C00266 | C01300</t>
  </si>
  <si>
    <t>C00568 | C04807</t>
  </si>
  <si>
    <t>C00013 | C00921</t>
  </si>
  <si>
    <t>C00568 | C01300</t>
  </si>
  <si>
    <t>C00001 | C00921</t>
  </si>
  <si>
    <t>C00024 | C03803</t>
  </si>
  <si>
    <t>C00010 | C04341</t>
  </si>
  <si>
    <t>C00014 | C01024</t>
  </si>
  <si>
    <t>C00024 | C15973</t>
  </si>
  <si>
    <t>C00010 | C16255</t>
  </si>
  <si>
    <t>C00022 | C15972</t>
  </si>
  <si>
    <t>C00011 | C16255</t>
  </si>
  <si>
    <t>C05125 | C15972</t>
  </si>
  <si>
    <t>C00068 | C16255</t>
  </si>
  <si>
    <t>C00001 | C01419</t>
  </si>
  <si>
    <t>C00037 | C00097</t>
  </si>
  <si>
    <t>C00001 | C05729</t>
  </si>
  <si>
    <t>C00037 | C05726</t>
  </si>
  <si>
    <t>C00002 | C00036</t>
  </si>
  <si>
    <t>C00008 | C00011 | C00074</t>
  </si>
  <si>
    <t>C00013 | C00020 | C02992</t>
  </si>
  <si>
    <t>C00125 | C15603</t>
  </si>
  <si>
    <t>C00080 | C00126 | C15602</t>
  </si>
  <si>
    <t>C00125 | C00390</t>
  </si>
  <si>
    <t>C00080 | C00126 | C00399</t>
  </si>
  <si>
    <t>C00001 | C00437</t>
  </si>
  <si>
    <t>C00001 | C15532</t>
  </si>
  <si>
    <t>C00001 | C00044</t>
  </si>
  <si>
    <t>C00058 | C04895</t>
  </si>
  <si>
    <t>C00001 | C05922</t>
  </si>
  <si>
    <t>C00058 | C05923</t>
  </si>
  <si>
    <t>C00001 | C01261</t>
  </si>
  <si>
    <t>C00001 | C01260</t>
  </si>
  <si>
    <t>C00001 | C06198</t>
  </si>
  <si>
    <t>C00001 | C04392</t>
  </si>
  <si>
    <t>C00655 | C00700</t>
  </si>
  <si>
    <t>C00234 | C02430</t>
  </si>
  <si>
    <t>C00001 | C11439</t>
  </si>
  <si>
    <t>C00058 | C11440</t>
  </si>
  <si>
    <t>C00001 | C04258</t>
  </si>
  <si>
    <t>C00003 | C00173</t>
  </si>
  <si>
    <t>C00004 | C00080 | C00693</t>
  </si>
  <si>
    <t>C00003 | C05745</t>
  </si>
  <si>
    <t>C00004 | C00080 | C04246</t>
  </si>
  <si>
    <t>C00003 | C05223</t>
  </si>
  <si>
    <t>C00004 | C00080 | C05758</t>
  </si>
  <si>
    <t>C00003 | C05749</t>
  </si>
  <si>
    <t>C00004 | C00080 | C05748</t>
  </si>
  <si>
    <t>C00003 | C05752</t>
  </si>
  <si>
    <t>C00004 | C00080 | C05751</t>
  </si>
  <si>
    <t>C00003 | C05755</t>
  </si>
  <si>
    <t>C00004 | C00080 | C05754</t>
  </si>
  <si>
    <t>C00003 | C05761</t>
  </si>
  <si>
    <t>C00004 | C00080 | C05760</t>
  </si>
  <si>
    <t>C00003 | C05764</t>
  </si>
  <si>
    <t>C00004 | C00080 | C05763</t>
  </si>
  <si>
    <t>C00004 | C00080 | C16221</t>
  </si>
  <si>
    <t>C00003 | C04088</t>
  </si>
  <si>
    <t>C00138 | C11453</t>
  </si>
  <si>
    <t>C00001 | C00139 | C11811</t>
  </si>
  <si>
    <t>C00242 | C20446</t>
  </si>
  <si>
    <t>C00013 | C00020 | C02047</t>
  </si>
  <si>
    <t>C00006 | C00009 | C01165</t>
  </si>
  <si>
    <t>C00005 | C00080 | C03287</t>
  </si>
  <si>
    <t>C00013 | C00020 | C03511</t>
  </si>
  <si>
    <t>C00002 | C01097</t>
  </si>
  <si>
    <t>C00008 | C03785</t>
  </si>
  <si>
    <t>C00001 | C00013</t>
  </si>
  <si>
    <t>C00001 | C03120</t>
  </si>
  <si>
    <t>C00001 | C00670</t>
  </si>
  <si>
    <t>C00093 | C00114</t>
  </si>
  <si>
    <t>C00001 | C01233</t>
  </si>
  <si>
    <t>C00093 | C00189</t>
  </si>
  <si>
    <t xml:space="preserve"> </t>
  </si>
  <si>
    <t>C00039 + C00677</t>
  </si>
  <si>
    <t>C00039 + C00131</t>
  </si>
  <si>
    <t>C00039 + C00286</t>
  </si>
  <si>
    <t>C00039 + C00458</t>
  </si>
  <si>
    <t>C00039 + C00459</t>
  </si>
  <si>
    <t>C00022 + C00044</t>
  </si>
  <si>
    <t>C00022 + C00063</t>
  </si>
  <si>
    <t>C00022 + C00075</t>
  </si>
  <si>
    <t>C00022 + C00081</t>
  </si>
  <si>
    <t>C00022 + C00131</t>
  </si>
  <si>
    <t>C00022 + C00286</t>
  </si>
  <si>
    <t>C00022 + C00201</t>
  </si>
  <si>
    <t>C00283 + C00979</t>
  </si>
  <si>
    <t>C00080 + C00320 + C00342 + C00979</t>
  </si>
  <si>
    <t>C00283 + C01005</t>
  </si>
  <si>
    <t>C00001 + C02520</t>
  </si>
  <si>
    <t>C00001 + C00020</t>
  </si>
  <si>
    <t>C00001 + C00055</t>
  </si>
  <si>
    <t>C00001 + C00105</t>
  </si>
  <si>
    <t>C00001 + C00130</t>
  </si>
  <si>
    <t>C00001 + C00144</t>
  </si>
  <si>
    <t>C00001 + C00455</t>
  </si>
  <si>
    <t>C00001 + C00655</t>
  </si>
  <si>
    <t>C00001 + C01185</t>
  </si>
  <si>
    <t>C00001 + C00364</t>
  </si>
  <si>
    <t>C00001 + C00239</t>
  </si>
  <si>
    <t>C00001 + C00362</t>
  </si>
  <si>
    <t>C00001 + C00360</t>
  </si>
  <si>
    <t>C00001 + C00365</t>
  </si>
  <si>
    <t>C00001 + C06196</t>
  </si>
  <si>
    <t>C00001 + C00003 + C00130</t>
  </si>
  <si>
    <t>C00001 + C00003 + C04646</t>
  </si>
  <si>
    <t>C00008 + C00009 + C00025 + C03402</t>
  </si>
  <si>
    <t>C00001 + C01100</t>
  </si>
  <si>
    <t>C00001 + C00153</t>
  </si>
  <si>
    <t>C00001 + C00241</t>
  </si>
  <si>
    <t>C00006 + C00440</t>
  </si>
  <si>
    <t>C00003 + C00440</t>
  </si>
  <si>
    <t>C04253 + C20675</t>
  </si>
  <si>
    <t>C00016 + C00136</t>
  </si>
  <si>
    <t>C00016 + C05270</t>
  </si>
  <si>
    <t>C00028 + C00630</t>
  </si>
  <si>
    <t>C00028 + C15980</t>
  </si>
  <si>
    <t>C00100 + C04253</t>
  </si>
  <si>
    <t>C00129 + C00448</t>
  </si>
  <si>
    <t>C00001 + C00024 + C00026</t>
  </si>
  <si>
    <t>C00002 + C00014 + C00857</t>
  </si>
  <si>
    <t>C00001 + G10481</t>
  </si>
  <si>
    <t>C00001 + C00760</t>
  </si>
  <si>
    <t>C00003 + C00005 + C00080</t>
  </si>
  <si>
    <t>C00007 + C00186</t>
  </si>
  <si>
    <t>C00003 + C16832</t>
  </si>
  <si>
    <t>C00003 + C02972</t>
  </si>
  <si>
    <t>C00003 + C15973</t>
  </si>
  <si>
    <t>C00003 + C00579</t>
  </si>
  <si>
    <t>C15973 + C15980</t>
  </si>
  <si>
    <t>C00068 + C00141</t>
  </si>
  <si>
    <t>C15972 + C15976</t>
  </si>
  <si>
    <t>C00068 + C00233</t>
  </si>
  <si>
    <t>C15972 + C15974</t>
  </si>
  <si>
    <t>C00068 + C00671</t>
  </si>
  <si>
    <t>C15972 + C15978</t>
  </si>
  <si>
    <t>C00068 + C00109</t>
  </si>
  <si>
    <t>C15972 + C21017</t>
  </si>
  <si>
    <t>C00103 + C00459</t>
  </si>
  <si>
    <t>C00001 + C03460</t>
  </si>
  <si>
    <t>C00001 + C00877</t>
  </si>
  <si>
    <t>C00001 + C11946</t>
  </si>
  <si>
    <t>C00001 + C11945</t>
  </si>
  <si>
    <t>C00001 + C14144</t>
  </si>
  <si>
    <t>C00001 + C16468</t>
  </si>
  <si>
    <t>C00002 + C00049 + C00327</t>
  </si>
  <si>
    <t>C00001 + C00064</t>
  </si>
  <si>
    <t>C00001 + C00002 + C00064 + C00288</t>
  </si>
  <si>
    <t>C00002 + C00014 + C00288</t>
  </si>
  <si>
    <t>C00002 + C00058 + C00101</t>
  </si>
  <si>
    <t>C00001 + C20905</t>
  </si>
  <si>
    <t>C00002 + C00099 + C00522</t>
  </si>
  <si>
    <t>C00009 + C00214</t>
  </si>
  <si>
    <t>C00009 + C00299</t>
  </si>
  <si>
    <t>C00009 + C00475</t>
  </si>
  <si>
    <t>C00009 + C00526</t>
  </si>
  <si>
    <t>C00009 + C03169</t>
  </si>
  <si>
    <t>C00022 + C00065</t>
  </si>
  <si>
    <t>C00001 + C04574</t>
  </si>
  <si>
    <t>C00063 + C11434</t>
  </si>
  <si>
    <t>C00002 + C11435</t>
  </si>
  <si>
    <t>C00001 + C20267</t>
  </si>
  <si>
    <t>C00001 + C00378</t>
  </si>
  <si>
    <t>C00001 + C19713</t>
  </si>
  <si>
    <t>C00009 + C00046</t>
  </si>
  <si>
    <t>C00013 + C01103</t>
  </si>
  <si>
    <t>C00119 + C07649</t>
  </si>
  <si>
    <t>C00003 + C00093</t>
  </si>
  <si>
    <t>C00006 + C00093</t>
  </si>
  <si>
    <t>C00001 + C03586</t>
  </si>
  <si>
    <t>C00097 + C15811</t>
  </si>
  <si>
    <t>C02743 + C15812</t>
  </si>
  <si>
    <t>C00046 + C00201</t>
  </si>
  <si>
    <t>C00046 + C00063</t>
  </si>
  <si>
    <t>C00046 + C00075</t>
  </si>
  <si>
    <t>C00001 + C00040</t>
  </si>
  <si>
    <t>C00125 + C00256</t>
  </si>
  <si>
    <t>C00001 + C00395</t>
  </si>
  <si>
    <t>C00001 + C05551</t>
  </si>
  <si>
    <t>G10495 + G11109</t>
  </si>
  <si>
    <t>C00080 + C00138 + C11811</t>
  </si>
  <si>
    <t>C00001 + C00139 + C00235</t>
  </si>
  <si>
    <t>C00001 + C00003 + C00025</t>
  </si>
  <si>
    <t>C00001 + C00003 + C05167</t>
  </si>
  <si>
    <t>C00001 + C00006 + C05167</t>
  </si>
  <si>
    <t>C00003 + C00197</t>
  </si>
  <si>
    <t>C00003 + C02630</t>
  </si>
  <si>
    <t>C00315 + C07281</t>
  </si>
  <si>
    <t>C00003 + C00315</t>
  </si>
  <si>
    <t>C00004 + C00080 + C15854</t>
  </si>
  <si>
    <t>C07281 + C15853</t>
  </si>
  <si>
    <t>C07281 + C15854</t>
  </si>
  <si>
    <t>C02743 + C04250</t>
  </si>
  <si>
    <t>C00001 + C00208</t>
  </si>
  <si>
    <t>C00001 + C00089</t>
  </si>
  <si>
    <t>C00001 + G00370</t>
  </si>
  <si>
    <t>C00002 + C22441</t>
  </si>
  <si>
    <t>C00001 + C00037 + C00143</t>
  </si>
  <si>
    <t>C00013 + C00025 + C03090</t>
  </si>
  <si>
    <t>C00001 + C00002 + C00064 + C04376</t>
  </si>
  <si>
    <t>C00002 + C00049 + C04751</t>
  </si>
  <si>
    <t>C00005 + C00080 + C02987</t>
  </si>
  <si>
    <t>C00001 + C00002 + C00022</t>
  </si>
  <si>
    <t>C00001 + C15585</t>
  </si>
  <si>
    <t>C00001 + C01177</t>
  </si>
  <si>
    <t>C00001 + C03546</t>
  </si>
  <si>
    <t>C00001 + C04006</t>
  </si>
  <si>
    <t>C00001 + C00343 + C04232</t>
  </si>
  <si>
    <t>C00001 + C00206 + C00343</t>
  </si>
  <si>
    <t>C00001 + C00343 + C01346</t>
  </si>
  <si>
    <t>C00001 + C00343 + C00361</t>
  </si>
  <si>
    <t>C00001 + C00343 + C00705</t>
  </si>
  <si>
    <t>C00001 + C04232 + C16664</t>
  </si>
  <si>
    <t>C00001 + C03170 + C04232</t>
  </si>
  <si>
    <t>C00001 + C00343 + C21750</t>
  </si>
  <si>
    <t>C00013 + C00020</t>
  </si>
  <si>
    <t>C00013 + C04677</t>
  </si>
  <si>
    <t>C00002 + C00080 + C03479</t>
  </si>
  <si>
    <t>C00001 + C00562</t>
  </si>
  <si>
    <t>C00002 + C00014 + C00075</t>
  </si>
  <si>
    <t>C00001 + C00002 + C00064 + C00075</t>
  </si>
  <si>
    <t>C00003 + C05662</t>
  </si>
  <si>
    <t>C00001 + C02999</t>
  </si>
  <si>
    <t>C00002 + C00025 + C00921</t>
  </si>
  <si>
    <t>C00002 + C00025 + C00234</t>
  </si>
  <si>
    <t>C00002 + C00014 + C00025</t>
  </si>
  <si>
    <t>C00001 + C00234</t>
  </si>
  <si>
    <t>C00001 + C00043</t>
  </si>
  <si>
    <t>C00015 + C00645</t>
  </si>
  <si>
    <t>C00013 + C00105</t>
  </si>
  <si>
    <t>C00010 + C00149</t>
  </si>
  <si>
    <t>C00001 + C11536</t>
  </si>
  <si>
    <t>C00009 + C15586</t>
  </si>
  <si>
    <t>C00009 + C00212</t>
  </si>
  <si>
    <t>C00009 + C00294</t>
  </si>
  <si>
    <t>C00009 + C00387</t>
  </si>
  <si>
    <t>C00009 + C01762</t>
  </si>
  <si>
    <t>C00009 + C20463</t>
  </si>
  <si>
    <t>C00009 + C00330</t>
  </si>
  <si>
    <t>C00009 + C00559</t>
  </si>
  <si>
    <t>C00009 + C05512</t>
  </si>
  <si>
    <t>C00009 + C03150</t>
  </si>
  <si>
    <t>C00009 + C05841</t>
  </si>
  <si>
    <t>C00002 + C00025 + C01641</t>
  </si>
  <si>
    <t>C00002 + C00010 + C00638</t>
  </si>
  <si>
    <t>C00002 + C00010 + C00249</t>
  </si>
  <si>
    <t>C00006 + C01271</t>
  </si>
  <si>
    <t>C00006 + C04618</t>
  </si>
  <si>
    <t>C00006 + C04619</t>
  </si>
  <si>
    <t>C00006 + C04620</t>
  </si>
  <si>
    <t>C00006 + C04633</t>
  </si>
  <si>
    <t>C00006 + C04688</t>
  </si>
  <si>
    <t>C00006 + C05747</t>
  </si>
  <si>
    <t>C00006 + C05757</t>
  </si>
  <si>
    <t>C00005 + C00080 + C16219</t>
  </si>
  <si>
    <t>C00005 + C00080 + C20372</t>
  </si>
  <si>
    <t>C00005 + C00080 + C20376</t>
  </si>
  <si>
    <t>C00001 + C00062</t>
  </si>
  <si>
    <t>C00001 + C00475</t>
  </si>
  <si>
    <t>C00001 + C00881</t>
  </si>
  <si>
    <t>C00001 + C16635</t>
  </si>
  <si>
    <t>C00001 + C20904</t>
  </si>
  <si>
    <t>C00001 + C01304</t>
  </si>
  <si>
    <t>C00006 + C00493</t>
  </si>
  <si>
    <t>C00006 + C02637</t>
  </si>
  <si>
    <t>C00026 + C00437</t>
  </si>
  <si>
    <t>C00002 + C00063 + C02211</t>
  </si>
  <si>
    <t>C00063 + C02211</t>
  </si>
  <si>
    <t>C00063 + C19078</t>
  </si>
  <si>
    <t>C00002 + C19080</t>
  </si>
  <si>
    <t>C00007 + C00080 + C00126</t>
  </si>
  <si>
    <t>C00001 + C00179</t>
  </si>
  <si>
    <t>C00002 + C00288 + C06250</t>
  </si>
  <si>
    <t>C00006 + C00143</t>
  </si>
  <si>
    <t>C00003 + C00186</t>
  </si>
  <si>
    <t>C00003 + C05984</t>
  </si>
  <si>
    <t>C00003 + C05823</t>
  </si>
  <si>
    <t>C00001 + C00003 + C00029</t>
  </si>
  <si>
    <t>G11112 + G13164</t>
  </si>
  <si>
    <t>C00006 + C00325</t>
  </si>
  <si>
    <t>C00005 + C00080 + C14830</t>
  </si>
  <si>
    <t>C00001 + C00002 + C00305 + C02191</t>
  </si>
  <si>
    <t>C00024 + C00100</t>
  </si>
  <si>
    <t>C00003 + C00640</t>
  </si>
  <si>
    <t>C00003 + C01144</t>
  </si>
  <si>
    <t>C00003 + C04405</t>
  </si>
  <si>
    <t>C00003 + C05258</t>
  </si>
  <si>
    <t>C00003 + C05260</t>
  </si>
  <si>
    <t>C00003 + C05262</t>
  </si>
  <si>
    <t>C00003 + C05264</t>
  </si>
  <si>
    <t>C00003 + C05266</t>
  </si>
  <si>
    <t>C00003 + C05268</t>
  </si>
  <si>
    <t>C00003 + C14145</t>
  </si>
  <si>
    <t>C00003 + C16329</t>
  </si>
  <si>
    <t>C00003 + C16333</t>
  </si>
  <si>
    <t>C00003 + C16337</t>
  </si>
  <si>
    <t>C00003 + C06714</t>
  </si>
  <si>
    <t>C00003 + C16469</t>
  </si>
  <si>
    <t>C00001 + C00003 + C00088</t>
  </si>
  <si>
    <t>C00001 + C00006 + C00088</t>
  </si>
  <si>
    <t>C00001 + C00088 + C00139</t>
  </si>
  <si>
    <t>C00244 + C00924</t>
  </si>
  <si>
    <t>C00001 + C05357 + C06697</t>
  </si>
  <si>
    <t>C00001 + C00125 + C06697</t>
  </si>
  <si>
    <t>C00026 + C00334</t>
  </si>
  <si>
    <t>C00026 + C00099</t>
  </si>
  <si>
    <t>C00001 + C00301</t>
  </si>
  <si>
    <t>C00001 + C00357</t>
  </si>
  <si>
    <t>C00002 + C00009 + C00022</t>
  </si>
  <si>
    <t>C00044 + C06509</t>
  </si>
  <si>
    <t>C00001 + C00354</t>
  </si>
  <si>
    <t>C00001 + C05378</t>
  </si>
  <si>
    <t>C00001 + C00447</t>
  </si>
  <si>
    <t>C00002 + C04122 + C06507</t>
  </si>
  <si>
    <t>C00002 + C03194 + C06507</t>
  </si>
  <si>
    <t>C00001 + C04778</t>
  </si>
  <si>
    <t>C00001 + C21153</t>
  </si>
  <si>
    <t>C00144 + C00194</t>
  </si>
  <si>
    <t>C04778 + C06510</t>
  </si>
  <si>
    <t>C00002 + C03024 + C06504</t>
  </si>
  <si>
    <t>C00002 + C06505</t>
  </si>
  <si>
    <t>C00003 + C02463</t>
  </si>
  <si>
    <t>C00001 + C00139 + C00283</t>
  </si>
  <si>
    <t>C00001 + C00139 + C01528</t>
  </si>
  <si>
    <t>C04327 + C04752</t>
  </si>
  <si>
    <t>C00001 + C00007 + C00037</t>
  </si>
  <si>
    <t>C00007 + C00037</t>
  </si>
  <si>
    <t>C00001 + C15809</t>
  </si>
  <si>
    <t>C00001 + C00007 + C00133</t>
  </si>
  <si>
    <t>C00001 + C00007 + C00213</t>
  </si>
  <si>
    <t>C00001 + C00007 + C11735</t>
  </si>
  <si>
    <t>C00019 + C03373</t>
  </si>
  <si>
    <t>C00002 + C00010 + C02730</t>
  </si>
  <si>
    <t>C00001 + C01045</t>
  </si>
  <si>
    <t>C00009 + C00024</t>
  </si>
  <si>
    <t>C00009 + C00100</t>
  </si>
  <si>
    <t>C00003 + C01089</t>
  </si>
  <si>
    <t>C00001 + C01153</t>
  </si>
  <si>
    <t>C00001 + C01081</t>
  </si>
  <si>
    <t>C00001 + C03360</t>
  </si>
  <si>
    <t>C00001 + C00111</t>
  </si>
  <si>
    <t>C00001 + C04895</t>
  </si>
  <si>
    <t>C00001 + C00003 + C00071</t>
  </si>
  <si>
    <t>C00001 + C00003 + C00084</t>
  </si>
  <si>
    <t>C00001 + C00003 + C05665</t>
  </si>
  <si>
    <t>C00001 + C00003 + C00577</t>
  </si>
  <si>
    <t>C00001 + C00003 + C00555</t>
  </si>
  <si>
    <t>C00001 + C00003 + C00637</t>
  </si>
  <si>
    <t>C00001 + C00003 + C05985</t>
  </si>
  <si>
    <t>C00001 + C00003 + C01149</t>
  </si>
  <si>
    <t>C00001 + C00003 + C06002</t>
  </si>
  <si>
    <t>C00001 + C00003 + C05130</t>
  </si>
  <si>
    <t>C00001 + C00003 + C05445</t>
  </si>
  <si>
    <t>C00001 + C00003 + C05634</t>
  </si>
  <si>
    <t>C00001 + C00003 + C05936</t>
  </si>
  <si>
    <t>C00001 + C00003 + C06754</t>
  </si>
  <si>
    <t>C00001 + C00003 + C02576</t>
  </si>
  <si>
    <t>C00001 + C00003 + C03461</t>
  </si>
  <si>
    <t>C00001 + C00006 + C00433</t>
  </si>
  <si>
    <t>C00001 + C00006 + C00555</t>
  </si>
  <si>
    <t>C00001 + C00003 + C02670</t>
  </si>
  <si>
    <t>C00001 + C06613</t>
  </si>
  <si>
    <t>C00001 + C16348</t>
  </si>
  <si>
    <t>C00002 + C00010 + C07086</t>
  </si>
  <si>
    <t>C00007 + C01161</t>
  </si>
  <si>
    <t>C00004 + C00007 + C00080 + C00642</t>
  </si>
  <si>
    <t>C00004 + C00007 + C00080 + C05593</t>
  </si>
  <si>
    <t>C00001 + C00003 + C04642</t>
  </si>
  <si>
    <t>C00022 + C00441</t>
  </si>
  <si>
    <t>C00175 + C05778</t>
  </si>
  <si>
    <t>C00007 + C00049</t>
  </si>
  <si>
    <t>C00001 + C00007 + C00049</t>
  </si>
  <si>
    <t>C00001 + C00009 + C03722</t>
  </si>
  <si>
    <t>C00011 + C00013 + C01185</t>
  </si>
  <si>
    <t>C00001 + C01010</t>
  </si>
  <si>
    <t>C00016 + C00154</t>
  </si>
  <si>
    <t>C00016 + C01944</t>
  </si>
  <si>
    <t>C00016 + C01832</t>
  </si>
  <si>
    <t>C00016 + C02593</t>
  </si>
  <si>
    <t>C00016 + C02939</t>
  </si>
  <si>
    <t>C00016 + C05274</t>
  </si>
  <si>
    <t>C00001 + C00071 + C00139</t>
  </si>
  <si>
    <t>C00001 + C00139 + C00577</t>
  </si>
  <si>
    <t>C00409 + C01077</t>
  </si>
  <si>
    <t>C00283 + C01077</t>
  </si>
  <si>
    <t>C00001 + C00021</t>
  </si>
  <si>
    <t>C00001 + C00003 + C00424</t>
  </si>
  <si>
    <t>C00001 + C00003 + C00546</t>
  </si>
  <si>
    <t>C00097 + C01118</t>
  </si>
  <si>
    <t>C00001 + C01118</t>
  </si>
  <si>
    <t>C00283 + C01118</t>
  </si>
  <si>
    <t>C00042 + C00542</t>
  </si>
  <si>
    <t>C00097 + C01077</t>
  </si>
  <si>
    <t>C05688 + C05702</t>
  </si>
  <si>
    <t>C00026 + C00049</t>
  </si>
  <si>
    <t>C00026 + C00079</t>
  </si>
  <si>
    <t>C00026 + C00082</t>
  </si>
  <si>
    <t>C00026 + C00097</t>
  </si>
  <si>
    <t>C00026 + C00506</t>
  </si>
  <si>
    <t>C00026 + C00606</t>
  </si>
  <si>
    <t>C00026 + C05947</t>
  </si>
  <si>
    <t>C00003 + C00009 + C00118</t>
  </si>
  <si>
    <t>C00177 + C00320</t>
  </si>
  <si>
    <t>C00064 + C00251</t>
  </si>
  <si>
    <t>C00014 + C00251</t>
  </si>
  <si>
    <t>C00155 + C00440</t>
  </si>
  <si>
    <t>C04489 + C05698</t>
  </si>
  <si>
    <t>C00008 + C00009 + C00013 + C01185</t>
  </si>
  <si>
    <t>C00002 + C11736</t>
  </si>
  <si>
    <t>G10553 + G10554</t>
  </si>
  <si>
    <t>G10555 + G10557</t>
  </si>
  <si>
    <t>C00002 + C00993 + C05892</t>
  </si>
  <si>
    <t>C00002 + C00993 + C04877</t>
  </si>
  <si>
    <t>C00002 + C00217 + C01212</t>
  </si>
  <si>
    <t>C00043 + C04851</t>
  </si>
  <si>
    <t>G10552 + G10610</t>
  </si>
  <si>
    <t>C00043 + C05897</t>
  </si>
  <si>
    <t>G10551 + G10610</t>
  </si>
  <si>
    <t>G10556 + G10610</t>
  </si>
  <si>
    <t>C00002 + C00041 + C01050</t>
  </si>
  <si>
    <t>C00006 + C01050</t>
  </si>
  <si>
    <t>C00003 + C01050</t>
  </si>
  <si>
    <t>C00045 + C03193</t>
  </si>
  <si>
    <t>C00245 + C03193</t>
  </si>
  <si>
    <t>C00045 + C02166</t>
  </si>
  <si>
    <t>C00001 + C02320</t>
  </si>
  <si>
    <t>C00025 + C02512</t>
  </si>
  <si>
    <t>C00025 + C05670</t>
  </si>
  <si>
    <t>C00005 + C00080 + C15602</t>
  </si>
  <si>
    <t>C00009 + C00718</t>
  </si>
  <si>
    <t>C00009 + G10495</t>
  </si>
  <si>
    <t>C00009 + C00369</t>
  </si>
  <si>
    <t>C00009 + G10545</t>
  </si>
  <si>
    <t>C00001 + C01167</t>
  </si>
  <si>
    <t>C00025 + C00437</t>
  </si>
  <si>
    <t>C00006 + C00009 + C01250</t>
  </si>
  <si>
    <t>C00077 + C00169</t>
  </si>
  <si>
    <t>C00001 + C00022 + C00024</t>
  </si>
  <si>
    <t>C00010 + C02504</t>
  </si>
  <si>
    <t>C00006 + C04272</t>
  </si>
  <si>
    <t>C00005 + C00080 + C00900</t>
  </si>
  <si>
    <t>C00006 + C06007</t>
  </si>
  <si>
    <t>C00011 + C00900</t>
  </si>
  <si>
    <t>C00011 + C06010</t>
  </si>
  <si>
    <t>C00068 + C00900</t>
  </si>
  <si>
    <t>C00068 + C06010</t>
  </si>
  <si>
    <t>C00006 + C00342</t>
  </si>
  <si>
    <t>C00006 + C00051 + C00097</t>
  </si>
  <si>
    <t>C00001 + C00006 + C01528</t>
  </si>
  <si>
    <t>C00080 + C00704</t>
  </si>
  <si>
    <t>C00006 + C00009 + C00441</t>
  </si>
  <si>
    <t>C00002 + C00010 + C00042</t>
  </si>
  <si>
    <t>C00002 + C00010 + C00490</t>
  </si>
  <si>
    <t>C00031 + C00718</t>
  </si>
  <si>
    <t>C00031 + G10495</t>
  </si>
  <si>
    <t>C00006 + C01144</t>
  </si>
  <si>
    <t>C00006 + C05116</t>
  </si>
  <si>
    <t>C00003 + C00188</t>
  </si>
  <si>
    <t>C00001 + C02133</t>
  </si>
  <si>
    <t>C00001 + C00227</t>
  </si>
  <si>
    <t>C00001 + C06206</t>
  </si>
  <si>
    <t>C00001 + C00236</t>
  </si>
  <si>
    <t>C00011 + C00233</t>
  </si>
  <si>
    <t>C00003 + C04411</t>
  </si>
  <si>
    <t>C00004 + C00011 + C00080 + C00109</t>
  </si>
  <si>
    <t>C00002 + C00010 + C00033</t>
  </si>
  <si>
    <t>C00010 + C05993</t>
  </si>
  <si>
    <t>C00002 + C00010 + C00163</t>
  </si>
  <si>
    <t>C00010 + C05983</t>
  </si>
  <si>
    <t>C00002 + C00037 + C03090</t>
  </si>
  <si>
    <t>C00001 + C00445 + C03838</t>
  </si>
  <si>
    <t>C00001 + C00074 + C00279</t>
  </si>
  <si>
    <t>C00003 + C00826</t>
  </si>
  <si>
    <t>C00028 + C00160</t>
  </si>
  <si>
    <t>C00016 + C00527</t>
  </si>
  <si>
    <t>C00006 + C00160</t>
  </si>
  <si>
    <t>C00006 + C00258</t>
  </si>
  <si>
    <t>C00003 + C00937</t>
  </si>
  <si>
    <t>C00049 + C00169</t>
  </si>
  <si>
    <t>C00001 + C00337</t>
  </si>
  <si>
    <t>C00122 + C00337</t>
  </si>
  <si>
    <t>C00006 + C00311</t>
  </si>
  <si>
    <t>C00001 + C02739</t>
  </si>
  <si>
    <t>C00002 + C00049 + C01638</t>
  </si>
  <si>
    <t>C00042 + C15602</t>
  </si>
  <si>
    <t>C00042 + C00399</t>
  </si>
  <si>
    <t>C01209 + C03939</t>
  </si>
  <si>
    <t>C01209 + C05223</t>
  </si>
  <si>
    <t>C01209 + C05745</t>
  </si>
  <si>
    <t>C01209 + C05749</t>
  </si>
  <si>
    <t>C01209 + C05752</t>
  </si>
  <si>
    <t>C01209 + C05755</t>
  </si>
  <si>
    <t>C01209 + C05761</t>
  </si>
  <si>
    <t>C01209 + C05764</t>
  </si>
  <si>
    <t>C01209 + C19673</t>
  </si>
  <si>
    <t>C01209 + C20375</t>
  </si>
  <si>
    <t>C00001 + C00286</t>
  </si>
  <si>
    <t>C00008 + C00673</t>
  </si>
  <si>
    <t>C00026 + C01100</t>
  </si>
  <si>
    <t>C00004 + C00080 + C00399</t>
  </si>
  <si>
    <t>C00002 + C00010 + C00164</t>
  </si>
  <si>
    <t>C00001 + C00003 + C00860</t>
  </si>
  <si>
    <t>C00001 + C00003 + C01929</t>
  </si>
  <si>
    <t>C00003 + C00860</t>
  </si>
  <si>
    <t>C00006 + C02953</t>
  </si>
  <si>
    <t>C00006 + C00272</t>
  </si>
  <si>
    <t>C00006 + C21640</t>
  </si>
  <si>
    <t>C00118 + C05382</t>
  </si>
  <si>
    <t>C00006 + C11434</t>
  </si>
  <si>
    <t>C00003 + C00148</t>
  </si>
  <si>
    <t>C00006 + C00148</t>
  </si>
  <si>
    <t>C00003 + C01157</t>
  </si>
  <si>
    <t>C00006 + C01157</t>
  </si>
  <si>
    <t>C00007 + C01079</t>
  </si>
  <si>
    <t>C00003 + C01507</t>
  </si>
  <si>
    <t>C00003 + C00794</t>
  </si>
  <si>
    <t>C00003 + C00379</t>
  </si>
  <si>
    <t>C00002 + C01647 + C05335</t>
  </si>
  <si>
    <t>C00004 + C00080 + C15498</t>
  </si>
  <si>
    <t>C15498 + C16832</t>
  </si>
  <si>
    <t>C15498 + C15973</t>
  </si>
  <si>
    <t>C00065 + C00463</t>
  </si>
  <si>
    <t>C00065 + C03506</t>
  </si>
  <si>
    <t>C00003 + C00039 + C02128</t>
  </si>
  <si>
    <t>C00134 + C01137</t>
  </si>
  <si>
    <t>C01137 + C01672</t>
  </si>
  <si>
    <t>C00003 + C00149</t>
  </si>
  <si>
    <t>C00003 + C11537</t>
  </si>
  <si>
    <t>C00002 + C00049</t>
  </si>
  <si>
    <t>C00019 + C00240</t>
  </si>
  <si>
    <t>C00002 + C00255</t>
  </si>
  <si>
    <t>C00037 + C02051</t>
  </si>
  <si>
    <t>C00101 + C01242</t>
  </si>
  <si>
    <t>C00001 + C00141 + C00143</t>
  </si>
  <si>
    <t>C00016 + C00093</t>
  </si>
  <si>
    <t>C00001 + C03880</t>
  </si>
  <si>
    <t>C00001 + C00170</t>
  </si>
  <si>
    <t>C00002 + C00014 + C00655</t>
  </si>
  <si>
    <t>C00001 + C00002 + C00064 + C00655</t>
  </si>
  <si>
    <t>C00001 + C00002 + C00064 + C16618</t>
  </si>
  <si>
    <t>C00002 + C00288 + C03069</t>
  </si>
  <si>
    <t>C00004 + C00080 + C15602</t>
  </si>
  <si>
    <t>C00003 + C00390</t>
  </si>
  <si>
    <t>C00001 + C01102</t>
  </si>
  <si>
    <t>C00001 + C06055</t>
  </si>
  <si>
    <t>C00003 + C00263</t>
  </si>
  <si>
    <t>C00006 + C00263</t>
  </si>
  <si>
    <t>C00001 + G00275</t>
  </si>
  <si>
    <t>C00003 + C00226</t>
  </si>
  <si>
    <t>C00003 + C00469</t>
  </si>
  <si>
    <t>C00003 + C00473</t>
  </si>
  <si>
    <t>C00003 + C00756</t>
  </si>
  <si>
    <t>C00003 + C05444</t>
  </si>
  <si>
    <t>C00003 + C05576</t>
  </si>
  <si>
    <t>C00003 + C06611</t>
  </si>
  <si>
    <t>C00003 + C06612</t>
  </si>
  <si>
    <t>C00003 + C14089</t>
  </si>
  <si>
    <t>C00003 + C02909</t>
  </si>
  <si>
    <t>C00004 + C00080 + C07645</t>
  </si>
  <si>
    <t>C00003 + C16586</t>
  </si>
  <si>
    <t>C00003 + C00114</t>
  </si>
  <si>
    <t>C00006 + C00114</t>
  </si>
  <si>
    <t>C00004 + C00080 + C16310</t>
  </si>
  <si>
    <t>C00003 + C01612</t>
  </si>
  <si>
    <t>C00003 + C16595</t>
  </si>
  <si>
    <t>C00003 + C00418</t>
  </si>
  <si>
    <t>C00004 + C00080 + C06899</t>
  </si>
  <si>
    <t>C00001 + C00352</t>
  </si>
  <si>
    <t>C00007 + C01847 + C18091</t>
  </si>
  <si>
    <t>C00118 + C05345</t>
  </si>
  <si>
    <t>C00117 + C12214</t>
  </si>
  <si>
    <t>C00068 + C00231</t>
  </si>
  <si>
    <t>C00068 + C05382</t>
  </si>
  <si>
    <t>C00615 + C01159</t>
  </si>
  <si>
    <t>C00006 + C00025</t>
  </si>
  <si>
    <t>C00001 + C00006 + C00025</t>
  </si>
  <si>
    <t>C00043 + C00074</t>
  </si>
  <si>
    <t>C00003 + C01096</t>
  </si>
  <si>
    <t>C00001 + C00458</t>
  </si>
  <si>
    <t>C00013 + C02739</t>
  </si>
  <si>
    <t>C00026 + C00123</t>
  </si>
  <si>
    <t>C00026 + C00183</t>
  </si>
  <si>
    <t>C00026 + C00407</t>
  </si>
  <si>
    <t>C00026 + C02356</t>
  </si>
  <si>
    <t>C00027 + C00132</t>
  </si>
  <si>
    <t>C00007 + C00632</t>
  </si>
  <si>
    <t>C00010 + C00158</t>
  </si>
  <si>
    <t>C00001 + C00003 + C00041</t>
  </si>
  <si>
    <t>C00001 + C00003 + C00037</t>
  </si>
  <si>
    <t>C00013 + C00130</t>
  </si>
  <si>
    <t>C00013 + C00144</t>
  </si>
  <si>
    <t>C00013 + C00655</t>
  </si>
  <si>
    <t>C00119 + C02380</t>
  </si>
  <si>
    <t>C00119 + C16614</t>
  </si>
  <si>
    <t>C00119 + C07648</t>
  </si>
  <si>
    <t>C00003 + C02143</t>
  </si>
  <si>
    <t>C00003 + C01019</t>
  </si>
  <si>
    <t>C00003 + C01825</t>
  </si>
  <si>
    <t>C00044 + C00049 + C00130</t>
  </si>
  <si>
    <t>C00013 + C04302</t>
  </si>
  <si>
    <t>C00001 + C00003 + C01165</t>
  </si>
  <si>
    <t>C00001 + C00003 + C03912</t>
  </si>
  <si>
    <t>C00001 + C00006 + C03912</t>
  </si>
  <si>
    <t>C00001 + C00003 + C04281</t>
  </si>
  <si>
    <t>C00001 + C00006 + C04281</t>
  </si>
  <si>
    <t>C00004 + C00080 + C05947</t>
  </si>
  <si>
    <t>C00001 + C00006 + C01165</t>
  </si>
  <si>
    <t>C00148 + C15602</t>
  </si>
  <si>
    <t>C00024 + C00037</t>
  </si>
  <si>
    <t>C00075 + C04501</t>
  </si>
  <si>
    <t>C00001 + C03899</t>
  </si>
  <si>
    <t>C00001 + C03451</t>
  </si>
  <si>
    <t>C00009 + C00013 + C00019</t>
  </si>
  <si>
    <t>C00001 + C00002 + C05335</t>
  </si>
  <si>
    <t>C00001 + C00201</t>
  </si>
  <si>
    <t>C00001 + C00002</t>
  </si>
  <si>
    <t>C00001 + C00068</t>
  </si>
  <si>
    <t>C07292 + C11215</t>
  </si>
  <si>
    <t>C00019 + C19847</t>
  </si>
  <si>
    <t>C00001 + C00152</t>
  </si>
  <si>
    <t>C00002 + C00624</t>
  </si>
  <si>
    <t>C00011 + C00080 + C00091 + C00138</t>
  </si>
  <si>
    <t>C00002 + C00454</t>
  </si>
  <si>
    <t>C00002 + C00008</t>
  </si>
  <si>
    <t>C00002 + C11038</t>
  </si>
  <si>
    <t>C00002 + C00015</t>
  </si>
  <si>
    <t>C00002 + C00035</t>
  </si>
  <si>
    <t>C00002 + C00112</t>
  </si>
  <si>
    <t>C00002 + C00104</t>
  </si>
  <si>
    <t>C00002 + C00206</t>
  </si>
  <si>
    <t>C00002 + C00361</t>
  </si>
  <si>
    <t>C00002 + C00363</t>
  </si>
  <si>
    <t>C00002 + C00705</t>
  </si>
  <si>
    <t>C00002 + C01346</t>
  </si>
  <si>
    <t>C00002 + C01344</t>
  </si>
  <si>
    <t>C00002 + C22442</t>
  </si>
  <si>
    <t>C00002 + C21748</t>
  </si>
  <si>
    <t>C00002 + C21750</t>
  </si>
  <si>
    <t>C00568 + C04807</t>
  </si>
  <si>
    <t>C00568 + C01300</t>
  </si>
  <si>
    <t>C00024 + C03803</t>
  </si>
  <si>
    <t>C00001 + C00931</t>
  </si>
  <si>
    <t>C00024 + C15973</t>
  </si>
  <si>
    <t>C00022 + C15972</t>
  </si>
  <si>
    <t>C05125 + C15972</t>
  </si>
  <si>
    <t>C00001 + C01419</t>
  </si>
  <si>
    <t>C00001 + C05729</t>
  </si>
  <si>
    <t>C00002 + C00036</t>
  </si>
  <si>
    <t>C00125 + C15603</t>
  </si>
  <si>
    <t>C00125 + C00390</t>
  </si>
  <si>
    <t>C00001 + C00437</t>
  </si>
  <si>
    <t>C00001 + C15532</t>
  </si>
  <si>
    <t>C00001 + C00044</t>
  </si>
  <si>
    <t>C00001 + C05922</t>
  </si>
  <si>
    <t>C00001 + C01261</t>
  </si>
  <si>
    <t>C00001 + C01260</t>
  </si>
  <si>
    <t>C00001 + C06198</t>
  </si>
  <si>
    <t>C00001 + C04392</t>
  </si>
  <si>
    <t>C00234 + C02430</t>
  </si>
  <si>
    <t>C00001 + C11439</t>
  </si>
  <si>
    <t>C00001 + C04258</t>
  </si>
  <si>
    <t>C00003 + C00173</t>
  </si>
  <si>
    <t>C00003 + C05745</t>
  </si>
  <si>
    <t>C00003 + C05223</t>
  </si>
  <si>
    <t>C00003 + C05749</t>
  </si>
  <si>
    <t>C00003 + C05752</t>
  </si>
  <si>
    <t>C00003 + C05755</t>
  </si>
  <si>
    <t>C00003 + C05761</t>
  </si>
  <si>
    <t>C00003 + C05764</t>
  </si>
  <si>
    <t>C00004 + C00080 + C16221</t>
  </si>
  <si>
    <t>C00138 + C11453</t>
  </si>
  <si>
    <t>C00006 + C00009 + C01165</t>
  </si>
  <si>
    <t>C00002 + C01097</t>
  </si>
  <si>
    <t>C00001 + C00013</t>
  </si>
  <si>
    <t>C00001 + C03120</t>
  </si>
  <si>
    <t>C00001 + C00670</t>
  </si>
  <si>
    <t>C00001 + C01233</t>
  </si>
  <si>
    <t>C00039 * C00677</t>
  </si>
  <si>
    <t>C00039 * C00131</t>
  </si>
  <si>
    <t>C00039 * C00286</t>
  </si>
  <si>
    <t>C00039 * C00458</t>
  </si>
  <si>
    <t>C00039 * C00459</t>
  </si>
  <si>
    <t>C00022 * C00044</t>
  </si>
  <si>
    <t>C00022 * C00063</t>
  </si>
  <si>
    <t>C00022 * C00075</t>
  </si>
  <si>
    <t>C00022 * C00081</t>
  </si>
  <si>
    <t>C00022 * C00131</t>
  </si>
  <si>
    <t>C00022 * C00286</t>
  </si>
  <si>
    <t>C00022 * C00201</t>
  </si>
  <si>
    <t>C00283 * C00979</t>
  </si>
  <si>
    <t>C00080 * C00320 * C00342 * C00979</t>
  </si>
  <si>
    <t>C00283 * C01005</t>
  </si>
  <si>
    <t>C00001 * C02520</t>
  </si>
  <si>
    <t>C00001 * C00020</t>
  </si>
  <si>
    <t>C00001 * C00055</t>
  </si>
  <si>
    <t>C00001 * C00105</t>
  </si>
  <si>
    <t>C00001 * C00130</t>
  </si>
  <si>
    <t>C00001 * C00144</t>
  </si>
  <si>
    <t>C00001 * C00455</t>
  </si>
  <si>
    <t>C00001 * C00655</t>
  </si>
  <si>
    <t>C00001 * C01185</t>
  </si>
  <si>
    <t>C00001 * C00364</t>
  </si>
  <si>
    <t>C00001 * C00239</t>
  </si>
  <si>
    <t>C00001 * C00362</t>
  </si>
  <si>
    <t>C00001 * C00360</t>
  </si>
  <si>
    <t>C00001 * C00365</t>
  </si>
  <si>
    <t>C00001 * C06196</t>
  </si>
  <si>
    <t>C00001 * C00003 * C00130</t>
  </si>
  <si>
    <t>C00001 * C00003 * C04646</t>
  </si>
  <si>
    <t>C00008 * C00009 * C00025 * C03402</t>
  </si>
  <si>
    <t>C00001 * C01100</t>
  </si>
  <si>
    <t>C00001 * C00153</t>
  </si>
  <si>
    <t>C00001 * C00241</t>
  </si>
  <si>
    <t>C00006 * C00440</t>
  </si>
  <si>
    <t>C00003 * C00440</t>
  </si>
  <si>
    <t>C04253 * C20675</t>
  </si>
  <si>
    <t>C00016 * C00136</t>
  </si>
  <si>
    <t>C00016 * C05270</t>
  </si>
  <si>
    <t>C00028 * C00630</t>
  </si>
  <si>
    <t>C00028 * C15980</t>
  </si>
  <si>
    <t>C00100 * C04253</t>
  </si>
  <si>
    <t>C00129 * C00448</t>
  </si>
  <si>
    <t>C00001 * C00024 * C00026</t>
  </si>
  <si>
    <t>C00002 * C00014 * C00857</t>
  </si>
  <si>
    <t>C00001 * G10481</t>
  </si>
  <si>
    <t>C00001 * C00760</t>
  </si>
  <si>
    <t>C00003 * C00005 * C00080</t>
  </si>
  <si>
    <t>C00007 * C00186</t>
  </si>
  <si>
    <t>C00003 * C16832</t>
  </si>
  <si>
    <t>C00003 * C02972</t>
  </si>
  <si>
    <t>C00003 * C15973</t>
  </si>
  <si>
    <t>C00003 * C00579</t>
  </si>
  <si>
    <t>C15973 * C15980</t>
  </si>
  <si>
    <t>C00068 * C00141</t>
  </si>
  <si>
    <t>C15972 * C15976</t>
  </si>
  <si>
    <t>C00068 * C00233</t>
  </si>
  <si>
    <t>C15972 * C15974</t>
  </si>
  <si>
    <t>C00068 * C00671</t>
  </si>
  <si>
    <t>C15972 * C15978</t>
  </si>
  <si>
    <t>C00068 * C00109</t>
  </si>
  <si>
    <t>C15972 * C21017</t>
  </si>
  <si>
    <t>C00103 * C00459</t>
  </si>
  <si>
    <t>C00001 * C03460</t>
  </si>
  <si>
    <t>C00001 * C00877</t>
  </si>
  <si>
    <t>C00001 * C11946</t>
  </si>
  <si>
    <t>C00001 * C11945</t>
  </si>
  <si>
    <t>C00001 * C14144</t>
  </si>
  <si>
    <t>C00001 * C16468</t>
  </si>
  <si>
    <t>C00002 * C00049 * C00327</t>
  </si>
  <si>
    <t>C00001 * C00064</t>
  </si>
  <si>
    <t>C00001 * C00002 * C00064 * C00288</t>
  </si>
  <si>
    <t>C00002 * C00014 * C00288</t>
  </si>
  <si>
    <t>C00002 * C00058 * C00101</t>
  </si>
  <si>
    <t>C00001 * C20905</t>
  </si>
  <si>
    <t>C00002 * C00099 * C00522</t>
  </si>
  <si>
    <t>C00009 * C00214</t>
  </si>
  <si>
    <t>C00009 * C00299</t>
  </si>
  <si>
    <t>C00009 * C00475</t>
  </si>
  <si>
    <t>C00009 * C00526</t>
  </si>
  <si>
    <t>C00009 * C03169</t>
  </si>
  <si>
    <t>C00022 * C00065</t>
  </si>
  <si>
    <t>C00001 * C04574</t>
  </si>
  <si>
    <t>C00063 * C11434</t>
  </si>
  <si>
    <t>C00002 * C11435</t>
  </si>
  <si>
    <t>C00001 * C20267</t>
  </si>
  <si>
    <t>C00001 * C00378</t>
  </si>
  <si>
    <t>C00001 * C19713</t>
  </si>
  <si>
    <t>C00009 * C00046</t>
  </si>
  <si>
    <t>C00013 * C01103</t>
  </si>
  <si>
    <t>C00119 * C07649</t>
  </si>
  <si>
    <t>C00003 * C00093</t>
  </si>
  <si>
    <t>C00006 * C00093</t>
  </si>
  <si>
    <t>C00001 * C03586</t>
  </si>
  <si>
    <t>C00097 * C15811</t>
  </si>
  <si>
    <t>C02743 * C15812</t>
  </si>
  <si>
    <t>C00046 * C00201</t>
  </si>
  <si>
    <t>C00046 * C00063</t>
  </si>
  <si>
    <t>C00046 * C00075</t>
  </si>
  <si>
    <t>C00001 * C00040</t>
  </si>
  <si>
    <t>C00125 * C00256</t>
  </si>
  <si>
    <t>C00001 * C00395</t>
  </si>
  <si>
    <t>C00001 * C05551</t>
  </si>
  <si>
    <t>G10495 * G11109</t>
  </si>
  <si>
    <t>C00080 * C00138 * C11811</t>
  </si>
  <si>
    <t>C00001 * C00139 * C00235</t>
  </si>
  <si>
    <t>C00001 * C00003 * C00025</t>
  </si>
  <si>
    <t>C00001 * C00003 * C05167</t>
  </si>
  <si>
    <t>C00001 * C00006 * C05167</t>
  </si>
  <si>
    <t>C00003 * C00197</t>
  </si>
  <si>
    <t>C00003 * C02630</t>
  </si>
  <si>
    <t>C00315 * C07281</t>
  </si>
  <si>
    <t>C00003 * C00315</t>
  </si>
  <si>
    <t>C00004 * C00080 * C15854</t>
  </si>
  <si>
    <t>C07281 * C15853</t>
  </si>
  <si>
    <t>C07281 * C15854</t>
  </si>
  <si>
    <t>C02743 * C04250</t>
  </si>
  <si>
    <t>C00001 * C00208</t>
  </si>
  <si>
    <t>C00001 * C00089</t>
  </si>
  <si>
    <t>C00001 * G00370</t>
  </si>
  <si>
    <t>C00002 * C22441</t>
  </si>
  <si>
    <t>C00001 * C00037 * C00143</t>
  </si>
  <si>
    <t>C00013 * C00025 * C03090</t>
  </si>
  <si>
    <t>C00001 * C00002 * C00064 * C04376</t>
  </si>
  <si>
    <t>C00002 * C00049 * C04751</t>
  </si>
  <si>
    <t>C00005 * C00080 * C02987</t>
  </si>
  <si>
    <t>C00001 * C00002 * C00022</t>
  </si>
  <si>
    <t>C00001 * C15585</t>
  </si>
  <si>
    <t>C00001 * C01177</t>
  </si>
  <si>
    <t>C00001 * C03546</t>
  </si>
  <si>
    <t>C00001 * C04006</t>
  </si>
  <si>
    <t>C00001 * C00343 * C04232</t>
  </si>
  <si>
    <t>C00001 * C00206 * C00343</t>
  </si>
  <si>
    <t>C00001 * C00343 * C01346</t>
  </si>
  <si>
    <t>C00001 * C00343 * C00361</t>
  </si>
  <si>
    <t>C00001 * C00343 * C00705</t>
  </si>
  <si>
    <t>C00001 * C04232 * C16664</t>
  </si>
  <si>
    <t>C00001 * C03170 * C04232</t>
  </si>
  <si>
    <t>C00001 * C00343 * C21750</t>
  </si>
  <si>
    <t>C00013 * C00020</t>
  </si>
  <si>
    <t>C00013 * C04677</t>
  </si>
  <si>
    <t>C00002 * C00080 * C03479</t>
  </si>
  <si>
    <t>C00001 * C00562</t>
  </si>
  <si>
    <t>C00002 * C00014 * C00075</t>
  </si>
  <si>
    <t>C00001 * C00002 * C00064 * C00075</t>
  </si>
  <si>
    <t>C00003 * C05662</t>
  </si>
  <si>
    <t>C00001 * C02999</t>
  </si>
  <si>
    <t>C00002 * C00025 * C00921</t>
  </si>
  <si>
    <t>C00002 * C00025 * C00234</t>
  </si>
  <si>
    <t>C00002 * C00014 * C00025</t>
  </si>
  <si>
    <t>C00001 * C00234</t>
  </si>
  <si>
    <t>C00001 * C00043</t>
  </si>
  <si>
    <t>C00015 * C00645</t>
  </si>
  <si>
    <t>C00013 * C00105</t>
  </si>
  <si>
    <t>C00010 * C00149</t>
  </si>
  <si>
    <t>C00001 * C11536</t>
  </si>
  <si>
    <t>C00009 * C15586</t>
  </si>
  <si>
    <t>C00009 * C00212</t>
  </si>
  <si>
    <t>C00009 * C00294</t>
  </si>
  <si>
    <t>C00009 * C00387</t>
  </si>
  <si>
    <t>C00009 * C01762</t>
  </si>
  <si>
    <t>C00009 * C20463</t>
  </si>
  <si>
    <t>C00009 * C00330</t>
  </si>
  <si>
    <t>C00009 * C00559</t>
  </si>
  <si>
    <t>C00009 * C05512</t>
  </si>
  <si>
    <t>C00009 * C03150</t>
  </si>
  <si>
    <t>C00009 * C05841</t>
  </si>
  <si>
    <t>C00002 * C00025 * C01641</t>
  </si>
  <si>
    <t>C00002 * C00010 * C00638</t>
  </si>
  <si>
    <t>C00002 * C00010 * C00249</t>
  </si>
  <si>
    <t>C00006 * C01271</t>
  </si>
  <si>
    <t>C00006 * C04618</t>
  </si>
  <si>
    <t>C00006 * C04619</t>
  </si>
  <si>
    <t>C00006 * C04620</t>
  </si>
  <si>
    <t>C00006 * C04633</t>
  </si>
  <si>
    <t>C00006 * C04688</t>
  </si>
  <si>
    <t>C00006 * C05747</t>
  </si>
  <si>
    <t>C00006 * C05757</t>
  </si>
  <si>
    <t>C00005 * C00080 * C16219</t>
  </si>
  <si>
    <t>C00005 * C00080 * C20372</t>
  </si>
  <si>
    <t>C00005 * C00080 * C20376</t>
  </si>
  <si>
    <t>C00001 * C00062</t>
  </si>
  <si>
    <t>C00001 * C00475</t>
  </si>
  <si>
    <t>C00001 * C00881</t>
  </si>
  <si>
    <t>C00001 * C16635</t>
  </si>
  <si>
    <t>C00001 * C20904</t>
  </si>
  <si>
    <t>C00001 * C01304</t>
  </si>
  <si>
    <t>C00006 * C00493</t>
  </si>
  <si>
    <t>C00006 * C02637</t>
  </si>
  <si>
    <t>C00026 * C00437</t>
  </si>
  <si>
    <t>C00002 * C00063 * C02211</t>
  </si>
  <si>
    <t>C00063 * C02211</t>
  </si>
  <si>
    <t>C00063 * C19078</t>
  </si>
  <si>
    <t>C00002 * C19080</t>
  </si>
  <si>
    <t>C00007 * C00080 * C00126</t>
  </si>
  <si>
    <t>C00001 * C00179</t>
  </si>
  <si>
    <t>C00002 * C00288 * C06250</t>
  </si>
  <si>
    <t>C00006 * C00143</t>
  </si>
  <si>
    <t>C00003 * C00186</t>
  </si>
  <si>
    <t>C00003 * C05984</t>
  </si>
  <si>
    <t>C00003 * C05823</t>
  </si>
  <si>
    <t>C00001 * C00003 * C00029</t>
  </si>
  <si>
    <t>G11112 * G13164</t>
  </si>
  <si>
    <t>C00006 * C00325</t>
  </si>
  <si>
    <t>C00005 * C00080 * C14830</t>
  </si>
  <si>
    <t>C00001 * C00002 * C00305 * C02191</t>
  </si>
  <si>
    <t>C00024 * C00100</t>
  </si>
  <si>
    <t>C00003 * C00640</t>
  </si>
  <si>
    <t>C00003 * C01144</t>
  </si>
  <si>
    <t>C00003 * C04405</t>
  </si>
  <si>
    <t>C00003 * C05258</t>
  </si>
  <si>
    <t>C00003 * C05260</t>
  </si>
  <si>
    <t>C00003 * C05262</t>
  </si>
  <si>
    <t>C00003 * C05264</t>
  </si>
  <si>
    <t>C00003 * C05266</t>
  </si>
  <si>
    <t>C00003 * C05268</t>
  </si>
  <si>
    <t>C00003 * C14145</t>
  </si>
  <si>
    <t>C00003 * C16329</t>
  </si>
  <si>
    <t>C00003 * C16333</t>
  </si>
  <si>
    <t>C00003 * C16337</t>
  </si>
  <si>
    <t>C00003 * C06714</t>
  </si>
  <si>
    <t>C00003 * C16469</t>
  </si>
  <si>
    <t>C00001 * C00003 * C00088</t>
  </si>
  <si>
    <t>C00001 * C00006 * C00088</t>
  </si>
  <si>
    <t>C00001 * C00088 * C00139</t>
  </si>
  <si>
    <t>C00244 * C00924</t>
  </si>
  <si>
    <t>C00001 * C05357 * C06697</t>
  </si>
  <si>
    <t>C00001 * C00125 * C06697</t>
  </si>
  <si>
    <t>C00026 * C00334</t>
  </si>
  <si>
    <t>C00026 * C00099</t>
  </si>
  <si>
    <t>C00001 * C00301</t>
  </si>
  <si>
    <t>C00001 * C00357</t>
  </si>
  <si>
    <t>C00002 * C00009 * C00022</t>
  </si>
  <si>
    <t>C00044 * C06509</t>
  </si>
  <si>
    <t>C00001 * C00354</t>
  </si>
  <si>
    <t>C00001 * C05378</t>
  </si>
  <si>
    <t>C00001 * C00447</t>
  </si>
  <si>
    <t>C00002 * C04122 * C06507</t>
  </si>
  <si>
    <t>C00002 * C03194 * C06507</t>
  </si>
  <si>
    <t>C00001 * C04778</t>
  </si>
  <si>
    <t>C00001 * C21153</t>
  </si>
  <si>
    <t>C00144 * C00194</t>
  </si>
  <si>
    <t>C04778 * C06510</t>
  </si>
  <si>
    <t>C00002 * C03024 * C06504</t>
  </si>
  <si>
    <t>C00002 * C06505</t>
  </si>
  <si>
    <t>C00003 * C02463</t>
  </si>
  <si>
    <t>C00001 * C00139 * C00283</t>
  </si>
  <si>
    <t>C00001 * C00139 * C01528</t>
  </si>
  <si>
    <t>C04327 * C04752</t>
  </si>
  <si>
    <t>C00001 * C00007 * C00037</t>
  </si>
  <si>
    <t>C00007 * C00037</t>
  </si>
  <si>
    <t>C00001 * C15809</t>
  </si>
  <si>
    <t>C00001 * C00007 * C00133</t>
  </si>
  <si>
    <t>C00001 * C00007 * C00213</t>
  </si>
  <si>
    <t>C00001 * C00007 * C11735</t>
  </si>
  <si>
    <t>C00019 * C03373</t>
  </si>
  <si>
    <t>C00002 * C00010 * C02730</t>
  </si>
  <si>
    <t>C00001 * C01045</t>
  </si>
  <si>
    <t>C00009 * C00024</t>
  </si>
  <si>
    <t>C00009 * C00100</t>
  </si>
  <si>
    <t>C00003 * C01089</t>
  </si>
  <si>
    <t>C00001 * C01153</t>
  </si>
  <si>
    <t>C00001 * C01081</t>
  </si>
  <si>
    <t>C00001 * C03360</t>
  </si>
  <si>
    <t>C00001 * C00111</t>
  </si>
  <si>
    <t>C00001 * C04895</t>
  </si>
  <si>
    <t>C00001 * C00003 * C00071</t>
  </si>
  <si>
    <t>C00001 * C00003 * C00084</t>
  </si>
  <si>
    <t>C00001 * C00003 * C05665</t>
  </si>
  <si>
    <t>C00001 * C00003 * C00577</t>
  </si>
  <si>
    <t>C00001 * C00003 * C00555</t>
  </si>
  <si>
    <t>C00001 * C00003 * C00637</t>
  </si>
  <si>
    <t>C00001 * C00003 * C05985</t>
  </si>
  <si>
    <t>C00001 * C00003 * C01149</t>
  </si>
  <si>
    <t>C00001 * C00003 * C06002</t>
  </si>
  <si>
    <t>C00001 * C00003 * C05130</t>
  </si>
  <si>
    <t>C00001 * C00003 * C05445</t>
  </si>
  <si>
    <t>C00001 * C00003 * C05634</t>
  </si>
  <si>
    <t>C00001 * C00003 * C05936</t>
  </si>
  <si>
    <t>C00001 * C00003 * C06754</t>
  </si>
  <si>
    <t>C00001 * C00003 * C02576</t>
  </si>
  <si>
    <t>C00001 * C00003 * C03461</t>
  </si>
  <si>
    <t>C00001 * C00006 * C00433</t>
  </si>
  <si>
    <t>C00001 * C00006 * C00555</t>
  </si>
  <si>
    <t>C00001 * C00003 * C02670</t>
  </si>
  <si>
    <t>C00001 * C06613</t>
  </si>
  <si>
    <t>C00001 * C16348</t>
  </si>
  <si>
    <t>C00002 * C00010 * C07086</t>
  </si>
  <si>
    <t>C00007 * C01161</t>
  </si>
  <si>
    <t>C00004 * C00007 * C00080 * C00642</t>
  </si>
  <si>
    <t>C00004 * C00007 * C00080 * C05593</t>
  </si>
  <si>
    <t>C00001 * C00003 * C04642</t>
  </si>
  <si>
    <t>C00022 * C00441</t>
  </si>
  <si>
    <t>C00175 * C05778</t>
  </si>
  <si>
    <t>C00007 * C00049</t>
  </si>
  <si>
    <t>C00001 * C00007 * C00049</t>
  </si>
  <si>
    <t>C00001 * C00009 * C03722</t>
  </si>
  <si>
    <t>C00011 * C00013 * C01185</t>
  </si>
  <si>
    <t>C00001 * C01010</t>
  </si>
  <si>
    <t>C00016 * C00154</t>
  </si>
  <si>
    <t>C00016 * C01944</t>
  </si>
  <si>
    <t>C00016 * C01832</t>
  </si>
  <si>
    <t>C00016 * C02593</t>
  </si>
  <si>
    <t>C00016 * C02939</t>
  </si>
  <si>
    <t>C00016 * C05274</t>
  </si>
  <si>
    <t>C00001 * C00071 * C00139</t>
  </si>
  <si>
    <t>C00001 * C00139 * C00577</t>
  </si>
  <si>
    <t>C00409 * C01077</t>
  </si>
  <si>
    <t>C00283 * C01077</t>
  </si>
  <si>
    <t>C00001 * C00021</t>
  </si>
  <si>
    <t>C00001 * C00003 * C00424</t>
  </si>
  <si>
    <t>C00001 * C00003 * C00546</t>
  </si>
  <si>
    <t>C00097 * C01118</t>
  </si>
  <si>
    <t>C00001 * C01118</t>
  </si>
  <si>
    <t>C00283 * C01118</t>
  </si>
  <si>
    <t>C00042 * C00542</t>
  </si>
  <si>
    <t>C00097 * C01077</t>
  </si>
  <si>
    <t>C05688 * C05702</t>
  </si>
  <si>
    <t>C00026 * C00049</t>
  </si>
  <si>
    <t>C00026 * C00079</t>
  </si>
  <si>
    <t>C00026 * C00082</t>
  </si>
  <si>
    <t>C00026 * C00097</t>
  </si>
  <si>
    <t>C00026 * C00506</t>
  </si>
  <si>
    <t>C00026 * C00606</t>
  </si>
  <si>
    <t>C00026 * C05947</t>
  </si>
  <si>
    <t>C00003 * C00009 * C00118</t>
  </si>
  <si>
    <t>C00177 * C00320</t>
  </si>
  <si>
    <t>C00064 * C00251</t>
  </si>
  <si>
    <t>C00014 * C00251</t>
  </si>
  <si>
    <t>C00155 * C00440</t>
  </si>
  <si>
    <t>C04489 * C05698</t>
  </si>
  <si>
    <t>C00008 * C00009 * C00013 * C01185</t>
  </si>
  <si>
    <t>C00002 * C11736</t>
  </si>
  <si>
    <t>G10553 * G10554</t>
  </si>
  <si>
    <t>G10555 * G10557</t>
  </si>
  <si>
    <t>C00002 * C00993 * C05892</t>
  </si>
  <si>
    <t>C00002 * C00993 * C04877</t>
  </si>
  <si>
    <t>C00002 * C00217 * C01212</t>
  </si>
  <si>
    <t>C00043 * C04851</t>
  </si>
  <si>
    <t>G10552 * G10610</t>
  </si>
  <si>
    <t>C00043 * C05897</t>
  </si>
  <si>
    <t>G10551 * G10610</t>
  </si>
  <si>
    <t>G10556 * G10610</t>
  </si>
  <si>
    <t>C00002 * C00041 * C01050</t>
  </si>
  <si>
    <t>C00006 * C01050</t>
  </si>
  <si>
    <t>C00003 * C01050</t>
  </si>
  <si>
    <t>C00045 * C03193</t>
  </si>
  <si>
    <t>C00245 * C03193</t>
  </si>
  <si>
    <t>C00045 * C02166</t>
  </si>
  <si>
    <t>C00001 * C02320</t>
  </si>
  <si>
    <t>C00025 * C02512</t>
  </si>
  <si>
    <t>C00025 * C05670</t>
  </si>
  <si>
    <t>C00005 * C00080 * C15602</t>
  </si>
  <si>
    <t>C00009 * C00718</t>
  </si>
  <si>
    <t>C00009 * G10495</t>
  </si>
  <si>
    <t>C00009 * C00369</t>
  </si>
  <si>
    <t>C00009 * G10545</t>
  </si>
  <si>
    <t>C00001 * C01167</t>
  </si>
  <si>
    <t>C00025 * C00437</t>
  </si>
  <si>
    <t>C00006 * C00009 * C01250</t>
  </si>
  <si>
    <t>C00077 * C00169</t>
  </si>
  <si>
    <t>C00001 * C00022 * C00024</t>
  </si>
  <si>
    <t>C00010 * C02504</t>
  </si>
  <si>
    <t>C00006 * C04272</t>
  </si>
  <si>
    <t>C00005 * C00080 * C00900</t>
  </si>
  <si>
    <t>C00006 * C06007</t>
  </si>
  <si>
    <t>C00011 * C00900</t>
  </si>
  <si>
    <t>C00011 * C06010</t>
  </si>
  <si>
    <t>C00068 * C00900</t>
  </si>
  <si>
    <t>C00068 * C06010</t>
  </si>
  <si>
    <t>C00006 * C00342</t>
  </si>
  <si>
    <t>C00006 * C00051 * C00097</t>
  </si>
  <si>
    <t>C00001 * C00006 * C01528</t>
  </si>
  <si>
    <t>C00080 * C00704</t>
  </si>
  <si>
    <t>C00006 * C00009 * C00441</t>
  </si>
  <si>
    <t>C00002 * C00010 * C00042</t>
  </si>
  <si>
    <t>C00002 * C00010 * C00490</t>
  </si>
  <si>
    <t>C00031 * C00718</t>
  </si>
  <si>
    <t>C00031 * G10495</t>
  </si>
  <si>
    <t>C00006 * C01144</t>
  </si>
  <si>
    <t>C00006 * C05116</t>
  </si>
  <si>
    <t>C00003 * C00188</t>
  </si>
  <si>
    <t>C00001 * C02133</t>
  </si>
  <si>
    <t>C00001 * C00227</t>
  </si>
  <si>
    <t>C00001 * C06206</t>
  </si>
  <si>
    <t>C00001 * C00236</t>
  </si>
  <si>
    <t>C00011 * C00233</t>
  </si>
  <si>
    <t>C00003 * C04411</t>
  </si>
  <si>
    <t>C00004 * C00011 * C00080 * C00109</t>
  </si>
  <si>
    <t>C00002 * C00010 * C00033</t>
  </si>
  <si>
    <t>C00010 * C05993</t>
  </si>
  <si>
    <t>C00002 * C00010 * C00163</t>
  </si>
  <si>
    <t>C00010 * C05983</t>
  </si>
  <si>
    <t>C00002 * C00037 * C03090</t>
  </si>
  <si>
    <t>C00001 * C00445 * C03838</t>
  </si>
  <si>
    <t>C00001 * C00074 * C00279</t>
  </si>
  <si>
    <t>C00003 * C00826</t>
  </si>
  <si>
    <t>C00028 * C00160</t>
  </si>
  <si>
    <t>C00016 * C00527</t>
  </si>
  <si>
    <t>C00006 * C00160</t>
  </si>
  <si>
    <t>C00006 * C00258</t>
  </si>
  <si>
    <t>C00003 * C00937</t>
  </si>
  <si>
    <t>C00049 * C00169</t>
  </si>
  <si>
    <t>C00001 * C00337</t>
  </si>
  <si>
    <t>C00122 * C00337</t>
  </si>
  <si>
    <t>C00006 * C00311</t>
  </si>
  <si>
    <t>C00001 * C02739</t>
  </si>
  <si>
    <t>C00002 * C00049 * C01638</t>
  </si>
  <si>
    <t>C00042 * C15602</t>
  </si>
  <si>
    <t>C00042 * C00399</t>
  </si>
  <si>
    <t>C01209 * C03939</t>
  </si>
  <si>
    <t>C01209 * C05223</t>
  </si>
  <si>
    <t>C01209 * C05745</t>
  </si>
  <si>
    <t>C01209 * C05749</t>
  </si>
  <si>
    <t>C01209 * C05752</t>
  </si>
  <si>
    <t>C01209 * C05755</t>
  </si>
  <si>
    <t>C01209 * C05761</t>
  </si>
  <si>
    <t>C01209 * C05764</t>
  </si>
  <si>
    <t>C01209 * C19673</t>
  </si>
  <si>
    <t>C01209 * C20375</t>
  </si>
  <si>
    <t>C00001 * C00286</t>
  </si>
  <si>
    <t>C00008 * C00673</t>
  </si>
  <si>
    <t>C00026 * C01100</t>
  </si>
  <si>
    <t>C00004 * C00080 * C00399</t>
  </si>
  <si>
    <t>C00002 * C00010 * C00164</t>
  </si>
  <si>
    <t>C00001 * C00003 * C00860</t>
  </si>
  <si>
    <t>C00001 * C00003 * C01929</t>
  </si>
  <si>
    <t>C00003 * C00860</t>
  </si>
  <si>
    <t>C00006 * C02953</t>
  </si>
  <si>
    <t>C00006 * C00272</t>
  </si>
  <si>
    <t>C00006 * C21640</t>
  </si>
  <si>
    <t>C00118 * C05382</t>
  </si>
  <si>
    <t>C00006 * C11434</t>
  </si>
  <si>
    <t>C00003 * C00148</t>
  </si>
  <si>
    <t>C00006 * C00148</t>
  </si>
  <si>
    <t>C00003 * C01157</t>
  </si>
  <si>
    <t>C00006 * C01157</t>
  </si>
  <si>
    <t>C00007 * C01079</t>
  </si>
  <si>
    <t>C00003 * C01507</t>
  </si>
  <si>
    <t>C00003 * C00794</t>
  </si>
  <si>
    <t>C00003 * C00379</t>
  </si>
  <si>
    <t>C00002 * C01647 * C05335</t>
  </si>
  <si>
    <t>C00004 * C00080 * C15498</t>
  </si>
  <si>
    <t>C15498 * C16832</t>
  </si>
  <si>
    <t>C15498 * C15973</t>
  </si>
  <si>
    <t>C00065 * C00463</t>
  </si>
  <si>
    <t>C00065 * C03506</t>
  </si>
  <si>
    <t>C00003 * C00039 * C02128</t>
  </si>
  <si>
    <t>C00134 * C01137</t>
  </si>
  <si>
    <t>C01137 * C01672</t>
  </si>
  <si>
    <t>C00003 * C00149</t>
  </si>
  <si>
    <t>C00003 * C11537</t>
  </si>
  <si>
    <t>C00002 * C00049</t>
  </si>
  <si>
    <t>C00019 * C00240</t>
  </si>
  <si>
    <t>C00002 * C00255</t>
  </si>
  <si>
    <t>C00037 * C02051</t>
  </si>
  <si>
    <t>C00101 * C01242</t>
  </si>
  <si>
    <t>C00001 * C00141 * C00143</t>
  </si>
  <si>
    <t>C00016 * C00093</t>
  </si>
  <si>
    <t>C00001 * C03880</t>
  </si>
  <si>
    <t>C00001 * C00170</t>
  </si>
  <si>
    <t>C00002 * C00014 * C00655</t>
  </si>
  <si>
    <t>C00001 * C00002 * C00064 * C00655</t>
  </si>
  <si>
    <t>C00001 * C00002 * C00064 * C16618</t>
  </si>
  <si>
    <t>C00002 * C00288 * C03069</t>
  </si>
  <si>
    <t>C00004 * C00080 * C15602</t>
  </si>
  <si>
    <t>C00003 * C00390</t>
  </si>
  <si>
    <t>C00001 * C01102</t>
  </si>
  <si>
    <t>C00001 * C06055</t>
  </si>
  <si>
    <t>C00003 * C00263</t>
  </si>
  <si>
    <t>C00006 * C00263</t>
  </si>
  <si>
    <t>C00001 * G00275</t>
  </si>
  <si>
    <t>C00003 * C00226</t>
  </si>
  <si>
    <t>C00003 * C00469</t>
  </si>
  <si>
    <t>C00003 * C00473</t>
  </si>
  <si>
    <t>C00003 * C00756</t>
  </si>
  <si>
    <t>C00003 * C05444</t>
  </si>
  <si>
    <t>C00003 * C05576</t>
  </si>
  <si>
    <t>C00003 * C06611</t>
  </si>
  <si>
    <t>C00003 * C06612</t>
  </si>
  <si>
    <t>C00003 * C14089</t>
  </si>
  <si>
    <t>C00003 * C02909</t>
  </si>
  <si>
    <t>C00004 * C00080 * C07645</t>
  </si>
  <si>
    <t>C00003 * C16586</t>
  </si>
  <si>
    <t>C00003 * C00114</t>
  </si>
  <si>
    <t>C00006 * C00114</t>
  </si>
  <si>
    <t>C00004 * C00080 * C16310</t>
  </si>
  <si>
    <t>C00003 * C01612</t>
  </si>
  <si>
    <t>C00003 * C16595</t>
  </si>
  <si>
    <t>C00003 * C00418</t>
  </si>
  <si>
    <t>C00004 * C00080 * C06899</t>
  </si>
  <si>
    <t>C00001 * C00352</t>
  </si>
  <si>
    <t>C00007 * C01847 * C18091</t>
  </si>
  <si>
    <t>C00118 * C05345</t>
  </si>
  <si>
    <t>C00117 * C12214</t>
  </si>
  <si>
    <t>C00068 * C00231</t>
  </si>
  <si>
    <t>C00068 * C05382</t>
  </si>
  <si>
    <t>C00615 * C01159</t>
  </si>
  <si>
    <t>C00006 * C00025</t>
  </si>
  <si>
    <t>C00001 * C00006 * C00025</t>
  </si>
  <si>
    <t>C00043 * C00074</t>
  </si>
  <si>
    <t>C00003 * C01096</t>
  </si>
  <si>
    <t>C00001 * C00458</t>
  </si>
  <si>
    <t>C00013 * C02739</t>
  </si>
  <si>
    <t>C00026 * C00123</t>
  </si>
  <si>
    <t>C00026 * C00183</t>
  </si>
  <si>
    <t>C00026 * C00407</t>
  </si>
  <si>
    <t>C00026 * C02356</t>
  </si>
  <si>
    <t>C00027 * C00132</t>
  </si>
  <si>
    <t>C00007 * C00632</t>
  </si>
  <si>
    <t>C00010 * C00158</t>
  </si>
  <si>
    <t>C00001 * C00003 * C00041</t>
  </si>
  <si>
    <t>C00001 * C00003 * C00037</t>
  </si>
  <si>
    <t>C00013 * C00130</t>
  </si>
  <si>
    <t>C00013 * C00144</t>
  </si>
  <si>
    <t>C00013 * C00655</t>
  </si>
  <si>
    <t>C00119 * C02380</t>
  </si>
  <si>
    <t>C00119 * C16614</t>
  </si>
  <si>
    <t>C00119 * C07648</t>
  </si>
  <si>
    <t>C00003 * C02143</t>
  </si>
  <si>
    <t>C00003 * C01019</t>
  </si>
  <si>
    <t>C00003 * C01825</t>
  </si>
  <si>
    <t>C00044 * C00049 * C00130</t>
  </si>
  <si>
    <t>C00013 * C04302</t>
  </si>
  <si>
    <t>C00001 * C00003 * C01165</t>
  </si>
  <si>
    <t>C00001 * C00003 * C03912</t>
  </si>
  <si>
    <t>C00001 * C00006 * C03912</t>
  </si>
  <si>
    <t>C00001 * C00003 * C04281</t>
  </si>
  <si>
    <t>C00001 * C00006 * C04281</t>
  </si>
  <si>
    <t>C00004 * C00080 * C05947</t>
  </si>
  <si>
    <t>C00001 * C00006 * C01165</t>
  </si>
  <si>
    <t>C00148 * C15602</t>
  </si>
  <si>
    <t>C00024 * C00037</t>
  </si>
  <si>
    <t>C00075 * C04501</t>
  </si>
  <si>
    <t>C00001 * C03899</t>
  </si>
  <si>
    <t>C00001 * C03451</t>
  </si>
  <si>
    <t>C00009 * C00013 * C00019</t>
  </si>
  <si>
    <t>C00001 * C00002 * C05335</t>
  </si>
  <si>
    <t>C00001 * C00201</t>
  </si>
  <si>
    <t>C00001 * C00002</t>
  </si>
  <si>
    <t>C00001 * C00068</t>
  </si>
  <si>
    <t>C07292 * C11215</t>
  </si>
  <si>
    <t>C00019 * C19847</t>
  </si>
  <si>
    <t>C00001 * C00152</t>
  </si>
  <si>
    <t>C00002 * C00624</t>
  </si>
  <si>
    <t>C00011 * C00080 * C00091 * C00138</t>
  </si>
  <si>
    <t>C00002 * C00454</t>
  </si>
  <si>
    <t>C00002 * C00008</t>
  </si>
  <si>
    <t>C00002 * C11038</t>
  </si>
  <si>
    <t>C00002 * C00015</t>
  </si>
  <si>
    <t>C00002 * C00035</t>
  </si>
  <si>
    <t>C00002 * C00112</t>
  </si>
  <si>
    <t>C00002 * C00104</t>
  </si>
  <si>
    <t>C00002 * C00206</t>
  </si>
  <si>
    <t>C00002 * C00361</t>
  </si>
  <si>
    <t>C00002 * C00363</t>
  </si>
  <si>
    <t>C00002 * C00705</t>
  </si>
  <si>
    <t>C00002 * C01346</t>
  </si>
  <si>
    <t>C00002 * C01344</t>
  </si>
  <si>
    <t>C00002 * C22442</t>
  </si>
  <si>
    <t>C00002 * C21748</t>
  </si>
  <si>
    <t>C00002 * C21750</t>
  </si>
  <si>
    <t>C00568 * C04807</t>
  </si>
  <si>
    <t>C00568 * C01300</t>
  </si>
  <si>
    <t>C00024 * C03803</t>
  </si>
  <si>
    <t>C00001 * C00931</t>
  </si>
  <si>
    <t>C00024 * C15973</t>
  </si>
  <si>
    <t>C00022 * C15972</t>
  </si>
  <si>
    <t>C05125 * C15972</t>
  </si>
  <si>
    <t>C00001 * C01419</t>
  </si>
  <si>
    <t>C00001 * C05729</t>
  </si>
  <si>
    <t>C00002 * C00036</t>
  </si>
  <si>
    <t>C00125 * C15603</t>
  </si>
  <si>
    <t>C00125 * C00390</t>
  </si>
  <si>
    <t>C00001 * C00437</t>
  </si>
  <si>
    <t>C00001 * C15532</t>
  </si>
  <si>
    <t>C00001 * C00044</t>
  </si>
  <si>
    <t>C00001 * C05922</t>
  </si>
  <si>
    <t>C00001 * C01261</t>
  </si>
  <si>
    <t>C00001 * C01260</t>
  </si>
  <si>
    <t>C00001 * C06198</t>
  </si>
  <si>
    <t>C00001 * C04392</t>
  </si>
  <si>
    <t>C00234 * C02430</t>
  </si>
  <si>
    <t>C00001 * C11439</t>
  </si>
  <si>
    <t>C00001 * C04258</t>
  </si>
  <si>
    <t>C00003 * C00173</t>
  </si>
  <si>
    <t>C00003 * C05745</t>
  </si>
  <si>
    <t>C00003 * C05223</t>
  </si>
  <si>
    <t>C00003 * C05749</t>
  </si>
  <si>
    <t>C00003 * C05752</t>
  </si>
  <si>
    <t>C00003 * C05755</t>
  </si>
  <si>
    <t>C00003 * C05761</t>
  </si>
  <si>
    <t>C00003 * C05764</t>
  </si>
  <si>
    <t>C00004 * C00080 * C16221</t>
  </si>
  <si>
    <t>C00138 * C11453</t>
  </si>
  <si>
    <t>C00006 * C00009 * C01165</t>
  </si>
  <si>
    <t>C00002 * C01097</t>
  </si>
  <si>
    <t>C00001 * C00013</t>
  </si>
  <si>
    <t>C00001 * C03120</t>
  </si>
  <si>
    <t>C00001 * C00670</t>
  </si>
  <si>
    <t>C00001 * C01233</t>
  </si>
  <si>
    <t>C00001 + C00074</t>
  </si>
  <si>
    <t>C00001 + C04309</t>
  </si>
  <si>
    <t>C00074 + C00112</t>
  </si>
  <si>
    <t>C00074 + C00104</t>
  </si>
  <si>
    <t>C00074 + C00206</t>
  </si>
  <si>
    <t>C00074 + C00361</t>
  </si>
  <si>
    <t>C00074 + C00454</t>
  </si>
  <si>
    <t>C00011 + C11437</t>
  </si>
  <si>
    <t>C00033 + C00097</t>
  </si>
  <si>
    <t>C00033 + C05688</t>
  </si>
  <si>
    <t>C00033 + C00094 + C00097 + C00343</t>
  </si>
  <si>
    <t>C00009 + C00097</t>
  </si>
  <si>
    <t>C00009 + C00911</t>
  </si>
  <si>
    <t>C00009 + C00881</t>
  </si>
  <si>
    <t>C00055 + C11453</t>
  </si>
  <si>
    <t>C00004 + C00080 + C00655</t>
  </si>
  <si>
    <t>C00004 + C00080 + C16618</t>
  </si>
  <si>
    <t>C00001 + C00002 + C00064 + C06113</t>
  </si>
  <si>
    <t>C00001 + C00009 + C04332</t>
  </si>
  <si>
    <t>C00009 + C00860</t>
  </si>
  <si>
    <t>C00014 + C00253</t>
  </si>
  <si>
    <t>C00014 + C00060</t>
  </si>
  <si>
    <t>C00005 + C00080 + C00143</t>
  </si>
  <si>
    <t>C00004 + C00080 + C00143</t>
  </si>
  <si>
    <t>C04570 + C20676</t>
  </si>
  <si>
    <t>C00877 + C01352</t>
  </si>
  <si>
    <t>C01352 + C05271</t>
  </si>
  <si>
    <t>C00030 + C03460</t>
  </si>
  <si>
    <t>C00030 + C03345</t>
  </si>
  <si>
    <t>C00894 + C04570</t>
  </si>
  <si>
    <t>C00013 + C04574</t>
  </si>
  <si>
    <t>C00010 + C01251</t>
  </si>
  <si>
    <t>C00001 + C04002</t>
  </si>
  <si>
    <t>C00003 + C00013 + C00020</t>
  </si>
  <si>
    <t>G00289 + G10481</t>
  </si>
  <si>
    <t>C00009 + C00546</t>
  </si>
  <si>
    <t>C00004 + C00006 + C00080</t>
  </si>
  <si>
    <t>C00001 + C00011 + C00033</t>
  </si>
  <si>
    <t>C00004 + C00080 + C16237</t>
  </si>
  <si>
    <t>C00004 + C00080 + C02051</t>
  </si>
  <si>
    <t>C00004 + C00080 + C15972</t>
  </si>
  <si>
    <t>C00004 + C00080 + C00248</t>
  </si>
  <si>
    <t>C00011 + C15977</t>
  </si>
  <si>
    <t>C00011 + C15975</t>
  </si>
  <si>
    <t>C00011 + C15979</t>
  </si>
  <si>
    <t>C00011 + C15976</t>
  </si>
  <si>
    <t>C00068 + C15977</t>
  </si>
  <si>
    <t>C00011 + C15974</t>
  </si>
  <si>
    <t>C00068 + C15975</t>
  </si>
  <si>
    <t>C00011 + C15978</t>
  </si>
  <si>
    <t>C00068 + C15979</t>
  </si>
  <si>
    <t>C00011 + C21017</t>
  </si>
  <si>
    <t>C00068 + C21018</t>
  </si>
  <si>
    <t>C00013 + C00020 + C04682</t>
  </si>
  <si>
    <t>C00001 + C00658</t>
  </si>
  <si>
    <t>C00001 + C00894</t>
  </si>
  <si>
    <t>C00001 + C03221</t>
  </si>
  <si>
    <t>C00001 + C03345</t>
  </si>
  <si>
    <t>C00001 + C05272</t>
  </si>
  <si>
    <t>C00001 + C05273</t>
  </si>
  <si>
    <t>C00001 + C05275</t>
  </si>
  <si>
    <t>C00001 + C05276</t>
  </si>
  <si>
    <t>C00001 + C05271</t>
  </si>
  <si>
    <t>C00001 + C16328</t>
  </si>
  <si>
    <t>C00001 + C16332</t>
  </si>
  <si>
    <t>C00001 + C16336</t>
  </si>
  <si>
    <t>C00001 + C05067</t>
  </si>
  <si>
    <t>C00001 + C01122</t>
  </si>
  <si>
    <t>C00001 + C03069</t>
  </si>
  <si>
    <t>C00011 + C16254</t>
  </si>
  <si>
    <t>C00011 + C05381</t>
  </si>
  <si>
    <t>C00068 + C16254</t>
  </si>
  <si>
    <t>C00013 + C00020 + C03406</t>
  </si>
  <si>
    <t>C00062 + C00122</t>
  </si>
  <si>
    <t>C00014 + C00025</t>
  </si>
  <si>
    <t>C00009 + C01563</t>
  </si>
  <si>
    <t>C00014 + C00109</t>
  </si>
  <si>
    <t>C00014 + C00022</t>
  </si>
  <si>
    <t>C00014 + C00161</t>
  </si>
  <si>
    <t>C00003 + C00013</t>
  </si>
  <si>
    <t>C00013 + C00020 + C00864</t>
  </si>
  <si>
    <t>C00080 + C00396 + C00620</t>
  </si>
  <si>
    <t>C00041 + C00168</t>
  </si>
  <si>
    <t>C00009 + C17556</t>
  </si>
  <si>
    <t>C00013 + C11435</t>
  </si>
  <si>
    <t>C00008 + C11436</t>
  </si>
  <si>
    <t>C00014 + C01279</t>
  </si>
  <si>
    <t>C00080 + C01279 + C04294</t>
  </si>
  <si>
    <t>C00008 + C00046</t>
  </si>
  <si>
    <t>C00015 + C00046</t>
  </si>
  <si>
    <t>C00035 + C00046</t>
  </si>
  <si>
    <t>C00011 + C00105</t>
  </si>
  <si>
    <t>C00119 + C00295</t>
  </si>
  <si>
    <t>C00013 + C16634</t>
  </si>
  <si>
    <t>C00004 + C00080 + C00111</t>
  </si>
  <si>
    <t>C00005 + C00080 + C00111</t>
  </si>
  <si>
    <t>C00041 + C15812</t>
  </si>
  <si>
    <t>C00013 + C00020 + C00886</t>
  </si>
  <si>
    <t>C00011 + C01327 + C07090</t>
  </si>
  <si>
    <t>C00001 + C00693</t>
  </si>
  <si>
    <t>C00001 + C04246</t>
  </si>
  <si>
    <t>C00001 + C05754</t>
  </si>
  <si>
    <t>C00001 + C05751</t>
  </si>
  <si>
    <t>C00001 + C05763</t>
  </si>
  <si>
    <t>C00001 + C05760</t>
  </si>
  <si>
    <t>C00001 + C05748</t>
  </si>
  <si>
    <t>C00001 + C05758</t>
  </si>
  <si>
    <t>C00001 + C20374</t>
  </si>
  <si>
    <t>C00001 + C20378</t>
  </si>
  <si>
    <t>C00013 + C20864</t>
  </si>
  <si>
    <t>C00001 + C00268</t>
  </si>
  <si>
    <t>C00022 + C00080 + C00126</t>
  </si>
  <si>
    <t>G10495 + G11113</t>
  </si>
  <si>
    <t>C00001 + C00129 + C00139</t>
  </si>
  <si>
    <t>C00013 + C04146</t>
  </si>
  <si>
    <t>C00020 + C03028</t>
  </si>
  <si>
    <t>C00004 + C00014 + C00026 + C00080</t>
  </si>
  <si>
    <t>C00004 + C00014 + C00080 + C00161</t>
  </si>
  <si>
    <t>C00005 + C00014 + C00080 + C00161</t>
  </si>
  <si>
    <t>C00004 + C00080 + C03232</t>
  </si>
  <si>
    <t>C00004 + C00026 + C00080</t>
  </si>
  <si>
    <t>C00986 + C07282</t>
  </si>
  <si>
    <t>C00004 + C00080 + C15853</t>
  </si>
  <si>
    <t>C00003 + C07282</t>
  </si>
  <si>
    <t>C00986 + C15854</t>
  </si>
  <si>
    <t>C00031 + C00095</t>
  </si>
  <si>
    <t>C00267 + C02336</t>
  </si>
  <si>
    <t>C00008 + C22442</t>
  </si>
  <si>
    <t>C00011 + C01134</t>
  </si>
  <si>
    <t>C00065 + C00101</t>
  </si>
  <si>
    <t>C00001 + C00037 + C04377</t>
  </si>
  <si>
    <t>C00001 + C00064 + C00119</t>
  </si>
  <si>
    <t>C00008 + C00009 + C00025 + C04640</t>
  </si>
  <si>
    <t>C00020 + C00122</t>
  </si>
  <si>
    <t>C00122 + C22441</t>
  </si>
  <si>
    <t>C00011 + C03586</t>
  </si>
  <si>
    <t>C00001 + C01051</t>
  </si>
  <si>
    <t>C00006 + C01641 + C03741</t>
  </si>
  <si>
    <t>C00009 + C00020 + C00074</t>
  </si>
  <si>
    <t>C00009 + C00137</t>
  </si>
  <si>
    <t>C00342 + C03723</t>
  </si>
  <si>
    <t>C00008 + C00342</t>
  </si>
  <si>
    <t>C00015 + C00342</t>
  </si>
  <si>
    <t>C00112 + C00342</t>
  </si>
  <si>
    <t>C02090 + C03723</t>
  </si>
  <si>
    <t>C00342 + C21748</t>
  </si>
  <si>
    <t>C00119 + C00147</t>
  </si>
  <si>
    <t>C00119 + C04051</t>
  </si>
  <si>
    <t>C00009 + C00017</t>
  </si>
  <si>
    <t>C00008 + C00009 + C00025 + C00063</t>
  </si>
  <si>
    <t>C00013 + C00020 + C02839</t>
  </si>
  <si>
    <t>C00009 + C00944</t>
  </si>
  <si>
    <t>C00009 + C00251</t>
  </si>
  <si>
    <t>C00004 + C00011 + C00080 + C00322</t>
  </si>
  <si>
    <t>C00011 + C00322</t>
  </si>
  <si>
    <t>C00004 + C00080 + C05533</t>
  </si>
  <si>
    <t>C00041 + C02713</t>
  </si>
  <si>
    <t>C00001 + C02637</t>
  </si>
  <si>
    <t>C00001 + C01170</t>
  </si>
  <si>
    <t>C00001 + C00024 + C00048</t>
  </si>
  <si>
    <t>C00009 + C11537</t>
  </si>
  <si>
    <t>C00620 + C15587</t>
  </si>
  <si>
    <t>C00672 + C15587</t>
  </si>
  <si>
    <t>C00080 + C00253 + C00620</t>
  </si>
  <si>
    <t>C00013 + C00020 + C02987</t>
  </si>
  <si>
    <t>C00013 + C00020 + C02843</t>
  </si>
  <si>
    <t>C00013 + C00020 + C00154</t>
  </si>
  <si>
    <t>C00005 + C00080 + C00685</t>
  </si>
  <si>
    <t>C00005 + C00080 + C05744</t>
  </si>
  <si>
    <t>C00005 + C05753</t>
  </si>
  <si>
    <t>C00005 + C00080 + C05750</t>
  </si>
  <si>
    <t>C00005 + C00080 + C05762</t>
  </si>
  <si>
    <t>C00005 + C00080 + C05759</t>
  </si>
  <si>
    <t>C00005 + C00080 + C05746</t>
  </si>
  <si>
    <t>C00005 + C00080 + C05756</t>
  </si>
  <si>
    <t>C00006 + C16220</t>
  </si>
  <si>
    <t>C00006 + C20373</t>
  </si>
  <si>
    <t>C00006 + C20377</t>
  </si>
  <si>
    <t>C00010 + C00011 + C05744</t>
  </si>
  <si>
    <t>C00014 + C00299</t>
  </si>
  <si>
    <t>C00014 + C00526</t>
  </si>
  <si>
    <t>C00014 + C12739</t>
  </si>
  <si>
    <t>C00001 + C02218</t>
  </si>
  <si>
    <t>C00014 + C01268</t>
  </si>
  <si>
    <t>C00058 + C15556</t>
  </si>
  <si>
    <t>C00013 + C00020 + C01931</t>
  </si>
  <si>
    <t>C00005 + C00080 + C02637</t>
  </si>
  <si>
    <t>C00005 + C00080 + C22438</t>
  </si>
  <si>
    <t>C00025 + C01250</t>
  </si>
  <si>
    <t>C00013 + C19085</t>
  </si>
  <si>
    <t>C00013 + C19078</t>
  </si>
  <si>
    <t>C00013 + C19080</t>
  </si>
  <si>
    <t>C00001 + C00080 + C00125</t>
  </si>
  <si>
    <t>C00001 + C00997</t>
  </si>
  <si>
    <t>C00086 + C00134</t>
  </si>
  <si>
    <t>C00005 + C00445</t>
  </si>
  <si>
    <t>C00004 + C00022 + C00080</t>
  </si>
  <si>
    <t>C00004 + C00080 + C00109</t>
  </si>
  <si>
    <t>C00004 + C00080 + C00957</t>
  </si>
  <si>
    <t>C00004 + C00080 + C00167</t>
  </si>
  <si>
    <t>G00177 + G10619</t>
  </si>
  <si>
    <t>C00001 + C01222</t>
  </si>
  <si>
    <t>C00005 + C00080 + C01222</t>
  </si>
  <si>
    <t>C00008 + C00009 + C00080 + C03516</t>
  </si>
  <si>
    <t>C00004 + C00080 + C00264</t>
  </si>
  <si>
    <t>C00004 + C00080 + C00332</t>
  </si>
  <si>
    <t>C00004 + C00080 + C03344</t>
  </si>
  <si>
    <t>C00004 + C00080 + C05259</t>
  </si>
  <si>
    <t>C00004 + C05261</t>
  </si>
  <si>
    <t>C00004 + C00080 + C05263</t>
  </si>
  <si>
    <t>C00004 + C00080 + C05265</t>
  </si>
  <si>
    <t>C00004 + C00080 + C05267</t>
  </si>
  <si>
    <t>C00004 + C00080 + C05269</t>
  </si>
  <si>
    <t>C00004 + C00080 + C02232</t>
  </si>
  <si>
    <t>C00004 + C00080 + C16330</t>
  </si>
  <si>
    <t>C00004 + C00080 + C16334</t>
  </si>
  <si>
    <t>C00004 + C00080 + C16338</t>
  </si>
  <si>
    <t>C00004 + C00080 + C06715</t>
  </si>
  <si>
    <t>C00004 + C00080 + C16471</t>
  </si>
  <si>
    <t>C00004 + C00080 + C00244</t>
  </si>
  <si>
    <t>C00005 + C00080 + C00244</t>
  </si>
  <si>
    <t>C00001 + C00088 + C15602</t>
  </si>
  <si>
    <t>C00138 + C00244</t>
  </si>
  <si>
    <t>C00001 + C00088 + C00923</t>
  </si>
  <si>
    <t>C00001 + C00088 + C06260</t>
  </si>
  <si>
    <t>C00080 + C05358 + C11215</t>
  </si>
  <si>
    <t>C00080 + C00126 + C11215</t>
  </si>
  <si>
    <t>C00025 + C00232</t>
  </si>
  <si>
    <t>C00025 + C00222</t>
  </si>
  <si>
    <t>C00011 + C00047</t>
  </si>
  <si>
    <t>C00033 + C00352</t>
  </si>
  <si>
    <t>C00013 + C00020 + C00074</t>
  </si>
  <si>
    <t>C00013 + C06510</t>
  </si>
  <si>
    <t>C00011 + C04122</t>
  </si>
  <si>
    <t>C00009 + C00085</t>
  </si>
  <si>
    <t>C00009 + C05345</t>
  </si>
  <si>
    <t>C00009 + C05382</t>
  </si>
  <si>
    <t>C00008 + C00009 + C06509</t>
  </si>
  <si>
    <t>C00009 + C05775</t>
  </si>
  <si>
    <t>C00009 + C00194</t>
  </si>
  <si>
    <t>C00080 + C00253 + C04778</t>
  </si>
  <si>
    <t>C05775 + C06510</t>
  </si>
  <si>
    <t>C00194 + C00536 + C03161</t>
  </si>
  <si>
    <t>C00536 + C03161 + C06506</t>
  </si>
  <si>
    <t>C00194 + C00536</t>
  </si>
  <si>
    <t>C00536 + C06506</t>
  </si>
  <si>
    <t>C00004 + C00080 + C05778</t>
  </si>
  <si>
    <t>C00080 + C00094 + C00138</t>
  </si>
  <si>
    <t>C00080 + C00138 + C05684</t>
  </si>
  <si>
    <t>C00011 + C00013 + C01081</t>
  </si>
  <si>
    <t>C00014 + C00027 + C00048</t>
  </si>
  <si>
    <t>C00027 + C15809</t>
  </si>
  <si>
    <t>C00014 + C00048</t>
  </si>
  <si>
    <t>C00014 + C00022 + C00027</t>
  </si>
  <si>
    <t>C00027 + C00048 + C00218</t>
  </si>
  <si>
    <t>C00027 + C00048 + C00797</t>
  </si>
  <si>
    <t>C00058 + C00073 + C00237 + C04556 + C05198</t>
  </si>
  <si>
    <t>C00013 + C00020 + C03160</t>
  </si>
  <si>
    <t>C00025 + C00058</t>
  </si>
  <si>
    <t>C00010 + C02876</t>
  </si>
  <si>
    <t>C00004 + C00080 + C00164</t>
  </si>
  <si>
    <t>C00013 + C00575</t>
  </si>
  <si>
    <t>C00013 + C00942</t>
  </si>
  <si>
    <t>C00009 + C00069</t>
  </si>
  <si>
    <t>C00009 + C00378</t>
  </si>
  <si>
    <t>C00009 + C00870</t>
  </si>
  <si>
    <t>C00009 + C00184</t>
  </si>
  <si>
    <t>C00009 + C04874</t>
  </si>
  <si>
    <t>C00004 + C00060 + C00080</t>
  </si>
  <si>
    <t>C00004 + C00080 + C00162</t>
  </si>
  <si>
    <t>C00004 + C00033 + C00080</t>
  </si>
  <si>
    <t>C00004 + C00080 + C00099</t>
  </si>
  <si>
    <t>C00004 + C00080 + C00258</t>
  </si>
  <si>
    <t>C00004 + C00080 + C00334</t>
  </si>
  <si>
    <t>C00004 + C00080 + C00954</t>
  </si>
  <si>
    <t>C00004 + C00080 + C00804</t>
  </si>
  <si>
    <t>C00004 + C00080 + C01181</t>
  </si>
  <si>
    <t>C00004 + C00080 + C02170</t>
  </si>
  <si>
    <t>C00004 + C00080 + C02835</t>
  </si>
  <si>
    <t>C00004 + C00080 + C04554</t>
  </si>
  <si>
    <t>C00004 + C00080 + C05635</t>
  </si>
  <si>
    <t>C00004 + C00080 + C02946</t>
  </si>
  <si>
    <t>C00004 + C00080 + C06755</t>
  </si>
  <si>
    <t>C00004 + C00080 + C11924</t>
  </si>
  <si>
    <t>C00004 + C00080 + C16502</t>
  </si>
  <si>
    <t>C00005 + C00026 + C00080</t>
  </si>
  <si>
    <t>C00005 + C00080 + C00334</t>
  </si>
  <si>
    <t>C00004 + C00080 + C00818</t>
  </si>
  <si>
    <t>C00080 + C06614</t>
  </si>
  <si>
    <t>C00080 + C06615</t>
  </si>
  <si>
    <t>C00013 + C00020 + C00582</t>
  </si>
  <si>
    <t>C00001 + C00003 + C01161</t>
  </si>
  <si>
    <t>C00004 + C00080 + C04186</t>
  </si>
  <si>
    <t>C00011 + C03063</t>
  </si>
  <si>
    <t>C00011 + C05600</t>
  </si>
  <si>
    <t>C00001 + C20258</t>
  </si>
  <si>
    <t>C00080 + C11538</t>
  </si>
  <si>
    <t>C00021 + C00080 + C05772</t>
  </si>
  <si>
    <t>C00027 + C05840</t>
  </si>
  <si>
    <t>C00014 + C00027 + C00036</t>
  </si>
  <si>
    <t>C00111 + C05840</t>
  </si>
  <si>
    <t>C00119 + C03722</t>
  </si>
  <si>
    <t>C01352 + C05272</t>
  </si>
  <si>
    <t>C01352 + C05276</t>
  </si>
  <si>
    <t>C01352 + C03221</t>
  </si>
  <si>
    <t>C01352 + C05273</t>
  </si>
  <si>
    <t>C01352 + C03069</t>
  </si>
  <si>
    <t>C01352 + C05275</t>
  </si>
  <si>
    <t>C00060 + C00080 + C00138</t>
  </si>
  <si>
    <t>C00080 + C00138 + C00258</t>
  </si>
  <si>
    <t>C00033 + C00073</t>
  </si>
  <si>
    <t>C00033 + C00155</t>
  </si>
  <si>
    <t>C00013 + C00020 + C03125</t>
  </si>
  <si>
    <t>C00013 + C00020 + C02553</t>
  </si>
  <si>
    <t>C00013 + C00020 + C06481</t>
  </si>
  <si>
    <t>C00014 + C03431</t>
  </si>
  <si>
    <t>C00004 + C00080 + C00186</t>
  </si>
  <si>
    <t>C00042 + C02291</t>
  </si>
  <si>
    <t>C00014 + C00042 + C00109</t>
  </si>
  <si>
    <t>C00042 + C00155</t>
  </si>
  <si>
    <t>C00033 + C02291</t>
  </si>
  <si>
    <t>C00009 + C05699</t>
  </si>
  <si>
    <t>C00033 + C05699</t>
  </si>
  <si>
    <t>C00042 + C05699</t>
  </si>
  <si>
    <t>C00025 + C00036</t>
  </si>
  <si>
    <t>C00025 + C00166</t>
  </si>
  <si>
    <t>C00025 + C01179</t>
  </si>
  <si>
    <t>C00025 + C00957</t>
  </si>
  <si>
    <t>C00302 + C00957</t>
  </si>
  <si>
    <t>C00025 + C05528</t>
  </si>
  <si>
    <t>C00025 + C05527</t>
  </si>
  <si>
    <t>C00025 + C05946</t>
  </si>
  <si>
    <t>C00004 + C00080 + C00236</t>
  </si>
  <si>
    <t>C00001 + C00011 + C00074</t>
  </si>
  <si>
    <t>C00022 + C00568</t>
  </si>
  <si>
    <t>C00025 + C11355</t>
  </si>
  <si>
    <t>C00001 + C11355</t>
  </si>
  <si>
    <t>C00073 + C00101</t>
  </si>
  <si>
    <t>C04144 + C05335</t>
  </si>
  <si>
    <t>C00001 + C00002 + C00080 + C00119 + C00253</t>
  </si>
  <si>
    <t>C00011 + C00099</t>
  </si>
  <si>
    <t>C00008 + C04242</t>
  </si>
  <si>
    <t>C04574 + G10554</t>
  </si>
  <si>
    <t>C04574 + G10557</t>
  </si>
  <si>
    <t>C00015 + C05893</t>
  </si>
  <si>
    <t>G10553 + G10619</t>
  </si>
  <si>
    <t>C00015 + C05898</t>
  </si>
  <si>
    <t>G10550 + G10619</t>
  </si>
  <si>
    <t>G10555 + G10619</t>
  </si>
  <si>
    <t>C00005 + C00080 + C04631</t>
  </si>
  <si>
    <t>C00004 + C00080 + C04631</t>
  </si>
  <si>
    <t>C00013 + C05413</t>
  </si>
  <si>
    <t>C03363 + C05951</t>
  </si>
  <si>
    <t>C00025 + C05729</t>
  </si>
  <si>
    <t>C00001 + C05711</t>
  </si>
  <si>
    <t>C00001 + C06114</t>
  </si>
  <si>
    <t>C00006 + C05309</t>
  </si>
  <si>
    <t>C00014 + C00148</t>
  </si>
  <si>
    <t>C00013 + C00020 + C02554</t>
  </si>
  <si>
    <t>C00001 + C00011 + C03506</t>
  </si>
  <si>
    <t>C00103 + C00718</t>
  </si>
  <si>
    <t>C00103 + G10495</t>
  </si>
  <si>
    <t>C00009 + C00585</t>
  </si>
  <si>
    <t>C00084 + C00118</t>
  </si>
  <si>
    <t>C00005 + C00080 + C04133</t>
  </si>
  <si>
    <t>C00010 + C02612</t>
  </si>
  <si>
    <t>C00001 + C00024 + C00141</t>
  </si>
  <si>
    <t>C00005 + C00080 + C06010</t>
  </si>
  <si>
    <t>C00006 + C04039</t>
  </si>
  <si>
    <t>C00005 + C00080 + C04181</t>
  </si>
  <si>
    <t>C00005 + C00080 + C14463</t>
  </si>
  <si>
    <t>C00011 + C05125</t>
  </si>
  <si>
    <t>C00022 + C05125</t>
  </si>
  <si>
    <t>C00068 + C06006</t>
  </si>
  <si>
    <t>C00011 + C06006</t>
  </si>
  <si>
    <t>C00005 + C00080 + C00343</t>
  </si>
  <si>
    <t>C00005 + C05526</t>
  </si>
  <si>
    <t>C00005 + C00080 + C05684</t>
  </si>
  <si>
    <t>C00001 + C00006 + C05703</t>
  </si>
  <si>
    <t>C00001 + C00122</t>
  </si>
  <si>
    <t>C00007 + C00027</t>
  </si>
  <si>
    <t>C00013 + C00020 + C02282</t>
  </si>
  <si>
    <t>C00005 + C00080 + C03082</t>
  </si>
  <si>
    <t>C00013 + C00020 + C02412</t>
  </si>
  <si>
    <t>C00005 + C00080 + C00332</t>
  </si>
  <si>
    <t>C00004 + C00080 + C03508</t>
  </si>
  <si>
    <t>C00009 + C00060</t>
  </si>
  <si>
    <t>C00009 + C00033</t>
  </si>
  <si>
    <t>C00009 + C00180</t>
  </si>
  <si>
    <t>C00009 + C00197</t>
  </si>
  <si>
    <t>C00001 + C02631</t>
  </si>
  <si>
    <t>C00004 + C00080 + C04236</t>
  </si>
  <si>
    <t>C00004 + C00011 + C00080 + C00233</t>
  </si>
  <si>
    <t>C00003 + C06032</t>
  </si>
  <si>
    <t>C00001 + C00141</t>
  </si>
  <si>
    <t>C00001 + C00671</t>
  </si>
  <si>
    <t>C00013 + C00020 + C00024</t>
  </si>
  <si>
    <t>C00013 + C00020 + C00100</t>
  </si>
  <si>
    <t>C00009 + C04691</t>
  </si>
  <si>
    <t>C00004 + C00011 + C00080 + C00082</t>
  </si>
  <si>
    <t>C00030 + C00048</t>
  </si>
  <si>
    <t>C00011 + C00877 + C04570</t>
  </si>
  <si>
    <t>C00011 + C00877 + C01352</t>
  </si>
  <si>
    <t>C00011 + C00877</t>
  </si>
  <si>
    <t>C00005 + C00048 + C00080</t>
  </si>
  <si>
    <t>C00005 + C00080 + C00168</t>
  </si>
  <si>
    <t>C00004 + C00080 + C00546</t>
  </si>
  <si>
    <t>C00042 + C00295</t>
  </si>
  <si>
    <t>C00005 + C00011 + C00026 + C00080</t>
  </si>
  <si>
    <t>C00011 + C00026</t>
  </si>
  <si>
    <t>C00005 + C00080 + C05379</t>
  </si>
  <si>
    <t>C00013 + C00020 + C02163</t>
  </si>
  <si>
    <t>C00013 + C02741</t>
  </si>
  <si>
    <t>C00013 + C00020 + C06113</t>
  </si>
  <si>
    <t>C00013 + C00020 + C02984</t>
  </si>
  <si>
    <t>C00122 + C15603</t>
  </si>
  <si>
    <t>C00122 + C00390</t>
  </si>
  <si>
    <t>C00011 + C01137</t>
  </si>
  <si>
    <t>C00011 + C00229 + C00685</t>
  </si>
  <si>
    <t>C00011 + C00229 + C05744</t>
  </si>
  <si>
    <t>C00011 + C00229 + C05759</t>
  </si>
  <si>
    <t>C00011 + C00229 + C05746</t>
  </si>
  <si>
    <t>C00011 + C00229 + C05750</t>
  </si>
  <si>
    <t>C00011 + C00229 + C05753</t>
  </si>
  <si>
    <t>C00011 + C00229 + C05756</t>
  </si>
  <si>
    <t>C00011 + C00229 + C05762</t>
  </si>
  <si>
    <t>C00011 + C00229 + C16219</t>
  </si>
  <si>
    <t>C00011 + C00229 + C20372</t>
  </si>
  <si>
    <t>C00011 + C00229 + C20376</t>
  </si>
  <si>
    <t>C00002 + C01801</t>
  </si>
  <si>
    <t>C00001 + C01267</t>
  </si>
  <si>
    <t>C00025 + C01267</t>
  </si>
  <si>
    <t>C00003 + C00080 + C00390</t>
  </si>
  <si>
    <t>C00001 + C00417</t>
  </si>
  <si>
    <t>C00013 + C00020 + C00332</t>
  </si>
  <si>
    <t>C00004 + C00080 + C00135</t>
  </si>
  <si>
    <t>C00004 + C00080 + C01929</t>
  </si>
  <si>
    <t>C00013 + C00020 + C02988</t>
  </si>
  <si>
    <t>C00013 + C00020 + C03402</t>
  </si>
  <si>
    <t>C00005 + C00080 + C00835</t>
  </si>
  <si>
    <t>C00005 + C00080 + C03684</t>
  </si>
  <si>
    <t>C00005 + C00080 + C04244</t>
  </si>
  <si>
    <t>C00085 + C00279</t>
  </si>
  <si>
    <t>C00013 + C00020 + C03127</t>
  </si>
  <si>
    <t>C00005 + C00080 + C11437</t>
  </si>
  <si>
    <t>C00004 + C00080 + C03912</t>
  </si>
  <si>
    <t>C00005 + C00080 + C03912</t>
  </si>
  <si>
    <t>C00004 + C00080 + C04281</t>
  </si>
  <si>
    <t>C00005 + C00080 + C04281</t>
  </si>
  <si>
    <t>C00011 + C03263</t>
  </si>
  <si>
    <t>C00011 + C05768</t>
  </si>
  <si>
    <t>C00027 + C02191</t>
  </si>
  <si>
    <t>C00004 + C00080 + C00247</t>
  </si>
  <si>
    <t>C00004 + C00080 + C00095</t>
  </si>
  <si>
    <t>C00004 + C00080 + C00310</t>
  </si>
  <si>
    <t>C00013 + C00020 + C02430</t>
  </si>
  <si>
    <t>C00013 + C00020 + C05336</t>
  </si>
  <si>
    <t>C00001 + C00343 + C01335</t>
  </si>
  <si>
    <t>C00001 + C01335 + C07293</t>
  </si>
  <si>
    <t>C00001 + C00003 + C01335</t>
  </si>
  <si>
    <t>C00001 + C00127 + C01335</t>
  </si>
  <si>
    <t>C00001 + C01335 + C16237</t>
  </si>
  <si>
    <t>C00001 + C01335 + C15972</t>
  </si>
  <si>
    <t>C00001 + C00078</t>
  </si>
  <si>
    <t>C00118 + C00463</t>
  </si>
  <si>
    <t>C00001 + C00078 + C00118</t>
  </si>
  <si>
    <t>C00020 + C00039 + C00455</t>
  </si>
  <si>
    <t>C00170 + C00315</t>
  </si>
  <si>
    <t>C00170 + C16565</t>
  </si>
  <si>
    <t>C00001 + C00011 + C00166</t>
  </si>
  <si>
    <t>C00001 + C00011 + C00079</t>
  </si>
  <si>
    <t>C00004 + C00036 + C00080</t>
  </si>
  <si>
    <t>C00004 + C00080 + C05528</t>
  </si>
  <si>
    <t>C00008 + C03082</t>
  </si>
  <si>
    <t>C00021 + C04153</t>
  </si>
  <si>
    <t>C00008 + C00061</t>
  </si>
  <si>
    <t>C00011 + C01242</t>
  </si>
  <si>
    <t>C00014 + C00143 + C02972</t>
  </si>
  <si>
    <t>C00001 + C00445</t>
  </si>
  <si>
    <t>C00004 + C00011 + C00022 + C00080</t>
  </si>
  <si>
    <t>C00011 + C00022</t>
  </si>
  <si>
    <t>C00011 + C03373</t>
  </si>
  <si>
    <t>C00001 + C01168</t>
  </si>
  <si>
    <t>C00067 + C00141</t>
  </si>
  <si>
    <t>C00066 + C03523</t>
  </si>
  <si>
    <t>C00155 + C11838</t>
  </si>
  <si>
    <t>C00013 + C00020 + C00144</t>
  </si>
  <si>
    <t>C00013 + C00020 + C00025 + C00144</t>
  </si>
  <si>
    <t>C00013 + C00020 + C00025 + C16619</t>
  </si>
  <si>
    <t>C00033 + C16466</t>
  </si>
  <si>
    <t>C00003 + C15603</t>
  </si>
  <si>
    <t>C00009 + C00188</t>
  </si>
  <si>
    <t>C00009 + C06056</t>
  </si>
  <si>
    <t>C00004 + C00080 + C00441</t>
  </si>
  <si>
    <t>C00005 + C00080 + C00441</t>
  </si>
  <si>
    <t>C00004 + C00071 + C00080</t>
  </si>
  <si>
    <t>C00004 + C00080 + C00084</t>
  </si>
  <si>
    <t>C00004 + C00080 + C00376</t>
  </si>
  <si>
    <t>C00004 + C00080 + C01545</t>
  </si>
  <si>
    <t>C00004 + C00080 + C05445</t>
  </si>
  <si>
    <t>C00004 + C00080 + C05577</t>
  </si>
  <si>
    <t>C00004 + C00080 + C06613</t>
  </si>
  <si>
    <t>C00004 + C00080 + C16348</t>
  </si>
  <si>
    <t>C00004 + C00080 + C14090</t>
  </si>
  <si>
    <t>C00004 + C00080 + C14099</t>
  </si>
  <si>
    <t>C00003 + C16551</t>
  </si>
  <si>
    <t>C00004 + C00080 + C16587</t>
  </si>
  <si>
    <t>C00004 + C00080 + C00576</t>
  </si>
  <si>
    <t>C00005 + C00080 + C00576</t>
  </si>
  <si>
    <t>C00003 + C08492</t>
  </si>
  <si>
    <t>C00004 + C00080 + C01450</t>
  </si>
  <si>
    <t>C00004 + C00080 + C16596</t>
  </si>
  <si>
    <t>C00004 + C00080 + C00772</t>
  </si>
  <si>
    <t>C00001 + C00003 + C07490</t>
  </si>
  <si>
    <t>C00014 + C00085</t>
  </si>
  <si>
    <t>C00001 + C00061 + C00084 + C00088</t>
  </si>
  <si>
    <t>C00231 + C00279</t>
  </si>
  <si>
    <t>C05382 + C12215</t>
  </si>
  <si>
    <t>C00118 + C13378</t>
  </si>
  <si>
    <t>C00117 + C13378</t>
  </si>
  <si>
    <t>C00013 + C00020 + C02702</t>
  </si>
  <si>
    <t>C00040 + C00681</t>
  </si>
  <si>
    <t>C00005 + C00026 + C00064 + C00080</t>
  </si>
  <si>
    <t>C00005 + C00014 + C00026 + C00080</t>
  </si>
  <si>
    <t>C00009 + C04631</t>
  </si>
  <si>
    <t>C00004 + C00080 + C00085</t>
  </si>
  <si>
    <t>C00004 + C00080 + C05345</t>
  </si>
  <si>
    <t>C00014 + C00460</t>
  </si>
  <si>
    <t>C00025 + C00233</t>
  </si>
  <si>
    <t>C00025 + C00141</t>
  </si>
  <si>
    <t>C00025 + C00671</t>
  </si>
  <si>
    <t>C00025 + C00109</t>
  </si>
  <si>
    <t>C00001 + C00007</t>
  </si>
  <si>
    <t>C00001 + C00067</t>
  </si>
  <si>
    <t>C00027 + C00080 + C00704 + C05640</t>
  </si>
  <si>
    <t>C00001 + C00024 + C00036</t>
  </si>
  <si>
    <t>C00004 + C00014 + C00022 + C00080</t>
  </si>
  <si>
    <t>C00004 + C00014 + C00048 + C00080</t>
  </si>
  <si>
    <t>C00119 + C00262</t>
  </si>
  <si>
    <t>C00119 + C00242</t>
  </si>
  <si>
    <t>C00119 + C00385</t>
  </si>
  <si>
    <t>C00013 + C04646</t>
  </si>
  <si>
    <t>C00013 + C16615</t>
  </si>
  <si>
    <t>C00013 + C16619</t>
  </si>
  <si>
    <t>C00004 + C00080 + C16581</t>
  </si>
  <si>
    <t>C00004 + C00080 + C18028</t>
  </si>
  <si>
    <t>C00004 + C00080 + C01115</t>
  </si>
  <si>
    <t>C00009 + C00035 + C03794</t>
  </si>
  <si>
    <t>C00022 + C00025 + C00108</t>
  </si>
  <si>
    <t>C00001 + C00022 + C00108</t>
  </si>
  <si>
    <t>C00004 + C00025 + C00080</t>
  </si>
  <si>
    <t>C00005 + C00025 + C00080</t>
  </si>
  <si>
    <t>C00005 + C00080 + C05947</t>
  </si>
  <si>
    <t>C00001 + C00003 + C05938</t>
  </si>
  <si>
    <t>C03912 + C15603</t>
  </si>
  <si>
    <t>C00010 + C03508</t>
  </si>
  <si>
    <t>C00013 + C00043</t>
  </si>
  <si>
    <t>C00021 + C04160</t>
  </si>
  <si>
    <t>C00051 + C02929</t>
  </si>
  <si>
    <t>C00051 + C00256</t>
  </si>
  <si>
    <t>C00011 + C00179</t>
  </si>
  <si>
    <t>C00001 + C00002 + C00073</t>
  </si>
  <si>
    <t>C00009 + C00013 + C05691</t>
  </si>
  <si>
    <t>C00009 + C00454</t>
  </si>
  <si>
    <t>C00008 + C00009</t>
  </si>
  <si>
    <t>C00009 + C01081</t>
  </si>
  <si>
    <t>C06697 + C07293</t>
  </si>
  <si>
    <t>C00021 + C05819</t>
  </si>
  <si>
    <t>C00014 + C00049</t>
  </si>
  <si>
    <t>C00008 + C04133</t>
  </si>
  <si>
    <t>C00010 + C00026 + C00139</t>
  </si>
  <si>
    <t>C00008 + C00201</t>
  </si>
  <si>
    <t>C00008 + C11039</t>
  </si>
  <si>
    <t>C00008 + C00075</t>
  </si>
  <si>
    <t>C00008 + C00044</t>
  </si>
  <si>
    <t>C00008 + C00063</t>
  </si>
  <si>
    <t>C00008 + C00081</t>
  </si>
  <si>
    <t>C00008 + C00131</t>
  </si>
  <si>
    <t>C00008 + C00286</t>
  </si>
  <si>
    <t>C00008 + C00459</t>
  </si>
  <si>
    <t>C00008 + C00458</t>
  </si>
  <si>
    <t>C00008 + C00460</t>
  </si>
  <si>
    <t>C00008 + C01345</t>
  </si>
  <si>
    <t>C00008 + C22443</t>
  </si>
  <si>
    <t>C00008 + C21749</t>
  </si>
  <si>
    <t>C00008 + C21751</t>
  </si>
  <si>
    <t>C00266 + C01300</t>
  </si>
  <si>
    <t>C00013 + C00921</t>
  </si>
  <si>
    <t>C00001 + C00921</t>
  </si>
  <si>
    <t>C00010 + C04341</t>
  </si>
  <si>
    <t>C00014 + C01024</t>
  </si>
  <si>
    <t>C00010 + C16255</t>
  </si>
  <si>
    <t>C00011 + C16255</t>
  </si>
  <si>
    <t>C00068 + C16255</t>
  </si>
  <si>
    <t>C00037 + C00097</t>
  </si>
  <si>
    <t>C00037 + C05726</t>
  </si>
  <si>
    <t>C00008 + C00011 + C00074</t>
  </si>
  <si>
    <t>C00013 + C00020 + C02992</t>
  </si>
  <si>
    <t>C00080 + C00126 + C15602</t>
  </si>
  <si>
    <t>C00080 + C00126 + C00399</t>
  </si>
  <si>
    <t>C00058 + C04895</t>
  </si>
  <si>
    <t>C00058 + C05923</t>
  </si>
  <si>
    <t>C00655 + C00700</t>
  </si>
  <si>
    <t>C00058 + C11440</t>
  </si>
  <si>
    <t>C00004 + C00080 + C00693</t>
  </si>
  <si>
    <t>C00004 + C00080 + C04246</t>
  </si>
  <si>
    <t>C00004 + C00080 + C05758</t>
  </si>
  <si>
    <t>C00004 + C00080 + C05748</t>
  </si>
  <si>
    <t>C00004 + C00080 + C05751</t>
  </si>
  <si>
    <t>C00004 + C00080 + C05754</t>
  </si>
  <si>
    <t>C00004 + C00080 + C05760</t>
  </si>
  <si>
    <t>C00004 + C00080 + C05763</t>
  </si>
  <si>
    <t>C00003 + C04088</t>
  </si>
  <si>
    <t>C00001 + C00139 + C11811</t>
  </si>
  <si>
    <t>C00242 + C20446</t>
  </si>
  <si>
    <t>C00013 + C00020 + C02047</t>
  </si>
  <si>
    <t>C00005 + C00080 + C03287</t>
  </si>
  <si>
    <t>C00013 + C00020 + C03511</t>
  </si>
  <si>
    <t>C00008 + C03785</t>
  </si>
  <si>
    <t>C00093 + C00114</t>
  </si>
  <si>
    <t>C00093 + C00189</t>
  </si>
  <si>
    <t>C00001 * C00074</t>
  </si>
  <si>
    <t>C00001 * C04309</t>
  </si>
  <si>
    <t>C00074 * C00112</t>
  </si>
  <si>
    <t>C00074 * C00104</t>
  </si>
  <si>
    <t>C00074 * C00206</t>
  </si>
  <si>
    <t>C00074 * C00361</t>
  </si>
  <si>
    <t>C00074 * C00454</t>
  </si>
  <si>
    <t>C00011 * C11437</t>
  </si>
  <si>
    <t>C00033 * C00097</t>
  </si>
  <si>
    <t>C00033 * C05688</t>
  </si>
  <si>
    <t>C00033 * C00094 * C00097 * C00343</t>
  </si>
  <si>
    <t>C00009 * C00097</t>
  </si>
  <si>
    <t>C00009 * C00911</t>
  </si>
  <si>
    <t>C00009 * C00881</t>
  </si>
  <si>
    <t>C00055 * C11453</t>
  </si>
  <si>
    <t>C00004 * C00080 * C00655</t>
  </si>
  <si>
    <t>C00004 * C00080 * C16618</t>
  </si>
  <si>
    <t>C00001 * C00002 * C00064 * C06113</t>
  </si>
  <si>
    <t>C00001 * C00009 * C04332</t>
  </si>
  <si>
    <t>C00009 * C00860</t>
  </si>
  <si>
    <t>C00014 * C00253</t>
  </si>
  <si>
    <t>C00014 * C00060</t>
  </si>
  <si>
    <t>C00005 * C00080 * C00143</t>
  </si>
  <si>
    <t>C00004 * C00080 * C00143</t>
  </si>
  <si>
    <t>C04570 * C20676</t>
  </si>
  <si>
    <t>C00877 * C01352</t>
  </si>
  <si>
    <t>C01352 * C05271</t>
  </si>
  <si>
    <t>C00030 * C03460</t>
  </si>
  <si>
    <t>C00030 * C03345</t>
  </si>
  <si>
    <t>C00894 * C04570</t>
  </si>
  <si>
    <t>C00013 * C04574</t>
  </si>
  <si>
    <t>C00010 * C01251</t>
  </si>
  <si>
    <t>C00001 * C04002</t>
  </si>
  <si>
    <t>C00003 * C00013 * C00020</t>
  </si>
  <si>
    <t>G00289 * G10481</t>
  </si>
  <si>
    <t>C00009 * C00546</t>
  </si>
  <si>
    <t>C00004 * C00006 * C00080</t>
  </si>
  <si>
    <t>C00001 * C00011 * C00033</t>
  </si>
  <si>
    <t>C00004 * C00080 * C16237</t>
  </si>
  <si>
    <t>C00004 * C00080 * C02051</t>
  </si>
  <si>
    <t>C00004 * C00080 * C15972</t>
  </si>
  <si>
    <t>C00004 * C00080 * C00248</t>
  </si>
  <si>
    <t>C00011 * C15977</t>
  </si>
  <si>
    <t>C00011 * C15975</t>
  </si>
  <si>
    <t>C00011 * C15979</t>
  </si>
  <si>
    <t>C00011 * C15976</t>
  </si>
  <si>
    <t>C00068 * C15977</t>
  </si>
  <si>
    <t>C00011 * C15974</t>
  </si>
  <si>
    <t>C00068 * C15975</t>
  </si>
  <si>
    <t>C00011 * C15978</t>
  </si>
  <si>
    <t>C00068 * C15979</t>
  </si>
  <si>
    <t>C00011 * C21017</t>
  </si>
  <si>
    <t>C00068 * C21018</t>
  </si>
  <si>
    <t>C00013 * C00020 * C04682</t>
  </si>
  <si>
    <t>C00001 * C00658</t>
  </si>
  <si>
    <t>C00001 * C00894</t>
  </si>
  <si>
    <t>C00001 * C03221</t>
  </si>
  <si>
    <t>C00001 * C03345</t>
  </si>
  <si>
    <t>C00001 * C05272</t>
  </si>
  <si>
    <t>C00001 * C05273</t>
  </si>
  <si>
    <t>C00001 * C05275</t>
  </si>
  <si>
    <t>C00001 * C05276</t>
  </si>
  <si>
    <t>C00001 * C05271</t>
  </si>
  <si>
    <t>C00001 * C16328</t>
  </si>
  <si>
    <t>C00001 * C16332</t>
  </si>
  <si>
    <t>C00001 * C16336</t>
  </si>
  <si>
    <t>C00001 * C05067</t>
  </si>
  <si>
    <t>C00001 * C01122</t>
  </si>
  <si>
    <t>C00001 * C03069</t>
  </si>
  <si>
    <t>C00011 * C16254</t>
  </si>
  <si>
    <t>C00011 * C05381</t>
  </si>
  <si>
    <t>C00068 * C16254</t>
  </si>
  <si>
    <t>C00013 * C00020 * C03406</t>
  </si>
  <si>
    <t>C00062 * C00122</t>
  </si>
  <si>
    <t>C00014 * C00025</t>
  </si>
  <si>
    <t>C00009 * C01563</t>
  </si>
  <si>
    <t>C00014 * C00109</t>
  </si>
  <si>
    <t>C00014 * C00022</t>
  </si>
  <si>
    <t>C00014 * C00161</t>
  </si>
  <si>
    <t>C00003 * C00013</t>
  </si>
  <si>
    <t>C00013 * C00020 * C00864</t>
  </si>
  <si>
    <t>C00080 * C00396 * C00620</t>
  </si>
  <si>
    <t>C00041 * C00168</t>
  </si>
  <si>
    <t>C00009 * C17556</t>
  </si>
  <si>
    <t>C00013 * C11435</t>
  </si>
  <si>
    <t>C00008 * C11436</t>
  </si>
  <si>
    <t>C00014 * C01279</t>
  </si>
  <si>
    <t>C00080 * C01279 * C04294</t>
  </si>
  <si>
    <t>C00008 * C00046</t>
  </si>
  <si>
    <t>C00015 * C00046</t>
  </si>
  <si>
    <t>C00035 * C00046</t>
  </si>
  <si>
    <t>C00011 * C00105</t>
  </si>
  <si>
    <t>C00119 * C00295</t>
  </si>
  <si>
    <t>C00013 * C16634</t>
  </si>
  <si>
    <t>C00004 * C00080 * C00111</t>
  </si>
  <si>
    <t>C00005 * C00080 * C00111</t>
  </si>
  <si>
    <t>C00041 * C15812</t>
  </si>
  <si>
    <t>C00013 * C00020 * C00886</t>
  </si>
  <si>
    <t>C00011 * C01327 * C07090</t>
  </si>
  <si>
    <t>C00001 * C00693</t>
  </si>
  <si>
    <t>C00001 * C04246</t>
  </si>
  <si>
    <t>C00001 * C05754</t>
  </si>
  <si>
    <t>C00001 * C05751</t>
  </si>
  <si>
    <t>C00001 * C05763</t>
  </si>
  <si>
    <t>C00001 * C05760</t>
  </si>
  <si>
    <t>C00001 * C05748</t>
  </si>
  <si>
    <t>C00001 * C05758</t>
  </si>
  <si>
    <t>C00001 * C20374</t>
  </si>
  <si>
    <t>C00001 * C20378</t>
  </si>
  <si>
    <t>C00013 * C20864</t>
  </si>
  <si>
    <t>C00001 * C00268</t>
  </si>
  <si>
    <t>C00022 * C00080 * C00126</t>
  </si>
  <si>
    <t>G10495 * G11113</t>
  </si>
  <si>
    <t>C00001 * C00129 * C00139</t>
  </si>
  <si>
    <t>C00013 * C04146</t>
  </si>
  <si>
    <t>C00020 * C03028</t>
  </si>
  <si>
    <t>C00004 * C00014 * C00026 * C00080</t>
  </si>
  <si>
    <t>C00004 * C00014 * C00080 * C00161</t>
  </si>
  <si>
    <t>C00005 * C00014 * C00080 * C00161</t>
  </si>
  <si>
    <t>C00004 * C00080 * C03232</t>
  </si>
  <si>
    <t>C00004 * C00026 * C00080</t>
  </si>
  <si>
    <t>C00986 * C07282</t>
  </si>
  <si>
    <t>C00004 * C00080 * C15853</t>
  </si>
  <si>
    <t>C00003 * C07282</t>
  </si>
  <si>
    <t>C00986 * C15854</t>
  </si>
  <si>
    <t>C00031 * C00095</t>
  </si>
  <si>
    <t>C00267 * C02336</t>
  </si>
  <si>
    <t>C00008 * C22442</t>
  </si>
  <si>
    <t>C00011 * C01134</t>
  </si>
  <si>
    <t>C00065 * C00101</t>
  </si>
  <si>
    <t>C00001 * C00037 * C04377</t>
  </si>
  <si>
    <t>C00001 * C00064 * C00119</t>
  </si>
  <si>
    <t>C00008 * C00009 * C00025 * C04640</t>
  </si>
  <si>
    <t>C00020 * C00122</t>
  </si>
  <si>
    <t>C00122 * C22441</t>
  </si>
  <si>
    <t>C00011 * C03586</t>
  </si>
  <si>
    <t>C00001 * C01051</t>
  </si>
  <si>
    <t>C00006 * C01641 * C03741</t>
  </si>
  <si>
    <t>C00009 * C00020 * C00074</t>
  </si>
  <si>
    <t>C00009 * C00137</t>
  </si>
  <si>
    <t>C00342 * C03723</t>
  </si>
  <si>
    <t>C00008 * C00342</t>
  </si>
  <si>
    <t>C00015 * C00342</t>
  </si>
  <si>
    <t>C00112 * C00342</t>
  </si>
  <si>
    <t>C02090 * C03723</t>
  </si>
  <si>
    <t>C00342 * C21748</t>
  </si>
  <si>
    <t>C00119 * C00147</t>
  </si>
  <si>
    <t>C00119 * C04051</t>
  </si>
  <si>
    <t>C00009 * C00017</t>
  </si>
  <si>
    <t>C00008 * C00009 * C00025 * C00063</t>
  </si>
  <si>
    <t>C00013 * C00020 * C02839</t>
  </si>
  <si>
    <t>C00009 * C00944</t>
  </si>
  <si>
    <t>C00009 * C00251</t>
  </si>
  <si>
    <t>C00004 * C00011 * C00080 * C00322</t>
  </si>
  <si>
    <t>C00011 * C00322</t>
  </si>
  <si>
    <t>C00004 * C00080 * C05533</t>
  </si>
  <si>
    <t>C00041 * C02713</t>
  </si>
  <si>
    <t>C00001 * C02637</t>
  </si>
  <si>
    <t>C00001 * C01170</t>
  </si>
  <si>
    <t>C00001 * C00024 * C00048</t>
  </si>
  <si>
    <t>C00009 * C11537</t>
  </si>
  <si>
    <t>C00620 * C15587</t>
  </si>
  <si>
    <t>C00672 * C15587</t>
  </si>
  <si>
    <t>C00080 * C00253 * C00620</t>
  </si>
  <si>
    <t>C00013 * C00020 * C02987</t>
  </si>
  <si>
    <t>C00013 * C00020 * C02843</t>
  </si>
  <si>
    <t>C00013 * C00020 * C00154</t>
  </si>
  <si>
    <t>C00005 * C00080 * C00685</t>
  </si>
  <si>
    <t>C00005 * C00080 * C05744</t>
  </si>
  <si>
    <t>C00005 * C05753</t>
  </si>
  <si>
    <t>C00005 * C00080 * C05750</t>
  </si>
  <si>
    <t>C00005 * C00080 * C05762</t>
  </si>
  <si>
    <t>C00005 * C00080 * C05759</t>
  </si>
  <si>
    <t>C00005 * C00080 * C05746</t>
  </si>
  <si>
    <t>C00005 * C00080 * C05756</t>
  </si>
  <si>
    <t>C00006 * C16220</t>
  </si>
  <si>
    <t>C00006 * C20373</t>
  </si>
  <si>
    <t>C00006 * C20377</t>
  </si>
  <si>
    <t>C00010 * C00011 * C05744</t>
  </si>
  <si>
    <t>C00014 * C00299</t>
  </si>
  <si>
    <t>C00014 * C00526</t>
  </si>
  <si>
    <t>C00014 * C12739</t>
  </si>
  <si>
    <t>C00001 * C02218</t>
  </si>
  <si>
    <t>C00014 * C01268</t>
  </si>
  <si>
    <t>C00058 * C15556</t>
  </si>
  <si>
    <t>C00013 * C00020 * C01931</t>
  </si>
  <si>
    <t>C00005 * C00080 * C02637</t>
  </si>
  <si>
    <t>C00005 * C00080 * C22438</t>
  </si>
  <si>
    <t>C00025 * C01250</t>
  </si>
  <si>
    <t>C00013 * C19085</t>
  </si>
  <si>
    <t>C00013 * C19078</t>
  </si>
  <si>
    <t>C00013 * C19080</t>
  </si>
  <si>
    <t>C00001 * C00080 * C00125</t>
  </si>
  <si>
    <t>C00001 * C00997</t>
  </si>
  <si>
    <t>C00086 * C00134</t>
  </si>
  <si>
    <t>C00005 * C00445</t>
  </si>
  <si>
    <t>C00004 * C00022 * C00080</t>
  </si>
  <si>
    <t>C00004 * C00080 * C00109</t>
  </si>
  <si>
    <t>C00004 * C00080 * C00957</t>
  </si>
  <si>
    <t>C00004 * C00080 * C00167</t>
  </si>
  <si>
    <t>G00177 * G10619</t>
  </si>
  <si>
    <t>C00001 * C01222</t>
  </si>
  <si>
    <t>C00005 * C00080 * C01222</t>
  </si>
  <si>
    <t>C00008 * C00009 * C00080 * C03516</t>
  </si>
  <si>
    <t>C00004 * C00080 * C00264</t>
  </si>
  <si>
    <t>C00004 * C00080 * C00332</t>
  </si>
  <si>
    <t>C00004 * C00080 * C03344</t>
  </si>
  <si>
    <t>C00004 * C00080 * C05259</t>
  </si>
  <si>
    <t>C00004 * C05261</t>
  </si>
  <si>
    <t>C00004 * C00080 * C05263</t>
  </si>
  <si>
    <t>C00004 * C00080 * C05265</t>
  </si>
  <si>
    <t>C00004 * C00080 * C05267</t>
  </si>
  <si>
    <t>C00004 * C00080 * C05269</t>
  </si>
  <si>
    <t>C00004 * C00080 * C02232</t>
  </si>
  <si>
    <t>C00004 * C00080 * C16330</t>
  </si>
  <si>
    <t>C00004 * C00080 * C16334</t>
  </si>
  <si>
    <t>C00004 * C00080 * C16338</t>
  </si>
  <si>
    <t>C00004 * C00080 * C06715</t>
  </si>
  <si>
    <t>C00004 * C00080 * C16471</t>
  </si>
  <si>
    <t>C00004 * C00080 * C00244</t>
  </si>
  <si>
    <t>C00005 * C00080 * C00244</t>
  </si>
  <si>
    <t>C00001 * C00088 * C15602</t>
  </si>
  <si>
    <t>C00138 * C00244</t>
  </si>
  <si>
    <t>C00001 * C00088 * C00923</t>
  </si>
  <si>
    <t>C00001 * C00088 * C06260</t>
  </si>
  <si>
    <t>C00080 * C05358 * C11215</t>
  </si>
  <si>
    <t>C00080 * C00126 * C11215</t>
  </si>
  <si>
    <t>C00025 * C00232</t>
  </si>
  <si>
    <t>C00025 * C00222</t>
  </si>
  <si>
    <t>C00011 * C00047</t>
  </si>
  <si>
    <t>C00033 * C00352</t>
  </si>
  <si>
    <t>C00013 * C00020 * C00074</t>
  </si>
  <si>
    <t>C00013 * C06510</t>
  </si>
  <si>
    <t>C00011 * C04122</t>
  </si>
  <si>
    <t>C00009 * C00085</t>
  </si>
  <si>
    <t>C00009 * C05345</t>
  </si>
  <si>
    <t>C00009 * C05382</t>
  </si>
  <si>
    <t>C00008 * C00009 * C06509</t>
  </si>
  <si>
    <t>C00009 * C05775</t>
  </si>
  <si>
    <t>C00009 * C00194</t>
  </si>
  <si>
    <t>C00080 * C00253 * C04778</t>
  </si>
  <si>
    <t>C05775 * C06510</t>
  </si>
  <si>
    <t>C00194 * C00536 * C03161</t>
  </si>
  <si>
    <t>C00536 * C03161 * C06506</t>
  </si>
  <si>
    <t>C00194 * C00536</t>
  </si>
  <si>
    <t>C00536 * C06506</t>
  </si>
  <si>
    <t>C00004 * C00080 * C05778</t>
  </si>
  <si>
    <t>C00080 * C00094 * C00138</t>
  </si>
  <si>
    <t>C00080 * C00138 * C05684</t>
  </si>
  <si>
    <t>C00011 * C00013 * C01081</t>
  </si>
  <si>
    <t>C00014 * C00027 * C00048</t>
  </si>
  <si>
    <t>C00027 * C15809</t>
  </si>
  <si>
    <t>C00014 * C00048</t>
  </si>
  <si>
    <t>C00014 * C00022 * C00027</t>
  </si>
  <si>
    <t>C00027 * C00048 * C00218</t>
  </si>
  <si>
    <t>C00027 * C00048 * C00797</t>
  </si>
  <si>
    <t>C00058 * C00073 * C00237 * C04556 * C05198</t>
  </si>
  <si>
    <t>C00013 * C00020 * C03160</t>
  </si>
  <si>
    <t>C00025 * C00058</t>
  </si>
  <si>
    <t>C00010 * C02876</t>
  </si>
  <si>
    <t>C00004 * C00080 * C00164</t>
  </si>
  <si>
    <t>C00013 * C00575</t>
  </si>
  <si>
    <t>C00013 * C00942</t>
  </si>
  <si>
    <t>C00009 * C00069</t>
  </si>
  <si>
    <t>C00009 * C00378</t>
  </si>
  <si>
    <t>C00009 * C00870</t>
  </si>
  <si>
    <t>C00009 * C00184</t>
  </si>
  <si>
    <t>C00009 * C04874</t>
  </si>
  <si>
    <t>C00004 * C00060 * C00080</t>
  </si>
  <si>
    <t>C00004 * C00080 * C00162</t>
  </si>
  <si>
    <t>C00004 * C00033 * C00080</t>
  </si>
  <si>
    <t>C00004 * C00080 * C00099</t>
  </si>
  <si>
    <t>C00004 * C00080 * C00258</t>
  </si>
  <si>
    <t>C00004 * C00080 * C00334</t>
  </si>
  <si>
    <t>C00004 * C00080 * C00954</t>
  </si>
  <si>
    <t>C00004 * C00080 * C00804</t>
  </si>
  <si>
    <t>C00004 * C00080 * C01181</t>
  </si>
  <si>
    <t>C00004 * C00080 * C02170</t>
  </si>
  <si>
    <t>C00004 * C00080 * C02835</t>
  </si>
  <si>
    <t>C00004 * C00080 * C04554</t>
  </si>
  <si>
    <t>C00004 * C00080 * C05635</t>
  </si>
  <si>
    <t>C00004 * C00080 * C02946</t>
  </si>
  <si>
    <t>C00004 * C00080 * C06755</t>
  </si>
  <si>
    <t>C00004 * C00080 * C11924</t>
  </si>
  <si>
    <t>C00004 * C00080 * C16502</t>
  </si>
  <si>
    <t>C00005 * C00026 * C00080</t>
  </si>
  <si>
    <t>C00005 * C00080 * C00334</t>
  </si>
  <si>
    <t>C00004 * C00080 * C00818</t>
  </si>
  <si>
    <t>C00080 * C06614</t>
  </si>
  <si>
    <t>C00080 * C06615</t>
  </si>
  <si>
    <t>C00013 * C00020 * C00582</t>
  </si>
  <si>
    <t>C00001 * C00003 * C01161</t>
  </si>
  <si>
    <t>C00004 * C00080 * C04186</t>
  </si>
  <si>
    <t>C00011 * C03063</t>
  </si>
  <si>
    <t>C00011 * C05600</t>
  </si>
  <si>
    <t>C00001 * C20258</t>
  </si>
  <si>
    <t>C00080 * C11538</t>
  </si>
  <si>
    <t>C00021 * C00080 * C05772</t>
  </si>
  <si>
    <t>C00027 * C05840</t>
  </si>
  <si>
    <t>C00014 * C00027 * C00036</t>
  </si>
  <si>
    <t>C00111 * C05840</t>
  </si>
  <si>
    <t>C00119 * C03722</t>
  </si>
  <si>
    <t>C01352 * C05272</t>
  </si>
  <si>
    <t>C01352 * C05276</t>
  </si>
  <si>
    <t>C01352 * C03221</t>
  </si>
  <si>
    <t>C01352 * C05273</t>
  </si>
  <si>
    <t>C01352 * C03069</t>
  </si>
  <si>
    <t>C01352 * C05275</t>
  </si>
  <si>
    <t>C00060 * C00080 * C00138</t>
  </si>
  <si>
    <t>C00080 * C00138 * C00258</t>
  </si>
  <si>
    <t>C00033 * C00073</t>
  </si>
  <si>
    <t>C00033 * C00155</t>
  </si>
  <si>
    <t>C00013 * C00020 * C03125</t>
  </si>
  <si>
    <t>C00013 * C00020 * C02553</t>
  </si>
  <si>
    <t>C00013 * C00020 * C06481</t>
  </si>
  <si>
    <t>C00014 * C03431</t>
  </si>
  <si>
    <t>C00004 * C00080 * C00186</t>
  </si>
  <si>
    <t>C00042 * C02291</t>
  </si>
  <si>
    <t>C00014 * C00042 * C00109</t>
  </si>
  <si>
    <t>C00042 * C00155</t>
  </si>
  <si>
    <t>C00033 * C02291</t>
  </si>
  <si>
    <t>C00009 * C05699</t>
  </si>
  <si>
    <t>C00033 * C05699</t>
  </si>
  <si>
    <t>C00042 * C05699</t>
  </si>
  <si>
    <t>C00025 * C00036</t>
  </si>
  <si>
    <t>C00025 * C00166</t>
  </si>
  <si>
    <t>C00025 * C01179</t>
  </si>
  <si>
    <t>C00025 * C00957</t>
  </si>
  <si>
    <t>C00302 * C00957</t>
  </si>
  <si>
    <t>C00025 * C05528</t>
  </si>
  <si>
    <t>C00025 * C05527</t>
  </si>
  <si>
    <t>C00025 * C05946</t>
  </si>
  <si>
    <t>C00004 * C00080 * C00236</t>
  </si>
  <si>
    <t>C00001 * C00011 * C00074</t>
  </si>
  <si>
    <t>C00022 * C00568</t>
  </si>
  <si>
    <t>C00025 * C11355</t>
  </si>
  <si>
    <t>C00001 * C11355</t>
  </si>
  <si>
    <t>C00073 * C00101</t>
  </si>
  <si>
    <t>C04144 * C05335</t>
  </si>
  <si>
    <t>C00001 * C00002 * C00080 * C00119 * C00253</t>
  </si>
  <si>
    <t>C00011 * C00099</t>
  </si>
  <si>
    <t>C00008 * C04242</t>
  </si>
  <si>
    <t>C04574 * G10554</t>
  </si>
  <si>
    <t>C04574 * G10557</t>
  </si>
  <si>
    <t>C00015 * C05893</t>
  </si>
  <si>
    <t>G10553 * G10619</t>
  </si>
  <si>
    <t>C00015 * C05898</t>
  </si>
  <si>
    <t>G10550 * G10619</t>
  </si>
  <si>
    <t>G10555 * G10619</t>
  </si>
  <si>
    <t>C00005 * C00080 * C04631</t>
  </si>
  <si>
    <t>C00004 * C00080 * C04631</t>
  </si>
  <si>
    <t>C00013 * C05413</t>
  </si>
  <si>
    <t>C03363 * C05951</t>
  </si>
  <si>
    <t>C00025 * C05729</t>
  </si>
  <si>
    <t>C00001 * C05711</t>
  </si>
  <si>
    <t>C00001 * C06114</t>
  </si>
  <si>
    <t>C00006 * C05309</t>
  </si>
  <si>
    <t>C00014 * C00148</t>
  </si>
  <si>
    <t>C00013 * C00020 * C02554</t>
  </si>
  <si>
    <t>C00001 * C00011 * C03506</t>
  </si>
  <si>
    <t>C00103 * C00718</t>
  </si>
  <si>
    <t>C00103 * G10495</t>
  </si>
  <si>
    <t>C00009 * C00585</t>
  </si>
  <si>
    <t>C00084 * C00118</t>
  </si>
  <si>
    <t>C00005 * C00080 * C04133</t>
  </si>
  <si>
    <t>C00010 * C02612</t>
  </si>
  <si>
    <t>C00001 * C00024 * C00141</t>
  </si>
  <si>
    <t>C00005 * C00080 * C06010</t>
  </si>
  <si>
    <t>C00006 * C04039</t>
  </si>
  <si>
    <t>C00005 * C00080 * C04181</t>
  </si>
  <si>
    <t>C00005 * C00080 * C14463</t>
  </si>
  <si>
    <t>C00011 * C05125</t>
  </si>
  <si>
    <t>C00022 * C05125</t>
  </si>
  <si>
    <t>C00068 * C06006</t>
  </si>
  <si>
    <t>C00011 * C06006</t>
  </si>
  <si>
    <t>C00005 * C00080 * C00343</t>
  </si>
  <si>
    <t>C00005 * C05526</t>
  </si>
  <si>
    <t>C00005 * C00080 * C05684</t>
  </si>
  <si>
    <t>C00001 * C00006 * C05703</t>
  </si>
  <si>
    <t>C00001 * C00122</t>
  </si>
  <si>
    <t>C00007 * C00027</t>
  </si>
  <si>
    <t>C00013 * C00020 * C02282</t>
  </si>
  <si>
    <t>C00005 * C00080 * C03082</t>
  </si>
  <si>
    <t>C00013 * C00020 * C02412</t>
  </si>
  <si>
    <t>C00005 * C00080 * C00332</t>
  </si>
  <si>
    <t>C00004 * C00080 * C03508</t>
  </si>
  <si>
    <t>C00009 * C00060</t>
  </si>
  <si>
    <t>C00009 * C00033</t>
  </si>
  <si>
    <t>C00009 * C00180</t>
  </si>
  <si>
    <t>C00009 * C00197</t>
  </si>
  <si>
    <t>C00001 * C02631</t>
  </si>
  <si>
    <t>C00004 * C00080 * C04236</t>
  </si>
  <si>
    <t>C00004 * C00011 * C00080 * C00233</t>
  </si>
  <si>
    <t>C00003 * C06032</t>
  </si>
  <si>
    <t>C00001 * C00141</t>
  </si>
  <si>
    <t>C00001 * C00671</t>
  </si>
  <si>
    <t>C00013 * C00020 * C00024</t>
  </si>
  <si>
    <t>C00013 * C00020 * C00100</t>
  </si>
  <si>
    <t>C00009 * C04691</t>
  </si>
  <si>
    <t>C00004 * C00011 * C00080 * C00082</t>
  </si>
  <si>
    <t>C00030 * C00048</t>
  </si>
  <si>
    <t>C00011 * C00877 * C04570</t>
  </si>
  <si>
    <t>C00011 * C00877 * C01352</t>
  </si>
  <si>
    <t>C00011 * C00877</t>
  </si>
  <si>
    <t>C00005 * C00048 * C00080</t>
  </si>
  <si>
    <t>C00005 * C00080 * C00168</t>
  </si>
  <si>
    <t>C00004 * C00080 * C00546</t>
  </si>
  <si>
    <t>C00042 * C00295</t>
  </si>
  <si>
    <t>C00005 * C00011 * C00026 * C00080</t>
  </si>
  <si>
    <t>C00011 * C00026</t>
  </si>
  <si>
    <t>C00005 * C00080 * C05379</t>
  </si>
  <si>
    <t>C00013 * C00020 * C02163</t>
  </si>
  <si>
    <t>C00013 * C02741</t>
  </si>
  <si>
    <t>C00013 * C00020 * C06113</t>
  </si>
  <si>
    <t>C00013 * C00020 * C02984</t>
  </si>
  <si>
    <t>C00122 * C15603</t>
  </si>
  <si>
    <t>C00122 * C00390</t>
  </si>
  <si>
    <t>C00011 * C01137</t>
  </si>
  <si>
    <t>C00011 * C00229 * C00685</t>
  </si>
  <si>
    <t>C00011 * C00229 * C05744</t>
  </si>
  <si>
    <t>C00011 * C00229 * C05759</t>
  </si>
  <si>
    <t>C00011 * C00229 * C05746</t>
  </si>
  <si>
    <t>C00011 * C00229 * C05750</t>
  </si>
  <si>
    <t>C00011 * C00229 * C05753</t>
  </si>
  <si>
    <t>C00011 * C00229 * C05756</t>
  </si>
  <si>
    <t>C00011 * C00229 * C05762</t>
  </si>
  <si>
    <t>C00011 * C00229 * C16219</t>
  </si>
  <si>
    <t>C00011 * C00229 * C20372</t>
  </si>
  <si>
    <t>C00011 * C00229 * C20376</t>
  </si>
  <si>
    <t>C00002 * C01801</t>
  </si>
  <si>
    <t>C00001 * C01267</t>
  </si>
  <si>
    <t>C00025 * C01267</t>
  </si>
  <si>
    <t>C00003 * C00080 * C00390</t>
  </si>
  <si>
    <t>C00001 * C00417</t>
  </si>
  <si>
    <t>C00013 * C00020 * C00332</t>
  </si>
  <si>
    <t>C00004 * C00080 * C00135</t>
  </si>
  <si>
    <t>C00004 * C00080 * C01929</t>
  </si>
  <si>
    <t>C00013 * C00020 * C02988</t>
  </si>
  <si>
    <t>C00013 * C00020 * C03402</t>
  </si>
  <si>
    <t>C00005 * C00080 * C00835</t>
  </si>
  <si>
    <t>C00005 * C00080 * C03684</t>
  </si>
  <si>
    <t>C00005 * C00080 * C04244</t>
  </si>
  <si>
    <t>C00085 * C00279</t>
  </si>
  <si>
    <t>C00013 * C00020 * C03127</t>
  </si>
  <si>
    <t>C00005 * C00080 * C11437</t>
  </si>
  <si>
    <t>C00004 * C00080 * C03912</t>
  </si>
  <si>
    <t>C00005 * C00080 * C03912</t>
  </si>
  <si>
    <t>C00004 * C00080 * C04281</t>
  </si>
  <si>
    <t>C00005 * C00080 * C04281</t>
  </si>
  <si>
    <t>C00011 * C03263</t>
  </si>
  <si>
    <t>C00011 * C05768</t>
  </si>
  <si>
    <t>C00027 * C02191</t>
  </si>
  <si>
    <t>C00004 * C00080 * C00247</t>
  </si>
  <si>
    <t>C00004 * C00080 * C00095</t>
  </si>
  <si>
    <t>C00004 * C00080 * C00310</t>
  </si>
  <si>
    <t>C00013 * C00020 * C02430</t>
  </si>
  <si>
    <t>C00013 * C00020 * C05336</t>
  </si>
  <si>
    <t>C00001 * C00343 * C01335</t>
  </si>
  <si>
    <t>C00001 * C01335 * C07293</t>
  </si>
  <si>
    <t>C00001 * C00003 * C01335</t>
  </si>
  <si>
    <t>C00001 * C00127 * C01335</t>
  </si>
  <si>
    <t>C00001 * C01335 * C16237</t>
  </si>
  <si>
    <t>C00001 * C01335 * C15972</t>
  </si>
  <si>
    <t>C00001 * C00078</t>
  </si>
  <si>
    <t>C00118 * C00463</t>
  </si>
  <si>
    <t>C00001 * C00078 * C00118</t>
  </si>
  <si>
    <t>C00020 * C00039 * C00455</t>
  </si>
  <si>
    <t>C00170 * C00315</t>
  </si>
  <si>
    <t>C00170 * C16565</t>
  </si>
  <si>
    <t>C00001 * C00011 * C00166</t>
  </si>
  <si>
    <t>C00001 * C00011 * C00079</t>
  </si>
  <si>
    <t>C00004 * C00036 * C00080</t>
  </si>
  <si>
    <t>C00004 * C00080 * C05528</t>
  </si>
  <si>
    <t>C00008 * C03082</t>
  </si>
  <si>
    <t>C00021 * C04153</t>
  </si>
  <si>
    <t>C00008 * C00061</t>
  </si>
  <si>
    <t>C00011 * C01242</t>
  </si>
  <si>
    <t>C00014 * C00143 * C02972</t>
  </si>
  <si>
    <t>C00001 * C00445</t>
  </si>
  <si>
    <t>C00004 * C00011 * C00022 * C00080</t>
  </si>
  <si>
    <t>C00011 * C00022</t>
  </si>
  <si>
    <t>C00011 * C03373</t>
  </si>
  <si>
    <t>C00001 * C01168</t>
  </si>
  <si>
    <t>C00067 * C00141</t>
  </si>
  <si>
    <t>C00066 * C03523</t>
  </si>
  <si>
    <t>C00155 * C11838</t>
  </si>
  <si>
    <t>C00013 * C00020 * C00144</t>
  </si>
  <si>
    <t>C00013 * C00020 * C00025 * C00144</t>
  </si>
  <si>
    <t>C00013 * C00020 * C00025 * C16619</t>
  </si>
  <si>
    <t>C00033 * C16466</t>
  </si>
  <si>
    <t>C00003 * C15603</t>
  </si>
  <si>
    <t>C00009 * C00188</t>
  </si>
  <si>
    <t>C00009 * C06056</t>
  </si>
  <si>
    <t>C00004 * C00080 * C00441</t>
  </si>
  <si>
    <t>C00005 * C00080 * C00441</t>
  </si>
  <si>
    <t>C00004 * C00071 * C00080</t>
  </si>
  <si>
    <t>C00004 * C00080 * C00084</t>
  </si>
  <si>
    <t>C00004 * C00080 * C00376</t>
  </si>
  <si>
    <t>C00004 * C00080 * C01545</t>
  </si>
  <si>
    <t>C00004 * C00080 * C05445</t>
  </si>
  <si>
    <t>C00004 * C00080 * C05577</t>
  </si>
  <si>
    <t>C00004 * C00080 * C06613</t>
  </si>
  <si>
    <t>C00004 * C00080 * C16348</t>
  </si>
  <si>
    <t>C00004 * C00080 * C14090</t>
  </si>
  <si>
    <t>C00004 * C00080 * C14099</t>
  </si>
  <si>
    <t>C00003 * C16551</t>
  </si>
  <si>
    <t>C00004 * C00080 * C16587</t>
  </si>
  <si>
    <t>C00004 * C00080 * C00576</t>
  </si>
  <si>
    <t>C00005 * C00080 * C00576</t>
  </si>
  <si>
    <t>C00003 * C08492</t>
  </si>
  <si>
    <t>C00004 * C00080 * C01450</t>
  </si>
  <si>
    <t>C00004 * C00080 * C16596</t>
  </si>
  <si>
    <t>C00004 * C00080 * C00772</t>
  </si>
  <si>
    <t>C00001 * C00003 * C07490</t>
  </si>
  <si>
    <t>C00014 * C00085</t>
  </si>
  <si>
    <t>C00001 * C00061 * C00084 * C00088</t>
  </si>
  <si>
    <t>C00231 * C00279</t>
  </si>
  <si>
    <t>C05382 * C12215</t>
  </si>
  <si>
    <t>C00118 * C13378</t>
  </si>
  <si>
    <t>C00117 * C13378</t>
  </si>
  <si>
    <t>C00013 * C00020 * C02702</t>
  </si>
  <si>
    <t>C00040 * C00681</t>
  </si>
  <si>
    <t>C00005 * C00026 * C00064 * C00080</t>
  </si>
  <si>
    <t>C00005 * C00014 * C00026 * C00080</t>
  </si>
  <si>
    <t>C00009 * C04631</t>
  </si>
  <si>
    <t>C00004 * C00080 * C00085</t>
  </si>
  <si>
    <t>C00004 * C00080 * C05345</t>
  </si>
  <si>
    <t>C00014 * C00460</t>
  </si>
  <si>
    <t>C00025 * C00233</t>
  </si>
  <si>
    <t>C00025 * C00141</t>
  </si>
  <si>
    <t>C00025 * C00671</t>
  </si>
  <si>
    <t>C00025 * C00109</t>
  </si>
  <si>
    <t>C00001 * C00007</t>
  </si>
  <si>
    <t>C00001 * C00067</t>
  </si>
  <si>
    <t>C00027 * C00080 * C00704 * C05640</t>
  </si>
  <si>
    <t>C00001 * C00024 * C00036</t>
  </si>
  <si>
    <t>C00004 * C00014 * C00022 * C00080</t>
  </si>
  <si>
    <t>C00004 * C00014 * C00048 * C00080</t>
  </si>
  <si>
    <t>C00119 * C00262</t>
  </si>
  <si>
    <t>C00119 * C00242</t>
  </si>
  <si>
    <t>C00119 * C00385</t>
  </si>
  <si>
    <t>C00013 * C04646</t>
  </si>
  <si>
    <t>C00013 * C16615</t>
  </si>
  <si>
    <t>C00013 * C16619</t>
  </si>
  <si>
    <t>C00004 * C00080 * C16581</t>
  </si>
  <si>
    <t>C00004 * C00080 * C18028</t>
  </si>
  <si>
    <t>C00004 * C00080 * C01115</t>
  </si>
  <si>
    <t>C00009 * C00035 * C03794</t>
  </si>
  <si>
    <t>C00022 * C00025 * C00108</t>
  </si>
  <si>
    <t>C00001 * C00022 * C00108</t>
  </si>
  <si>
    <t>C00004 * C00025 * C00080</t>
  </si>
  <si>
    <t>C00005 * C00025 * C00080</t>
  </si>
  <si>
    <t>C00005 * C00080 * C05947</t>
  </si>
  <si>
    <t>C00001 * C00003 * C05938</t>
  </si>
  <si>
    <t>C03912 * C15603</t>
  </si>
  <si>
    <t>C00010 * C03508</t>
  </si>
  <si>
    <t>C00013 * C00043</t>
  </si>
  <si>
    <t>C00021 * C04160</t>
  </si>
  <si>
    <t>C00051 * C02929</t>
  </si>
  <si>
    <t>C00051 * C00256</t>
  </si>
  <si>
    <t>C00011 * C00179</t>
  </si>
  <si>
    <t>C00001 * C00002 * C00073</t>
  </si>
  <si>
    <t>C00009 * C00013 * C05691</t>
  </si>
  <si>
    <t>C00009 * C00454</t>
  </si>
  <si>
    <t>C00008 * C00009</t>
  </si>
  <si>
    <t>C00009 * C01081</t>
  </si>
  <si>
    <t>C06697 * C07293</t>
  </si>
  <si>
    <t>C00021 * C05819</t>
  </si>
  <si>
    <t>C00014 * C00049</t>
  </si>
  <si>
    <t>C00008 * C04133</t>
  </si>
  <si>
    <t>C00010 * C00026 * C00139</t>
  </si>
  <si>
    <t>C00008 * C00201</t>
  </si>
  <si>
    <t>C00008 * C11039</t>
  </si>
  <si>
    <t>C00008 * C00075</t>
  </si>
  <si>
    <t>C00008 * C00044</t>
  </si>
  <si>
    <t>C00008 * C00063</t>
  </si>
  <si>
    <t>C00008 * C00081</t>
  </si>
  <si>
    <t>C00008 * C00131</t>
  </si>
  <si>
    <t>C00008 * C00286</t>
  </si>
  <si>
    <t>C00008 * C00459</t>
  </si>
  <si>
    <t>C00008 * C00458</t>
  </si>
  <si>
    <t>C00008 * C00460</t>
  </si>
  <si>
    <t>C00008 * C01345</t>
  </si>
  <si>
    <t>C00008 * C22443</t>
  </si>
  <si>
    <t>C00008 * C21749</t>
  </si>
  <si>
    <t>C00008 * C21751</t>
  </si>
  <si>
    <t>C00266 * C01300</t>
  </si>
  <si>
    <t>C00013 * C00921</t>
  </si>
  <si>
    <t>C00001 * C00921</t>
  </si>
  <si>
    <t>C00010 * C04341</t>
  </si>
  <si>
    <t>C00014 * C01024</t>
  </si>
  <si>
    <t>C00010 * C16255</t>
  </si>
  <si>
    <t>C00011 * C16255</t>
  </si>
  <si>
    <t>C00068 * C16255</t>
  </si>
  <si>
    <t>C00037 * C00097</t>
  </si>
  <si>
    <t>C00037 * C05726</t>
  </si>
  <si>
    <t>C00008 * C00011 * C00074</t>
  </si>
  <si>
    <t>C00013 * C00020 * C02992</t>
  </si>
  <si>
    <t>C00080 * C00126 * C15602</t>
  </si>
  <si>
    <t>C00080 * C00126 * C00399</t>
  </si>
  <si>
    <t>C00058 * C04895</t>
  </si>
  <si>
    <t>C00058 * C05923</t>
  </si>
  <si>
    <t>C00655 * C00700</t>
  </si>
  <si>
    <t>C00058 * C11440</t>
  </si>
  <si>
    <t>C00004 * C00080 * C00693</t>
  </si>
  <si>
    <t>C00004 * C00080 * C04246</t>
  </si>
  <si>
    <t>C00004 * C00080 * C05758</t>
  </si>
  <si>
    <t>C00004 * C00080 * C05748</t>
  </si>
  <si>
    <t>C00004 * C00080 * C05751</t>
  </si>
  <si>
    <t>C00004 * C00080 * C05754</t>
  </si>
  <si>
    <t>C00004 * C00080 * C05760</t>
  </si>
  <si>
    <t>C00004 * C00080 * C05763</t>
  </si>
  <si>
    <t>C00003 * C04088</t>
  </si>
  <si>
    <t>C00001 * C00139 * C11811</t>
  </si>
  <si>
    <t>C00242 * C20446</t>
  </si>
  <si>
    <t>C00013 * C00020 * C02047</t>
  </si>
  <si>
    <t>C00005 * C00080 * C03287</t>
  </si>
  <si>
    <t>C00013 * C00020 * C03511</t>
  </si>
  <si>
    <t>C00008 * C03785</t>
  </si>
  <si>
    <t>C00093 * C00114</t>
  </si>
  <si>
    <t>C00093 * C00189</t>
  </si>
  <si>
    <t>G10481</t>
  </si>
  <si>
    <t>G10551</t>
  </si>
  <si>
    <t>G10552</t>
  </si>
  <si>
    <t>G10553</t>
  </si>
  <si>
    <t>G10555</t>
  </si>
  <si>
    <t>G10554</t>
  </si>
  <si>
    <t>G10557</t>
  </si>
  <si>
    <t>G10556</t>
  </si>
  <si>
    <t>G00177</t>
  </si>
  <si>
    <t>G00289</t>
  </si>
  <si>
    <t>G10550</t>
  </si>
  <si>
    <t>G10610</t>
  </si>
  <si>
    <t>G10619</t>
  </si>
  <si>
    <t>G11109</t>
  </si>
  <si>
    <t>G11112</t>
  </si>
  <si>
    <t>G11113</t>
  </si>
  <si>
    <t>G13164</t>
  </si>
  <si>
    <t>G00177:1</t>
  </si>
  <si>
    <t>G00275:1</t>
  </si>
  <si>
    <t>G00289:1</t>
  </si>
  <si>
    <t>G10481:1</t>
  </si>
  <si>
    <t>G10495:1</t>
  </si>
  <si>
    <t>G10545:1</t>
  </si>
  <si>
    <t>G10551:1</t>
  </si>
  <si>
    <t>G10550:1</t>
  </si>
  <si>
    <t>G10553:1</t>
  </si>
  <si>
    <t>G10552:1</t>
  </si>
  <si>
    <t>G10554:1</t>
  </si>
  <si>
    <t>G10555:1</t>
  </si>
  <si>
    <t>G10556:1</t>
  </si>
  <si>
    <t>G10557:1</t>
  </si>
  <si>
    <t>G10610:1</t>
  </si>
  <si>
    <t>G10619:1</t>
  </si>
  <si>
    <t>G11109:1</t>
  </si>
  <si>
    <t>G11112:1</t>
  </si>
  <si>
    <t>G11113:1</t>
  </si>
  <si>
    <t>G13164:1</t>
  </si>
  <si>
    <t>C00078</t>
  </si>
  <si>
    <t>L-Tryptophan</t>
  </si>
  <si>
    <t>C00078:1000</t>
  </si>
  <si>
    <t>C00240</t>
  </si>
  <si>
    <t>Rrna</t>
  </si>
  <si>
    <t>C00240:1</t>
  </si>
  <si>
    <t>C00266</t>
  </si>
  <si>
    <t>C00266:1</t>
  </si>
  <si>
    <t>Glycolaldehyde</t>
  </si>
  <si>
    <t>C00463</t>
  </si>
  <si>
    <t>Indole</t>
  </si>
  <si>
    <t>C00463:1</t>
  </si>
  <si>
    <t>C01242</t>
  </si>
  <si>
    <t>C01242:1</t>
  </si>
  <si>
    <t>[Protein]-S8-aminomethyldihydrolipoyllysine</t>
  </si>
  <si>
    <t>C01344</t>
  </si>
  <si>
    <t>C01344:1</t>
  </si>
  <si>
    <t>C01345</t>
  </si>
  <si>
    <t>dIdp</t>
  </si>
  <si>
    <t>dItp</t>
  </si>
  <si>
    <t>C01345:1</t>
  </si>
  <si>
    <t>C01672</t>
  </si>
  <si>
    <t>Cadaverine</t>
  </si>
  <si>
    <t>C01672:1</t>
  </si>
  <si>
    <t>C02128</t>
  </si>
  <si>
    <t>5'-Phospho-DNA</t>
  </si>
  <si>
    <t>C02128:1</t>
  </si>
  <si>
    <t>C02929</t>
  </si>
  <si>
    <t>2-Hydroxy carboxylate</t>
  </si>
  <si>
    <t>C02929:1</t>
  </si>
  <si>
    <t>C03451</t>
  </si>
  <si>
    <t>C03451:1</t>
  </si>
  <si>
    <t>( R )-S-Lactoylglutathione</t>
  </si>
  <si>
    <t>C03803</t>
  </si>
  <si>
    <t>Ribosomal-protein L-alanine</t>
  </si>
  <si>
    <t>C03803:1</t>
  </si>
  <si>
    <t>C03899</t>
  </si>
  <si>
    <t>S-(2-Hydroxyacyl)glutathione</t>
  </si>
  <si>
    <t>C03899:1</t>
  </si>
  <si>
    <t>C04153</t>
  </si>
  <si>
    <t>rRNA containing N2-methylguanine</t>
  </si>
  <si>
    <t>C04153:1</t>
  </si>
  <si>
    <t>C04160</t>
  </si>
  <si>
    <t>tRNA containing N7-methylguanine</t>
  </si>
  <si>
    <t>C04160:1</t>
  </si>
  <si>
    <t>C04341</t>
  </si>
  <si>
    <t>Ribosomal-protein N-acetyl-L-alanine</t>
  </si>
  <si>
    <t>C04341:1</t>
  </si>
  <si>
    <t>C04501</t>
  </si>
  <si>
    <t>N-Acetyl-alpha-D-glucosamine 1-phosphate</t>
  </si>
  <si>
    <t>C04501:1</t>
  </si>
  <si>
    <t>C05691</t>
  </si>
  <si>
    <t>Se-Adenosylselenomethionine</t>
  </si>
  <si>
    <t>C05691:1</t>
  </si>
  <si>
    <t>C05726</t>
  </si>
  <si>
    <t>S-Substituted L-cysteine</t>
  </si>
  <si>
    <t>C05726:1</t>
  </si>
  <si>
    <t>C05819</t>
  </si>
  <si>
    <t>Menaquinol</t>
  </si>
  <si>
    <t>C05819:1</t>
  </si>
  <si>
    <t>C11038</t>
  </si>
  <si>
    <t>2'-Deoxy-5-hydroxymethylcytidine-5'-diphosphate</t>
  </si>
  <si>
    <t>C11038:1</t>
  </si>
  <si>
    <t>S-Acetyldihydrolipoamide-E</t>
  </si>
  <si>
    <t>C16255</t>
  </si>
  <si>
    <t>C16255:1</t>
  </si>
  <si>
    <t>C16565</t>
  </si>
  <si>
    <t>Aminopropylcadaverine</t>
  </si>
  <si>
    <t>C16565:1</t>
  </si>
  <si>
    <t>C19847</t>
  </si>
  <si>
    <t>Demethylmenaquinol</t>
  </si>
  <si>
    <t>C19847:1</t>
  </si>
  <si>
    <t>C21749</t>
  </si>
  <si>
    <t>5-Fluorouridine triphosphate</t>
  </si>
  <si>
    <t>C21749:1</t>
  </si>
  <si>
    <t>C21751</t>
  </si>
  <si>
    <t>5-Fluorodeoxyuridine triphosphate</t>
  </si>
  <si>
    <t>C21751:1</t>
  </si>
  <si>
    <t>C22443</t>
  </si>
  <si>
    <t>dZTP</t>
  </si>
  <si>
    <t>C22443:1</t>
  </si>
  <si>
    <t>Und-PP-GlcNAc-ManNAc</t>
  </si>
  <si>
    <t>(GlcNAc)1 (MurNAc)1 (D-Ala-D-Ala-Lys-D-Glu-Ala)1 (PP-Und)1</t>
  </si>
  <si>
    <t>(MurNAc)1 (D-Ala-D-Ala-Lys-D-Glu-Ala)1 (PP-Und)1</t>
  </si>
  <si>
    <t>(MurNAc)1 (D-Ala-D-Ala-Lys-gamma-D-Glu-Ala)1 (PP-Und)1</t>
  </si>
  <si>
    <t>(GlcNAc)1 (MurNAc)1 (D-Ala-D-Ala-Lys-gamma-D-Glu-Ala)1 (PP-Und)1</t>
  </si>
  <si>
    <t>(GlcNAc)1 (MurNAc)1 (*)1 (D-Ala-D-Ala-Lys-gamma-D-Glu-Ala)1 (PP-Und)1</t>
  </si>
  <si>
    <t>(GlcNAc)1 (MurNAc)1 (D-Ala-D-Ala-A2pm-gamma-D-Glu-Ala)1 (PP-Und)1</t>
  </si>
  <si>
    <t>(MurNAc)1 (D-Ala-D-Ala-A2pm-gamma-D-Glu-Ala)1 (PP-Und)1</t>
  </si>
  <si>
    <t>(GlcNAc)1 (MurNAc)1 (*)1 (D-Ala-D-Ala-A2pm-gamma-D-Glu-Ala)1 (PP-Und)1</t>
  </si>
  <si>
    <t>UDP-N-acetyl-D-glucosamine</t>
  </si>
  <si>
    <t>N-Acetyl-alpha-D-glucosaminyl-diphospho-ditrans,octacis-undecaprenol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</si>
</sst>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</font>
    <font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F1F1F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18" fillId="0" borderId="0" xfId="42"/>
    <xf numFmtId="0" fontId="20" fillId="0" borderId="0" xfId="42" applyFont="1"/>
    <xf numFmtId="0" fontId="1" fillId="0" borderId="0" xfId="42" applyFont="1"/>
    <xf numFmtId="0" fontId="19" fillId="0" borderId="1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8" fillId="0" borderId="0" xfId="42" applyBorder="1"/>
    <xf numFmtId="0" fontId="1" fillId="0" borderId="0" xfId="42" applyFont="1" applyBorder="1"/>
    <xf numFmtId="0" fontId="0" fillId="0" borderId="0" xfId="42" applyFont="1" applyBorder="1"/>
    <xf numFmtId="0" fontId="0" fillId="0" borderId="0" xfId="42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wrapText="1"/>
    </xf>
    <xf numFmtId="0" fontId="22" fillId="0" borderId="0" xfId="0" applyFont="1" applyAlignment="1">
      <alignment vertical="top"/>
    </xf>
    <xf numFmtId="0" fontId="22" fillId="0" borderId="11" xfId="0" applyFont="1" applyBorder="1" applyAlignment="1">
      <alignment horizontal="left" vertical="top" wrapText="1"/>
    </xf>
    <xf numFmtId="0" fontId="22" fillId="0" borderId="11" xfId="0" applyFont="1" applyBorder="1" applyAlignment="1">
      <alignment vertical="top" wrapText="1"/>
    </xf>
    <xf numFmtId="0" fontId="22" fillId="0" borderId="0" xfId="0" applyFont="1" applyAlignment="1">
      <alignment horizontal="left" vertical="top" wrapText="1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datasets/genome/GCF_001399775.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egg.jp/entry/R00378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kegg.jp/entry/R11029" TargetMode="External"/><Relationship Id="rId1" Type="http://schemas.openxmlformats.org/officeDocument/2006/relationships/hyperlink" Target="https://www.kegg.jp/entry/R00379" TargetMode="External"/><Relationship Id="rId6" Type="http://schemas.openxmlformats.org/officeDocument/2006/relationships/hyperlink" Target="https://www.kegg.jp/entry/R00375" TargetMode="External"/><Relationship Id="rId5" Type="http://schemas.openxmlformats.org/officeDocument/2006/relationships/hyperlink" Target="https://www.kegg.jp/entry/R00376" TargetMode="External"/><Relationship Id="rId4" Type="http://schemas.openxmlformats.org/officeDocument/2006/relationships/hyperlink" Target="https://www.kegg.jp/entry/R0037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7B23-093E-4D50-943E-6D57855F3A47}">
  <dimension ref="A1:D27"/>
  <sheetViews>
    <sheetView workbookViewId="0">
      <selection activeCell="B1" sqref="B1"/>
    </sheetView>
  </sheetViews>
  <sheetFormatPr defaultRowHeight="15" x14ac:dyDescent="0.25"/>
  <cols>
    <col min="1" max="1" width="28.28515625" customWidth="1"/>
    <col min="2" max="2" width="20.85546875" customWidth="1"/>
    <col min="3" max="3" width="18.7109375" customWidth="1"/>
  </cols>
  <sheetData>
    <row r="1" spans="1:4" ht="15.75" thickBot="1" x14ac:dyDescent="0.3">
      <c r="A1" s="15" t="s">
        <v>11503</v>
      </c>
      <c r="B1" s="1" t="s">
        <v>11526</v>
      </c>
    </row>
    <row r="2" spans="1:4" ht="15.75" thickBot="1" x14ac:dyDescent="0.3">
      <c r="A2" s="16" t="s">
        <v>11504</v>
      </c>
      <c r="B2" s="20" t="s">
        <v>11527</v>
      </c>
      <c r="C2" s="20"/>
      <c r="D2" s="20"/>
    </row>
    <row r="3" spans="1:4" x14ac:dyDescent="0.25">
      <c r="A3" s="16" t="s">
        <v>11505</v>
      </c>
      <c r="B3" s="20" t="s">
        <v>11528</v>
      </c>
      <c r="C3" s="20"/>
      <c r="D3" s="20"/>
    </row>
    <row r="4" spans="1:4" ht="15.75" thickBot="1" x14ac:dyDescent="0.3">
      <c r="A4" s="15" t="s">
        <v>11506</v>
      </c>
      <c r="B4" s="20" t="s">
        <v>11529</v>
      </c>
      <c r="C4" s="20"/>
      <c r="D4" s="20"/>
    </row>
    <row r="5" spans="1:4" ht="15.75" thickBot="1" x14ac:dyDescent="0.3">
      <c r="A5" s="16" t="s">
        <v>11507</v>
      </c>
      <c r="B5" s="21" t="s">
        <v>11530</v>
      </c>
      <c r="C5" s="20"/>
      <c r="D5" s="20"/>
    </row>
    <row r="6" spans="1:4" x14ac:dyDescent="0.25">
      <c r="A6" s="17" t="s">
        <v>11508</v>
      </c>
      <c r="B6" s="20" t="s">
        <v>11552</v>
      </c>
      <c r="C6" s="20"/>
      <c r="D6" s="20"/>
    </row>
    <row r="7" spans="1:4" x14ac:dyDescent="0.25">
      <c r="A7" s="18"/>
      <c r="B7" s="20" t="s">
        <v>11531</v>
      </c>
      <c r="C7" s="20" t="s">
        <v>11532</v>
      </c>
      <c r="D7" s="20"/>
    </row>
    <row r="8" spans="1:4" x14ac:dyDescent="0.25">
      <c r="A8" s="18" t="s">
        <v>11509</v>
      </c>
      <c r="B8" s="20" t="s">
        <v>11533</v>
      </c>
      <c r="C8" s="20" t="s">
        <v>11533</v>
      </c>
      <c r="D8" s="20"/>
    </row>
    <row r="9" spans="1:4" x14ac:dyDescent="0.25">
      <c r="A9" s="18" t="s">
        <v>11510</v>
      </c>
      <c r="B9" s="20" t="s">
        <v>11533</v>
      </c>
      <c r="C9" s="20" t="s">
        <v>11533</v>
      </c>
      <c r="D9" s="20"/>
    </row>
    <row r="10" spans="1:4" x14ac:dyDescent="0.25">
      <c r="A10" s="18" t="s">
        <v>11511</v>
      </c>
      <c r="B10" s="20">
        <v>5</v>
      </c>
      <c r="C10" s="20">
        <v>5</v>
      </c>
      <c r="D10" s="20"/>
    </row>
    <row r="11" spans="1:4" x14ac:dyDescent="0.25">
      <c r="A11" s="18" t="s">
        <v>11512</v>
      </c>
      <c r="B11" s="20">
        <v>5</v>
      </c>
      <c r="C11" s="20">
        <v>5</v>
      </c>
      <c r="D11" s="20"/>
    </row>
    <row r="12" spans="1:4" x14ac:dyDescent="0.25">
      <c r="A12" s="18" t="s">
        <v>11513</v>
      </c>
      <c r="B12" s="20" t="s">
        <v>11534</v>
      </c>
      <c r="C12" s="20" t="s">
        <v>11534</v>
      </c>
      <c r="D12" s="20"/>
    </row>
    <row r="13" spans="1:4" x14ac:dyDescent="0.25">
      <c r="A13" s="18" t="s">
        <v>11514</v>
      </c>
      <c r="B13" s="20">
        <v>1</v>
      </c>
      <c r="C13" s="20">
        <v>1</v>
      </c>
      <c r="D13" s="20"/>
    </row>
    <row r="14" spans="1:4" x14ac:dyDescent="0.25">
      <c r="A14" s="18" t="s">
        <v>11515</v>
      </c>
      <c r="B14" s="20">
        <v>5</v>
      </c>
      <c r="C14" s="20">
        <v>5</v>
      </c>
      <c r="D14" s="20"/>
    </row>
    <row r="15" spans="1:4" x14ac:dyDescent="0.25">
      <c r="A15" s="18" t="s">
        <v>11516</v>
      </c>
      <c r="B15" s="20" t="s">
        <v>11534</v>
      </c>
      <c r="C15" s="20" t="s">
        <v>11534</v>
      </c>
      <c r="D15" s="20"/>
    </row>
    <row r="16" spans="1:4" x14ac:dyDescent="0.25">
      <c r="A16" s="18" t="s">
        <v>11517</v>
      </c>
      <c r="B16" s="20">
        <v>1</v>
      </c>
      <c r="C16" s="20">
        <v>1</v>
      </c>
      <c r="D16" s="20"/>
    </row>
    <row r="17" spans="1:4" x14ac:dyDescent="0.25">
      <c r="A17" s="18" t="s">
        <v>11518</v>
      </c>
      <c r="B17" s="20">
        <v>68</v>
      </c>
      <c r="C17" s="20">
        <v>68</v>
      </c>
      <c r="D17" s="20"/>
    </row>
    <row r="18" spans="1:4" x14ac:dyDescent="0.25">
      <c r="A18" s="18" t="s">
        <v>11519</v>
      </c>
      <c r="B18" s="20" t="s">
        <v>11535</v>
      </c>
      <c r="C18" s="20" t="s">
        <v>11535</v>
      </c>
      <c r="D18" s="20"/>
    </row>
    <row r="19" spans="1:4" x14ac:dyDescent="0.25">
      <c r="A19" s="18" t="s">
        <v>11520</v>
      </c>
      <c r="B19" s="22">
        <v>2560</v>
      </c>
      <c r="C19" s="22">
        <v>2574</v>
      </c>
      <c r="D19" s="20"/>
    </row>
    <row r="20" spans="1:4" x14ac:dyDescent="0.25">
      <c r="A20" s="18" t="s">
        <v>11521</v>
      </c>
      <c r="B20" s="22">
        <v>2442</v>
      </c>
      <c r="C20" s="22">
        <v>2519</v>
      </c>
      <c r="D20" s="20"/>
    </row>
    <row r="21" spans="1:4" x14ac:dyDescent="0.25">
      <c r="B21" s="20"/>
      <c r="C21" s="20"/>
      <c r="D21" s="20"/>
    </row>
    <row r="22" spans="1:4" x14ac:dyDescent="0.25">
      <c r="A22" s="18" t="s">
        <v>11522</v>
      </c>
      <c r="B22" s="20" t="s">
        <v>11552</v>
      </c>
      <c r="C22" s="20" t="s">
        <v>13</v>
      </c>
      <c r="D22" s="20"/>
    </row>
    <row r="23" spans="1:4" x14ac:dyDescent="0.25">
      <c r="B23" s="20"/>
      <c r="C23" s="20"/>
      <c r="D23" s="20"/>
    </row>
    <row r="24" spans="1:4" x14ac:dyDescent="0.25">
      <c r="B24" s="20"/>
      <c r="C24" s="20"/>
      <c r="D24" s="20"/>
    </row>
    <row r="25" spans="1:4" x14ac:dyDescent="0.25">
      <c r="A25" t="s">
        <v>11523</v>
      </c>
      <c r="B25" s="20"/>
      <c r="C25" s="20"/>
      <c r="D25" s="20"/>
    </row>
    <row r="26" spans="1:4" x14ac:dyDescent="0.25">
      <c r="A26" t="s">
        <v>11524</v>
      </c>
      <c r="B26" s="20" t="s">
        <v>11536</v>
      </c>
      <c r="C26" s="20"/>
      <c r="D26" s="20"/>
    </row>
    <row r="27" spans="1:4" x14ac:dyDescent="0.25">
      <c r="A27" t="s">
        <v>11525</v>
      </c>
      <c r="B27" s="19">
        <v>4.7000000000000002E-3</v>
      </c>
      <c r="C27" s="20"/>
      <c r="D27" s="20"/>
    </row>
  </sheetData>
  <hyperlinks>
    <hyperlink ref="B1" r:id="rId1" xr:uid="{CF901000-D968-4B02-9789-1745261C40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5EB4-2844-4227-994F-733FDD577043}">
  <dimension ref="A1:M2575"/>
  <sheetViews>
    <sheetView workbookViewId="0">
      <selection activeCell="K1" sqref="K1"/>
    </sheetView>
  </sheetViews>
  <sheetFormatPr defaultRowHeight="15" x14ac:dyDescent="0.25"/>
  <cols>
    <col min="9" max="9" width="17.42578125" customWidth="1"/>
    <col min="10" max="10" width="21.7109375" customWidth="1"/>
    <col min="11" max="11" width="20.7109375" customWidth="1"/>
    <col min="12" max="12" width="17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>
        <v>1326</v>
      </c>
      <c r="E2" t="s">
        <v>14</v>
      </c>
      <c r="F2" t="s">
        <v>15</v>
      </c>
      <c r="H2">
        <v>0</v>
      </c>
      <c r="I2" t="s">
        <v>16</v>
      </c>
    </row>
    <row r="3" spans="1:13" x14ac:dyDescent="0.25">
      <c r="A3" t="s">
        <v>13</v>
      </c>
      <c r="B3">
        <v>1625</v>
      </c>
      <c r="C3">
        <v>2740</v>
      </c>
      <c r="E3" t="s">
        <v>14</v>
      </c>
      <c r="F3" t="s">
        <v>19</v>
      </c>
      <c r="H3">
        <v>0</v>
      </c>
      <c r="I3" t="s">
        <v>16</v>
      </c>
    </row>
    <row r="4" spans="1:13" x14ac:dyDescent="0.25">
      <c r="A4" t="s">
        <v>13</v>
      </c>
      <c r="B4">
        <v>2799</v>
      </c>
      <c r="C4">
        <v>4067</v>
      </c>
      <c r="E4" t="s">
        <v>14</v>
      </c>
      <c r="F4" t="s">
        <v>22</v>
      </c>
      <c r="H4">
        <v>0</v>
      </c>
      <c r="I4" t="s">
        <v>16</v>
      </c>
    </row>
    <row r="5" spans="1:13" x14ac:dyDescent="0.25">
      <c r="A5" t="s">
        <v>13</v>
      </c>
      <c r="B5">
        <v>4054</v>
      </c>
      <c r="C5">
        <v>5478</v>
      </c>
      <c r="E5" t="s">
        <v>14</v>
      </c>
      <c r="F5" t="s">
        <v>25</v>
      </c>
      <c r="H5">
        <v>0</v>
      </c>
      <c r="I5" t="s">
        <v>16</v>
      </c>
    </row>
    <row r="6" spans="1:13" x14ac:dyDescent="0.25">
      <c r="A6" t="s">
        <v>13</v>
      </c>
      <c r="B6">
        <v>5675</v>
      </c>
      <c r="C6">
        <v>6103</v>
      </c>
      <c r="E6" t="s">
        <v>28</v>
      </c>
      <c r="F6" t="s">
        <v>29</v>
      </c>
      <c r="H6">
        <v>0</v>
      </c>
      <c r="I6" t="s">
        <v>16</v>
      </c>
    </row>
    <row r="7" spans="1:13" x14ac:dyDescent="0.25">
      <c r="A7" t="s">
        <v>13</v>
      </c>
      <c r="B7">
        <v>6132</v>
      </c>
      <c r="C7">
        <v>6914</v>
      </c>
      <c r="E7" t="s">
        <v>28</v>
      </c>
      <c r="F7" t="s">
        <v>32</v>
      </c>
      <c r="H7">
        <v>0</v>
      </c>
      <c r="I7" t="s">
        <v>16</v>
      </c>
    </row>
    <row r="8" spans="1:13" x14ac:dyDescent="0.25">
      <c r="A8" t="s">
        <v>13</v>
      </c>
      <c r="B8">
        <v>6930</v>
      </c>
      <c r="C8">
        <v>7544</v>
      </c>
      <c r="E8" t="s">
        <v>28</v>
      </c>
      <c r="F8" t="s">
        <v>35</v>
      </c>
      <c r="H8">
        <v>0</v>
      </c>
      <c r="I8" t="s">
        <v>16</v>
      </c>
    </row>
    <row r="9" spans="1:13" x14ac:dyDescent="0.25">
      <c r="A9" t="s">
        <v>13</v>
      </c>
      <c r="B9">
        <v>7531</v>
      </c>
      <c r="C9">
        <v>9378</v>
      </c>
      <c r="E9" t="s">
        <v>28</v>
      </c>
      <c r="F9" t="s">
        <v>38</v>
      </c>
      <c r="H9">
        <v>0</v>
      </c>
      <c r="I9" t="s">
        <v>16</v>
      </c>
    </row>
    <row r="10" spans="1:13" x14ac:dyDescent="0.25">
      <c r="A10" t="s">
        <v>13</v>
      </c>
      <c r="B10">
        <v>9388</v>
      </c>
      <c r="C10">
        <v>10017</v>
      </c>
      <c r="E10" t="s">
        <v>28</v>
      </c>
      <c r="F10" t="s">
        <v>41</v>
      </c>
      <c r="H10">
        <v>0</v>
      </c>
      <c r="I10" t="s">
        <v>16</v>
      </c>
    </row>
    <row r="11" spans="1:13" x14ac:dyDescent="0.25">
      <c r="A11" t="s">
        <v>13</v>
      </c>
      <c r="B11">
        <v>10043</v>
      </c>
      <c r="C11">
        <v>10327</v>
      </c>
      <c r="E11" t="s">
        <v>28</v>
      </c>
      <c r="F11" t="s">
        <v>41</v>
      </c>
      <c r="H11">
        <v>0</v>
      </c>
      <c r="I11" t="s">
        <v>16</v>
      </c>
    </row>
    <row r="12" spans="1:13" x14ac:dyDescent="0.25">
      <c r="A12" t="s">
        <v>13</v>
      </c>
      <c r="B12">
        <v>10531</v>
      </c>
      <c r="C12">
        <v>11193</v>
      </c>
      <c r="E12" t="s">
        <v>28</v>
      </c>
      <c r="F12" t="s">
        <v>46</v>
      </c>
      <c r="H12">
        <v>0</v>
      </c>
      <c r="I12" t="s">
        <v>16</v>
      </c>
    </row>
    <row r="13" spans="1:13" x14ac:dyDescent="0.25">
      <c r="A13" t="s">
        <v>13</v>
      </c>
      <c r="B13">
        <v>11465</v>
      </c>
      <c r="C13">
        <v>12202</v>
      </c>
      <c r="E13" t="s">
        <v>14</v>
      </c>
      <c r="F13" t="s">
        <v>41</v>
      </c>
      <c r="H13">
        <v>0</v>
      </c>
      <c r="I13" t="s">
        <v>16</v>
      </c>
    </row>
    <row r="14" spans="1:13" x14ac:dyDescent="0.25">
      <c r="A14" t="s">
        <v>13</v>
      </c>
      <c r="B14">
        <v>12202</v>
      </c>
      <c r="C14">
        <v>12837</v>
      </c>
      <c r="E14" t="s">
        <v>14</v>
      </c>
      <c r="F14" t="s">
        <v>41</v>
      </c>
      <c r="H14">
        <v>0</v>
      </c>
      <c r="I14" t="s">
        <v>16</v>
      </c>
    </row>
    <row r="15" spans="1:13" x14ac:dyDescent="0.25">
      <c r="A15" t="s">
        <v>13</v>
      </c>
      <c r="B15">
        <v>12936</v>
      </c>
      <c r="C15">
        <v>13847</v>
      </c>
      <c r="E15" t="s">
        <v>28</v>
      </c>
      <c r="F15" t="s">
        <v>53</v>
      </c>
      <c r="H15">
        <v>0</v>
      </c>
      <c r="I15" t="s">
        <v>16</v>
      </c>
    </row>
    <row r="16" spans="1:13" x14ac:dyDescent="0.25">
      <c r="A16" t="s">
        <v>13</v>
      </c>
      <c r="B16">
        <v>14005</v>
      </c>
      <c r="C16">
        <v>14472</v>
      </c>
      <c r="E16" t="s">
        <v>14</v>
      </c>
      <c r="F16" t="s">
        <v>56</v>
      </c>
      <c r="H16">
        <v>0</v>
      </c>
      <c r="I16" t="s">
        <v>16</v>
      </c>
    </row>
    <row r="17" spans="1:9" x14ac:dyDescent="0.25">
      <c r="A17" t="s">
        <v>13</v>
      </c>
      <c r="B17">
        <v>14587</v>
      </c>
      <c r="C17">
        <v>14793</v>
      </c>
      <c r="E17" t="s">
        <v>14</v>
      </c>
      <c r="F17" t="s">
        <v>59</v>
      </c>
      <c r="H17">
        <v>0</v>
      </c>
      <c r="I17" t="s">
        <v>16</v>
      </c>
    </row>
    <row r="18" spans="1:9" x14ac:dyDescent="0.25">
      <c r="A18" t="s">
        <v>13</v>
      </c>
      <c r="B18">
        <v>14851</v>
      </c>
      <c r="C18">
        <v>15600</v>
      </c>
      <c r="E18" t="s">
        <v>14</v>
      </c>
      <c r="F18" t="s">
        <v>62</v>
      </c>
      <c r="H18">
        <v>0</v>
      </c>
      <c r="I18" t="s">
        <v>16</v>
      </c>
    </row>
    <row r="19" spans="1:9" x14ac:dyDescent="0.25">
      <c r="A19" t="s">
        <v>13</v>
      </c>
      <c r="B19">
        <v>15597</v>
      </c>
      <c r="C19">
        <v>16277</v>
      </c>
      <c r="E19" t="s">
        <v>28</v>
      </c>
      <c r="F19" t="s">
        <v>65</v>
      </c>
      <c r="H19">
        <v>0</v>
      </c>
      <c r="I19" t="s">
        <v>16</v>
      </c>
    </row>
    <row r="20" spans="1:9" x14ac:dyDescent="0.25">
      <c r="A20" t="s">
        <v>13</v>
      </c>
      <c r="B20">
        <v>16383</v>
      </c>
      <c r="C20">
        <v>18011</v>
      </c>
      <c r="E20" t="s">
        <v>14</v>
      </c>
      <c r="F20" t="s">
        <v>68</v>
      </c>
      <c r="H20">
        <v>0</v>
      </c>
      <c r="I20" t="s">
        <v>16</v>
      </c>
    </row>
    <row r="21" spans="1:9" x14ac:dyDescent="0.25">
      <c r="A21" t="s">
        <v>13</v>
      </c>
      <c r="B21">
        <v>18168</v>
      </c>
      <c r="C21">
        <v>19613</v>
      </c>
      <c r="E21" t="s">
        <v>28</v>
      </c>
      <c r="F21" t="s">
        <v>41</v>
      </c>
      <c r="H21">
        <v>0</v>
      </c>
      <c r="I21" t="s">
        <v>16</v>
      </c>
    </row>
    <row r="22" spans="1:9" x14ac:dyDescent="0.25">
      <c r="A22" t="s">
        <v>13</v>
      </c>
      <c r="B22">
        <v>19681</v>
      </c>
      <c r="C22">
        <v>19794</v>
      </c>
      <c r="E22" t="s">
        <v>14</v>
      </c>
      <c r="F22" t="s">
        <v>41</v>
      </c>
      <c r="H22">
        <v>0</v>
      </c>
      <c r="I22" t="s">
        <v>16</v>
      </c>
    </row>
    <row r="23" spans="1:9" x14ac:dyDescent="0.25">
      <c r="A23" t="s">
        <v>13</v>
      </c>
      <c r="B23">
        <v>19791</v>
      </c>
      <c r="C23">
        <v>20375</v>
      </c>
      <c r="E23" t="s">
        <v>14</v>
      </c>
      <c r="F23" t="s">
        <v>75</v>
      </c>
      <c r="H23">
        <v>0</v>
      </c>
      <c r="I23" t="s">
        <v>16</v>
      </c>
    </row>
    <row r="24" spans="1:9" x14ac:dyDescent="0.25">
      <c r="A24" t="s">
        <v>13</v>
      </c>
      <c r="B24">
        <v>20379</v>
      </c>
      <c r="C24">
        <v>20975</v>
      </c>
      <c r="E24" t="s">
        <v>28</v>
      </c>
      <c r="F24" t="s">
        <v>78</v>
      </c>
      <c r="H24">
        <v>0</v>
      </c>
      <c r="I24" t="s">
        <v>16</v>
      </c>
    </row>
    <row r="25" spans="1:9" x14ac:dyDescent="0.25">
      <c r="A25" t="s">
        <v>13</v>
      </c>
      <c r="B25">
        <v>20968</v>
      </c>
      <c r="C25">
        <v>21426</v>
      </c>
      <c r="E25" t="s">
        <v>28</v>
      </c>
      <c r="F25" t="s">
        <v>81</v>
      </c>
      <c r="H25">
        <v>0</v>
      </c>
      <c r="I25" t="s">
        <v>16</v>
      </c>
    </row>
    <row r="26" spans="1:9" x14ac:dyDescent="0.25">
      <c r="A26" t="s">
        <v>13</v>
      </c>
      <c r="B26">
        <v>21443</v>
      </c>
      <c r="C26">
        <v>21994</v>
      </c>
      <c r="E26" t="s">
        <v>14</v>
      </c>
      <c r="F26" t="s">
        <v>84</v>
      </c>
      <c r="H26">
        <v>0</v>
      </c>
      <c r="I26" t="s">
        <v>16</v>
      </c>
    </row>
    <row r="27" spans="1:9" x14ac:dyDescent="0.25">
      <c r="A27" t="s">
        <v>13</v>
      </c>
      <c r="B27">
        <v>22140</v>
      </c>
      <c r="C27">
        <v>22460</v>
      </c>
      <c r="E27" t="s">
        <v>14</v>
      </c>
      <c r="F27" t="s">
        <v>41</v>
      </c>
      <c r="H27">
        <v>0</v>
      </c>
      <c r="I27" t="s">
        <v>16</v>
      </c>
    </row>
    <row r="28" spans="1:9" x14ac:dyDescent="0.25">
      <c r="A28" t="s">
        <v>13</v>
      </c>
      <c r="B28">
        <v>22447</v>
      </c>
      <c r="C28">
        <v>23007</v>
      </c>
      <c r="E28" t="s">
        <v>28</v>
      </c>
      <c r="F28" t="s">
        <v>89</v>
      </c>
      <c r="H28">
        <v>0</v>
      </c>
      <c r="I28" t="s">
        <v>16</v>
      </c>
    </row>
    <row r="29" spans="1:9" x14ac:dyDescent="0.25">
      <c r="A29" t="s">
        <v>13</v>
      </c>
      <c r="B29">
        <v>23004</v>
      </c>
      <c r="C29">
        <v>23243</v>
      </c>
      <c r="E29" t="s">
        <v>28</v>
      </c>
      <c r="F29" t="s">
        <v>41</v>
      </c>
      <c r="H29">
        <v>0</v>
      </c>
      <c r="I29" t="s">
        <v>16</v>
      </c>
    </row>
    <row r="30" spans="1:9" x14ac:dyDescent="0.25">
      <c r="A30" t="s">
        <v>13</v>
      </c>
      <c r="B30">
        <v>23268</v>
      </c>
      <c r="C30">
        <v>28205</v>
      </c>
      <c r="E30" t="s">
        <v>14</v>
      </c>
      <c r="F30" t="s">
        <v>94</v>
      </c>
      <c r="H30">
        <v>0</v>
      </c>
      <c r="I30" t="s">
        <v>16</v>
      </c>
    </row>
    <row r="31" spans="1:9" x14ac:dyDescent="0.25">
      <c r="A31" t="s">
        <v>13</v>
      </c>
      <c r="B31">
        <v>28427</v>
      </c>
      <c r="C31">
        <v>30058</v>
      </c>
      <c r="E31" t="s">
        <v>28</v>
      </c>
      <c r="F31" t="s">
        <v>97</v>
      </c>
      <c r="H31">
        <v>0</v>
      </c>
      <c r="I31" t="s">
        <v>16</v>
      </c>
    </row>
    <row r="32" spans="1:9" x14ac:dyDescent="0.25">
      <c r="A32" t="s">
        <v>13</v>
      </c>
      <c r="B32">
        <v>30071</v>
      </c>
      <c r="C32">
        <v>30376</v>
      </c>
      <c r="E32" t="s">
        <v>28</v>
      </c>
      <c r="F32" t="s">
        <v>100</v>
      </c>
      <c r="H32">
        <v>0</v>
      </c>
      <c r="I32" t="s">
        <v>16</v>
      </c>
    </row>
    <row r="33" spans="1:9" x14ac:dyDescent="0.25">
      <c r="A33" t="s">
        <v>13</v>
      </c>
      <c r="B33">
        <v>30454</v>
      </c>
      <c r="C33">
        <v>31242</v>
      </c>
      <c r="E33" t="s">
        <v>28</v>
      </c>
      <c r="F33" t="s">
        <v>103</v>
      </c>
      <c r="H33">
        <v>0</v>
      </c>
      <c r="I33" t="s">
        <v>16</v>
      </c>
    </row>
    <row r="34" spans="1:9" x14ac:dyDescent="0.25">
      <c r="A34" t="s">
        <v>13</v>
      </c>
      <c r="B34">
        <v>31229</v>
      </c>
      <c r="C34">
        <v>33457</v>
      </c>
      <c r="E34" t="s">
        <v>28</v>
      </c>
      <c r="F34" t="s">
        <v>106</v>
      </c>
      <c r="H34">
        <v>0</v>
      </c>
      <c r="I34" t="s">
        <v>16</v>
      </c>
    </row>
    <row r="35" spans="1:9" x14ac:dyDescent="0.25">
      <c r="A35" t="s">
        <v>13</v>
      </c>
      <c r="B35">
        <v>33581</v>
      </c>
      <c r="C35">
        <v>33751</v>
      </c>
      <c r="E35" t="s">
        <v>14</v>
      </c>
      <c r="F35" t="s">
        <v>41</v>
      </c>
      <c r="H35">
        <v>0</v>
      </c>
      <c r="I35" t="s">
        <v>16</v>
      </c>
    </row>
    <row r="36" spans="1:9" x14ac:dyDescent="0.25">
      <c r="A36" t="s">
        <v>13</v>
      </c>
      <c r="B36">
        <v>33821</v>
      </c>
      <c r="C36">
        <v>34225</v>
      </c>
      <c r="E36" t="s">
        <v>14</v>
      </c>
      <c r="F36" t="s">
        <v>41</v>
      </c>
      <c r="H36">
        <v>0</v>
      </c>
      <c r="I36" t="s">
        <v>16</v>
      </c>
    </row>
    <row r="37" spans="1:9" x14ac:dyDescent="0.25">
      <c r="A37" t="s">
        <v>13</v>
      </c>
      <c r="B37">
        <v>34354</v>
      </c>
      <c r="C37">
        <v>35643</v>
      </c>
      <c r="E37" t="s">
        <v>14</v>
      </c>
      <c r="F37" t="s">
        <v>113</v>
      </c>
      <c r="H37">
        <v>0</v>
      </c>
      <c r="I37" t="s">
        <v>16</v>
      </c>
    </row>
    <row r="38" spans="1:9" x14ac:dyDescent="0.25">
      <c r="A38" t="s">
        <v>13</v>
      </c>
      <c r="B38">
        <v>35699</v>
      </c>
      <c r="C38">
        <v>36574</v>
      </c>
      <c r="E38" t="s">
        <v>14</v>
      </c>
      <c r="F38" t="s">
        <v>116</v>
      </c>
      <c r="H38">
        <v>0</v>
      </c>
      <c r="I38" t="s">
        <v>16</v>
      </c>
    </row>
    <row r="39" spans="1:9" x14ac:dyDescent="0.25">
      <c r="A39" t="s">
        <v>13</v>
      </c>
      <c r="B39">
        <v>36571</v>
      </c>
      <c r="C39">
        <v>37413</v>
      </c>
      <c r="E39" t="s">
        <v>14</v>
      </c>
      <c r="F39" t="s">
        <v>119</v>
      </c>
      <c r="H39">
        <v>0</v>
      </c>
      <c r="I39" t="s">
        <v>16</v>
      </c>
    </row>
    <row r="40" spans="1:9" x14ac:dyDescent="0.25">
      <c r="A40" t="s">
        <v>13</v>
      </c>
      <c r="B40">
        <v>37417</v>
      </c>
      <c r="C40">
        <v>37614</v>
      </c>
      <c r="E40" t="s">
        <v>14</v>
      </c>
      <c r="F40" t="s">
        <v>41</v>
      </c>
      <c r="H40">
        <v>0</v>
      </c>
      <c r="I40" t="s">
        <v>16</v>
      </c>
    </row>
    <row r="41" spans="1:9" x14ac:dyDescent="0.25">
      <c r="A41" t="s">
        <v>13</v>
      </c>
      <c r="B41">
        <v>37598</v>
      </c>
      <c r="C41">
        <v>37774</v>
      </c>
      <c r="E41" t="s">
        <v>14</v>
      </c>
      <c r="F41" t="s">
        <v>41</v>
      </c>
      <c r="H41">
        <v>0</v>
      </c>
      <c r="I41" t="s">
        <v>16</v>
      </c>
    </row>
    <row r="42" spans="1:9" x14ac:dyDescent="0.25">
      <c r="A42" t="s">
        <v>13</v>
      </c>
      <c r="B42">
        <v>37782</v>
      </c>
      <c r="C42">
        <v>39356</v>
      </c>
      <c r="E42" t="s">
        <v>28</v>
      </c>
      <c r="F42" t="s">
        <v>126</v>
      </c>
      <c r="H42">
        <v>0</v>
      </c>
      <c r="I42" t="s">
        <v>16</v>
      </c>
    </row>
    <row r="43" spans="1:9" x14ac:dyDescent="0.25">
      <c r="A43" t="s">
        <v>13</v>
      </c>
      <c r="B43">
        <v>39413</v>
      </c>
      <c r="C43">
        <v>41224</v>
      </c>
      <c r="E43" t="s">
        <v>28</v>
      </c>
      <c r="F43" t="s">
        <v>129</v>
      </c>
      <c r="H43">
        <v>0</v>
      </c>
      <c r="I43" t="s">
        <v>16</v>
      </c>
    </row>
    <row r="44" spans="1:9" x14ac:dyDescent="0.25">
      <c r="A44" t="s">
        <v>13</v>
      </c>
      <c r="B44">
        <v>41269</v>
      </c>
      <c r="C44">
        <v>41342</v>
      </c>
      <c r="E44" t="s">
        <v>14</v>
      </c>
      <c r="F44" t="s">
        <v>132</v>
      </c>
      <c r="H44">
        <v>0</v>
      </c>
      <c r="I44" t="s">
        <v>133</v>
      </c>
    </row>
    <row r="45" spans="1:9" x14ac:dyDescent="0.25">
      <c r="A45" t="s">
        <v>13</v>
      </c>
      <c r="B45">
        <v>41423</v>
      </c>
      <c r="C45">
        <v>42556</v>
      </c>
      <c r="E45" t="s">
        <v>14</v>
      </c>
      <c r="F45" t="s">
        <v>135</v>
      </c>
      <c r="H45">
        <v>0</v>
      </c>
      <c r="I45" t="s">
        <v>16</v>
      </c>
    </row>
    <row r="46" spans="1:9" x14ac:dyDescent="0.25">
      <c r="A46" t="s">
        <v>13</v>
      </c>
      <c r="B46">
        <v>42553</v>
      </c>
      <c r="C46">
        <v>43359</v>
      </c>
      <c r="E46" t="s">
        <v>14</v>
      </c>
      <c r="F46" t="s">
        <v>138</v>
      </c>
      <c r="H46">
        <v>0</v>
      </c>
      <c r="I46" t="s">
        <v>16</v>
      </c>
    </row>
    <row r="47" spans="1:9" x14ac:dyDescent="0.25">
      <c r="A47" t="s">
        <v>13</v>
      </c>
      <c r="B47">
        <v>43407</v>
      </c>
      <c r="C47">
        <v>43838</v>
      </c>
      <c r="E47" t="s">
        <v>14</v>
      </c>
      <c r="F47" t="s">
        <v>141</v>
      </c>
      <c r="H47">
        <v>0</v>
      </c>
      <c r="I47" t="s">
        <v>16</v>
      </c>
    </row>
    <row r="48" spans="1:9" x14ac:dyDescent="0.25">
      <c r="A48" t="s">
        <v>13</v>
      </c>
      <c r="B48">
        <v>43835</v>
      </c>
      <c r="C48">
        <v>44182</v>
      </c>
      <c r="E48" t="s">
        <v>28</v>
      </c>
      <c r="F48" t="s">
        <v>41</v>
      </c>
      <c r="H48">
        <v>0</v>
      </c>
      <c r="I48" t="s">
        <v>16</v>
      </c>
    </row>
    <row r="49" spans="1:9" x14ac:dyDescent="0.25">
      <c r="A49" t="s">
        <v>13</v>
      </c>
      <c r="B49">
        <v>44326</v>
      </c>
      <c r="C49">
        <v>47241</v>
      </c>
      <c r="E49" t="s">
        <v>14</v>
      </c>
      <c r="F49" t="s">
        <v>146</v>
      </c>
      <c r="H49">
        <v>0</v>
      </c>
      <c r="I49" t="s">
        <v>147</v>
      </c>
    </row>
    <row r="50" spans="1:9" x14ac:dyDescent="0.25">
      <c r="A50" t="s">
        <v>13</v>
      </c>
      <c r="B50">
        <v>47316</v>
      </c>
      <c r="C50">
        <v>47438</v>
      </c>
      <c r="E50" t="s">
        <v>14</v>
      </c>
      <c r="F50" t="s">
        <v>149</v>
      </c>
      <c r="H50">
        <v>0</v>
      </c>
      <c r="I50" t="s">
        <v>147</v>
      </c>
    </row>
    <row r="51" spans="1:9" x14ac:dyDescent="0.25">
      <c r="A51" t="s">
        <v>13</v>
      </c>
      <c r="B51">
        <v>47448</v>
      </c>
      <c r="C51">
        <v>47520</v>
      </c>
      <c r="E51" t="s">
        <v>14</v>
      </c>
      <c r="F51" t="s">
        <v>151</v>
      </c>
      <c r="H51">
        <v>0</v>
      </c>
      <c r="I51" t="s">
        <v>133</v>
      </c>
    </row>
    <row r="52" spans="1:9" x14ac:dyDescent="0.25">
      <c r="A52" t="s">
        <v>13</v>
      </c>
      <c r="B52">
        <v>47555</v>
      </c>
      <c r="C52">
        <v>48184</v>
      </c>
      <c r="E52" t="s">
        <v>28</v>
      </c>
      <c r="F52" t="s">
        <v>153</v>
      </c>
      <c r="H52">
        <v>0</v>
      </c>
      <c r="I52" t="s">
        <v>16</v>
      </c>
    </row>
    <row r="53" spans="1:9" x14ac:dyDescent="0.25">
      <c r="A53" t="s">
        <v>13</v>
      </c>
      <c r="B53">
        <v>48181</v>
      </c>
      <c r="C53">
        <v>49182</v>
      </c>
      <c r="E53" t="s">
        <v>28</v>
      </c>
      <c r="F53" t="s">
        <v>156</v>
      </c>
      <c r="H53">
        <v>0</v>
      </c>
      <c r="I53" t="s">
        <v>16</v>
      </c>
    </row>
    <row r="54" spans="1:9" x14ac:dyDescent="0.25">
      <c r="A54" t="s">
        <v>13</v>
      </c>
      <c r="B54">
        <v>49188</v>
      </c>
      <c r="C54">
        <v>50597</v>
      </c>
      <c r="E54" t="s">
        <v>28</v>
      </c>
      <c r="F54" t="s">
        <v>159</v>
      </c>
      <c r="H54">
        <v>0</v>
      </c>
      <c r="I54" t="s">
        <v>16</v>
      </c>
    </row>
    <row r="55" spans="1:9" x14ac:dyDescent="0.25">
      <c r="A55" t="s">
        <v>13</v>
      </c>
      <c r="B55">
        <v>50607</v>
      </c>
      <c r="C55">
        <v>51695</v>
      </c>
      <c r="E55" t="s">
        <v>28</v>
      </c>
      <c r="F55" t="s">
        <v>162</v>
      </c>
      <c r="H55">
        <v>0</v>
      </c>
      <c r="I55" t="s">
        <v>16</v>
      </c>
    </row>
    <row r="56" spans="1:9" x14ac:dyDescent="0.25">
      <c r="A56" t="s">
        <v>13</v>
      </c>
      <c r="B56">
        <v>51707</v>
      </c>
      <c r="C56">
        <v>54376</v>
      </c>
      <c r="E56" t="s">
        <v>28</v>
      </c>
      <c r="F56" t="s">
        <v>165</v>
      </c>
      <c r="H56">
        <v>0</v>
      </c>
      <c r="I56" t="s">
        <v>16</v>
      </c>
    </row>
    <row r="57" spans="1:9" x14ac:dyDescent="0.25">
      <c r="A57" t="s">
        <v>13</v>
      </c>
      <c r="B57">
        <v>54373</v>
      </c>
      <c r="C57">
        <v>54855</v>
      </c>
      <c r="E57" t="s">
        <v>28</v>
      </c>
      <c r="F57" t="s">
        <v>168</v>
      </c>
      <c r="H57">
        <v>0</v>
      </c>
      <c r="I57" t="s">
        <v>16</v>
      </c>
    </row>
    <row r="58" spans="1:9" x14ac:dyDescent="0.25">
      <c r="A58" t="s">
        <v>13</v>
      </c>
      <c r="B58">
        <v>54880</v>
      </c>
      <c r="C58">
        <v>55614</v>
      </c>
      <c r="E58" t="s">
        <v>28</v>
      </c>
      <c r="F58" t="s">
        <v>41</v>
      </c>
      <c r="H58">
        <v>0</v>
      </c>
      <c r="I58" t="s">
        <v>16</v>
      </c>
    </row>
    <row r="59" spans="1:9" x14ac:dyDescent="0.25">
      <c r="A59" t="s">
        <v>13</v>
      </c>
      <c r="B59">
        <v>55685</v>
      </c>
      <c r="C59">
        <v>56089</v>
      </c>
      <c r="E59" t="s">
        <v>14</v>
      </c>
      <c r="F59" t="s">
        <v>41</v>
      </c>
      <c r="H59">
        <v>0</v>
      </c>
      <c r="I59" t="s">
        <v>16</v>
      </c>
    </row>
    <row r="60" spans="1:9" x14ac:dyDescent="0.25">
      <c r="A60" t="s">
        <v>13</v>
      </c>
      <c r="B60">
        <v>56076</v>
      </c>
      <c r="C60">
        <v>56549</v>
      </c>
      <c r="E60" t="s">
        <v>28</v>
      </c>
      <c r="F60" t="s">
        <v>175</v>
      </c>
      <c r="H60">
        <v>0</v>
      </c>
      <c r="I60" t="s">
        <v>16</v>
      </c>
    </row>
    <row r="61" spans="1:9" x14ac:dyDescent="0.25">
      <c r="A61" t="s">
        <v>13</v>
      </c>
      <c r="B61">
        <v>56564</v>
      </c>
      <c r="C61">
        <v>56947</v>
      </c>
      <c r="E61" t="s">
        <v>14</v>
      </c>
      <c r="F61" t="s">
        <v>178</v>
      </c>
      <c r="H61">
        <v>0</v>
      </c>
      <c r="I61" t="s">
        <v>16</v>
      </c>
    </row>
    <row r="62" spans="1:9" x14ac:dyDescent="0.25">
      <c r="A62" t="s">
        <v>13</v>
      </c>
      <c r="B62">
        <v>56944</v>
      </c>
      <c r="C62">
        <v>57276</v>
      </c>
      <c r="E62" t="s">
        <v>14</v>
      </c>
      <c r="F62" t="s">
        <v>41</v>
      </c>
      <c r="H62">
        <v>0</v>
      </c>
      <c r="I62" t="s">
        <v>16</v>
      </c>
    </row>
    <row r="63" spans="1:9" x14ac:dyDescent="0.25">
      <c r="A63" t="s">
        <v>13</v>
      </c>
      <c r="B63">
        <v>57321</v>
      </c>
      <c r="C63">
        <v>57929</v>
      </c>
      <c r="E63" t="s">
        <v>14</v>
      </c>
      <c r="F63" t="s">
        <v>183</v>
      </c>
      <c r="H63">
        <v>0</v>
      </c>
      <c r="I63" t="s">
        <v>16</v>
      </c>
    </row>
    <row r="64" spans="1:9" x14ac:dyDescent="0.25">
      <c r="A64" t="s">
        <v>13</v>
      </c>
      <c r="B64">
        <v>57926</v>
      </c>
      <c r="C64">
        <v>58195</v>
      </c>
      <c r="E64" t="s">
        <v>14</v>
      </c>
      <c r="F64" t="s">
        <v>41</v>
      </c>
      <c r="H64">
        <v>0</v>
      </c>
      <c r="I64" t="s">
        <v>16</v>
      </c>
    </row>
    <row r="65" spans="1:9" x14ac:dyDescent="0.25">
      <c r="A65" t="s">
        <v>13</v>
      </c>
      <c r="B65">
        <v>58171</v>
      </c>
      <c r="C65">
        <v>58959</v>
      </c>
      <c r="E65" t="s">
        <v>28</v>
      </c>
      <c r="F65" t="s">
        <v>188</v>
      </c>
      <c r="H65">
        <v>0</v>
      </c>
      <c r="I65" t="s">
        <v>16</v>
      </c>
    </row>
    <row r="66" spans="1:9" x14ac:dyDescent="0.25">
      <c r="A66" t="s">
        <v>13</v>
      </c>
      <c r="B66">
        <v>58964</v>
      </c>
      <c r="C66">
        <v>59560</v>
      </c>
      <c r="E66" t="s">
        <v>28</v>
      </c>
      <c r="F66" t="s">
        <v>41</v>
      </c>
      <c r="H66">
        <v>0</v>
      </c>
      <c r="I66" t="s">
        <v>16</v>
      </c>
    </row>
    <row r="67" spans="1:9" x14ac:dyDescent="0.25">
      <c r="A67" t="s">
        <v>13</v>
      </c>
      <c r="B67">
        <v>59557</v>
      </c>
      <c r="C67">
        <v>60147</v>
      </c>
      <c r="E67" t="s">
        <v>28</v>
      </c>
      <c r="F67" t="s">
        <v>193</v>
      </c>
      <c r="H67">
        <v>0</v>
      </c>
      <c r="I67" t="s">
        <v>16</v>
      </c>
    </row>
    <row r="68" spans="1:9" x14ac:dyDescent="0.25">
      <c r="A68" t="s">
        <v>13</v>
      </c>
      <c r="B68">
        <v>60204</v>
      </c>
      <c r="C68">
        <v>61118</v>
      </c>
      <c r="E68" t="s">
        <v>14</v>
      </c>
      <c r="F68" t="s">
        <v>196</v>
      </c>
      <c r="H68">
        <v>0</v>
      </c>
      <c r="I68" t="s">
        <v>16</v>
      </c>
    </row>
    <row r="69" spans="1:9" x14ac:dyDescent="0.25">
      <c r="A69" t="s">
        <v>13</v>
      </c>
      <c r="B69">
        <v>61182</v>
      </c>
      <c r="C69">
        <v>61412</v>
      </c>
      <c r="E69" t="s">
        <v>28</v>
      </c>
      <c r="F69" t="s">
        <v>199</v>
      </c>
      <c r="H69">
        <v>0</v>
      </c>
      <c r="I69" t="s">
        <v>16</v>
      </c>
    </row>
    <row r="70" spans="1:9" x14ac:dyDescent="0.25">
      <c r="A70" t="s">
        <v>13</v>
      </c>
      <c r="B70">
        <v>61483</v>
      </c>
      <c r="C70">
        <v>61555</v>
      </c>
      <c r="E70" t="s">
        <v>28</v>
      </c>
      <c r="F70" t="s">
        <v>202</v>
      </c>
      <c r="H70">
        <v>0</v>
      </c>
      <c r="I70" t="s">
        <v>133</v>
      </c>
    </row>
    <row r="71" spans="1:9" x14ac:dyDescent="0.25">
      <c r="A71" t="s">
        <v>13</v>
      </c>
      <c r="B71">
        <v>61569</v>
      </c>
      <c r="C71">
        <v>61651</v>
      </c>
      <c r="E71" t="s">
        <v>28</v>
      </c>
      <c r="F71" t="s">
        <v>204</v>
      </c>
      <c r="H71">
        <v>0</v>
      </c>
      <c r="I71" t="s">
        <v>133</v>
      </c>
    </row>
    <row r="72" spans="1:9" x14ac:dyDescent="0.25">
      <c r="A72" t="s">
        <v>13</v>
      </c>
      <c r="B72">
        <v>61680</v>
      </c>
      <c r="C72">
        <v>61752</v>
      </c>
      <c r="E72" t="s">
        <v>28</v>
      </c>
      <c r="F72" t="s">
        <v>151</v>
      </c>
      <c r="H72">
        <v>0</v>
      </c>
      <c r="I72" t="s">
        <v>133</v>
      </c>
    </row>
    <row r="73" spans="1:9" x14ac:dyDescent="0.25">
      <c r="A73" t="s">
        <v>13</v>
      </c>
      <c r="B73">
        <v>61759</v>
      </c>
      <c r="C73">
        <v>61831</v>
      </c>
      <c r="E73" t="s">
        <v>28</v>
      </c>
      <c r="F73" t="s">
        <v>202</v>
      </c>
      <c r="H73">
        <v>0</v>
      </c>
      <c r="I73" t="s">
        <v>133</v>
      </c>
    </row>
    <row r="74" spans="1:9" x14ac:dyDescent="0.25">
      <c r="A74" t="s">
        <v>13</v>
      </c>
      <c r="B74">
        <v>61898</v>
      </c>
      <c r="C74">
        <v>63118</v>
      </c>
      <c r="E74" t="s">
        <v>14</v>
      </c>
      <c r="F74" t="s">
        <v>208</v>
      </c>
      <c r="H74">
        <v>0</v>
      </c>
      <c r="I74" t="s">
        <v>16</v>
      </c>
    </row>
    <row r="75" spans="1:9" x14ac:dyDescent="0.25">
      <c r="A75" t="s">
        <v>13</v>
      </c>
      <c r="B75">
        <v>63163</v>
      </c>
      <c r="C75">
        <v>63327</v>
      </c>
      <c r="E75" t="s">
        <v>14</v>
      </c>
      <c r="F75" t="s">
        <v>211</v>
      </c>
      <c r="H75">
        <v>0</v>
      </c>
      <c r="I75" t="s">
        <v>16</v>
      </c>
    </row>
    <row r="76" spans="1:9" x14ac:dyDescent="0.25">
      <c r="A76" t="s">
        <v>13</v>
      </c>
      <c r="B76">
        <v>63327</v>
      </c>
      <c r="C76">
        <v>63509</v>
      </c>
      <c r="E76" t="s">
        <v>14</v>
      </c>
      <c r="F76" t="s">
        <v>214</v>
      </c>
      <c r="H76">
        <v>0</v>
      </c>
      <c r="I76" t="s">
        <v>16</v>
      </c>
    </row>
    <row r="77" spans="1:9" x14ac:dyDescent="0.25">
      <c r="A77" t="s">
        <v>13</v>
      </c>
      <c r="B77">
        <v>63506</v>
      </c>
      <c r="C77">
        <v>64060</v>
      </c>
      <c r="E77" t="s">
        <v>14</v>
      </c>
      <c r="F77" t="s">
        <v>217</v>
      </c>
      <c r="H77">
        <v>0</v>
      </c>
      <c r="I77" t="s">
        <v>16</v>
      </c>
    </row>
    <row r="78" spans="1:9" x14ac:dyDescent="0.25">
      <c r="A78" t="s">
        <v>13</v>
      </c>
      <c r="B78">
        <v>64104</v>
      </c>
      <c r="C78">
        <v>64547</v>
      </c>
      <c r="E78" t="s">
        <v>14</v>
      </c>
      <c r="F78" t="s">
        <v>220</v>
      </c>
      <c r="H78">
        <v>0</v>
      </c>
      <c r="I78" t="s">
        <v>16</v>
      </c>
    </row>
    <row r="79" spans="1:9" x14ac:dyDescent="0.25">
      <c r="A79" t="s">
        <v>13</v>
      </c>
      <c r="B79">
        <v>64540</v>
      </c>
      <c r="C79">
        <v>65229</v>
      </c>
      <c r="E79" t="s">
        <v>14</v>
      </c>
      <c r="F79" t="s">
        <v>223</v>
      </c>
      <c r="H79">
        <v>0</v>
      </c>
      <c r="I79" t="s">
        <v>16</v>
      </c>
    </row>
    <row r="80" spans="1:9" x14ac:dyDescent="0.25">
      <c r="A80" t="s">
        <v>13</v>
      </c>
      <c r="B80">
        <v>65433</v>
      </c>
      <c r="C80">
        <v>65954</v>
      </c>
      <c r="E80" t="s">
        <v>14</v>
      </c>
      <c r="F80" t="s">
        <v>226</v>
      </c>
      <c r="H80">
        <v>0</v>
      </c>
      <c r="I80" t="s">
        <v>16</v>
      </c>
    </row>
    <row r="81" spans="1:9" x14ac:dyDescent="0.25">
      <c r="A81" t="s">
        <v>13</v>
      </c>
      <c r="B81">
        <v>65965</v>
      </c>
      <c r="C81">
        <v>66342</v>
      </c>
      <c r="E81" t="s">
        <v>14</v>
      </c>
      <c r="F81" t="s">
        <v>229</v>
      </c>
      <c r="H81">
        <v>0</v>
      </c>
      <c r="I81" t="s">
        <v>16</v>
      </c>
    </row>
    <row r="82" spans="1:9" x14ac:dyDescent="0.25">
      <c r="A82" t="s">
        <v>13</v>
      </c>
      <c r="B82">
        <v>66402</v>
      </c>
      <c r="C82">
        <v>66977</v>
      </c>
      <c r="E82" t="s">
        <v>14</v>
      </c>
      <c r="F82" t="s">
        <v>232</v>
      </c>
      <c r="H82">
        <v>0</v>
      </c>
      <c r="I82" t="s">
        <v>16</v>
      </c>
    </row>
    <row r="83" spans="1:9" x14ac:dyDescent="0.25">
      <c r="A83" t="s">
        <v>13</v>
      </c>
      <c r="B83">
        <v>67020</v>
      </c>
      <c r="C83">
        <v>68138</v>
      </c>
      <c r="E83" t="s">
        <v>14</v>
      </c>
      <c r="F83" t="s">
        <v>235</v>
      </c>
      <c r="H83">
        <v>0</v>
      </c>
      <c r="I83" t="s">
        <v>16</v>
      </c>
    </row>
    <row r="84" spans="1:9" x14ac:dyDescent="0.25">
      <c r="A84" t="s">
        <v>13</v>
      </c>
      <c r="B84">
        <v>68284</v>
      </c>
      <c r="C84">
        <v>69075</v>
      </c>
      <c r="E84" t="s">
        <v>14</v>
      </c>
      <c r="F84" t="s">
        <v>238</v>
      </c>
      <c r="H84">
        <v>0</v>
      </c>
      <c r="I84" t="s">
        <v>16</v>
      </c>
    </row>
    <row r="85" spans="1:9" x14ac:dyDescent="0.25">
      <c r="A85" t="s">
        <v>13</v>
      </c>
      <c r="B85">
        <v>69220</v>
      </c>
      <c r="C85">
        <v>70350</v>
      </c>
      <c r="E85" t="s">
        <v>14</v>
      </c>
      <c r="F85" t="s">
        <v>241</v>
      </c>
      <c r="H85">
        <v>0</v>
      </c>
      <c r="I85" t="s">
        <v>16</v>
      </c>
    </row>
    <row r="86" spans="1:9" x14ac:dyDescent="0.25">
      <c r="A86" t="s">
        <v>13</v>
      </c>
      <c r="B86">
        <v>70353</v>
      </c>
      <c r="C86">
        <v>70559</v>
      </c>
      <c r="E86" t="s">
        <v>28</v>
      </c>
      <c r="F86" t="s">
        <v>41</v>
      </c>
      <c r="H86">
        <v>0</v>
      </c>
      <c r="I86" t="s">
        <v>16</v>
      </c>
    </row>
    <row r="87" spans="1:9" x14ac:dyDescent="0.25">
      <c r="A87" t="s">
        <v>13</v>
      </c>
      <c r="B87">
        <v>70549</v>
      </c>
      <c r="C87">
        <v>70776</v>
      </c>
      <c r="E87" t="s">
        <v>28</v>
      </c>
      <c r="F87" t="s">
        <v>41</v>
      </c>
      <c r="H87">
        <v>0</v>
      </c>
      <c r="I87" t="s">
        <v>16</v>
      </c>
    </row>
    <row r="88" spans="1:9" x14ac:dyDescent="0.25">
      <c r="A88" t="s">
        <v>13</v>
      </c>
      <c r="B88">
        <v>70809</v>
      </c>
      <c r="C88">
        <v>72062</v>
      </c>
      <c r="E88" t="s">
        <v>14</v>
      </c>
      <c r="F88" t="s">
        <v>248</v>
      </c>
      <c r="H88">
        <v>0</v>
      </c>
      <c r="I88" t="s">
        <v>16</v>
      </c>
    </row>
    <row r="89" spans="1:9" x14ac:dyDescent="0.25">
      <c r="A89" t="s">
        <v>13</v>
      </c>
      <c r="B89">
        <v>72104</v>
      </c>
      <c r="C89">
        <v>72595</v>
      </c>
      <c r="E89" t="s">
        <v>14</v>
      </c>
      <c r="F89" t="s">
        <v>251</v>
      </c>
      <c r="H89">
        <v>0</v>
      </c>
      <c r="I89" t="s">
        <v>16</v>
      </c>
    </row>
    <row r="90" spans="1:9" x14ac:dyDescent="0.25">
      <c r="A90" t="s">
        <v>13</v>
      </c>
      <c r="B90">
        <v>72605</v>
      </c>
      <c r="C90">
        <v>72925</v>
      </c>
      <c r="E90" t="s">
        <v>14</v>
      </c>
      <c r="F90" t="s">
        <v>254</v>
      </c>
      <c r="H90">
        <v>0</v>
      </c>
      <c r="I90" t="s">
        <v>16</v>
      </c>
    </row>
    <row r="91" spans="1:9" x14ac:dyDescent="0.25">
      <c r="A91" t="s">
        <v>13</v>
      </c>
      <c r="B91">
        <v>72922</v>
      </c>
      <c r="C91">
        <v>73086</v>
      </c>
      <c r="E91" t="s">
        <v>14</v>
      </c>
      <c r="F91" t="s">
        <v>257</v>
      </c>
      <c r="H91">
        <v>0</v>
      </c>
      <c r="I91" t="s">
        <v>16</v>
      </c>
    </row>
    <row r="92" spans="1:9" x14ac:dyDescent="0.25">
      <c r="A92" t="s">
        <v>13</v>
      </c>
      <c r="B92">
        <v>73140</v>
      </c>
      <c r="C92">
        <v>73985</v>
      </c>
      <c r="E92" t="s">
        <v>14</v>
      </c>
      <c r="F92" t="s">
        <v>260</v>
      </c>
      <c r="H92">
        <v>0</v>
      </c>
      <c r="I92" t="s">
        <v>16</v>
      </c>
    </row>
    <row r="93" spans="1:9" x14ac:dyDescent="0.25">
      <c r="A93" t="s">
        <v>13</v>
      </c>
      <c r="B93">
        <v>73978</v>
      </c>
      <c r="C93">
        <v>75012</v>
      </c>
      <c r="E93" t="s">
        <v>14</v>
      </c>
      <c r="F93" t="s">
        <v>263</v>
      </c>
      <c r="H93">
        <v>0</v>
      </c>
      <c r="I93" t="s">
        <v>16</v>
      </c>
    </row>
    <row r="94" spans="1:9" x14ac:dyDescent="0.25">
      <c r="A94" t="s">
        <v>13</v>
      </c>
      <c r="B94">
        <v>75030</v>
      </c>
      <c r="C94">
        <v>75839</v>
      </c>
      <c r="E94" t="s">
        <v>14</v>
      </c>
      <c r="F94" t="s">
        <v>266</v>
      </c>
      <c r="H94">
        <v>0</v>
      </c>
      <c r="I94" t="s">
        <v>16</v>
      </c>
    </row>
    <row r="95" spans="1:9" x14ac:dyDescent="0.25">
      <c r="A95" t="s">
        <v>13</v>
      </c>
      <c r="B95">
        <v>75844</v>
      </c>
      <c r="C95">
        <v>77439</v>
      </c>
      <c r="E95" t="s">
        <v>14</v>
      </c>
      <c r="F95" t="s">
        <v>269</v>
      </c>
      <c r="H95">
        <v>0</v>
      </c>
      <c r="I95" t="s">
        <v>16</v>
      </c>
    </row>
    <row r="96" spans="1:9" x14ac:dyDescent="0.25">
      <c r="A96" t="s">
        <v>13</v>
      </c>
      <c r="B96">
        <v>77444</v>
      </c>
      <c r="C96">
        <v>78319</v>
      </c>
      <c r="E96" t="s">
        <v>14</v>
      </c>
      <c r="F96" t="s">
        <v>272</v>
      </c>
      <c r="H96">
        <v>0</v>
      </c>
      <c r="I96" t="s">
        <v>16</v>
      </c>
    </row>
    <row r="97" spans="1:9" x14ac:dyDescent="0.25">
      <c r="A97" t="s">
        <v>13</v>
      </c>
      <c r="B97">
        <v>78316</v>
      </c>
      <c r="C97">
        <v>79161</v>
      </c>
      <c r="E97" t="s">
        <v>14</v>
      </c>
      <c r="F97" t="s">
        <v>275</v>
      </c>
      <c r="H97">
        <v>0</v>
      </c>
      <c r="I97" t="s">
        <v>16</v>
      </c>
    </row>
    <row r="98" spans="1:9" x14ac:dyDescent="0.25">
      <c r="A98" t="s">
        <v>13</v>
      </c>
      <c r="B98">
        <v>79158</v>
      </c>
      <c r="C98">
        <v>79580</v>
      </c>
      <c r="E98" t="s">
        <v>14</v>
      </c>
      <c r="F98" t="s">
        <v>278</v>
      </c>
      <c r="H98">
        <v>0</v>
      </c>
      <c r="I98" t="s">
        <v>16</v>
      </c>
    </row>
    <row r="99" spans="1:9" x14ac:dyDescent="0.25">
      <c r="A99" t="s">
        <v>13</v>
      </c>
      <c r="B99">
        <v>79582</v>
      </c>
      <c r="C99">
        <v>80583</v>
      </c>
      <c r="E99" t="s">
        <v>14</v>
      </c>
      <c r="F99" t="s">
        <v>281</v>
      </c>
      <c r="H99">
        <v>0</v>
      </c>
      <c r="I99" t="s">
        <v>16</v>
      </c>
    </row>
    <row r="100" spans="1:9" x14ac:dyDescent="0.25">
      <c r="A100" t="s">
        <v>13</v>
      </c>
      <c r="B100">
        <v>80476</v>
      </c>
      <c r="C100">
        <v>81174</v>
      </c>
      <c r="E100" t="s">
        <v>28</v>
      </c>
      <c r="F100" t="s">
        <v>284</v>
      </c>
      <c r="H100">
        <v>0</v>
      </c>
      <c r="I100" t="s">
        <v>16</v>
      </c>
    </row>
    <row r="101" spans="1:9" x14ac:dyDescent="0.25">
      <c r="A101" t="s">
        <v>13</v>
      </c>
      <c r="B101">
        <v>81204</v>
      </c>
      <c r="C101">
        <v>81276</v>
      </c>
      <c r="E101" t="s">
        <v>28</v>
      </c>
      <c r="F101" t="s">
        <v>287</v>
      </c>
      <c r="H101">
        <v>0</v>
      </c>
      <c r="I101" t="s">
        <v>133</v>
      </c>
    </row>
    <row r="102" spans="1:9" x14ac:dyDescent="0.25">
      <c r="A102" t="s">
        <v>13</v>
      </c>
      <c r="B102">
        <v>81388</v>
      </c>
      <c r="C102">
        <v>81660</v>
      </c>
      <c r="E102" t="s">
        <v>28</v>
      </c>
      <c r="F102" t="s">
        <v>289</v>
      </c>
      <c r="H102">
        <v>0</v>
      </c>
      <c r="I102" t="s">
        <v>16</v>
      </c>
    </row>
    <row r="103" spans="1:9" x14ac:dyDescent="0.25">
      <c r="A103" t="s">
        <v>13</v>
      </c>
      <c r="B103">
        <v>82527</v>
      </c>
      <c r="C103">
        <v>83477</v>
      </c>
      <c r="E103" t="s">
        <v>28</v>
      </c>
      <c r="F103" t="s">
        <v>292</v>
      </c>
      <c r="H103">
        <v>0</v>
      </c>
      <c r="I103" t="s">
        <v>16</v>
      </c>
    </row>
    <row r="104" spans="1:9" x14ac:dyDescent="0.25">
      <c r="A104" t="s">
        <v>13</v>
      </c>
      <c r="B104">
        <v>83477</v>
      </c>
      <c r="C104">
        <v>84682</v>
      </c>
      <c r="E104" t="s">
        <v>28</v>
      </c>
      <c r="F104" t="s">
        <v>295</v>
      </c>
      <c r="H104">
        <v>0</v>
      </c>
      <c r="I104" t="s">
        <v>16</v>
      </c>
    </row>
    <row r="105" spans="1:9" x14ac:dyDescent="0.25">
      <c r="A105" t="s">
        <v>13</v>
      </c>
      <c r="B105">
        <v>84714</v>
      </c>
      <c r="C105">
        <v>85328</v>
      </c>
      <c r="E105" t="s">
        <v>14</v>
      </c>
      <c r="F105" t="s">
        <v>298</v>
      </c>
      <c r="H105">
        <v>0</v>
      </c>
      <c r="I105" t="s">
        <v>16</v>
      </c>
    </row>
    <row r="106" spans="1:9" x14ac:dyDescent="0.25">
      <c r="A106" t="s">
        <v>13</v>
      </c>
      <c r="B106">
        <v>85325</v>
      </c>
      <c r="C106">
        <v>86245</v>
      </c>
      <c r="E106" t="s">
        <v>28</v>
      </c>
      <c r="F106" t="s">
        <v>301</v>
      </c>
      <c r="H106">
        <v>0</v>
      </c>
      <c r="I106" t="s">
        <v>16</v>
      </c>
    </row>
    <row r="107" spans="1:9" x14ac:dyDescent="0.25">
      <c r="A107" t="s">
        <v>13</v>
      </c>
      <c r="B107">
        <v>86262</v>
      </c>
      <c r="C107">
        <v>86765</v>
      </c>
      <c r="E107" t="s">
        <v>28</v>
      </c>
      <c r="F107" t="s">
        <v>41</v>
      </c>
      <c r="H107">
        <v>0</v>
      </c>
      <c r="I107" t="s">
        <v>16</v>
      </c>
    </row>
    <row r="108" spans="1:9" x14ac:dyDescent="0.25">
      <c r="A108" t="s">
        <v>13</v>
      </c>
      <c r="B108">
        <v>86846</v>
      </c>
      <c r="C108">
        <v>87913</v>
      </c>
      <c r="E108" t="s">
        <v>28</v>
      </c>
      <c r="F108" t="s">
        <v>306</v>
      </c>
      <c r="H108">
        <v>0</v>
      </c>
      <c r="I108" t="s">
        <v>16</v>
      </c>
    </row>
    <row r="109" spans="1:9" x14ac:dyDescent="0.25">
      <c r="A109" t="s">
        <v>13</v>
      </c>
      <c r="B109">
        <v>87972</v>
      </c>
      <c r="C109">
        <v>89507</v>
      </c>
      <c r="E109" t="s">
        <v>14</v>
      </c>
      <c r="F109" t="s">
        <v>309</v>
      </c>
      <c r="H109">
        <v>0</v>
      </c>
      <c r="I109" t="s">
        <v>16</v>
      </c>
    </row>
    <row r="110" spans="1:9" x14ac:dyDescent="0.25">
      <c r="A110" t="s">
        <v>13</v>
      </c>
      <c r="B110">
        <v>89619</v>
      </c>
      <c r="C110">
        <v>89942</v>
      </c>
      <c r="E110" t="s">
        <v>28</v>
      </c>
      <c r="F110" t="s">
        <v>312</v>
      </c>
      <c r="H110">
        <v>0</v>
      </c>
      <c r="I110" t="s">
        <v>16</v>
      </c>
    </row>
    <row r="111" spans="1:9" x14ac:dyDescent="0.25">
      <c r="A111" t="s">
        <v>13</v>
      </c>
      <c r="B111">
        <v>89945</v>
      </c>
      <c r="C111">
        <v>90976</v>
      </c>
      <c r="E111" t="s">
        <v>28</v>
      </c>
      <c r="F111" t="s">
        <v>315</v>
      </c>
      <c r="H111">
        <v>0</v>
      </c>
      <c r="I111" t="s">
        <v>16</v>
      </c>
    </row>
    <row r="112" spans="1:9" x14ac:dyDescent="0.25">
      <c r="A112" t="s">
        <v>13</v>
      </c>
      <c r="B112">
        <v>90999</v>
      </c>
      <c r="C112">
        <v>91379</v>
      </c>
      <c r="E112" t="s">
        <v>14</v>
      </c>
      <c r="F112" t="s">
        <v>318</v>
      </c>
      <c r="H112">
        <v>0</v>
      </c>
      <c r="I112" t="s">
        <v>16</v>
      </c>
    </row>
    <row r="113" spans="1:9" x14ac:dyDescent="0.25">
      <c r="A113" t="s">
        <v>13</v>
      </c>
      <c r="B113">
        <v>91496</v>
      </c>
      <c r="C113">
        <v>92980</v>
      </c>
      <c r="E113" t="s">
        <v>28</v>
      </c>
      <c r="F113" t="s">
        <v>321</v>
      </c>
      <c r="H113">
        <v>0</v>
      </c>
      <c r="I113" t="s">
        <v>16</v>
      </c>
    </row>
    <row r="114" spans="1:9" x14ac:dyDescent="0.25">
      <c r="A114" t="s">
        <v>13</v>
      </c>
      <c r="B114">
        <v>92993</v>
      </c>
      <c r="C114">
        <v>94123</v>
      </c>
      <c r="E114" t="s">
        <v>28</v>
      </c>
      <c r="F114" t="s">
        <v>324</v>
      </c>
      <c r="H114">
        <v>0</v>
      </c>
      <c r="I114" t="s">
        <v>16</v>
      </c>
    </row>
    <row r="115" spans="1:9" x14ac:dyDescent="0.25">
      <c r="A115" t="s">
        <v>13</v>
      </c>
      <c r="B115">
        <v>94125</v>
      </c>
      <c r="C115">
        <v>94937</v>
      </c>
      <c r="E115" t="s">
        <v>28</v>
      </c>
      <c r="F115" t="s">
        <v>327</v>
      </c>
      <c r="H115">
        <v>0</v>
      </c>
      <c r="I115" t="s">
        <v>16</v>
      </c>
    </row>
    <row r="116" spans="1:9" x14ac:dyDescent="0.25">
      <c r="A116" t="s">
        <v>13</v>
      </c>
      <c r="B116">
        <v>94934</v>
      </c>
      <c r="C116">
        <v>95818</v>
      </c>
      <c r="E116" t="s">
        <v>28</v>
      </c>
      <c r="F116" t="s">
        <v>330</v>
      </c>
      <c r="H116">
        <v>0</v>
      </c>
      <c r="I116" t="s">
        <v>16</v>
      </c>
    </row>
    <row r="117" spans="1:9" x14ac:dyDescent="0.25">
      <c r="A117" t="s">
        <v>13</v>
      </c>
      <c r="B117">
        <v>95917</v>
      </c>
      <c r="C117">
        <v>97044</v>
      </c>
      <c r="E117" t="s">
        <v>14</v>
      </c>
      <c r="F117" t="s">
        <v>333</v>
      </c>
      <c r="H117">
        <v>0</v>
      </c>
      <c r="I117" t="s">
        <v>16</v>
      </c>
    </row>
    <row r="118" spans="1:9" x14ac:dyDescent="0.25">
      <c r="A118" t="s">
        <v>13</v>
      </c>
      <c r="B118">
        <v>97044</v>
      </c>
      <c r="C118">
        <v>97343</v>
      </c>
      <c r="E118" t="s">
        <v>14</v>
      </c>
      <c r="F118" t="s">
        <v>333</v>
      </c>
      <c r="H118">
        <v>0</v>
      </c>
      <c r="I118" t="s">
        <v>16</v>
      </c>
    </row>
    <row r="119" spans="1:9" x14ac:dyDescent="0.25">
      <c r="A119" t="s">
        <v>13</v>
      </c>
      <c r="B119">
        <v>97343</v>
      </c>
      <c r="C119">
        <v>98695</v>
      </c>
      <c r="E119" t="s">
        <v>14</v>
      </c>
      <c r="F119" t="s">
        <v>338</v>
      </c>
      <c r="H119">
        <v>0</v>
      </c>
      <c r="I119" t="s">
        <v>16</v>
      </c>
    </row>
    <row r="120" spans="1:9" x14ac:dyDescent="0.25">
      <c r="A120" t="s">
        <v>13</v>
      </c>
      <c r="B120">
        <v>98782</v>
      </c>
      <c r="C120">
        <v>98854</v>
      </c>
      <c r="E120" t="s">
        <v>14</v>
      </c>
      <c r="F120" t="s">
        <v>341</v>
      </c>
      <c r="H120">
        <v>0</v>
      </c>
      <c r="I120" t="s">
        <v>133</v>
      </c>
    </row>
    <row r="121" spans="1:9" x14ac:dyDescent="0.25">
      <c r="A121" t="s">
        <v>13</v>
      </c>
      <c r="B121">
        <v>98955</v>
      </c>
      <c r="C121">
        <v>99260</v>
      </c>
      <c r="E121" t="s">
        <v>14</v>
      </c>
      <c r="F121" t="s">
        <v>343</v>
      </c>
      <c r="H121">
        <v>0</v>
      </c>
      <c r="I121" t="s">
        <v>16</v>
      </c>
    </row>
    <row r="122" spans="1:9" x14ac:dyDescent="0.25">
      <c r="A122" t="s">
        <v>13</v>
      </c>
      <c r="B122">
        <v>99270</v>
      </c>
      <c r="C122">
        <v>100073</v>
      </c>
      <c r="E122" t="s">
        <v>14</v>
      </c>
      <c r="F122" t="s">
        <v>346</v>
      </c>
      <c r="H122">
        <v>0</v>
      </c>
      <c r="I122" t="s">
        <v>16</v>
      </c>
    </row>
    <row r="123" spans="1:9" x14ac:dyDescent="0.25">
      <c r="A123" t="s">
        <v>13</v>
      </c>
      <c r="B123">
        <v>100070</v>
      </c>
      <c r="C123">
        <v>100339</v>
      </c>
      <c r="E123" t="s">
        <v>14</v>
      </c>
      <c r="F123" t="s">
        <v>349</v>
      </c>
      <c r="H123">
        <v>0</v>
      </c>
      <c r="I123" t="s">
        <v>16</v>
      </c>
    </row>
    <row r="124" spans="1:9" x14ac:dyDescent="0.25">
      <c r="A124" t="s">
        <v>13</v>
      </c>
      <c r="B124">
        <v>100350</v>
      </c>
      <c r="C124">
        <v>100796</v>
      </c>
      <c r="E124" t="s">
        <v>14</v>
      </c>
      <c r="F124" t="s">
        <v>352</v>
      </c>
      <c r="H124">
        <v>0</v>
      </c>
      <c r="I124" t="s">
        <v>16</v>
      </c>
    </row>
    <row r="125" spans="1:9" x14ac:dyDescent="0.25">
      <c r="A125" t="s">
        <v>13</v>
      </c>
      <c r="B125">
        <v>100689</v>
      </c>
      <c r="C125">
        <v>102101</v>
      </c>
      <c r="E125" t="s">
        <v>28</v>
      </c>
      <c r="F125" t="s">
        <v>355</v>
      </c>
      <c r="H125">
        <v>0</v>
      </c>
      <c r="I125" t="s">
        <v>16</v>
      </c>
    </row>
    <row r="126" spans="1:9" x14ac:dyDescent="0.25">
      <c r="A126" t="s">
        <v>13</v>
      </c>
      <c r="B126">
        <v>102169</v>
      </c>
      <c r="C126">
        <v>102996</v>
      </c>
      <c r="E126" t="s">
        <v>14</v>
      </c>
      <c r="F126" t="s">
        <v>358</v>
      </c>
      <c r="H126">
        <v>0</v>
      </c>
      <c r="I126" t="s">
        <v>16</v>
      </c>
    </row>
    <row r="127" spans="1:9" x14ac:dyDescent="0.25">
      <c r="A127" t="s">
        <v>13</v>
      </c>
      <c r="B127">
        <v>103051</v>
      </c>
      <c r="C127">
        <v>103710</v>
      </c>
      <c r="E127" t="s">
        <v>14</v>
      </c>
      <c r="F127" t="s">
        <v>361</v>
      </c>
      <c r="H127">
        <v>0</v>
      </c>
      <c r="I127" t="s">
        <v>16</v>
      </c>
    </row>
    <row r="128" spans="1:9" x14ac:dyDescent="0.25">
      <c r="A128" t="s">
        <v>13</v>
      </c>
      <c r="B128">
        <v>103694</v>
      </c>
      <c r="C128">
        <v>104665</v>
      </c>
      <c r="E128" t="s">
        <v>14</v>
      </c>
      <c r="F128" t="s">
        <v>364</v>
      </c>
      <c r="H128">
        <v>0</v>
      </c>
      <c r="I128" t="s">
        <v>16</v>
      </c>
    </row>
    <row r="129" spans="1:9" x14ac:dyDescent="0.25">
      <c r="A129" t="s">
        <v>13</v>
      </c>
      <c r="B129">
        <v>104662</v>
      </c>
      <c r="C129">
        <v>105009</v>
      </c>
      <c r="E129" t="s">
        <v>14</v>
      </c>
      <c r="F129" t="s">
        <v>41</v>
      </c>
      <c r="H129">
        <v>0</v>
      </c>
      <c r="I129" t="s">
        <v>16</v>
      </c>
    </row>
    <row r="130" spans="1:9" x14ac:dyDescent="0.25">
      <c r="A130" t="s">
        <v>13</v>
      </c>
      <c r="B130">
        <v>105019</v>
      </c>
      <c r="C130">
        <v>105888</v>
      </c>
      <c r="E130" t="s">
        <v>14</v>
      </c>
      <c r="F130" t="s">
        <v>369</v>
      </c>
      <c r="H130">
        <v>0</v>
      </c>
      <c r="I130" t="s">
        <v>16</v>
      </c>
    </row>
    <row r="131" spans="1:9" x14ac:dyDescent="0.25">
      <c r="A131" t="s">
        <v>13</v>
      </c>
      <c r="B131">
        <v>105982</v>
      </c>
      <c r="C131">
        <v>107376</v>
      </c>
      <c r="E131" t="s">
        <v>28</v>
      </c>
      <c r="F131" t="s">
        <v>372</v>
      </c>
      <c r="H131">
        <v>0</v>
      </c>
      <c r="I131" t="s">
        <v>16</v>
      </c>
    </row>
    <row r="132" spans="1:9" x14ac:dyDescent="0.25">
      <c r="A132" t="s">
        <v>13</v>
      </c>
      <c r="B132">
        <v>107398</v>
      </c>
      <c r="C132">
        <v>108762</v>
      </c>
      <c r="E132" t="s">
        <v>28</v>
      </c>
      <c r="F132" t="s">
        <v>375</v>
      </c>
      <c r="H132">
        <v>0</v>
      </c>
      <c r="I132" t="s">
        <v>16</v>
      </c>
    </row>
    <row r="133" spans="1:9" x14ac:dyDescent="0.25">
      <c r="A133" t="s">
        <v>13</v>
      </c>
      <c r="B133">
        <v>108993</v>
      </c>
      <c r="C133">
        <v>109190</v>
      </c>
      <c r="E133" t="s">
        <v>28</v>
      </c>
      <c r="F133" t="s">
        <v>41</v>
      </c>
      <c r="H133">
        <v>0</v>
      </c>
      <c r="I133" t="s">
        <v>16</v>
      </c>
    </row>
    <row r="134" spans="1:9" x14ac:dyDescent="0.25">
      <c r="A134" t="s">
        <v>13</v>
      </c>
      <c r="B134">
        <v>109206</v>
      </c>
      <c r="C134">
        <v>110180</v>
      </c>
      <c r="E134" t="s">
        <v>28</v>
      </c>
      <c r="F134" t="s">
        <v>380</v>
      </c>
      <c r="H134">
        <v>0</v>
      </c>
      <c r="I134" t="s">
        <v>16</v>
      </c>
    </row>
    <row r="135" spans="1:9" x14ac:dyDescent="0.25">
      <c r="A135" t="s">
        <v>13</v>
      </c>
      <c r="B135">
        <v>110190</v>
      </c>
      <c r="C135">
        <v>111293</v>
      </c>
      <c r="E135" t="s">
        <v>28</v>
      </c>
      <c r="F135" t="s">
        <v>383</v>
      </c>
      <c r="H135">
        <v>0</v>
      </c>
      <c r="I135" t="s">
        <v>16</v>
      </c>
    </row>
    <row r="136" spans="1:9" x14ac:dyDescent="0.25">
      <c r="A136" t="s">
        <v>13</v>
      </c>
      <c r="B136">
        <v>111414</v>
      </c>
      <c r="C136">
        <v>111821</v>
      </c>
      <c r="E136" t="s">
        <v>14</v>
      </c>
      <c r="F136" t="s">
        <v>386</v>
      </c>
      <c r="H136">
        <v>0</v>
      </c>
      <c r="I136" t="s">
        <v>16</v>
      </c>
    </row>
    <row r="137" spans="1:9" x14ac:dyDescent="0.25">
      <c r="A137" t="s">
        <v>13</v>
      </c>
      <c r="B137">
        <v>111818</v>
      </c>
      <c r="C137">
        <v>112213</v>
      </c>
      <c r="E137" t="s">
        <v>14</v>
      </c>
      <c r="F137" t="s">
        <v>41</v>
      </c>
      <c r="H137">
        <v>0</v>
      </c>
      <c r="I137" t="s">
        <v>16</v>
      </c>
    </row>
    <row r="138" spans="1:9" x14ac:dyDescent="0.25">
      <c r="A138" t="s">
        <v>13</v>
      </c>
      <c r="B138">
        <v>112161</v>
      </c>
      <c r="C138">
        <v>112586</v>
      </c>
      <c r="E138" t="s">
        <v>28</v>
      </c>
      <c r="F138" t="s">
        <v>41</v>
      </c>
      <c r="H138">
        <v>0</v>
      </c>
      <c r="I138" t="s">
        <v>16</v>
      </c>
    </row>
    <row r="139" spans="1:9" x14ac:dyDescent="0.25">
      <c r="A139" t="s">
        <v>13</v>
      </c>
      <c r="B139">
        <v>112634</v>
      </c>
      <c r="C139">
        <v>113518</v>
      </c>
      <c r="E139" t="s">
        <v>28</v>
      </c>
      <c r="F139" t="s">
        <v>393</v>
      </c>
      <c r="H139">
        <v>0</v>
      </c>
      <c r="I139" t="s">
        <v>16</v>
      </c>
    </row>
    <row r="140" spans="1:9" x14ac:dyDescent="0.25">
      <c r="A140" t="s">
        <v>13</v>
      </c>
      <c r="B140">
        <v>113549</v>
      </c>
      <c r="C140">
        <v>114595</v>
      </c>
      <c r="E140" t="s">
        <v>28</v>
      </c>
      <c r="F140" t="s">
        <v>396</v>
      </c>
      <c r="H140">
        <v>0</v>
      </c>
      <c r="I140" t="s">
        <v>16</v>
      </c>
    </row>
    <row r="141" spans="1:9" x14ac:dyDescent="0.25">
      <c r="A141" t="s">
        <v>13</v>
      </c>
      <c r="B141">
        <v>114619</v>
      </c>
      <c r="C141">
        <v>115422</v>
      </c>
      <c r="E141" t="s">
        <v>14</v>
      </c>
      <c r="F141" t="s">
        <v>399</v>
      </c>
      <c r="H141">
        <v>0</v>
      </c>
      <c r="I141" t="s">
        <v>16</v>
      </c>
    </row>
    <row r="142" spans="1:9" x14ac:dyDescent="0.25">
      <c r="A142" t="s">
        <v>13</v>
      </c>
      <c r="B142">
        <v>115435</v>
      </c>
      <c r="C142">
        <v>115815</v>
      </c>
      <c r="E142" t="s">
        <v>14</v>
      </c>
      <c r="F142" t="s">
        <v>402</v>
      </c>
      <c r="H142">
        <v>0</v>
      </c>
      <c r="I142" t="s">
        <v>16</v>
      </c>
    </row>
    <row r="143" spans="1:9" x14ac:dyDescent="0.25">
      <c r="A143" t="s">
        <v>13</v>
      </c>
      <c r="B143">
        <v>115959</v>
      </c>
      <c r="C143">
        <v>118139</v>
      </c>
      <c r="E143" t="s">
        <v>28</v>
      </c>
      <c r="F143" t="s">
        <v>405</v>
      </c>
      <c r="H143">
        <v>0</v>
      </c>
      <c r="I143" t="s">
        <v>16</v>
      </c>
    </row>
    <row r="144" spans="1:9" x14ac:dyDescent="0.25">
      <c r="A144" t="s">
        <v>13</v>
      </c>
      <c r="B144">
        <v>118161</v>
      </c>
      <c r="C144">
        <v>120401</v>
      </c>
      <c r="E144" t="s">
        <v>28</v>
      </c>
      <c r="F144" t="s">
        <v>408</v>
      </c>
      <c r="H144">
        <v>0</v>
      </c>
      <c r="I144" t="s">
        <v>16</v>
      </c>
    </row>
    <row r="145" spans="1:9" x14ac:dyDescent="0.25">
      <c r="A145" t="s">
        <v>13</v>
      </c>
      <c r="B145">
        <v>120516</v>
      </c>
      <c r="C145">
        <v>121625</v>
      </c>
      <c r="E145" t="s">
        <v>28</v>
      </c>
      <c r="F145" t="s">
        <v>411</v>
      </c>
      <c r="H145">
        <v>0</v>
      </c>
      <c r="I145" t="s">
        <v>16</v>
      </c>
    </row>
    <row r="146" spans="1:9" x14ac:dyDescent="0.25">
      <c r="A146" t="s">
        <v>13</v>
      </c>
      <c r="B146">
        <v>121626</v>
      </c>
      <c r="C146">
        <v>122366</v>
      </c>
      <c r="E146" t="s">
        <v>14</v>
      </c>
      <c r="F146" t="s">
        <v>414</v>
      </c>
      <c r="H146">
        <v>0</v>
      </c>
      <c r="I146" t="s">
        <v>16</v>
      </c>
    </row>
    <row r="147" spans="1:9" x14ac:dyDescent="0.25">
      <c r="A147" t="s">
        <v>13</v>
      </c>
      <c r="B147">
        <v>122371</v>
      </c>
      <c r="C147">
        <v>122865</v>
      </c>
      <c r="E147" t="s">
        <v>14</v>
      </c>
      <c r="F147" t="s">
        <v>417</v>
      </c>
      <c r="H147">
        <v>0</v>
      </c>
      <c r="I147" t="s">
        <v>16</v>
      </c>
    </row>
    <row r="148" spans="1:9" x14ac:dyDescent="0.25">
      <c r="A148" t="s">
        <v>13</v>
      </c>
      <c r="B148">
        <v>122960</v>
      </c>
      <c r="C148">
        <v>123535</v>
      </c>
      <c r="E148" t="s">
        <v>28</v>
      </c>
      <c r="F148" t="s">
        <v>420</v>
      </c>
      <c r="H148">
        <v>0</v>
      </c>
      <c r="I148" t="s">
        <v>16</v>
      </c>
    </row>
    <row r="149" spans="1:9" x14ac:dyDescent="0.25">
      <c r="A149" t="s">
        <v>13</v>
      </c>
      <c r="B149">
        <v>123643</v>
      </c>
      <c r="C149">
        <v>124428</v>
      </c>
      <c r="E149" t="s">
        <v>28</v>
      </c>
      <c r="F149" t="s">
        <v>423</v>
      </c>
      <c r="H149">
        <v>0</v>
      </c>
      <c r="I149" t="s">
        <v>16</v>
      </c>
    </row>
    <row r="150" spans="1:9" x14ac:dyDescent="0.25">
      <c r="A150" t="s">
        <v>13</v>
      </c>
      <c r="B150">
        <v>124490</v>
      </c>
      <c r="C150">
        <v>127174</v>
      </c>
      <c r="E150" t="s">
        <v>14</v>
      </c>
      <c r="F150" t="s">
        <v>426</v>
      </c>
      <c r="H150">
        <v>0</v>
      </c>
      <c r="I150" t="s">
        <v>16</v>
      </c>
    </row>
    <row r="151" spans="1:9" x14ac:dyDescent="0.25">
      <c r="A151" t="s">
        <v>13</v>
      </c>
      <c r="B151">
        <v>127186</v>
      </c>
      <c r="C151">
        <v>128370</v>
      </c>
      <c r="E151" t="s">
        <v>14</v>
      </c>
      <c r="F151" t="s">
        <v>429</v>
      </c>
      <c r="H151">
        <v>0</v>
      </c>
      <c r="I151" t="s">
        <v>16</v>
      </c>
    </row>
    <row r="152" spans="1:9" x14ac:dyDescent="0.25">
      <c r="A152" t="s">
        <v>13</v>
      </c>
      <c r="B152">
        <v>128372</v>
      </c>
      <c r="C152">
        <v>129739</v>
      </c>
      <c r="E152" t="s">
        <v>14</v>
      </c>
      <c r="F152" t="s">
        <v>432</v>
      </c>
      <c r="H152">
        <v>0</v>
      </c>
      <c r="I152" t="s">
        <v>16</v>
      </c>
    </row>
    <row r="153" spans="1:9" x14ac:dyDescent="0.25">
      <c r="A153" t="s">
        <v>13</v>
      </c>
      <c r="B153">
        <v>129795</v>
      </c>
      <c r="C153">
        <v>131444</v>
      </c>
      <c r="E153" t="s">
        <v>28</v>
      </c>
      <c r="F153" t="s">
        <v>435</v>
      </c>
      <c r="H153">
        <v>0</v>
      </c>
      <c r="I153" t="s">
        <v>16</v>
      </c>
    </row>
    <row r="154" spans="1:9" x14ac:dyDescent="0.25">
      <c r="A154" t="s">
        <v>13</v>
      </c>
      <c r="B154">
        <v>131446</v>
      </c>
      <c r="C154">
        <v>133473</v>
      </c>
      <c r="E154" t="s">
        <v>28</v>
      </c>
      <c r="F154" t="s">
        <v>41</v>
      </c>
      <c r="H154">
        <v>0</v>
      </c>
      <c r="I154" t="s">
        <v>16</v>
      </c>
    </row>
    <row r="155" spans="1:9" x14ac:dyDescent="0.25">
      <c r="A155" t="s">
        <v>13</v>
      </c>
      <c r="B155">
        <v>133667</v>
      </c>
      <c r="C155">
        <v>134869</v>
      </c>
      <c r="E155" t="s">
        <v>14</v>
      </c>
      <c r="F155" t="s">
        <v>440</v>
      </c>
      <c r="H155">
        <v>0</v>
      </c>
      <c r="I155" t="s">
        <v>16</v>
      </c>
    </row>
    <row r="156" spans="1:9" x14ac:dyDescent="0.25">
      <c r="A156" t="s">
        <v>13</v>
      </c>
      <c r="B156">
        <v>134859</v>
      </c>
      <c r="C156">
        <v>136247</v>
      </c>
      <c r="E156" t="s">
        <v>14</v>
      </c>
      <c r="F156" t="s">
        <v>443</v>
      </c>
      <c r="H156">
        <v>0</v>
      </c>
      <c r="I156" t="s">
        <v>16</v>
      </c>
    </row>
    <row r="157" spans="1:9" x14ac:dyDescent="0.25">
      <c r="A157" t="s">
        <v>13</v>
      </c>
      <c r="B157">
        <v>136240</v>
      </c>
      <c r="C157">
        <v>136782</v>
      </c>
      <c r="E157" t="s">
        <v>14</v>
      </c>
      <c r="F157" t="s">
        <v>446</v>
      </c>
      <c r="H157">
        <v>0</v>
      </c>
      <c r="I157" t="s">
        <v>16</v>
      </c>
    </row>
    <row r="158" spans="1:9" x14ac:dyDescent="0.25">
      <c r="A158" t="s">
        <v>13</v>
      </c>
      <c r="B158">
        <v>136793</v>
      </c>
      <c r="C158">
        <v>137047</v>
      </c>
      <c r="E158" t="s">
        <v>14</v>
      </c>
      <c r="F158" t="s">
        <v>41</v>
      </c>
      <c r="H158">
        <v>0</v>
      </c>
      <c r="I158" t="s">
        <v>16</v>
      </c>
    </row>
    <row r="159" spans="1:9" x14ac:dyDescent="0.25">
      <c r="A159" t="s">
        <v>13</v>
      </c>
      <c r="B159">
        <v>137070</v>
      </c>
      <c r="C159">
        <v>137348</v>
      </c>
      <c r="E159" t="s">
        <v>14</v>
      </c>
      <c r="F159" t="s">
        <v>41</v>
      </c>
      <c r="H159">
        <v>0</v>
      </c>
      <c r="I159" t="s">
        <v>16</v>
      </c>
    </row>
    <row r="160" spans="1:9" x14ac:dyDescent="0.25">
      <c r="A160" t="s">
        <v>13</v>
      </c>
      <c r="B160">
        <v>137345</v>
      </c>
      <c r="C160">
        <v>138511</v>
      </c>
      <c r="E160" t="s">
        <v>14</v>
      </c>
      <c r="F160" t="s">
        <v>453</v>
      </c>
      <c r="H160">
        <v>0</v>
      </c>
      <c r="I160" t="s">
        <v>16</v>
      </c>
    </row>
    <row r="161" spans="1:9" x14ac:dyDescent="0.25">
      <c r="A161" t="s">
        <v>13</v>
      </c>
      <c r="B161">
        <v>138572</v>
      </c>
      <c r="C161">
        <v>140203</v>
      </c>
      <c r="E161" t="s">
        <v>28</v>
      </c>
      <c r="F161" t="s">
        <v>456</v>
      </c>
      <c r="H161">
        <v>0</v>
      </c>
      <c r="I161" t="s">
        <v>16</v>
      </c>
    </row>
    <row r="162" spans="1:9" x14ac:dyDescent="0.25">
      <c r="A162" t="s">
        <v>13</v>
      </c>
      <c r="B162">
        <v>140226</v>
      </c>
      <c r="C162">
        <v>141158</v>
      </c>
      <c r="E162" t="s">
        <v>28</v>
      </c>
      <c r="F162" t="s">
        <v>459</v>
      </c>
      <c r="H162">
        <v>0</v>
      </c>
      <c r="I162" t="s">
        <v>16</v>
      </c>
    </row>
    <row r="163" spans="1:9" x14ac:dyDescent="0.25">
      <c r="A163" t="s">
        <v>13</v>
      </c>
      <c r="B163">
        <v>141213</v>
      </c>
      <c r="C163">
        <v>141440</v>
      </c>
      <c r="E163" t="s">
        <v>14</v>
      </c>
      <c r="F163" t="s">
        <v>41</v>
      </c>
      <c r="H163">
        <v>0</v>
      </c>
      <c r="I163" t="s">
        <v>16</v>
      </c>
    </row>
    <row r="164" spans="1:9" x14ac:dyDescent="0.25">
      <c r="A164" t="s">
        <v>13</v>
      </c>
      <c r="B164">
        <v>141477</v>
      </c>
      <c r="C164">
        <v>141549</v>
      </c>
      <c r="E164" t="s">
        <v>14</v>
      </c>
      <c r="F164" t="s">
        <v>464</v>
      </c>
      <c r="H164">
        <v>0</v>
      </c>
      <c r="I164" t="s">
        <v>133</v>
      </c>
    </row>
    <row r="165" spans="1:9" x14ac:dyDescent="0.25">
      <c r="A165" t="s">
        <v>13</v>
      </c>
      <c r="B165">
        <v>141630</v>
      </c>
      <c r="C165">
        <v>142763</v>
      </c>
      <c r="E165" t="s">
        <v>28</v>
      </c>
      <c r="F165" t="s">
        <v>466</v>
      </c>
      <c r="H165">
        <v>0</v>
      </c>
      <c r="I165" t="s">
        <v>16</v>
      </c>
    </row>
    <row r="166" spans="1:9" x14ac:dyDescent="0.25">
      <c r="A166" t="s">
        <v>13</v>
      </c>
      <c r="B166">
        <v>142765</v>
      </c>
      <c r="C166">
        <v>143133</v>
      </c>
      <c r="E166" t="s">
        <v>28</v>
      </c>
      <c r="F166" t="s">
        <v>41</v>
      </c>
      <c r="H166">
        <v>0</v>
      </c>
      <c r="I166" t="s">
        <v>16</v>
      </c>
    </row>
    <row r="167" spans="1:9" x14ac:dyDescent="0.25">
      <c r="A167" t="s">
        <v>13</v>
      </c>
      <c r="B167">
        <v>143533</v>
      </c>
      <c r="C167">
        <v>143865</v>
      </c>
      <c r="E167" t="s">
        <v>28</v>
      </c>
      <c r="F167" t="s">
        <v>471</v>
      </c>
      <c r="H167">
        <v>0</v>
      </c>
      <c r="I167" t="s">
        <v>16</v>
      </c>
    </row>
    <row r="168" spans="1:9" x14ac:dyDescent="0.25">
      <c r="A168" t="s">
        <v>13</v>
      </c>
      <c r="B168">
        <v>144485</v>
      </c>
      <c r="C168">
        <v>144718</v>
      </c>
      <c r="E168" t="s">
        <v>14</v>
      </c>
      <c r="F168" t="s">
        <v>41</v>
      </c>
      <c r="H168">
        <v>0</v>
      </c>
      <c r="I168" t="s">
        <v>16</v>
      </c>
    </row>
    <row r="169" spans="1:9" x14ac:dyDescent="0.25">
      <c r="A169" t="s">
        <v>13</v>
      </c>
      <c r="B169">
        <v>144778</v>
      </c>
      <c r="C169">
        <v>145035</v>
      </c>
      <c r="E169" t="s">
        <v>14</v>
      </c>
      <c r="F169" t="s">
        <v>41</v>
      </c>
      <c r="H169">
        <v>0</v>
      </c>
      <c r="I169" t="s">
        <v>16</v>
      </c>
    </row>
    <row r="170" spans="1:9" x14ac:dyDescent="0.25">
      <c r="A170" t="s">
        <v>13</v>
      </c>
      <c r="B170">
        <v>145028</v>
      </c>
      <c r="C170">
        <v>145408</v>
      </c>
      <c r="E170" t="s">
        <v>14</v>
      </c>
      <c r="F170" t="s">
        <v>478</v>
      </c>
      <c r="H170">
        <v>0</v>
      </c>
      <c r="I170" t="s">
        <v>16</v>
      </c>
    </row>
    <row r="171" spans="1:9" x14ac:dyDescent="0.25">
      <c r="A171" t="s">
        <v>13</v>
      </c>
      <c r="B171">
        <v>145412</v>
      </c>
      <c r="C171">
        <v>145987</v>
      </c>
      <c r="E171" t="s">
        <v>14</v>
      </c>
      <c r="F171" t="s">
        <v>41</v>
      </c>
      <c r="H171">
        <v>0</v>
      </c>
      <c r="I171" t="s">
        <v>16</v>
      </c>
    </row>
    <row r="172" spans="1:9" x14ac:dyDescent="0.25">
      <c r="A172" t="s">
        <v>13</v>
      </c>
      <c r="B172">
        <v>145996</v>
      </c>
      <c r="C172">
        <v>146622</v>
      </c>
      <c r="E172" t="s">
        <v>14</v>
      </c>
      <c r="F172" t="s">
        <v>483</v>
      </c>
      <c r="H172">
        <v>0</v>
      </c>
      <c r="I172" t="s">
        <v>16</v>
      </c>
    </row>
    <row r="173" spans="1:9" x14ac:dyDescent="0.25">
      <c r="A173" t="s">
        <v>13</v>
      </c>
      <c r="B173">
        <v>146643</v>
      </c>
      <c r="C173">
        <v>147581</v>
      </c>
      <c r="E173" t="s">
        <v>14</v>
      </c>
      <c r="F173" t="s">
        <v>41</v>
      </c>
      <c r="H173">
        <v>0</v>
      </c>
      <c r="I173" t="s">
        <v>16</v>
      </c>
    </row>
    <row r="174" spans="1:9" x14ac:dyDescent="0.25">
      <c r="A174" t="s">
        <v>13</v>
      </c>
      <c r="B174">
        <v>147559</v>
      </c>
      <c r="C174">
        <v>149187</v>
      </c>
      <c r="E174" t="s">
        <v>14</v>
      </c>
      <c r="F174" t="s">
        <v>488</v>
      </c>
      <c r="H174">
        <v>0</v>
      </c>
      <c r="I174" t="s">
        <v>16</v>
      </c>
    </row>
    <row r="175" spans="1:9" x14ac:dyDescent="0.25">
      <c r="A175" t="s">
        <v>13</v>
      </c>
      <c r="B175">
        <v>149184</v>
      </c>
      <c r="C175">
        <v>149861</v>
      </c>
      <c r="E175" t="s">
        <v>14</v>
      </c>
      <c r="F175" t="s">
        <v>41</v>
      </c>
      <c r="H175">
        <v>0</v>
      </c>
      <c r="I175" t="s">
        <v>16</v>
      </c>
    </row>
    <row r="176" spans="1:9" x14ac:dyDescent="0.25">
      <c r="A176" t="s">
        <v>13</v>
      </c>
      <c r="B176">
        <v>149875</v>
      </c>
      <c r="C176">
        <v>150987</v>
      </c>
      <c r="E176" t="s">
        <v>14</v>
      </c>
      <c r="F176" t="s">
        <v>493</v>
      </c>
      <c r="H176">
        <v>0</v>
      </c>
      <c r="I176" t="s">
        <v>16</v>
      </c>
    </row>
    <row r="177" spans="1:9" x14ac:dyDescent="0.25">
      <c r="A177" t="s">
        <v>13</v>
      </c>
      <c r="B177">
        <v>150991</v>
      </c>
      <c r="C177">
        <v>151158</v>
      </c>
      <c r="E177" t="s">
        <v>14</v>
      </c>
      <c r="F177" t="s">
        <v>41</v>
      </c>
      <c r="H177">
        <v>0</v>
      </c>
      <c r="I177" t="s">
        <v>16</v>
      </c>
    </row>
    <row r="178" spans="1:9" x14ac:dyDescent="0.25">
      <c r="A178" t="s">
        <v>13</v>
      </c>
      <c r="B178">
        <v>151344</v>
      </c>
      <c r="C178">
        <v>151700</v>
      </c>
      <c r="E178" t="s">
        <v>14</v>
      </c>
      <c r="F178" t="s">
        <v>498</v>
      </c>
      <c r="H178">
        <v>0</v>
      </c>
      <c r="I178" t="s">
        <v>16</v>
      </c>
    </row>
    <row r="179" spans="1:9" x14ac:dyDescent="0.25">
      <c r="A179" t="s">
        <v>13</v>
      </c>
      <c r="B179">
        <v>151726</v>
      </c>
      <c r="C179">
        <v>152046</v>
      </c>
      <c r="E179" t="s">
        <v>14</v>
      </c>
      <c r="F179" t="s">
        <v>501</v>
      </c>
      <c r="H179">
        <v>0</v>
      </c>
      <c r="I179" t="s">
        <v>16</v>
      </c>
    </row>
    <row r="180" spans="1:9" x14ac:dyDescent="0.25">
      <c r="A180" t="s">
        <v>13</v>
      </c>
      <c r="B180">
        <v>152043</v>
      </c>
      <c r="C180">
        <v>153323</v>
      </c>
      <c r="E180" t="s">
        <v>14</v>
      </c>
      <c r="F180" t="s">
        <v>504</v>
      </c>
      <c r="H180">
        <v>0</v>
      </c>
      <c r="I180" t="s">
        <v>16</v>
      </c>
    </row>
    <row r="181" spans="1:9" x14ac:dyDescent="0.25">
      <c r="A181" t="s">
        <v>13</v>
      </c>
      <c r="B181">
        <v>153634</v>
      </c>
      <c r="C181">
        <v>153834</v>
      </c>
      <c r="E181" t="s">
        <v>14</v>
      </c>
      <c r="F181" t="s">
        <v>41</v>
      </c>
      <c r="H181">
        <v>0</v>
      </c>
      <c r="I181" t="s">
        <v>16</v>
      </c>
    </row>
    <row r="182" spans="1:9" x14ac:dyDescent="0.25">
      <c r="A182" t="s">
        <v>13</v>
      </c>
      <c r="B182">
        <v>153810</v>
      </c>
      <c r="C182">
        <v>155291</v>
      </c>
      <c r="E182" t="s">
        <v>14</v>
      </c>
      <c r="F182" t="s">
        <v>509</v>
      </c>
      <c r="H182">
        <v>0</v>
      </c>
      <c r="I182" t="s">
        <v>16</v>
      </c>
    </row>
    <row r="183" spans="1:9" x14ac:dyDescent="0.25">
      <c r="A183" t="s">
        <v>13</v>
      </c>
      <c r="B183">
        <v>155272</v>
      </c>
      <c r="C183">
        <v>156714</v>
      </c>
      <c r="E183" t="s">
        <v>14</v>
      </c>
      <c r="F183" t="s">
        <v>512</v>
      </c>
      <c r="H183">
        <v>0</v>
      </c>
      <c r="I183" t="s">
        <v>16</v>
      </c>
    </row>
    <row r="184" spans="1:9" x14ac:dyDescent="0.25">
      <c r="A184" t="s">
        <v>13</v>
      </c>
      <c r="B184">
        <v>156711</v>
      </c>
      <c r="C184">
        <v>157022</v>
      </c>
      <c r="E184" t="s">
        <v>14</v>
      </c>
      <c r="F184" t="s">
        <v>41</v>
      </c>
      <c r="H184">
        <v>0</v>
      </c>
      <c r="I184" t="s">
        <v>16</v>
      </c>
    </row>
    <row r="185" spans="1:9" x14ac:dyDescent="0.25">
      <c r="A185" t="s">
        <v>13</v>
      </c>
      <c r="B185">
        <v>157117</v>
      </c>
      <c r="C185">
        <v>158415</v>
      </c>
      <c r="E185" t="s">
        <v>14</v>
      </c>
      <c r="F185" t="s">
        <v>517</v>
      </c>
      <c r="H185">
        <v>0</v>
      </c>
      <c r="I185" t="s">
        <v>16</v>
      </c>
    </row>
    <row r="186" spans="1:9" x14ac:dyDescent="0.25">
      <c r="A186" t="s">
        <v>13</v>
      </c>
      <c r="B186">
        <v>158417</v>
      </c>
      <c r="C186">
        <v>159274</v>
      </c>
      <c r="E186" t="s">
        <v>14</v>
      </c>
      <c r="F186" t="s">
        <v>520</v>
      </c>
      <c r="H186">
        <v>0</v>
      </c>
      <c r="I186" t="s">
        <v>16</v>
      </c>
    </row>
    <row r="187" spans="1:9" x14ac:dyDescent="0.25">
      <c r="A187" t="s">
        <v>13</v>
      </c>
      <c r="B187">
        <v>159285</v>
      </c>
      <c r="C187">
        <v>159533</v>
      </c>
      <c r="E187" t="s">
        <v>14</v>
      </c>
      <c r="F187" t="s">
        <v>523</v>
      </c>
      <c r="H187">
        <v>0</v>
      </c>
      <c r="I187" t="s">
        <v>16</v>
      </c>
    </row>
    <row r="188" spans="1:9" x14ac:dyDescent="0.25">
      <c r="A188" t="s">
        <v>13</v>
      </c>
      <c r="B188">
        <v>159638</v>
      </c>
      <c r="C188">
        <v>159922</v>
      </c>
      <c r="E188" t="s">
        <v>14</v>
      </c>
      <c r="F188" t="s">
        <v>526</v>
      </c>
      <c r="H188">
        <v>0</v>
      </c>
      <c r="I188" t="s">
        <v>16</v>
      </c>
    </row>
    <row r="189" spans="1:9" x14ac:dyDescent="0.25">
      <c r="A189" t="s">
        <v>13</v>
      </c>
      <c r="B189">
        <v>159919</v>
      </c>
      <c r="C189">
        <v>160440</v>
      </c>
      <c r="E189" t="s">
        <v>14</v>
      </c>
      <c r="F189" t="s">
        <v>529</v>
      </c>
      <c r="H189">
        <v>0</v>
      </c>
      <c r="I189" t="s">
        <v>16</v>
      </c>
    </row>
    <row r="190" spans="1:9" x14ac:dyDescent="0.25">
      <c r="A190" t="s">
        <v>13</v>
      </c>
      <c r="B190">
        <v>160437</v>
      </c>
      <c r="C190">
        <v>160871</v>
      </c>
      <c r="E190" t="s">
        <v>14</v>
      </c>
      <c r="F190" t="s">
        <v>41</v>
      </c>
      <c r="H190">
        <v>0</v>
      </c>
      <c r="I190" t="s">
        <v>16</v>
      </c>
    </row>
    <row r="191" spans="1:9" x14ac:dyDescent="0.25">
      <c r="A191" t="s">
        <v>13</v>
      </c>
      <c r="B191">
        <v>160874</v>
      </c>
      <c r="C191">
        <v>161080</v>
      </c>
      <c r="E191" t="s">
        <v>14</v>
      </c>
      <c r="F191" t="s">
        <v>41</v>
      </c>
      <c r="H191">
        <v>0</v>
      </c>
      <c r="I191" t="s">
        <v>16</v>
      </c>
    </row>
    <row r="192" spans="1:9" x14ac:dyDescent="0.25">
      <c r="A192" t="s">
        <v>13</v>
      </c>
      <c r="B192">
        <v>161073</v>
      </c>
      <c r="C192">
        <v>162488</v>
      </c>
      <c r="E192" t="s">
        <v>14</v>
      </c>
      <c r="F192" t="s">
        <v>536</v>
      </c>
      <c r="H192">
        <v>0</v>
      </c>
      <c r="I192" t="s">
        <v>16</v>
      </c>
    </row>
    <row r="193" spans="1:9" x14ac:dyDescent="0.25">
      <c r="A193" t="s">
        <v>13</v>
      </c>
      <c r="B193">
        <v>162491</v>
      </c>
      <c r="C193">
        <v>162928</v>
      </c>
      <c r="E193" t="s">
        <v>14</v>
      </c>
      <c r="F193" t="s">
        <v>41</v>
      </c>
      <c r="H193">
        <v>0</v>
      </c>
      <c r="I193" t="s">
        <v>16</v>
      </c>
    </row>
    <row r="194" spans="1:9" x14ac:dyDescent="0.25">
      <c r="A194" t="s">
        <v>13</v>
      </c>
      <c r="B194">
        <v>162939</v>
      </c>
      <c r="C194">
        <v>163262</v>
      </c>
      <c r="E194" t="s">
        <v>14</v>
      </c>
      <c r="F194" t="s">
        <v>41</v>
      </c>
      <c r="H194">
        <v>0</v>
      </c>
      <c r="I194" t="s">
        <v>16</v>
      </c>
    </row>
    <row r="195" spans="1:9" x14ac:dyDescent="0.25">
      <c r="A195" t="s">
        <v>13</v>
      </c>
      <c r="B195">
        <v>163294</v>
      </c>
      <c r="C195">
        <v>163413</v>
      </c>
      <c r="E195" t="s">
        <v>14</v>
      </c>
      <c r="F195" t="s">
        <v>41</v>
      </c>
      <c r="H195">
        <v>0</v>
      </c>
      <c r="I195" t="s">
        <v>16</v>
      </c>
    </row>
    <row r="196" spans="1:9" x14ac:dyDescent="0.25">
      <c r="A196" t="s">
        <v>13</v>
      </c>
      <c r="B196">
        <v>163478</v>
      </c>
      <c r="C196">
        <v>165943</v>
      </c>
      <c r="E196" t="s">
        <v>14</v>
      </c>
      <c r="F196" t="s">
        <v>545</v>
      </c>
      <c r="H196">
        <v>0</v>
      </c>
      <c r="I196" t="s">
        <v>16</v>
      </c>
    </row>
    <row r="197" spans="1:9" x14ac:dyDescent="0.25">
      <c r="A197" t="s">
        <v>13</v>
      </c>
      <c r="B197">
        <v>165933</v>
      </c>
      <c r="C197">
        <v>166478</v>
      </c>
      <c r="E197" t="s">
        <v>14</v>
      </c>
      <c r="F197" t="s">
        <v>548</v>
      </c>
      <c r="H197">
        <v>0</v>
      </c>
      <c r="I197" t="s">
        <v>16</v>
      </c>
    </row>
    <row r="198" spans="1:9" x14ac:dyDescent="0.25">
      <c r="A198" t="s">
        <v>13</v>
      </c>
      <c r="B198">
        <v>166484</v>
      </c>
      <c r="C198">
        <v>167155</v>
      </c>
      <c r="E198" t="s">
        <v>14</v>
      </c>
      <c r="F198" t="s">
        <v>41</v>
      </c>
      <c r="H198">
        <v>0</v>
      </c>
      <c r="I198" t="s">
        <v>16</v>
      </c>
    </row>
    <row r="199" spans="1:9" x14ac:dyDescent="0.25">
      <c r="A199" t="s">
        <v>13</v>
      </c>
      <c r="B199">
        <v>167148</v>
      </c>
      <c r="C199">
        <v>167645</v>
      </c>
      <c r="E199" t="s">
        <v>14</v>
      </c>
      <c r="F199" t="s">
        <v>41</v>
      </c>
      <c r="H199">
        <v>0</v>
      </c>
      <c r="I199" t="s">
        <v>16</v>
      </c>
    </row>
    <row r="200" spans="1:9" x14ac:dyDescent="0.25">
      <c r="A200" t="s">
        <v>13</v>
      </c>
      <c r="B200">
        <v>167649</v>
      </c>
      <c r="C200">
        <v>168026</v>
      </c>
      <c r="E200" t="s">
        <v>14</v>
      </c>
      <c r="F200" t="s">
        <v>555</v>
      </c>
      <c r="H200">
        <v>0</v>
      </c>
      <c r="I200" t="s">
        <v>16</v>
      </c>
    </row>
    <row r="201" spans="1:9" x14ac:dyDescent="0.25">
      <c r="A201" t="s">
        <v>13</v>
      </c>
      <c r="B201">
        <v>168010</v>
      </c>
      <c r="C201">
        <v>169110</v>
      </c>
      <c r="E201" t="s">
        <v>14</v>
      </c>
      <c r="F201" t="s">
        <v>558</v>
      </c>
      <c r="H201">
        <v>0</v>
      </c>
      <c r="I201" t="s">
        <v>16</v>
      </c>
    </row>
    <row r="202" spans="1:9" x14ac:dyDescent="0.25">
      <c r="A202" t="s">
        <v>13</v>
      </c>
      <c r="B202">
        <v>169107</v>
      </c>
      <c r="C202">
        <v>169841</v>
      </c>
      <c r="E202" t="s">
        <v>14</v>
      </c>
      <c r="F202" t="s">
        <v>548</v>
      </c>
      <c r="H202">
        <v>0</v>
      </c>
      <c r="I202" t="s">
        <v>16</v>
      </c>
    </row>
    <row r="203" spans="1:9" x14ac:dyDescent="0.25">
      <c r="A203" t="s">
        <v>13</v>
      </c>
      <c r="B203">
        <v>169858</v>
      </c>
      <c r="C203">
        <v>170070</v>
      </c>
      <c r="E203" t="s">
        <v>14</v>
      </c>
      <c r="F203" t="s">
        <v>41</v>
      </c>
      <c r="H203">
        <v>0</v>
      </c>
      <c r="I203" t="s">
        <v>16</v>
      </c>
    </row>
    <row r="204" spans="1:9" x14ac:dyDescent="0.25">
      <c r="A204" t="s">
        <v>13</v>
      </c>
      <c r="B204">
        <v>170101</v>
      </c>
      <c r="C204">
        <v>170412</v>
      </c>
      <c r="E204" t="s">
        <v>14</v>
      </c>
      <c r="F204" t="s">
        <v>41</v>
      </c>
      <c r="H204">
        <v>0</v>
      </c>
      <c r="I204" t="s">
        <v>16</v>
      </c>
    </row>
    <row r="205" spans="1:9" x14ac:dyDescent="0.25">
      <c r="A205" t="s">
        <v>13</v>
      </c>
      <c r="B205">
        <v>170414</v>
      </c>
      <c r="C205">
        <v>171277</v>
      </c>
      <c r="E205" t="s">
        <v>14</v>
      </c>
      <c r="F205" t="s">
        <v>41</v>
      </c>
      <c r="H205">
        <v>0</v>
      </c>
      <c r="I205" t="s">
        <v>16</v>
      </c>
    </row>
    <row r="206" spans="1:9" x14ac:dyDescent="0.25">
      <c r="A206" t="s">
        <v>13</v>
      </c>
      <c r="B206">
        <v>171280</v>
      </c>
      <c r="C206">
        <v>171642</v>
      </c>
      <c r="E206" t="s">
        <v>14</v>
      </c>
      <c r="F206" t="s">
        <v>41</v>
      </c>
      <c r="H206">
        <v>0</v>
      </c>
      <c r="I206" t="s">
        <v>16</v>
      </c>
    </row>
    <row r="207" spans="1:9" x14ac:dyDescent="0.25">
      <c r="A207" t="s">
        <v>13</v>
      </c>
      <c r="B207">
        <v>171708</v>
      </c>
      <c r="C207">
        <v>172784</v>
      </c>
      <c r="E207" t="s">
        <v>14</v>
      </c>
      <c r="F207" t="s">
        <v>41</v>
      </c>
      <c r="H207">
        <v>0</v>
      </c>
      <c r="I207" t="s">
        <v>16</v>
      </c>
    </row>
    <row r="208" spans="1:9" x14ac:dyDescent="0.25">
      <c r="A208" t="s">
        <v>13</v>
      </c>
      <c r="B208">
        <v>172726</v>
      </c>
      <c r="C208">
        <v>173028</v>
      </c>
      <c r="E208" t="s">
        <v>28</v>
      </c>
      <c r="F208" t="s">
        <v>41</v>
      </c>
      <c r="H208">
        <v>0</v>
      </c>
      <c r="I208" t="s">
        <v>16</v>
      </c>
    </row>
    <row r="209" spans="1:9" x14ac:dyDescent="0.25">
      <c r="A209" t="s">
        <v>13</v>
      </c>
      <c r="B209">
        <v>173313</v>
      </c>
      <c r="C209">
        <v>173471</v>
      </c>
      <c r="E209" t="s">
        <v>14</v>
      </c>
      <c r="F209" t="s">
        <v>41</v>
      </c>
      <c r="H209">
        <v>0</v>
      </c>
      <c r="I209" t="s">
        <v>16</v>
      </c>
    </row>
    <row r="210" spans="1:9" x14ac:dyDescent="0.25">
      <c r="A210" t="s">
        <v>13</v>
      </c>
      <c r="B210">
        <v>173482</v>
      </c>
      <c r="C210">
        <v>173670</v>
      </c>
      <c r="E210" t="s">
        <v>14</v>
      </c>
      <c r="F210" t="s">
        <v>41</v>
      </c>
      <c r="H210">
        <v>0</v>
      </c>
      <c r="I210" t="s">
        <v>16</v>
      </c>
    </row>
    <row r="211" spans="1:9" x14ac:dyDescent="0.25">
      <c r="A211" t="s">
        <v>13</v>
      </c>
      <c r="B211">
        <v>173667</v>
      </c>
      <c r="C211">
        <v>173972</v>
      </c>
      <c r="E211" t="s">
        <v>14</v>
      </c>
      <c r="F211" t="s">
        <v>41</v>
      </c>
      <c r="H211">
        <v>0</v>
      </c>
      <c r="I211" t="s">
        <v>16</v>
      </c>
    </row>
    <row r="212" spans="1:9" x14ac:dyDescent="0.25">
      <c r="A212" t="s">
        <v>13</v>
      </c>
      <c r="B212">
        <v>173969</v>
      </c>
      <c r="C212">
        <v>174625</v>
      </c>
      <c r="E212" t="s">
        <v>14</v>
      </c>
      <c r="F212" t="s">
        <v>581</v>
      </c>
      <c r="H212">
        <v>0</v>
      </c>
      <c r="I212" t="s">
        <v>16</v>
      </c>
    </row>
    <row r="213" spans="1:9" x14ac:dyDescent="0.25">
      <c r="A213" t="s">
        <v>13</v>
      </c>
      <c r="B213">
        <v>174906</v>
      </c>
      <c r="C213">
        <v>175172</v>
      </c>
      <c r="E213" t="s">
        <v>14</v>
      </c>
      <c r="F213" t="s">
        <v>584</v>
      </c>
      <c r="H213">
        <v>0</v>
      </c>
      <c r="I213" t="s">
        <v>16</v>
      </c>
    </row>
    <row r="214" spans="1:9" x14ac:dyDescent="0.25">
      <c r="A214" t="s">
        <v>13</v>
      </c>
      <c r="B214">
        <v>175176</v>
      </c>
      <c r="C214">
        <v>175433</v>
      </c>
      <c r="E214" t="s">
        <v>14</v>
      </c>
      <c r="F214" t="s">
        <v>587</v>
      </c>
      <c r="H214">
        <v>0</v>
      </c>
      <c r="I214" t="s">
        <v>16</v>
      </c>
    </row>
    <row r="215" spans="1:9" x14ac:dyDescent="0.25">
      <c r="A215" t="s">
        <v>13</v>
      </c>
      <c r="B215">
        <v>175441</v>
      </c>
      <c r="C215">
        <v>176694</v>
      </c>
      <c r="E215" t="s">
        <v>14</v>
      </c>
      <c r="F215" t="s">
        <v>590</v>
      </c>
      <c r="H215">
        <v>0</v>
      </c>
      <c r="I215" t="s">
        <v>16</v>
      </c>
    </row>
    <row r="216" spans="1:9" x14ac:dyDescent="0.25">
      <c r="A216" t="s">
        <v>13</v>
      </c>
      <c r="B216">
        <v>176695</v>
      </c>
      <c r="C216">
        <v>177255</v>
      </c>
      <c r="E216" t="s">
        <v>14</v>
      </c>
      <c r="F216" t="s">
        <v>593</v>
      </c>
      <c r="H216">
        <v>0</v>
      </c>
      <c r="I216" t="s">
        <v>16</v>
      </c>
    </row>
    <row r="217" spans="1:9" x14ac:dyDescent="0.25">
      <c r="A217" t="s">
        <v>13</v>
      </c>
      <c r="B217">
        <v>177230</v>
      </c>
      <c r="C217">
        <v>177787</v>
      </c>
      <c r="E217" t="s">
        <v>14</v>
      </c>
      <c r="F217" t="s">
        <v>596</v>
      </c>
      <c r="H217">
        <v>0</v>
      </c>
      <c r="I217" t="s">
        <v>16</v>
      </c>
    </row>
    <row r="218" spans="1:9" x14ac:dyDescent="0.25">
      <c r="A218" t="s">
        <v>13</v>
      </c>
      <c r="B218">
        <v>177777</v>
      </c>
      <c r="C218">
        <v>178874</v>
      </c>
      <c r="E218" t="s">
        <v>14</v>
      </c>
      <c r="F218" t="s">
        <v>599</v>
      </c>
      <c r="H218">
        <v>0</v>
      </c>
      <c r="I218" t="s">
        <v>16</v>
      </c>
    </row>
    <row r="219" spans="1:9" x14ac:dyDescent="0.25">
      <c r="A219" t="s">
        <v>13</v>
      </c>
      <c r="B219">
        <v>178882</v>
      </c>
      <c r="C219">
        <v>179223</v>
      </c>
      <c r="E219" t="s">
        <v>14</v>
      </c>
      <c r="F219" t="s">
        <v>602</v>
      </c>
      <c r="H219">
        <v>0</v>
      </c>
      <c r="I219" t="s">
        <v>16</v>
      </c>
    </row>
    <row r="220" spans="1:9" x14ac:dyDescent="0.25">
      <c r="A220" t="s">
        <v>13</v>
      </c>
      <c r="B220">
        <v>179318</v>
      </c>
      <c r="C220">
        <v>179599</v>
      </c>
      <c r="E220" t="s">
        <v>28</v>
      </c>
      <c r="F220" t="s">
        <v>41</v>
      </c>
      <c r="H220">
        <v>0</v>
      </c>
      <c r="I220" t="s">
        <v>16</v>
      </c>
    </row>
    <row r="221" spans="1:9" x14ac:dyDescent="0.25">
      <c r="A221" t="s">
        <v>13</v>
      </c>
      <c r="B221">
        <v>179621</v>
      </c>
      <c r="C221">
        <v>180451</v>
      </c>
      <c r="E221" t="s">
        <v>14</v>
      </c>
      <c r="F221" t="s">
        <v>607</v>
      </c>
      <c r="H221">
        <v>0</v>
      </c>
      <c r="I221" t="s">
        <v>16</v>
      </c>
    </row>
    <row r="222" spans="1:9" x14ac:dyDescent="0.25">
      <c r="A222" t="s">
        <v>13</v>
      </c>
      <c r="B222">
        <v>180448</v>
      </c>
      <c r="C222">
        <v>181554</v>
      </c>
      <c r="E222" t="s">
        <v>14</v>
      </c>
      <c r="F222" t="s">
        <v>162</v>
      </c>
      <c r="H222">
        <v>0</v>
      </c>
      <c r="I222" t="s">
        <v>16</v>
      </c>
    </row>
    <row r="223" spans="1:9" x14ac:dyDescent="0.25">
      <c r="A223" t="s">
        <v>13</v>
      </c>
      <c r="B223">
        <v>181605</v>
      </c>
      <c r="C223">
        <v>182522</v>
      </c>
      <c r="E223" t="s">
        <v>14</v>
      </c>
      <c r="F223" t="s">
        <v>612</v>
      </c>
      <c r="H223">
        <v>0</v>
      </c>
      <c r="I223" t="s">
        <v>16</v>
      </c>
    </row>
    <row r="224" spans="1:9" x14ac:dyDescent="0.25">
      <c r="A224" t="s">
        <v>13</v>
      </c>
      <c r="B224">
        <v>182568</v>
      </c>
      <c r="C224">
        <v>183086</v>
      </c>
      <c r="E224" t="s">
        <v>28</v>
      </c>
      <c r="F224" t="s">
        <v>615</v>
      </c>
      <c r="H224">
        <v>0</v>
      </c>
      <c r="I224" t="s">
        <v>16</v>
      </c>
    </row>
    <row r="225" spans="1:9" x14ac:dyDescent="0.25">
      <c r="A225" t="s">
        <v>13</v>
      </c>
      <c r="B225">
        <v>183109</v>
      </c>
      <c r="C225">
        <v>184380</v>
      </c>
      <c r="E225" t="s">
        <v>14</v>
      </c>
      <c r="F225" t="s">
        <v>618</v>
      </c>
      <c r="H225">
        <v>0</v>
      </c>
      <c r="I225" t="s">
        <v>16</v>
      </c>
    </row>
    <row r="226" spans="1:9" x14ac:dyDescent="0.25">
      <c r="A226" t="s">
        <v>13</v>
      </c>
      <c r="B226">
        <v>184668</v>
      </c>
      <c r="C226">
        <v>185567</v>
      </c>
      <c r="E226" t="s">
        <v>14</v>
      </c>
      <c r="F226" t="s">
        <v>621</v>
      </c>
      <c r="H226">
        <v>0</v>
      </c>
      <c r="I226" t="s">
        <v>16</v>
      </c>
    </row>
    <row r="227" spans="1:9" x14ac:dyDescent="0.25">
      <c r="A227" t="s">
        <v>13</v>
      </c>
      <c r="B227">
        <v>185578</v>
      </c>
      <c r="C227">
        <v>185940</v>
      </c>
      <c r="E227" t="s">
        <v>14</v>
      </c>
      <c r="F227" t="s">
        <v>624</v>
      </c>
      <c r="H227">
        <v>0</v>
      </c>
      <c r="I227" t="s">
        <v>16</v>
      </c>
    </row>
    <row r="228" spans="1:9" x14ac:dyDescent="0.25">
      <c r="A228" t="s">
        <v>13</v>
      </c>
      <c r="B228">
        <v>185941</v>
      </c>
      <c r="C228">
        <v>186798</v>
      </c>
      <c r="E228" t="s">
        <v>14</v>
      </c>
      <c r="F228" t="s">
        <v>627</v>
      </c>
      <c r="H228">
        <v>0</v>
      </c>
      <c r="I228" t="s">
        <v>16</v>
      </c>
    </row>
    <row r="229" spans="1:9" x14ac:dyDescent="0.25">
      <c r="A229" t="s">
        <v>13</v>
      </c>
      <c r="B229">
        <v>186782</v>
      </c>
      <c r="C229">
        <v>187732</v>
      </c>
      <c r="E229" t="s">
        <v>14</v>
      </c>
      <c r="F229" t="s">
        <v>630</v>
      </c>
      <c r="H229">
        <v>0</v>
      </c>
      <c r="I229" t="s">
        <v>16</v>
      </c>
    </row>
    <row r="230" spans="1:9" x14ac:dyDescent="0.25">
      <c r="A230" t="s">
        <v>13</v>
      </c>
      <c r="B230">
        <v>187801</v>
      </c>
      <c r="C230">
        <v>189405</v>
      </c>
      <c r="E230" t="s">
        <v>14</v>
      </c>
      <c r="F230" t="s">
        <v>633</v>
      </c>
      <c r="H230">
        <v>0</v>
      </c>
      <c r="I230" t="s">
        <v>16</v>
      </c>
    </row>
    <row r="231" spans="1:9" x14ac:dyDescent="0.25">
      <c r="A231" t="s">
        <v>13</v>
      </c>
      <c r="B231">
        <v>189432</v>
      </c>
      <c r="C231">
        <v>190049</v>
      </c>
      <c r="E231" t="s">
        <v>28</v>
      </c>
      <c r="F231" t="s">
        <v>41</v>
      </c>
      <c r="H231">
        <v>0</v>
      </c>
      <c r="I231" t="s">
        <v>16</v>
      </c>
    </row>
    <row r="232" spans="1:9" x14ac:dyDescent="0.25">
      <c r="A232" t="s">
        <v>13</v>
      </c>
      <c r="B232">
        <v>190109</v>
      </c>
      <c r="C232">
        <v>190786</v>
      </c>
      <c r="E232" t="s">
        <v>14</v>
      </c>
      <c r="F232" t="s">
        <v>41</v>
      </c>
      <c r="H232">
        <v>0</v>
      </c>
      <c r="I232" t="s">
        <v>16</v>
      </c>
    </row>
    <row r="233" spans="1:9" x14ac:dyDescent="0.25">
      <c r="A233" t="s">
        <v>13</v>
      </c>
      <c r="B233">
        <v>190791</v>
      </c>
      <c r="C233">
        <v>191327</v>
      </c>
      <c r="E233" t="s">
        <v>14</v>
      </c>
      <c r="F233" t="s">
        <v>41</v>
      </c>
      <c r="H233">
        <v>0</v>
      </c>
      <c r="I233" t="s">
        <v>16</v>
      </c>
    </row>
    <row r="234" spans="1:9" x14ac:dyDescent="0.25">
      <c r="A234" t="s">
        <v>13</v>
      </c>
      <c r="B234">
        <v>191390</v>
      </c>
      <c r="C234">
        <v>191620</v>
      </c>
      <c r="E234" t="s">
        <v>14</v>
      </c>
      <c r="F234" t="s">
        <v>642</v>
      </c>
      <c r="H234">
        <v>0</v>
      </c>
      <c r="I234" t="s">
        <v>16</v>
      </c>
    </row>
    <row r="235" spans="1:9" x14ac:dyDescent="0.25">
      <c r="A235" t="s">
        <v>13</v>
      </c>
      <c r="B235">
        <v>191612</v>
      </c>
      <c r="C235">
        <v>192112</v>
      </c>
      <c r="E235" t="s">
        <v>28</v>
      </c>
      <c r="F235" t="s">
        <v>645</v>
      </c>
      <c r="H235">
        <v>0</v>
      </c>
      <c r="I235" t="s">
        <v>16</v>
      </c>
    </row>
    <row r="236" spans="1:9" x14ac:dyDescent="0.25">
      <c r="A236" t="s">
        <v>13</v>
      </c>
      <c r="B236">
        <v>192186</v>
      </c>
      <c r="C236">
        <v>192407</v>
      </c>
      <c r="E236" t="s">
        <v>28</v>
      </c>
      <c r="F236" t="s">
        <v>648</v>
      </c>
      <c r="H236">
        <v>0</v>
      </c>
      <c r="I236" t="s">
        <v>16</v>
      </c>
    </row>
    <row r="237" spans="1:9" x14ac:dyDescent="0.25">
      <c r="A237" t="s">
        <v>13</v>
      </c>
      <c r="B237">
        <v>192521</v>
      </c>
      <c r="C237">
        <v>193564</v>
      </c>
      <c r="E237" t="s">
        <v>28</v>
      </c>
      <c r="F237" t="s">
        <v>651</v>
      </c>
      <c r="H237">
        <v>0</v>
      </c>
      <c r="I237" t="s">
        <v>16</v>
      </c>
    </row>
    <row r="238" spans="1:9" x14ac:dyDescent="0.25">
      <c r="A238" t="s">
        <v>13</v>
      </c>
      <c r="B238">
        <v>193710</v>
      </c>
      <c r="C238">
        <v>194771</v>
      </c>
      <c r="E238" t="s">
        <v>14</v>
      </c>
      <c r="F238" t="s">
        <v>654</v>
      </c>
      <c r="H238">
        <v>0</v>
      </c>
      <c r="I238" t="s">
        <v>16</v>
      </c>
    </row>
    <row r="239" spans="1:9" x14ac:dyDescent="0.25">
      <c r="A239" t="s">
        <v>13</v>
      </c>
      <c r="B239">
        <v>194763</v>
      </c>
      <c r="C239">
        <v>195539</v>
      </c>
      <c r="E239" t="s">
        <v>28</v>
      </c>
      <c r="F239" t="s">
        <v>657</v>
      </c>
      <c r="H239">
        <v>0</v>
      </c>
      <c r="I239" t="s">
        <v>16</v>
      </c>
    </row>
    <row r="240" spans="1:9" x14ac:dyDescent="0.25">
      <c r="A240" t="s">
        <v>13</v>
      </c>
      <c r="B240">
        <v>195555</v>
      </c>
      <c r="C240">
        <v>196205</v>
      </c>
      <c r="E240" t="s">
        <v>14</v>
      </c>
      <c r="F240" t="s">
        <v>660</v>
      </c>
      <c r="H240">
        <v>0</v>
      </c>
      <c r="I240" t="s">
        <v>16</v>
      </c>
    </row>
    <row r="241" spans="1:9" x14ac:dyDescent="0.25">
      <c r="A241" t="s">
        <v>13</v>
      </c>
      <c r="B241">
        <v>196193</v>
      </c>
      <c r="C241">
        <v>197011</v>
      </c>
      <c r="E241" t="s">
        <v>14</v>
      </c>
      <c r="F241" t="s">
        <v>663</v>
      </c>
      <c r="H241">
        <v>0</v>
      </c>
      <c r="I241" t="s">
        <v>16</v>
      </c>
    </row>
    <row r="242" spans="1:9" x14ac:dyDescent="0.25">
      <c r="A242" t="s">
        <v>13</v>
      </c>
      <c r="B242">
        <v>196998</v>
      </c>
      <c r="C242">
        <v>197567</v>
      </c>
      <c r="E242" t="s">
        <v>14</v>
      </c>
      <c r="F242" t="s">
        <v>666</v>
      </c>
      <c r="H242">
        <v>0</v>
      </c>
      <c r="I242" t="s">
        <v>16</v>
      </c>
    </row>
    <row r="243" spans="1:9" x14ac:dyDescent="0.25">
      <c r="A243" t="s">
        <v>13</v>
      </c>
      <c r="B243">
        <v>197753</v>
      </c>
      <c r="C243">
        <v>198247</v>
      </c>
      <c r="E243" t="s">
        <v>28</v>
      </c>
      <c r="F243" t="s">
        <v>669</v>
      </c>
      <c r="H243">
        <v>0</v>
      </c>
      <c r="I243" t="s">
        <v>16</v>
      </c>
    </row>
    <row r="244" spans="1:9" x14ac:dyDescent="0.25">
      <c r="A244" t="s">
        <v>13</v>
      </c>
      <c r="B244">
        <v>198244</v>
      </c>
      <c r="C244">
        <v>198804</v>
      </c>
      <c r="E244" t="s">
        <v>28</v>
      </c>
      <c r="F244" t="s">
        <v>672</v>
      </c>
      <c r="H244">
        <v>0</v>
      </c>
      <c r="I244" t="s">
        <v>16</v>
      </c>
    </row>
    <row r="245" spans="1:9" x14ac:dyDescent="0.25">
      <c r="A245" t="s">
        <v>13</v>
      </c>
      <c r="B245">
        <v>198884</v>
      </c>
      <c r="C245">
        <v>199597</v>
      </c>
      <c r="E245" t="s">
        <v>14</v>
      </c>
      <c r="F245" t="s">
        <v>675</v>
      </c>
      <c r="H245">
        <v>0</v>
      </c>
      <c r="I245" t="s">
        <v>16</v>
      </c>
    </row>
    <row r="246" spans="1:9" x14ac:dyDescent="0.25">
      <c r="A246" t="s">
        <v>13</v>
      </c>
      <c r="B246">
        <v>199607</v>
      </c>
      <c r="C246">
        <v>200107</v>
      </c>
      <c r="E246" t="s">
        <v>14</v>
      </c>
      <c r="F246" t="s">
        <v>41</v>
      </c>
      <c r="H246">
        <v>0</v>
      </c>
      <c r="I246" t="s">
        <v>16</v>
      </c>
    </row>
    <row r="247" spans="1:9" x14ac:dyDescent="0.25">
      <c r="A247" t="s">
        <v>13</v>
      </c>
      <c r="B247">
        <v>200151</v>
      </c>
      <c r="C247">
        <v>200636</v>
      </c>
      <c r="E247" t="s">
        <v>14</v>
      </c>
      <c r="F247" t="s">
        <v>680</v>
      </c>
      <c r="H247">
        <v>0</v>
      </c>
      <c r="I247" t="s">
        <v>16</v>
      </c>
    </row>
    <row r="248" spans="1:9" x14ac:dyDescent="0.25">
      <c r="A248" t="s">
        <v>13</v>
      </c>
      <c r="B248">
        <v>200598</v>
      </c>
      <c r="C248">
        <v>201035</v>
      </c>
      <c r="E248" t="s">
        <v>28</v>
      </c>
      <c r="F248" t="s">
        <v>683</v>
      </c>
      <c r="H248">
        <v>0</v>
      </c>
      <c r="I248" t="s">
        <v>16</v>
      </c>
    </row>
    <row r="249" spans="1:9" x14ac:dyDescent="0.25">
      <c r="A249" t="s">
        <v>13</v>
      </c>
      <c r="B249">
        <v>201066</v>
      </c>
      <c r="C249">
        <v>201149</v>
      </c>
      <c r="E249" t="s">
        <v>28</v>
      </c>
      <c r="F249" t="s">
        <v>686</v>
      </c>
      <c r="H249">
        <v>0</v>
      </c>
      <c r="I249" t="s">
        <v>133</v>
      </c>
    </row>
    <row r="250" spans="1:9" x14ac:dyDescent="0.25">
      <c r="A250" t="s">
        <v>13</v>
      </c>
      <c r="B250">
        <v>201418</v>
      </c>
      <c r="C250">
        <v>202008</v>
      </c>
      <c r="E250" t="s">
        <v>14</v>
      </c>
      <c r="F250" t="s">
        <v>688</v>
      </c>
      <c r="H250">
        <v>0</v>
      </c>
      <c r="I250" t="s">
        <v>16</v>
      </c>
    </row>
    <row r="251" spans="1:9" x14ac:dyDescent="0.25">
      <c r="A251" t="s">
        <v>13</v>
      </c>
      <c r="B251">
        <v>202086</v>
      </c>
      <c r="C251">
        <v>204650</v>
      </c>
      <c r="E251" t="s">
        <v>14</v>
      </c>
      <c r="F251" t="s">
        <v>691</v>
      </c>
      <c r="H251">
        <v>0</v>
      </c>
      <c r="I251" t="s">
        <v>16</v>
      </c>
    </row>
    <row r="252" spans="1:9" x14ac:dyDescent="0.25">
      <c r="A252" t="s">
        <v>13</v>
      </c>
      <c r="B252">
        <v>204640</v>
      </c>
      <c r="C252">
        <v>205989</v>
      </c>
      <c r="E252" t="s">
        <v>14</v>
      </c>
      <c r="F252" t="s">
        <v>694</v>
      </c>
      <c r="H252">
        <v>0</v>
      </c>
      <c r="I252" t="s">
        <v>16</v>
      </c>
    </row>
    <row r="253" spans="1:9" x14ac:dyDescent="0.25">
      <c r="A253" t="s">
        <v>13</v>
      </c>
      <c r="B253">
        <v>205999</v>
      </c>
      <c r="C253">
        <v>206517</v>
      </c>
      <c r="E253" t="s">
        <v>14</v>
      </c>
      <c r="F253" t="s">
        <v>697</v>
      </c>
      <c r="H253">
        <v>0</v>
      </c>
      <c r="I253" t="s">
        <v>16</v>
      </c>
    </row>
    <row r="254" spans="1:9" x14ac:dyDescent="0.25">
      <c r="A254" t="s">
        <v>13</v>
      </c>
      <c r="B254">
        <v>206510</v>
      </c>
      <c r="C254">
        <v>207019</v>
      </c>
      <c r="E254" t="s">
        <v>14</v>
      </c>
      <c r="F254" t="s">
        <v>697</v>
      </c>
      <c r="H254">
        <v>0</v>
      </c>
      <c r="I254" t="s">
        <v>16</v>
      </c>
    </row>
    <row r="255" spans="1:9" x14ac:dyDescent="0.25">
      <c r="A255" t="s">
        <v>13</v>
      </c>
      <c r="B255">
        <v>207003</v>
      </c>
      <c r="C255">
        <v>208004</v>
      </c>
      <c r="E255" t="s">
        <v>14</v>
      </c>
      <c r="F255" t="s">
        <v>41</v>
      </c>
      <c r="H255">
        <v>0</v>
      </c>
      <c r="I255" t="s">
        <v>16</v>
      </c>
    </row>
    <row r="256" spans="1:9" x14ac:dyDescent="0.25">
      <c r="A256" t="s">
        <v>13</v>
      </c>
      <c r="B256">
        <v>208158</v>
      </c>
      <c r="C256">
        <v>209768</v>
      </c>
      <c r="E256" t="s">
        <v>28</v>
      </c>
      <c r="F256" t="s">
        <v>41</v>
      </c>
      <c r="H256">
        <v>0</v>
      </c>
      <c r="I256" t="s">
        <v>16</v>
      </c>
    </row>
    <row r="257" spans="1:9" x14ac:dyDescent="0.25">
      <c r="A257" t="s">
        <v>13</v>
      </c>
      <c r="B257">
        <v>209791</v>
      </c>
      <c r="C257">
        <v>210867</v>
      </c>
      <c r="E257" t="s">
        <v>28</v>
      </c>
      <c r="F257" t="s">
        <v>706</v>
      </c>
      <c r="H257">
        <v>0</v>
      </c>
      <c r="I257" t="s">
        <v>16</v>
      </c>
    </row>
    <row r="258" spans="1:9" x14ac:dyDescent="0.25">
      <c r="A258" t="s">
        <v>13</v>
      </c>
      <c r="B258">
        <v>210864</v>
      </c>
      <c r="C258">
        <v>212054</v>
      </c>
      <c r="E258" t="s">
        <v>28</v>
      </c>
      <c r="F258" t="s">
        <v>709</v>
      </c>
      <c r="H258">
        <v>0</v>
      </c>
      <c r="I258" t="s">
        <v>16</v>
      </c>
    </row>
    <row r="259" spans="1:9" x14ac:dyDescent="0.25">
      <c r="A259" t="s">
        <v>13</v>
      </c>
      <c r="B259">
        <v>212407</v>
      </c>
      <c r="C259">
        <v>213546</v>
      </c>
      <c r="E259" t="s">
        <v>14</v>
      </c>
      <c r="F259" t="s">
        <v>712</v>
      </c>
      <c r="H259">
        <v>0</v>
      </c>
      <c r="I259" t="s">
        <v>16</v>
      </c>
    </row>
    <row r="260" spans="1:9" x14ac:dyDescent="0.25">
      <c r="A260" t="s">
        <v>13</v>
      </c>
      <c r="B260">
        <v>213524</v>
      </c>
      <c r="C260">
        <v>214507</v>
      </c>
      <c r="E260" t="s">
        <v>14</v>
      </c>
      <c r="F260" t="s">
        <v>715</v>
      </c>
      <c r="H260">
        <v>0</v>
      </c>
      <c r="I260" t="s">
        <v>16</v>
      </c>
    </row>
    <row r="261" spans="1:9" x14ac:dyDescent="0.25">
      <c r="A261" t="s">
        <v>13</v>
      </c>
      <c r="B261">
        <v>214504</v>
      </c>
      <c r="C261">
        <v>215514</v>
      </c>
      <c r="E261" t="s">
        <v>14</v>
      </c>
      <c r="F261" t="s">
        <v>718</v>
      </c>
      <c r="H261">
        <v>0</v>
      </c>
      <c r="I261" t="s">
        <v>16</v>
      </c>
    </row>
    <row r="262" spans="1:9" x14ac:dyDescent="0.25">
      <c r="A262" t="s">
        <v>13</v>
      </c>
      <c r="B262">
        <v>215511</v>
      </c>
      <c r="C262">
        <v>216521</v>
      </c>
      <c r="E262" t="s">
        <v>14</v>
      </c>
      <c r="F262" t="s">
        <v>721</v>
      </c>
      <c r="H262">
        <v>0</v>
      </c>
      <c r="I262" t="s">
        <v>16</v>
      </c>
    </row>
    <row r="263" spans="1:9" x14ac:dyDescent="0.25">
      <c r="A263" t="s">
        <v>13</v>
      </c>
      <c r="B263">
        <v>216518</v>
      </c>
      <c r="C263">
        <v>216997</v>
      </c>
      <c r="E263" t="s">
        <v>14</v>
      </c>
      <c r="F263" t="s">
        <v>724</v>
      </c>
      <c r="H263">
        <v>0</v>
      </c>
      <c r="I263" t="s">
        <v>16</v>
      </c>
    </row>
    <row r="264" spans="1:9" x14ac:dyDescent="0.25">
      <c r="A264" t="s">
        <v>13</v>
      </c>
      <c r="B264">
        <v>217038</v>
      </c>
      <c r="C264">
        <v>217415</v>
      </c>
      <c r="E264" t="s">
        <v>14</v>
      </c>
      <c r="F264" t="s">
        <v>727</v>
      </c>
      <c r="H264">
        <v>0</v>
      </c>
      <c r="I264" t="s">
        <v>16</v>
      </c>
    </row>
    <row r="265" spans="1:9" x14ac:dyDescent="0.25">
      <c r="A265" t="s">
        <v>13</v>
      </c>
      <c r="B265">
        <v>217577</v>
      </c>
      <c r="C265">
        <v>217909</v>
      </c>
      <c r="E265" t="s">
        <v>14</v>
      </c>
      <c r="F265" t="s">
        <v>730</v>
      </c>
      <c r="H265">
        <v>0</v>
      </c>
      <c r="I265" t="s">
        <v>16</v>
      </c>
    </row>
    <row r="266" spans="1:9" x14ac:dyDescent="0.25">
      <c r="A266" t="s">
        <v>13</v>
      </c>
      <c r="B266">
        <v>217906</v>
      </c>
      <c r="C266">
        <v>218886</v>
      </c>
      <c r="E266" t="s">
        <v>14</v>
      </c>
      <c r="F266" t="s">
        <v>733</v>
      </c>
      <c r="H266">
        <v>0</v>
      </c>
      <c r="I266" t="s">
        <v>16</v>
      </c>
    </row>
    <row r="267" spans="1:9" x14ac:dyDescent="0.25">
      <c r="A267" t="s">
        <v>13</v>
      </c>
      <c r="B267">
        <v>218875</v>
      </c>
      <c r="C267">
        <v>219294</v>
      </c>
      <c r="E267" t="s">
        <v>28</v>
      </c>
      <c r="F267" t="s">
        <v>736</v>
      </c>
      <c r="H267">
        <v>0</v>
      </c>
      <c r="I267" t="s">
        <v>16</v>
      </c>
    </row>
    <row r="268" spans="1:9" x14ac:dyDescent="0.25">
      <c r="A268" t="s">
        <v>13</v>
      </c>
      <c r="B268">
        <v>219285</v>
      </c>
      <c r="C268">
        <v>219956</v>
      </c>
      <c r="E268" t="s">
        <v>28</v>
      </c>
      <c r="F268" t="s">
        <v>739</v>
      </c>
      <c r="H268">
        <v>0</v>
      </c>
      <c r="I268" t="s">
        <v>16</v>
      </c>
    </row>
    <row r="269" spans="1:9" x14ac:dyDescent="0.25">
      <c r="A269" t="s">
        <v>13</v>
      </c>
      <c r="B269">
        <v>220082</v>
      </c>
      <c r="C269">
        <v>221600</v>
      </c>
      <c r="E269" t="s">
        <v>14</v>
      </c>
      <c r="F269" t="s">
        <v>742</v>
      </c>
      <c r="H269">
        <v>0</v>
      </c>
      <c r="I269" t="s">
        <v>147</v>
      </c>
    </row>
    <row r="270" spans="1:9" x14ac:dyDescent="0.25">
      <c r="A270" t="s">
        <v>13</v>
      </c>
      <c r="B270">
        <v>221664</v>
      </c>
      <c r="C270">
        <v>221993</v>
      </c>
      <c r="E270" t="s">
        <v>28</v>
      </c>
      <c r="F270" t="s">
        <v>41</v>
      </c>
      <c r="H270">
        <v>0</v>
      </c>
      <c r="I270" t="s">
        <v>16</v>
      </c>
    </row>
    <row r="271" spans="1:9" x14ac:dyDescent="0.25">
      <c r="A271" t="s">
        <v>13</v>
      </c>
      <c r="B271">
        <v>222023</v>
      </c>
      <c r="C271">
        <v>222802</v>
      </c>
      <c r="E271" t="s">
        <v>14</v>
      </c>
      <c r="F271" t="s">
        <v>746</v>
      </c>
      <c r="H271">
        <v>0</v>
      </c>
      <c r="I271" t="s">
        <v>16</v>
      </c>
    </row>
    <row r="272" spans="1:9" x14ac:dyDescent="0.25">
      <c r="A272" t="s">
        <v>13</v>
      </c>
      <c r="B272">
        <v>222808</v>
      </c>
      <c r="C272">
        <v>223359</v>
      </c>
      <c r="E272" t="s">
        <v>14</v>
      </c>
      <c r="F272" t="s">
        <v>749</v>
      </c>
      <c r="H272">
        <v>0</v>
      </c>
      <c r="I272" t="s">
        <v>16</v>
      </c>
    </row>
    <row r="273" spans="1:9" x14ac:dyDescent="0.25">
      <c r="A273" t="s">
        <v>13</v>
      </c>
      <c r="B273">
        <v>223360</v>
      </c>
      <c r="C273">
        <v>224358</v>
      </c>
      <c r="E273" t="s">
        <v>14</v>
      </c>
      <c r="F273" t="s">
        <v>41</v>
      </c>
      <c r="H273">
        <v>0</v>
      </c>
      <c r="I273" t="s">
        <v>16</v>
      </c>
    </row>
    <row r="274" spans="1:9" x14ac:dyDescent="0.25">
      <c r="A274" t="s">
        <v>13</v>
      </c>
      <c r="B274">
        <v>224355</v>
      </c>
      <c r="C274">
        <v>225320</v>
      </c>
      <c r="E274" t="s">
        <v>14</v>
      </c>
      <c r="F274" t="s">
        <v>754</v>
      </c>
      <c r="H274">
        <v>0</v>
      </c>
      <c r="I274" t="s">
        <v>16</v>
      </c>
    </row>
    <row r="275" spans="1:9" x14ac:dyDescent="0.25">
      <c r="A275" t="s">
        <v>13</v>
      </c>
      <c r="B275">
        <v>225425</v>
      </c>
      <c r="C275">
        <v>225961</v>
      </c>
      <c r="E275" t="s">
        <v>14</v>
      </c>
      <c r="F275" t="s">
        <v>41</v>
      </c>
      <c r="H275">
        <v>0</v>
      </c>
      <c r="I275" t="s">
        <v>16</v>
      </c>
    </row>
    <row r="276" spans="1:9" x14ac:dyDescent="0.25">
      <c r="A276" t="s">
        <v>13</v>
      </c>
      <c r="B276">
        <v>225958</v>
      </c>
      <c r="C276">
        <v>226668</v>
      </c>
      <c r="E276" t="s">
        <v>28</v>
      </c>
      <c r="F276" t="s">
        <v>759</v>
      </c>
      <c r="H276">
        <v>0</v>
      </c>
      <c r="I276" t="s">
        <v>16</v>
      </c>
    </row>
    <row r="277" spans="1:9" x14ac:dyDescent="0.25">
      <c r="A277" t="s">
        <v>13</v>
      </c>
      <c r="B277">
        <v>226665</v>
      </c>
      <c r="C277">
        <v>226871</v>
      </c>
      <c r="E277" t="s">
        <v>28</v>
      </c>
      <c r="F277" t="s">
        <v>41</v>
      </c>
      <c r="H277">
        <v>0</v>
      </c>
      <c r="I277" t="s">
        <v>16</v>
      </c>
    </row>
    <row r="278" spans="1:9" x14ac:dyDescent="0.25">
      <c r="A278" t="s">
        <v>13</v>
      </c>
      <c r="B278">
        <v>226868</v>
      </c>
      <c r="C278">
        <v>227284</v>
      </c>
      <c r="E278" t="s">
        <v>28</v>
      </c>
      <c r="F278" t="s">
        <v>764</v>
      </c>
      <c r="H278">
        <v>0</v>
      </c>
      <c r="I278" t="s">
        <v>16</v>
      </c>
    </row>
    <row r="279" spans="1:9" x14ac:dyDescent="0.25">
      <c r="A279" t="s">
        <v>13</v>
      </c>
      <c r="B279">
        <v>227296</v>
      </c>
      <c r="C279">
        <v>228510</v>
      </c>
      <c r="E279" t="s">
        <v>28</v>
      </c>
      <c r="F279" t="s">
        <v>767</v>
      </c>
      <c r="H279">
        <v>0</v>
      </c>
      <c r="I279" t="s">
        <v>16</v>
      </c>
    </row>
    <row r="280" spans="1:9" x14ac:dyDescent="0.25">
      <c r="A280" t="s">
        <v>13</v>
      </c>
      <c r="B280">
        <v>228501</v>
      </c>
      <c r="C280">
        <v>228782</v>
      </c>
      <c r="E280" t="s">
        <v>28</v>
      </c>
      <c r="F280" t="s">
        <v>41</v>
      </c>
      <c r="H280">
        <v>0</v>
      </c>
      <c r="I280" t="s">
        <v>16</v>
      </c>
    </row>
    <row r="281" spans="1:9" x14ac:dyDescent="0.25">
      <c r="A281" t="s">
        <v>13</v>
      </c>
      <c r="B281">
        <v>228931</v>
      </c>
      <c r="C281">
        <v>231306</v>
      </c>
      <c r="E281" t="s">
        <v>28</v>
      </c>
      <c r="F281" t="s">
        <v>772</v>
      </c>
      <c r="H281">
        <v>0</v>
      </c>
      <c r="I281" t="s">
        <v>16</v>
      </c>
    </row>
    <row r="282" spans="1:9" x14ac:dyDescent="0.25">
      <c r="A282" t="s">
        <v>13</v>
      </c>
      <c r="B282">
        <v>231303</v>
      </c>
      <c r="C282">
        <v>231812</v>
      </c>
      <c r="E282" t="s">
        <v>28</v>
      </c>
      <c r="F282" t="s">
        <v>41</v>
      </c>
      <c r="H282">
        <v>0</v>
      </c>
      <c r="I282" t="s">
        <v>16</v>
      </c>
    </row>
    <row r="283" spans="1:9" x14ac:dyDescent="0.25">
      <c r="A283" t="s">
        <v>13</v>
      </c>
      <c r="B283">
        <v>231823</v>
      </c>
      <c r="C283">
        <v>232107</v>
      </c>
      <c r="E283" t="s">
        <v>28</v>
      </c>
      <c r="F283" t="s">
        <v>777</v>
      </c>
      <c r="H283">
        <v>0</v>
      </c>
      <c r="I283" t="s">
        <v>16</v>
      </c>
    </row>
    <row r="284" spans="1:9" x14ac:dyDescent="0.25">
      <c r="A284" t="s">
        <v>13</v>
      </c>
      <c r="B284">
        <v>232107</v>
      </c>
      <c r="C284">
        <v>232307</v>
      </c>
      <c r="E284" t="s">
        <v>28</v>
      </c>
      <c r="F284" t="s">
        <v>780</v>
      </c>
      <c r="H284">
        <v>0</v>
      </c>
      <c r="I284" t="s">
        <v>16</v>
      </c>
    </row>
    <row r="285" spans="1:9" x14ac:dyDescent="0.25">
      <c r="A285" t="s">
        <v>13</v>
      </c>
      <c r="B285">
        <v>232483</v>
      </c>
      <c r="C285">
        <v>232869</v>
      </c>
      <c r="E285" t="s">
        <v>28</v>
      </c>
      <c r="F285" t="s">
        <v>783</v>
      </c>
      <c r="H285">
        <v>0</v>
      </c>
      <c r="I285" t="s">
        <v>16</v>
      </c>
    </row>
    <row r="286" spans="1:9" x14ac:dyDescent="0.25">
      <c r="A286" t="s">
        <v>13</v>
      </c>
      <c r="B286">
        <v>233147</v>
      </c>
      <c r="C286">
        <v>234805</v>
      </c>
      <c r="E286" t="s">
        <v>14</v>
      </c>
      <c r="F286" t="s">
        <v>41</v>
      </c>
      <c r="H286">
        <v>0</v>
      </c>
      <c r="I286" t="s">
        <v>16</v>
      </c>
    </row>
    <row r="287" spans="1:9" x14ac:dyDescent="0.25">
      <c r="A287" t="s">
        <v>13</v>
      </c>
      <c r="B287">
        <v>235248</v>
      </c>
      <c r="C287">
        <v>235550</v>
      </c>
      <c r="E287" t="s">
        <v>28</v>
      </c>
      <c r="F287" t="s">
        <v>788</v>
      </c>
      <c r="H287">
        <v>0</v>
      </c>
      <c r="I287" t="s">
        <v>16</v>
      </c>
    </row>
    <row r="288" spans="1:9" x14ac:dyDescent="0.25">
      <c r="A288" t="s">
        <v>13</v>
      </c>
      <c r="B288">
        <v>235690</v>
      </c>
      <c r="C288">
        <v>236985</v>
      </c>
      <c r="E288" t="s">
        <v>28</v>
      </c>
      <c r="F288" t="s">
        <v>791</v>
      </c>
      <c r="H288">
        <v>0</v>
      </c>
      <c r="I288" t="s">
        <v>16</v>
      </c>
    </row>
    <row r="289" spans="1:9" x14ac:dyDescent="0.25">
      <c r="A289" t="s">
        <v>13</v>
      </c>
      <c r="B289">
        <v>236995</v>
      </c>
      <c r="C289">
        <v>238401</v>
      </c>
      <c r="E289" t="s">
        <v>28</v>
      </c>
      <c r="F289" t="s">
        <v>794</v>
      </c>
      <c r="H289">
        <v>0</v>
      </c>
      <c r="I289" t="s">
        <v>16</v>
      </c>
    </row>
    <row r="290" spans="1:9" x14ac:dyDescent="0.25">
      <c r="A290" t="s">
        <v>13</v>
      </c>
      <c r="B290">
        <v>238398</v>
      </c>
      <c r="C290">
        <v>239150</v>
      </c>
      <c r="E290" t="s">
        <v>28</v>
      </c>
      <c r="F290" t="s">
        <v>797</v>
      </c>
      <c r="H290">
        <v>0</v>
      </c>
      <c r="I290" t="s">
        <v>16</v>
      </c>
    </row>
    <row r="291" spans="1:9" x14ac:dyDescent="0.25">
      <c r="A291" t="s">
        <v>13</v>
      </c>
      <c r="B291">
        <v>239249</v>
      </c>
      <c r="C291">
        <v>242047</v>
      </c>
      <c r="E291" t="s">
        <v>28</v>
      </c>
      <c r="F291" t="s">
        <v>41</v>
      </c>
      <c r="H291">
        <v>0</v>
      </c>
      <c r="I291" t="s">
        <v>16</v>
      </c>
    </row>
    <row r="292" spans="1:9" x14ac:dyDescent="0.25">
      <c r="A292" t="s">
        <v>13</v>
      </c>
      <c r="B292">
        <v>242187</v>
      </c>
      <c r="C292">
        <v>243506</v>
      </c>
      <c r="E292" t="s">
        <v>28</v>
      </c>
      <c r="F292" t="s">
        <v>802</v>
      </c>
      <c r="H292">
        <v>0</v>
      </c>
      <c r="I292" t="s">
        <v>16</v>
      </c>
    </row>
    <row r="293" spans="1:9" x14ac:dyDescent="0.25">
      <c r="A293" t="s">
        <v>13</v>
      </c>
      <c r="B293">
        <v>243709</v>
      </c>
      <c r="C293">
        <v>245040</v>
      </c>
      <c r="E293" t="s">
        <v>28</v>
      </c>
      <c r="F293" t="s">
        <v>41</v>
      </c>
      <c r="H293">
        <v>0</v>
      </c>
      <c r="I293" t="s">
        <v>16</v>
      </c>
    </row>
    <row r="294" spans="1:9" x14ac:dyDescent="0.25">
      <c r="A294" t="s">
        <v>13</v>
      </c>
      <c r="B294">
        <v>245074</v>
      </c>
      <c r="C294">
        <v>245217</v>
      </c>
      <c r="E294" t="s">
        <v>14</v>
      </c>
      <c r="F294" t="s">
        <v>41</v>
      </c>
      <c r="H294">
        <v>0</v>
      </c>
      <c r="I294" t="s">
        <v>16</v>
      </c>
    </row>
    <row r="295" spans="1:9" x14ac:dyDescent="0.25">
      <c r="A295" t="s">
        <v>13</v>
      </c>
      <c r="B295">
        <v>245188</v>
      </c>
      <c r="C295">
        <v>245880</v>
      </c>
      <c r="E295" t="s">
        <v>28</v>
      </c>
      <c r="F295" t="s">
        <v>809</v>
      </c>
      <c r="H295">
        <v>0</v>
      </c>
      <c r="I295" t="s">
        <v>16</v>
      </c>
    </row>
    <row r="296" spans="1:9" x14ac:dyDescent="0.25">
      <c r="A296" t="s">
        <v>13</v>
      </c>
      <c r="B296">
        <v>245880</v>
      </c>
      <c r="C296">
        <v>247022</v>
      </c>
      <c r="E296" t="s">
        <v>28</v>
      </c>
      <c r="F296" t="s">
        <v>812</v>
      </c>
      <c r="H296">
        <v>0</v>
      </c>
      <c r="I296" t="s">
        <v>16</v>
      </c>
    </row>
    <row r="297" spans="1:9" x14ac:dyDescent="0.25">
      <c r="A297" t="s">
        <v>13</v>
      </c>
      <c r="B297">
        <v>247066</v>
      </c>
      <c r="C297">
        <v>247329</v>
      </c>
      <c r="E297" t="s">
        <v>28</v>
      </c>
      <c r="F297" t="s">
        <v>41</v>
      </c>
      <c r="H297">
        <v>0</v>
      </c>
      <c r="I297" t="s">
        <v>16</v>
      </c>
    </row>
    <row r="298" spans="1:9" x14ac:dyDescent="0.25">
      <c r="A298" t="s">
        <v>13</v>
      </c>
      <c r="B298">
        <v>247403</v>
      </c>
      <c r="C298">
        <v>250048</v>
      </c>
      <c r="E298" t="s">
        <v>14</v>
      </c>
      <c r="F298" t="s">
        <v>817</v>
      </c>
      <c r="H298">
        <v>0</v>
      </c>
      <c r="I298" t="s">
        <v>16</v>
      </c>
    </row>
    <row r="299" spans="1:9" x14ac:dyDescent="0.25">
      <c r="A299" t="s">
        <v>13</v>
      </c>
      <c r="B299">
        <v>250058</v>
      </c>
      <c r="C299">
        <v>250744</v>
      </c>
      <c r="E299" t="s">
        <v>14</v>
      </c>
      <c r="F299" t="s">
        <v>41</v>
      </c>
      <c r="H299">
        <v>0</v>
      </c>
      <c r="I299" t="s">
        <v>16</v>
      </c>
    </row>
    <row r="300" spans="1:9" x14ac:dyDescent="0.25">
      <c r="A300" t="s">
        <v>13</v>
      </c>
      <c r="B300">
        <v>250746</v>
      </c>
      <c r="C300">
        <v>251132</v>
      </c>
      <c r="E300" t="s">
        <v>14</v>
      </c>
      <c r="F300" t="s">
        <v>822</v>
      </c>
      <c r="H300">
        <v>0</v>
      </c>
      <c r="I300" t="s">
        <v>16</v>
      </c>
    </row>
    <row r="301" spans="1:9" x14ac:dyDescent="0.25">
      <c r="A301" t="s">
        <v>13</v>
      </c>
      <c r="B301">
        <v>251116</v>
      </c>
      <c r="C301">
        <v>252129</v>
      </c>
      <c r="E301" t="s">
        <v>14</v>
      </c>
      <c r="F301" t="s">
        <v>825</v>
      </c>
      <c r="H301">
        <v>0</v>
      </c>
      <c r="I301" t="s">
        <v>16</v>
      </c>
    </row>
    <row r="302" spans="1:9" x14ac:dyDescent="0.25">
      <c r="A302" t="s">
        <v>13</v>
      </c>
      <c r="B302">
        <v>252114</v>
      </c>
      <c r="C302">
        <v>252953</v>
      </c>
      <c r="E302" t="s">
        <v>28</v>
      </c>
      <c r="F302" t="s">
        <v>828</v>
      </c>
      <c r="H302">
        <v>0</v>
      </c>
      <c r="I302" t="s">
        <v>16</v>
      </c>
    </row>
    <row r="303" spans="1:9" x14ac:dyDescent="0.25">
      <c r="A303" t="s">
        <v>13</v>
      </c>
      <c r="B303">
        <v>252958</v>
      </c>
      <c r="C303">
        <v>253449</v>
      </c>
      <c r="E303" t="s">
        <v>28</v>
      </c>
      <c r="F303" t="s">
        <v>41</v>
      </c>
      <c r="H303">
        <v>0</v>
      </c>
      <c r="I303" t="s">
        <v>16</v>
      </c>
    </row>
    <row r="304" spans="1:9" x14ac:dyDescent="0.25">
      <c r="A304" t="s">
        <v>13</v>
      </c>
      <c r="B304">
        <v>253508</v>
      </c>
      <c r="C304">
        <v>253771</v>
      </c>
      <c r="E304" t="s">
        <v>28</v>
      </c>
      <c r="F304" t="s">
        <v>41</v>
      </c>
      <c r="H304">
        <v>0</v>
      </c>
      <c r="I304" t="s">
        <v>16</v>
      </c>
    </row>
    <row r="305" spans="1:9" x14ac:dyDescent="0.25">
      <c r="A305" t="s">
        <v>13</v>
      </c>
      <c r="B305">
        <v>254732</v>
      </c>
      <c r="C305">
        <v>255448</v>
      </c>
      <c r="E305" t="s">
        <v>14</v>
      </c>
      <c r="F305" t="s">
        <v>777</v>
      </c>
      <c r="H305">
        <v>0</v>
      </c>
      <c r="I305" t="s">
        <v>16</v>
      </c>
    </row>
    <row r="306" spans="1:9" x14ac:dyDescent="0.25">
      <c r="A306" t="s">
        <v>13</v>
      </c>
      <c r="B306">
        <v>255514</v>
      </c>
      <c r="C306">
        <v>256602</v>
      </c>
      <c r="E306" t="s">
        <v>14</v>
      </c>
      <c r="F306" t="s">
        <v>837</v>
      </c>
      <c r="H306">
        <v>0</v>
      </c>
      <c r="I306" t="s">
        <v>16</v>
      </c>
    </row>
    <row r="307" spans="1:9" x14ac:dyDescent="0.25">
      <c r="A307" t="s">
        <v>13</v>
      </c>
      <c r="B307">
        <v>256646</v>
      </c>
      <c r="C307">
        <v>256894</v>
      </c>
      <c r="E307" t="s">
        <v>28</v>
      </c>
      <c r="F307" t="s">
        <v>41</v>
      </c>
      <c r="H307">
        <v>0</v>
      </c>
      <c r="I307" t="s">
        <v>16</v>
      </c>
    </row>
    <row r="308" spans="1:9" x14ac:dyDescent="0.25">
      <c r="A308" t="s">
        <v>13</v>
      </c>
      <c r="B308">
        <v>257040</v>
      </c>
      <c r="C308">
        <v>257831</v>
      </c>
      <c r="E308" t="s">
        <v>14</v>
      </c>
      <c r="F308" t="s">
        <v>41</v>
      </c>
      <c r="H308">
        <v>0</v>
      </c>
      <c r="I308" t="s">
        <v>16</v>
      </c>
    </row>
    <row r="309" spans="1:9" x14ac:dyDescent="0.25">
      <c r="A309" t="s">
        <v>13</v>
      </c>
      <c r="B309">
        <v>257826</v>
      </c>
      <c r="C309">
        <v>258044</v>
      </c>
      <c r="E309" t="s">
        <v>28</v>
      </c>
      <c r="F309" t="s">
        <v>41</v>
      </c>
      <c r="H309">
        <v>0</v>
      </c>
      <c r="I309" t="s">
        <v>16</v>
      </c>
    </row>
    <row r="310" spans="1:9" x14ac:dyDescent="0.25">
      <c r="A310" t="s">
        <v>13</v>
      </c>
      <c r="B310">
        <v>258793</v>
      </c>
      <c r="C310">
        <v>259422</v>
      </c>
      <c r="E310" t="s">
        <v>28</v>
      </c>
      <c r="F310" t="s">
        <v>846</v>
      </c>
      <c r="H310">
        <v>0</v>
      </c>
      <c r="I310" t="s">
        <v>16</v>
      </c>
    </row>
    <row r="311" spans="1:9" x14ac:dyDescent="0.25">
      <c r="A311" t="s">
        <v>13</v>
      </c>
      <c r="B311">
        <v>259415</v>
      </c>
      <c r="C311">
        <v>260443</v>
      </c>
      <c r="E311" t="s">
        <v>28</v>
      </c>
      <c r="F311" t="s">
        <v>849</v>
      </c>
      <c r="H311">
        <v>0</v>
      </c>
      <c r="I311" t="s">
        <v>16</v>
      </c>
    </row>
    <row r="312" spans="1:9" x14ac:dyDescent="0.25">
      <c r="A312" t="s">
        <v>13</v>
      </c>
      <c r="B312">
        <v>260491</v>
      </c>
      <c r="C312">
        <v>261264</v>
      </c>
      <c r="E312" t="s">
        <v>14</v>
      </c>
      <c r="F312" t="s">
        <v>852</v>
      </c>
      <c r="H312">
        <v>0</v>
      </c>
      <c r="I312" t="s">
        <v>16</v>
      </c>
    </row>
    <row r="313" spans="1:9" x14ac:dyDescent="0.25">
      <c r="A313" t="s">
        <v>13</v>
      </c>
      <c r="B313">
        <v>261237</v>
      </c>
      <c r="C313">
        <v>262421</v>
      </c>
      <c r="E313" t="s">
        <v>14</v>
      </c>
      <c r="F313" t="s">
        <v>855</v>
      </c>
      <c r="H313">
        <v>0</v>
      </c>
      <c r="I313" t="s">
        <v>16</v>
      </c>
    </row>
    <row r="314" spans="1:9" x14ac:dyDescent="0.25">
      <c r="A314" t="s">
        <v>13</v>
      </c>
      <c r="B314">
        <v>262418</v>
      </c>
      <c r="C314">
        <v>263011</v>
      </c>
      <c r="E314" t="s">
        <v>14</v>
      </c>
      <c r="F314" t="s">
        <v>858</v>
      </c>
      <c r="H314">
        <v>0</v>
      </c>
      <c r="I314" t="s">
        <v>16</v>
      </c>
    </row>
    <row r="315" spans="1:9" x14ac:dyDescent="0.25">
      <c r="A315" t="s">
        <v>13</v>
      </c>
      <c r="B315">
        <v>262962</v>
      </c>
      <c r="C315">
        <v>263984</v>
      </c>
      <c r="E315" t="s">
        <v>14</v>
      </c>
      <c r="F315" t="s">
        <v>861</v>
      </c>
      <c r="H315">
        <v>0</v>
      </c>
      <c r="I315" t="s">
        <v>16</v>
      </c>
    </row>
    <row r="316" spans="1:9" x14ac:dyDescent="0.25">
      <c r="A316" t="s">
        <v>13</v>
      </c>
      <c r="B316">
        <v>263985</v>
      </c>
      <c r="C316">
        <v>265712</v>
      </c>
      <c r="E316" t="s">
        <v>14</v>
      </c>
      <c r="F316" t="s">
        <v>864</v>
      </c>
      <c r="H316">
        <v>0</v>
      </c>
      <c r="I316" t="s">
        <v>16</v>
      </c>
    </row>
    <row r="317" spans="1:9" x14ac:dyDescent="0.25">
      <c r="A317" t="s">
        <v>13</v>
      </c>
      <c r="B317">
        <v>265724</v>
      </c>
      <c r="C317">
        <v>266755</v>
      </c>
      <c r="E317" t="s">
        <v>14</v>
      </c>
      <c r="F317" t="s">
        <v>867</v>
      </c>
      <c r="H317">
        <v>0</v>
      </c>
      <c r="I317" t="s">
        <v>16</v>
      </c>
    </row>
    <row r="318" spans="1:9" x14ac:dyDescent="0.25">
      <c r="A318" t="s">
        <v>13</v>
      </c>
      <c r="B318">
        <v>266760</v>
      </c>
      <c r="C318">
        <v>267191</v>
      </c>
      <c r="E318" t="s">
        <v>14</v>
      </c>
      <c r="F318" t="s">
        <v>870</v>
      </c>
      <c r="H318">
        <v>0</v>
      </c>
      <c r="I318" t="s">
        <v>16</v>
      </c>
    </row>
    <row r="319" spans="1:9" x14ac:dyDescent="0.25">
      <c r="A319" t="s">
        <v>13</v>
      </c>
      <c r="B319">
        <v>267264</v>
      </c>
      <c r="C319">
        <v>267896</v>
      </c>
      <c r="E319" t="s">
        <v>14</v>
      </c>
      <c r="F319" t="s">
        <v>41</v>
      </c>
      <c r="H319">
        <v>0</v>
      </c>
      <c r="I319" t="s">
        <v>16</v>
      </c>
    </row>
    <row r="320" spans="1:9" x14ac:dyDescent="0.25">
      <c r="A320" t="s">
        <v>13</v>
      </c>
      <c r="B320">
        <v>268085</v>
      </c>
      <c r="C320">
        <v>271444</v>
      </c>
      <c r="E320" t="s">
        <v>14</v>
      </c>
      <c r="F320" t="s">
        <v>875</v>
      </c>
      <c r="H320">
        <v>0</v>
      </c>
      <c r="I320" t="s">
        <v>16</v>
      </c>
    </row>
    <row r="321" spans="1:9" x14ac:dyDescent="0.25">
      <c r="A321" t="s">
        <v>13</v>
      </c>
      <c r="B321">
        <v>271465</v>
      </c>
      <c r="C321">
        <v>276039</v>
      </c>
      <c r="E321" t="s">
        <v>14</v>
      </c>
      <c r="F321" t="s">
        <v>878</v>
      </c>
      <c r="H321">
        <v>0</v>
      </c>
      <c r="I321" t="s">
        <v>16</v>
      </c>
    </row>
    <row r="322" spans="1:9" x14ac:dyDescent="0.25">
      <c r="A322" t="s">
        <v>13</v>
      </c>
      <c r="B322">
        <v>276196</v>
      </c>
      <c r="C322">
        <v>276774</v>
      </c>
      <c r="E322" t="s">
        <v>14</v>
      </c>
      <c r="F322" t="s">
        <v>881</v>
      </c>
      <c r="H322">
        <v>0</v>
      </c>
      <c r="I322" t="s">
        <v>16</v>
      </c>
    </row>
    <row r="323" spans="1:9" x14ac:dyDescent="0.25">
      <c r="A323" t="s">
        <v>13</v>
      </c>
      <c r="B323">
        <v>276838</v>
      </c>
      <c r="C323">
        <v>277077</v>
      </c>
      <c r="E323" t="s">
        <v>14</v>
      </c>
      <c r="F323" t="s">
        <v>41</v>
      </c>
      <c r="H323">
        <v>0</v>
      </c>
      <c r="I323" t="s">
        <v>16</v>
      </c>
    </row>
    <row r="324" spans="1:9" x14ac:dyDescent="0.25">
      <c r="A324" t="s">
        <v>13</v>
      </c>
      <c r="B324">
        <v>277047</v>
      </c>
      <c r="C324">
        <v>277889</v>
      </c>
      <c r="E324" t="s">
        <v>14</v>
      </c>
      <c r="F324" t="s">
        <v>886</v>
      </c>
      <c r="H324">
        <v>0</v>
      </c>
      <c r="I324" t="s">
        <v>16</v>
      </c>
    </row>
    <row r="325" spans="1:9" x14ac:dyDescent="0.25">
      <c r="A325" t="s">
        <v>13</v>
      </c>
      <c r="B325">
        <v>278005</v>
      </c>
      <c r="C325">
        <v>279039</v>
      </c>
      <c r="E325" t="s">
        <v>14</v>
      </c>
      <c r="F325" t="s">
        <v>889</v>
      </c>
      <c r="H325">
        <v>0</v>
      </c>
      <c r="I325" t="s">
        <v>16</v>
      </c>
    </row>
    <row r="326" spans="1:9" x14ac:dyDescent="0.25">
      <c r="A326" t="s">
        <v>13</v>
      </c>
      <c r="B326">
        <v>279195</v>
      </c>
      <c r="C326">
        <v>280703</v>
      </c>
      <c r="E326" t="s">
        <v>14</v>
      </c>
      <c r="F326" t="s">
        <v>892</v>
      </c>
      <c r="H326">
        <v>0</v>
      </c>
      <c r="I326" t="s">
        <v>16</v>
      </c>
    </row>
    <row r="327" spans="1:9" x14ac:dyDescent="0.25">
      <c r="A327" t="s">
        <v>13</v>
      </c>
      <c r="B327">
        <v>280792</v>
      </c>
      <c r="C327">
        <v>281586</v>
      </c>
      <c r="E327" t="s">
        <v>28</v>
      </c>
      <c r="F327" t="s">
        <v>895</v>
      </c>
      <c r="H327">
        <v>0</v>
      </c>
      <c r="I327" t="s">
        <v>16</v>
      </c>
    </row>
    <row r="328" spans="1:9" x14ac:dyDescent="0.25">
      <c r="A328" t="s">
        <v>13</v>
      </c>
      <c r="B328">
        <v>281579</v>
      </c>
      <c r="C328">
        <v>281884</v>
      </c>
      <c r="E328" t="s">
        <v>28</v>
      </c>
      <c r="F328" t="s">
        <v>41</v>
      </c>
      <c r="H328">
        <v>0</v>
      </c>
      <c r="I328" t="s">
        <v>16</v>
      </c>
    </row>
    <row r="329" spans="1:9" x14ac:dyDescent="0.25">
      <c r="A329" t="s">
        <v>13</v>
      </c>
      <c r="B329">
        <v>281874</v>
      </c>
      <c r="C329">
        <v>282248</v>
      </c>
      <c r="E329" t="s">
        <v>28</v>
      </c>
      <c r="F329" t="s">
        <v>900</v>
      </c>
      <c r="H329">
        <v>0</v>
      </c>
      <c r="I329" t="s">
        <v>16</v>
      </c>
    </row>
    <row r="330" spans="1:9" x14ac:dyDescent="0.25">
      <c r="A330" t="s">
        <v>13</v>
      </c>
      <c r="B330">
        <v>282255</v>
      </c>
      <c r="C330">
        <v>282497</v>
      </c>
      <c r="E330" t="s">
        <v>28</v>
      </c>
      <c r="F330" t="s">
        <v>903</v>
      </c>
      <c r="H330">
        <v>0</v>
      </c>
      <c r="I330" t="s">
        <v>16</v>
      </c>
    </row>
    <row r="331" spans="1:9" x14ac:dyDescent="0.25">
      <c r="A331" t="s">
        <v>13</v>
      </c>
      <c r="B331">
        <v>282554</v>
      </c>
      <c r="C331">
        <v>282627</v>
      </c>
      <c r="E331" t="s">
        <v>28</v>
      </c>
      <c r="F331" t="s">
        <v>906</v>
      </c>
      <c r="H331">
        <v>0</v>
      </c>
      <c r="I331" t="s">
        <v>133</v>
      </c>
    </row>
    <row r="332" spans="1:9" x14ac:dyDescent="0.25">
      <c r="A332" t="s">
        <v>13</v>
      </c>
      <c r="B332">
        <v>282637</v>
      </c>
      <c r="C332">
        <v>284013</v>
      </c>
      <c r="E332" t="s">
        <v>28</v>
      </c>
      <c r="F332" t="s">
        <v>908</v>
      </c>
      <c r="H332">
        <v>0</v>
      </c>
      <c r="I332" t="s">
        <v>16</v>
      </c>
    </row>
    <row r="333" spans="1:9" x14ac:dyDescent="0.25">
      <c r="A333" t="s">
        <v>13</v>
      </c>
      <c r="B333">
        <v>284260</v>
      </c>
      <c r="C333">
        <v>285393</v>
      </c>
      <c r="E333" t="s">
        <v>28</v>
      </c>
      <c r="F333" t="s">
        <v>41</v>
      </c>
      <c r="H333">
        <v>0</v>
      </c>
      <c r="I333" t="s">
        <v>16</v>
      </c>
    </row>
    <row r="334" spans="1:9" x14ac:dyDescent="0.25">
      <c r="A334" t="s">
        <v>13</v>
      </c>
      <c r="B334">
        <v>285435</v>
      </c>
      <c r="C334">
        <v>285557</v>
      </c>
      <c r="E334" t="s">
        <v>28</v>
      </c>
      <c r="F334" t="s">
        <v>41</v>
      </c>
      <c r="H334">
        <v>0</v>
      </c>
      <c r="I334" t="s">
        <v>16</v>
      </c>
    </row>
    <row r="335" spans="1:9" x14ac:dyDescent="0.25">
      <c r="A335" t="s">
        <v>13</v>
      </c>
      <c r="B335">
        <v>285658</v>
      </c>
      <c r="C335">
        <v>286230</v>
      </c>
      <c r="E335" t="s">
        <v>28</v>
      </c>
      <c r="F335" t="s">
        <v>41</v>
      </c>
      <c r="H335">
        <v>0</v>
      </c>
      <c r="I335" t="s">
        <v>16</v>
      </c>
    </row>
    <row r="336" spans="1:9" x14ac:dyDescent="0.25">
      <c r="A336" t="s">
        <v>13</v>
      </c>
      <c r="B336">
        <v>286259</v>
      </c>
      <c r="C336">
        <v>287887</v>
      </c>
      <c r="E336" t="s">
        <v>14</v>
      </c>
      <c r="F336" t="s">
        <v>68</v>
      </c>
      <c r="H336">
        <v>0</v>
      </c>
      <c r="I336" t="s">
        <v>16</v>
      </c>
    </row>
    <row r="337" spans="1:9" x14ac:dyDescent="0.25">
      <c r="A337" t="s">
        <v>13</v>
      </c>
      <c r="B337">
        <v>288067</v>
      </c>
      <c r="C337">
        <v>288669</v>
      </c>
      <c r="E337" t="s">
        <v>28</v>
      </c>
      <c r="F337" t="s">
        <v>41</v>
      </c>
      <c r="H337">
        <v>0</v>
      </c>
      <c r="I337" t="s">
        <v>16</v>
      </c>
    </row>
    <row r="338" spans="1:9" x14ac:dyDescent="0.25">
      <c r="A338" t="s">
        <v>13</v>
      </c>
      <c r="B338">
        <v>288870</v>
      </c>
      <c r="C338">
        <v>290066</v>
      </c>
      <c r="E338" t="s">
        <v>28</v>
      </c>
      <c r="F338" t="s">
        <v>921</v>
      </c>
      <c r="H338">
        <v>0</v>
      </c>
      <c r="I338" t="s">
        <v>16</v>
      </c>
    </row>
    <row r="339" spans="1:9" x14ac:dyDescent="0.25">
      <c r="A339" t="s">
        <v>13</v>
      </c>
      <c r="B339">
        <v>290059</v>
      </c>
      <c r="C339">
        <v>291534</v>
      </c>
      <c r="E339" t="s">
        <v>28</v>
      </c>
      <c r="F339" t="s">
        <v>32</v>
      </c>
      <c r="H339">
        <v>0</v>
      </c>
      <c r="I339" t="s">
        <v>16</v>
      </c>
    </row>
    <row r="340" spans="1:9" x14ac:dyDescent="0.25">
      <c r="A340" t="s">
        <v>13</v>
      </c>
      <c r="B340">
        <v>291800</v>
      </c>
      <c r="C340">
        <v>293284</v>
      </c>
      <c r="E340" t="s">
        <v>28</v>
      </c>
      <c r="F340" t="s">
        <v>41</v>
      </c>
      <c r="H340">
        <v>0</v>
      </c>
      <c r="I340" t="s">
        <v>16</v>
      </c>
    </row>
    <row r="341" spans="1:9" x14ac:dyDescent="0.25">
      <c r="A341" t="s">
        <v>13</v>
      </c>
      <c r="B341">
        <v>293359</v>
      </c>
      <c r="C341">
        <v>293955</v>
      </c>
      <c r="E341" t="s">
        <v>28</v>
      </c>
      <c r="F341" t="s">
        <v>928</v>
      </c>
      <c r="H341">
        <v>0</v>
      </c>
      <c r="I341" t="s">
        <v>16</v>
      </c>
    </row>
    <row r="342" spans="1:9" x14ac:dyDescent="0.25">
      <c r="A342" t="s">
        <v>13</v>
      </c>
      <c r="B342">
        <v>294307</v>
      </c>
      <c r="C342">
        <v>294828</v>
      </c>
      <c r="E342" t="s">
        <v>14</v>
      </c>
      <c r="F342" t="s">
        <v>41</v>
      </c>
      <c r="H342">
        <v>0</v>
      </c>
      <c r="I342" t="s">
        <v>16</v>
      </c>
    </row>
    <row r="343" spans="1:9" x14ac:dyDescent="0.25">
      <c r="A343" t="s">
        <v>13</v>
      </c>
      <c r="B343">
        <v>294825</v>
      </c>
      <c r="C343">
        <v>295775</v>
      </c>
      <c r="E343" t="s">
        <v>28</v>
      </c>
      <c r="F343" t="s">
        <v>933</v>
      </c>
      <c r="H343">
        <v>0</v>
      </c>
      <c r="I343" t="s">
        <v>16</v>
      </c>
    </row>
    <row r="344" spans="1:9" x14ac:dyDescent="0.25">
      <c r="A344" t="s">
        <v>13</v>
      </c>
      <c r="B344">
        <v>295828</v>
      </c>
      <c r="C344">
        <v>296037</v>
      </c>
      <c r="E344" t="s">
        <v>28</v>
      </c>
      <c r="F344" t="s">
        <v>41</v>
      </c>
      <c r="H344">
        <v>0</v>
      </c>
      <c r="I344" t="s">
        <v>16</v>
      </c>
    </row>
    <row r="345" spans="1:9" x14ac:dyDescent="0.25">
      <c r="A345" t="s">
        <v>13</v>
      </c>
      <c r="B345">
        <v>296047</v>
      </c>
      <c r="C345">
        <v>296520</v>
      </c>
      <c r="E345" t="s">
        <v>28</v>
      </c>
      <c r="F345" t="s">
        <v>41</v>
      </c>
      <c r="H345">
        <v>0</v>
      </c>
      <c r="I345" t="s">
        <v>16</v>
      </c>
    </row>
    <row r="346" spans="1:9" x14ac:dyDescent="0.25">
      <c r="A346" t="s">
        <v>13</v>
      </c>
      <c r="B346">
        <v>296548</v>
      </c>
      <c r="C346">
        <v>298851</v>
      </c>
      <c r="E346" t="s">
        <v>14</v>
      </c>
      <c r="F346" t="s">
        <v>940</v>
      </c>
      <c r="H346">
        <v>0</v>
      </c>
      <c r="I346" t="s">
        <v>16</v>
      </c>
    </row>
    <row r="347" spans="1:9" x14ac:dyDescent="0.25">
      <c r="A347" t="s">
        <v>13</v>
      </c>
      <c r="B347">
        <v>298848</v>
      </c>
      <c r="C347">
        <v>300938</v>
      </c>
      <c r="E347" t="s">
        <v>28</v>
      </c>
      <c r="F347" t="s">
        <v>943</v>
      </c>
      <c r="H347">
        <v>0</v>
      </c>
      <c r="I347" t="s">
        <v>16</v>
      </c>
    </row>
    <row r="348" spans="1:9" x14ac:dyDescent="0.25">
      <c r="A348" t="s">
        <v>13</v>
      </c>
      <c r="B348">
        <v>301007</v>
      </c>
      <c r="C348">
        <v>302251</v>
      </c>
      <c r="E348" t="s">
        <v>14</v>
      </c>
      <c r="F348" t="s">
        <v>946</v>
      </c>
      <c r="H348">
        <v>0</v>
      </c>
      <c r="I348" t="s">
        <v>16</v>
      </c>
    </row>
    <row r="349" spans="1:9" x14ac:dyDescent="0.25">
      <c r="A349" t="s">
        <v>13</v>
      </c>
      <c r="B349">
        <v>302254</v>
      </c>
      <c r="C349">
        <v>302940</v>
      </c>
      <c r="E349" t="s">
        <v>14</v>
      </c>
      <c r="F349" t="s">
        <v>946</v>
      </c>
      <c r="H349">
        <v>0</v>
      </c>
      <c r="I349" t="s">
        <v>16</v>
      </c>
    </row>
    <row r="350" spans="1:9" x14ac:dyDescent="0.25">
      <c r="A350" t="s">
        <v>13</v>
      </c>
      <c r="B350">
        <v>302958</v>
      </c>
      <c r="C350">
        <v>303632</v>
      </c>
      <c r="E350" t="s">
        <v>14</v>
      </c>
      <c r="F350" t="s">
        <v>951</v>
      </c>
      <c r="H350">
        <v>0</v>
      </c>
      <c r="I350" t="s">
        <v>16</v>
      </c>
    </row>
    <row r="351" spans="1:9" x14ac:dyDescent="0.25">
      <c r="A351" t="s">
        <v>13</v>
      </c>
      <c r="B351">
        <v>303632</v>
      </c>
      <c r="C351">
        <v>304006</v>
      </c>
      <c r="E351" t="s">
        <v>14</v>
      </c>
      <c r="F351" t="s">
        <v>41</v>
      </c>
      <c r="H351">
        <v>0</v>
      </c>
      <c r="I351" t="s">
        <v>16</v>
      </c>
    </row>
    <row r="352" spans="1:9" x14ac:dyDescent="0.25">
      <c r="A352" t="s">
        <v>13</v>
      </c>
      <c r="B352">
        <v>304010</v>
      </c>
      <c r="C352">
        <v>305332</v>
      </c>
      <c r="E352" t="s">
        <v>14</v>
      </c>
      <c r="F352" t="s">
        <v>956</v>
      </c>
      <c r="H352">
        <v>0</v>
      </c>
      <c r="I352" t="s">
        <v>16</v>
      </c>
    </row>
    <row r="353" spans="1:9" x14ac:dyDescent="0.25">
      <c r="A353" t="s">
        <v>13</v>
      </c>
      <c r="B353">
        <v>305329</v>
      </c>
      <c r="C353">
        <v>305910</v>
      </c>
      <c r="E353" t="s">
        <v>14</v>
      </c>
      <c r="F353" t="s">
        <v>959</v>
      </c>
      <c r="H353">
        <v>0</v>
      </c>
      <c r="I353" t="s">
        <v>16</v>
      </c>
    </row>
    <row r="354" spans="1:9" x14ac:dyDescent="0.25">
      <c r="A354" t="s">
        <v>13</v>
      </c>
      <c r="B354">
        <v>305806</v>
      </c>
      <c r="C354">
        <v>306834</v>
      </c>
      <c r="E354" t="s">
        <v>28</v>
      </c>
      <c r="F354" t="s">
        <v>962</v>
      </c>
      <c r="H354">
        <v>0</v>
      </c>
      <c r="I354" t="s">
        <v>16</v>
      </c>
    </row>
    <row r="355" spans="1:9" x14ac:dyDescent="0.25">
      <c r="A355" t="s">
        <v>13</v>
      </c>
      <c r="B355">
        <v>306827</v>
      </c>
      <c r="C355">
        <v>307849</v>
      </c>
      <c r="E355" t="s">
        <v>28</v>
      </c>
      <c r="F355" t="s">
        <v>965</v>
      </c>
      <c r="H355">
        <v>0</v>
      </c>
      <c r="I355" t="s">
        <v>16</v>
      </c>
    </row>
    <row r="356" spans="1:9" x14ac:dyDescent="0.25">
      <c r="A356" t="s">
        <v>13</v>
      </c>
      <c r="B356">
        <v>307851</v>
      </c>
      <c r="C356">
        <v>308441</v>
      </c>
      <c r="E356" t="s">
        <v>28</v>
      </c>
      <c r="F356" t="s">
        <v>41</v>
      </c>
      <c r="H356">
        <v>0</v>
      </c>
      <c r="I356" t="s">
        <v>16</v>
      </c>
    </row>
    <row r="357" spans="1:9" x14ac:dyDescent="0.25">
      <c r="A357" t="s">
        <v>13</v>
      </c>
      <c r="B357">
        <v>308429</v>
      </c>
      <c r="C357">
        <v>308620</v>
      </c>
      <c r="E357" t="s">
        <v>28</v>
      </c>
      <c r="F357" t="s">
        <v>41</v>
      </c>
      <c r="H357">
        <v>0</v>
      </c>
      <c r="I357" t="s">
        <v>16</v>
      </c>
    </row>
    <row r="358" spans="1:9" x14ac:dyDescent="0.25">
      <c r="A358" t="s">
        <v>13</v>
      </c>
      <c r="B358">
        <v>308628</v>
      </c>
      <c r="C358">
        <v>309620</v>
      </c>
      <c r="E358" t="s">
        <v>28</v>
      </c>
      <c r="F358" t="s">
        <v>972</v>
      </c>
      <c r="H358">
        <v>0</v>
      </c>
      <c r="I358" t="s">
        <v>16</v>
      </c>
    </row>
    <row r="359" spans="1:9" x14ac:dyDescent="0.25">
      <c r="A359" t="s">
        <v>13</v>
      </c>
      <c r="B359">
        <v>309638</v>
      </c>
      <c r="C359">
        <v>310468</v>
      </c>
      <c r="E359" t="s">
        <v>14</v>
      </c>
      <c r="F359" t="s">
        <v>975</v>
      </c>
      <c r="H359">
        <v>0</v>
      </c>
      <c r="I359" t="s">
        <v>16</v>
      </c>
    </row>
    <row r="360" spans="1:9" x14ac:dyDescent="0.25">
      <c r="A360" t="s">
        <v>13</v>
      </c>
      <c r="B360">
        <v>310446</v>
      </c>
      <c r="C360">
        <v>311450</v>
      </c>
      <c r="E360" t="s">
        <v>28</v>
      </c>
      <c r="F360" t="s">
        <v>978</v>
      </c>
      <c r="H360">
        <v>0</v>
      </c>
      <c r="I360" t="s">
        <v>16</v>
      </c>
    </row>
    <row r="361" spans="1:9" x14ac:dyDescent="0.25">
      <c r="A361" t="s">
        <v>13</v>
      </c>
      <c r="B361">
        <v>311493</v>
      </c>
      <c r="C361">
        <v>311669</v>
      </c>
      <c r="E361" t="s">
        <v>14</v>
      </c>
      <c r="F361" t="s">
        <v>68</v>
      </c>
      <c r="H361">
        <v>0</v>
      </c>
      <c r="I361" t="s">
        <v>16</v>
      </c>
    </row>
    <row r="362" spans="1:9" x14ac:dyDescent="0.25">
      <c r="A362" t="s">
        <v>13</v>
      </c>
      <c r="B362">
        <v>311809</v>
      </c>
      <c r="C362">
        <v>312783</v>
      </c>
      <c r="E362" t="s">
        <v>14</v>
      </c>
      <c r="F362" t="s">
        <v>68</v>
      </c>
      <c r="H362">
        <v>0</v>
      </c>
      <c r="I362" t="s">
        <v>16</v>
      </c>
    </row>
    <row r="363" spans="1:9" x14ac:dyDescent="0.25">
      <c r="A363" t="s">
        <v>13</v>
      </c>
      <c r="B363">
        <v>312737</v>
      </c>
      <c r="C363">
        <v>313108</v>
      </c>
      <c r="E363" t="s">
        <v>14</v>
      </c>
      <c r="F363" t="s">
        <v>41</v>
      </c>
      <c r="H363">
        <v>0</v>
      </c>
      <c r="I363" t="s">
        <v>16</v>
      </c>
    </row>
    <row r="364" spans="1:9" x14ac:dyDescent="0.25">
      <c r="A364" t="s">
        <v>13</v>
      </c>
      <c r="B364">
        <v>313296</v>
      </c>
      <c r="C364">
        <v>313733</v>
      </c>
      <c r="E364" t="s">
        <v>14</v>
      </c>
      <c r="F364" t="s">
        <v>41</v>
      </c>
      <c r="H364">
        <v>0</v>
      </c>
      <c r="I364" t="s">
        <v>16</v>
      </c>
    </row>
    <row r="365" spans="1:9" x14ac:dyDescent="0.25">
      <c r="A365" t="s">
        <v>13</v>
      </c>
      <c r="B365">
        <v>313749</v>
      </c>
      <c r="C365">
        <v>314864</v>
      </c>
      <c r="E365" t="s">
        <v>14</v>
      </c>
      <c r="F365" t="s">
        <v>989</v>
      </c>
      <c r="H365">
        <v>0</v>
      </c>
      <c r="I365" t="s">
        <v>16</v>
      </c>
    </row>
    <row r="366" spans="1:9" x14ac:dyDescent="0.25">
      <c r="A366" t="s">
        <v>13</v>
      </c>
      <c r="B366">
        <v>314906</v>
      </c>
      <c r="C366">
        <v>314977</v>
      </c>
      <c r="E366" t="s">
        <v>14</v>
      </c>
      <c r="F366" t="s">
        <v>202</v>
      </c>
      <c r="H366">
        <v>0</v>
      </c>
      <c r="I366" t="s">
        <v>133</v>
      </c>
    </row>
    <row r="367" spans="1:9" x14ac:dyDescent="0.25">
      <c r="A367" t="s">
        <v>13</v>
      </c>
      <c r="B367">
        <v>315193</v>
      </c>
      <c r="C367">
        <v>315603</v>
      </c>
      <c r="E367" t="s">
        <v>14</v>
      </c>
      <c r="F367" t="s">
        <v>993</v>
      </c>
      <c r="H367">
        <v>0</v>
      </c>
      <c r="I367" t="s">
        <v>16</v>
      </c>
    </row>
    <row r="368" spans="1:9" x14ac:dyDescent="0.25">
      <c r="A368" t="s">
        <v>13</v>
      </c>
      <c r="B368">
        <v>315611</v>
      </c>
      <c r="C368">
        <v>316078</v>
      </c>
      <c r="E368" t="s">
        <v>14</v>
      </c>
      <c r="F368" t="s">
        <v>996</v>
      </c>
      <c r="H368">
        <v>0</v>
      </c>
      <c r="I368" t="s">
        <v>16</v>
      </c>
    </row>
    <row r="369" spans="1:9" x14ac:dyDescent="0.25">
      <c r="A369" t="s">
        <v>13</v>
      </c>
      <c r="B369">
        <v>316082</v>
      </c>
      <c r="C369">
        <v>318157</v>
      </c>
      <c r="E369" t="s">
        <v>14</v>
      </c>
      <c r="F369" t="s">
        <v>999</v>
      </c>
      <c r="H369">
        <v>0</v>
      </c>
      <c r="I369" t="s">
        <v>16</v>
      </c>
    </row>
    <row r="370" spans="1:9" x14ac:dyDescent="0.25">
      <c r="A370" t="s">
        <v>13</v>
      </c>
      <c r="B370">
        <v>318218</v>
      </c>
      <c r="C370">
        <v>319438</v>
      </c>
      <c r="E370" t="s">
        <v>14</v>
      </c>
      <c r="F370" t="s">
        <v>208</v>
      </c>
      <c r="H370">
        <v>0</v>
      </c>
      <c r="I370" t="s">
        <v>16</v>
      </c>
    </row>
    <row r="371" spans="1:9" x14ac:dyDescent="0.25">
      <c r="A371" t="s">
        <v>13</v>
      </c>
      <c r="B371">
        <v>319447</v>
      </c>
      <c r="C371">
        <v>319764</v>
      </c>
      <c r="E371" t="s">
        <v>14</v>
      </c>
      <c r="F371" t="s">
        <v>1004</v>
      </c>
      <c r="H371">
        <v>0</v>
      </c>
      <c r="I371" t="s">
        <v>16</v>
      </c>
    </row>
    <row r="372" spans="1:9" x14ac:dyDescent="0.25">
      <c r="A372" t="s">
        <v>13</v>
      </c>
      <c r="B372">
        <v>319761</v>
      </c>
      <c r="C372">
        <v>320381</v>
      </c>
      <c r="E372" t="s">
        <v>14</v>
      </c>
      <c r="F372" t="s">
        <v>1007</v>
      </c>
      <c r="H372">
        <v>0</v>
      </c>
      <c r="I372" t="s">
        <v>16</v>
      </c>
    </row>
    <row r="373" spans="1:9" x14ac:dyDescent="0.25">
      <c r="A373" t="s">
        <v>13</v>
      </c>
      <c r="B373">
        <v>320378</v>
      </c>
      <c r="C373">
        <v>321019</v>
      </c>
      <c r="E373" t="s">
        <v>14</v>
      </c>
      <c r="F373" t="s">
        <v>1010</v>
      </c>
      <c r="H373">
        <v>0</v>
      </c>
      <c r="I373" t="s">
        <v>16</v>
      </c>
    </row>
    <row r="374" spans="1:9" x14ac:dyDescent="0.25">
      <c r="A374" t="s">
        <v>13</v>
      </c>
      <c r="B374">
        <v>321016</v>
      </c>
      <c r="C374">
        <v>321306</v>
      </c>
      <c r="E374" t="s">
        <v>14</v>
      </c>
      <c r="F374" t="s">
        <v>1013</v>
      </c>
      <c r="H374">
        <v>0</v>
      </c>
      <c r="I374" t="s">
        <v>16</v>
      </c>
    </row>
    <row r="375" spans="1:9" x14ac:dyDescent="0.25">
      <c r="A375" t="s">
        <v>13</v>
      </c>
      <c r="B375">
        <v>321354</v>
      </c>
      <c r="C375">
        <v>322184</v>
      </c>
      <c r="E375" t="s">
        <v>14</v>
      </c>
      <c r="F375" t="s">
        <v>1016</v>
      </c>
      <c r="H375">
        <v>0</v>
      </c>
      <c r="I375" t="s">
        <v>16</v>
      </c>
    </row>
    <row r="376" spans="1:9" x14ac:dyDescent="0.25">
      <c r="A376" t="s">
        <v>13</v>
      </c>
      <c r="B376">
        <v>322193</v>
      </c>
      <c r="C376">
        <v>322474</v>
      </c>
      <c r="E376" t="s">
        <v>14</v>
      </c>
      <c r="F376" t="s">
        <v>1019</v>
      </c>
      <c r="H376">
        <v>0</v>
      </c>
      <c r="I376" t="s">
        <v>16</v>
      </c>
    </row>
    <row r="377" spans="1:9" x14ac:dyDescent="0.25">
      <c r="A377" t="s">
        <v>13</v>
      </c>
      <c r="B377">
        <v>322477</v>
      </c>
      <c r="C377">
        <v>322818</v>
      </c>
      <c r="E377" t="s">
        <v>14</v>
      </c>
      <c r="F377" t="s">
        <v>1022</v>
      </c>
      <c r="H377">
        <v>0</v>
      </c>
      <c r="I377" t="s">
        <v>16</v>
      </c>
    </row>
    <row r="378" spans="1:9" x14ac:dyDescent="0.25">
      <c r="A378" t="s">
        <v>13</v>
      </c>
      <c r="B378">
        <v>322808</v>
      </c>
      <c r="C378">
        <v>323527</v>
      </c>
      <c r="E378" t="s">
        <v>14</v>
      </c>
      <c r="F378" t="s">
        <v>1025</v>
      </c>
      <c r="H378">
        <v>0</v>
      </c>
      <c r="I378" t="s">
        <v>16</v>
      </c>
    </row>
    <row r="379" spans="1:9" x14ac:dyDescent="0.25">
      <c r="A379" t="s">
        <v>13</v>
      </c>
      <c r="B379">
        <v>323531</v>
      </c>
      <c r="C379">
        <v>323956</v>
      </c>
      <c r="E379" t="s">
        <v>14</v>
      </c>
      <c r="F379" t="s">
        <v>1028</v>
      </c>
      <c r="H379">
        <v>0</v>
      </c>
      <c r="I379" t="s">
        <v>16</v>
      </c>
    </row>
    <row r="380" spans="1:9" x14ac:dyDescent="0.25">
      <c r="A380" t="s">
        <v>13</v>
      </c>
      <c r="B380">
        <v>323943</v>
      </c>
      <c r="C380">
        <v>324161</v>
      </c>
      <c r="E380" t="s">
        <v>14</v>
      </c>
      <c r="F380" t="s">
        <v>1031</v>
      </c>
      <c r="H380">
        <v>0</v>
      </c>
      <c r="I380" t="s">
        <v>16</v>
      </c>
    </row>
    <row r="381" spans="1:9" x14ac:dyDescent="0.25">
      <c r="A381" t="s">
        <v>13</v>
      </c>
      <c r="B381">
        <v>324154</v>
      </c>
      <c r="C381">
        <v>324471</v>
      </c>
      <c r="E381" t="s">
        <v>14</v>
      </c>
      <c r="F381" t="s">
        <v>1034</v>
      </c>
      <c r="H381">
        <v>0</v>
      </c>
      <c r="I381" t="s">
        <v>16</v>
      </c>
    </row>
    <row r="382" spans="1:9" x14ac:dyDescent="0.25">
      <c r="A382" t="s">
        <v>13</v>
      </c>
      <c r="B382">
        <v>324468</v>
      </c>
      <c r="C382">
        <v>324836</v>
      </c>
      <c r="E382" t="s">
        <v>14</v>
      </c>
      <c r="F382" t="s">
        <v>1037</v>
      </c>
      <c r="H382">
        <v>0</v>
      </c>
      <c r="I382" t="s">
        <v>16</v>
      </c>
    </row>
    <row r="383" spans="1:9" x14ac:dyDescent="0.25">
      <c r="A383" t="s">
        <v>13</v>
      </c>
      <c r="B383">
        <v>324836</v>
      </c>
      <c r="C383">
        <v>325168</v>
      </c>
      <c r="E383" t="s">
        <v>14</v>
      </c>
      <c r="F383" t="s">
        <v>1040</v>
      </c>
      <c r="H383">
        <v>0</v>
      </c>
      <c r="I383" t="s">
        <v>16</v>
      </c>
    </row>
    <row r="384" spans="1:9" x14ac:dyDescent="0.25">
      <c r="A384" t="s">
        <v>13</v>
      </c>
      <c r="B384">
        <v>325170</v>
      </c>
      <c r="C384">
        <v>325718</v>
      </c>
      <c r="E384" t="s">
        <v>14</v>
      </c>
      <c r="F384" t="s">
        <v>1043</v>
      </c>
      <c r="H384">
        <v>0</v>
      </c>
      <c r="I384" t="s">
        <v>16</v>
      </c>
    </row>
    <row r="385" spans="1:9" x14ac:dyDescent="0.25">
      <c r="A385" t="s">
        <v>13</v>
      </c>
      <c r="B385">
        <v>325726</v>
      </c>
      <c r="C385">
        <v>325911</v>
      </c>
      <c r="E385" t="s">
        <v>14</v>
      </c>
      <c r="F385" t="s">
        <v>1046</v>
      </c>
      <c r="H385">
        <v>0</v>
      </c>
      <c r="I385" t="s">
        <v>16</v>
      </c>
    </row>
    <row r="386" spans="1:9" x14ac:dyDescent="0.25">
      <c r="A386" t="s">
        <v>13</v>
      </c>
      <c r="B386">
        <v>325979</v>
      </c>
      <c r="C386">
        <v>326395</v>
      </c>
      <c r="E386" t="s">
        <v>14</v>
      </c>
      <c r="F386" t="s">
        <v>1049</v>
      </c>
      <c r="H386">
        <v>0</v>
      </c>
      <c r="I386" t="s">
        <v>16</v>
      </c>
    </row>
    <row r="387" spans="1:9" x14ac:dyDescent="0.25">
      <c r="A387" t="s">
        <v>13</v>
      </c>
      <c r="B387">
        <v>326395</v>
      </c>
      <c r="C387">
        <v>326937</v>
      </c>
      <c r="E387" t="s">
        <v>14</v>
      </c>
      <c r="F387" t="s">
        <v>1052</v>
      </c>
      <c r="H387">
        <v>0</v>
      </c>
      <c r="I387" t="s">
        <v>16</v>
      </c>
    </row>
    <row r="388" spans="1:9" x14ac:dyDescent="0.25">
      <c r="A388" t="s">
        <v>13</v>
      </c>
      <c r="B388">
        <v>326946</v>
      </c>
      <c r="C388">
        <v>327284</v>
      </c>
      <c r="E388" t="s">
        <v>14</v>
      </c>
      <c r="F388" t="s">
        <v>1055</v>
      </c>
      <c r="H388">
        <v>0</v>
      </c>
      <c r="I388" t="s">
        <v>16</v>
      </c>
    </row>
    <row r="389" spans="1:9" x14ac:dyDescent="0.25">
      <c r="A389" t="s">
        <v>13</v>
      </c>
      <c r="B389">
        <v>327294</v>
      </c>
      <c r="C389">
        <v>327767</v>
      </c>
      <c r="E389" t="s">
        <v>14</v>
      </c>
      <c r="F389" t="s">
        <v>1058</v>
      </c>
      <c r="H389">
        <v>0</v>
      </c>
      <c r="I389" t="s">
        <v>16</v>
      </c>
    </row>
    <row r="390" spans="1:9" x14ac:dyDescent="0.25">
      <c r="A390" t="s">
        <v>13</v>
      </c>
      <c r="B390">
        <v>327767</v>
      </c>
      <c r="C390">
        <v>327949</v>
      </c>
      <c r="E390" t="s">
        <v>14</v>
      </c>
      <c r="F390" t="s">
        <v>1061</v>
      </c>
      <c r="H390">
        <v>0</v>
      </c>
      <c r="I390" t="s">
        <v>16</v>
      </c>
    </row>
    <row r="391" spans="1:9" x14ac:dyDescent="0.25">
      <c r="A391" t="s">
        <v>13</v>
      </c>
      <c r="B391">
        <v>327946</v>
      </c>
      <c r="C391">
        <v>328398</v>
      </c>
      <c r="E391" t="s">
        <v>14</v>
      </c>
      <c r="F391" t="s">
        <v>1064</v>
      </c>
      <c r="H391">
        <v>0</v>
      </c>
      <c r="I391" t="s">
        <v>16</v>
      </c>
    </row>
    <row r="392" spans="1:9" x14ac:dyDescent="0.25">
      <c r="A392" t="s">
        <v>13</v>
      </c>
      <c r="B392">
        <v>328400</v>
      </c>
      <c r="C392">
        <v>329716</v>
      </c>
      <c r="E392" t="s">
        <v>14</v>
      </c>
      <c r="F392" t="s">
        <v>1067</v>
      </c>
      <c r="H392">
        <v>0</v>
      </c>
      <c r="I392" t="s">
        <v>16</v>
      </c>
    </row>
    <row r="393" spans="1:9" x14ac:dyDescent="0.25">
      <c r="A393" t="s">
        <v>13</v>
      </c>
      <c r="B393">
        <v>329725</v>
      </c>
      <c r="C393">
        <v>330279</v>
      </c>
      <c r="E393" t="s">
        <v>14</v>
      </c>
      <c r="F393" t="s">
        <v>1070</v>
      </c>
      <c r="H393">
        <v>0</v>
      </c>
      <c r="I393" t="s">
        <v>16</v>
      </c>
    </row>
    <row r="394" spans="1:9" x14ac:dyDescent="0.25">
      <c r="A394" t="s">
        <v>13</v>
      </c>
      <c r="B394">
        <v>330279</v>
      </c>
      <c r="C394">
        <v>331046</v>
      </c>
      <c r="E394" t="s">
        <v>14</v>
      </c>
      <c r="F394" t="s">
        <v>1073</v>
      </c>
      <c r="H394">
        <v>0</v>
      </c>
      <c r="I394" t="s">
        <v>16</v>
      </c>
    </row>
    <row r="395" spans="1:9" x14ac:dyDescent="0.25">
      <c r="A395" t="s">
        <v>13</v>
      </c>
      <c r="B395">
        <v>331054</v>
      </c>
      <c r="C395">
        <v>331272</v>
      </c>
      <c r="E395" t="s">
        <v>14</v>
      </c>
      <c r="F395" t="s">
        <v>1076</v>
      </c>
      <c r="H395">
        <v>0</v>
      </c>
      <c r="I395" t="s">
        <v>16</v>
      </c>
    </row>
    <row r="396" spans="1:9" x14ac:dyDescent="0.25">
      <c r="A396" t="s">
        <v>13</v>
      </c>
      <c r="B396">
        <v>331281</v>
      </c>
      <c r="C396">
        <v>331394</v>
      </c>
      <c r="E396" t="s">
        <v>14</v>
      </c>
      <c r="F396" t="s">
        <v>1079</v>
      </c>
      <c r="H396">
        <v>0</v>
      </c>
      <c r="I396" t="s">
        <v>16</v>
      </c>
    </row>
    <row r="397" spans="1:9" x14ac:dyDescent="0.25">
      <c r="A397" t="s">
        <v>13</v>
      </c>
      <c r="B397">
        <v>331404</v>
      </c>
      <c r="C397">
        <v>331784</v>
      </c>
      <c r="E397" t="s">
        <v>14</v>
      </c>
      <c r="F397" t="s">
        <v>1082</v>
      </c>
      <c r="H397">
        <v>0</v>
      </c>
      <c r="I397" t="s">
        <v>16</v>
      </c>
    </row>
    <row r="398" spans="1:9" x14ac:dyDescent="0.25">
      <c r="A398" t="s">
        <v>13</v>
      </c>
      <c r="B398">
        <v>331870</v>
      </c>
      <c r="C398">
        <v>332220</v>
      </c>
      <c r="E398" t="s">
        <v>14</v>
      </c>
      <c r="F398" t="s">
        <v>1085</v>
      </c>
      <c r="H398">
        <v>0</v>
      </c>
      <c r="I398" t="s">
        <v>16</v>
      </c>
    </row>
    <row r="399" spans="1:9" x14ac:dyDescent="0.25">
      <c r="A399" t="s">
        <v>13</v>
      </c>
      <c r="B399">
        <v>332279</v>
      </c>
      <c r="C399">
        <v>332860</v>
      </c>
      <c r="E399" t="s">
        <v>14</v>
      </c>
      <c r="F399" t="s">
        <v>1088</v>
      </c>
      <c r="H399">
        <v>0</v>
      </c>
      <c r="I399" t="s">
        <v>16</v>
      </c>
    </row>
    <row r="400" spans="1:9" x14ac:dyDescent="0.25">
      <c r="A400" t="s">
        <v>13</v>
      </c>
      <c r="B400">
        <v>332893</v>
      </c>
      <c r="C400">
        <v>333837</v>
      </c>
      <c r="E400" t="s">
        <v>14</v>
      </c>
      <c r="F400" t="s">
        <v>1091</v>
      </c>
      <c r="H400">
        <v>0</v>
      </c>
      <c r="I400" t="s">
        <v>16</v>
      </c>
    </row>
    <row r="401" spans="1:9" x14ac:dyDescent="0.25">
      <c r="A401" t="s">
        <v>13</v>
      </c>
      <c r="B401">
        <v>333842</v>
      </c>
      <c r="C401">
        <v>334198</v>
      </c>
      <c r="E401" t="s">
        <v>14</v>
      </c>
      <c r="F401" t="s">
        <v>1094</v>
      </c>
      <c r="H401">
        <v>0</v>
      </c>
      <c r="I401" t="s">
        <v>16</v>
      </c>
    </row>
    <row r="402" spans="1:9" x14ac:dyDescent="0.25">
      <c r="A402" t="s">
        <v>13</v>
      </c>
      <c r="B402">
        <v>334268</v>
      </c>
      <c r="C402">
        <v>334747</v>
      </c>
      <c r="E402" t="s">
        <v>28</v>
      </c>
      <c r="F402" t="s">
        <v>41</v>
      </c>
      <c r="H402">
        <v>0</v>
      </c>
      <c r="I402" t="s">
        <v>16</v>
      </c>
    </row>
    <row r="403" spans="1:9" x14ac:dyDescent="0.25">
      <c r="A403" t="s">
        <v>13</v>
      </c>
      <c r="B403">
        <v>334794</v>
      </c>
      <c r="C403">
        <v>335627</v>
      </c>
      <c r="E403" t="s">
        <v>14</v>
      </c>
      <c r="F403" t="s">
        <v>828</v>
      </c>
      <c r="H403">
        <v>0</v>
      </c>
      <c r="I403" t="s">
        <v>16</v>
      </c>
    </row>
    <row r="404" spans="1:9" x14ac:dyDescent="0.25">
      <c r="A404" t="s">
        <v>13</v>
      </c>
      <c r="B404">
        <v>335637</v>
      </c>
      <c r="C404">
        <v>336314</v>
      </c>
      <c r="E404" t="s">
        <v>14</v>
      </c>
      <c r="F404" t="s">
        <v>1101</v>
      </c>
      <c r="H404">
        <v>0</v>
      </c>
      <c r="I404" t="s">
        <v>16</v>
      </c>
    </row>
    <row r="405" spans="1:9" x14ac:dyDescent="0.25">
      <c r="A405" t="s">
        <v>13</v>
      </c>
      <c r="B405">
        <v>336290</v>
      </c>
      <c r="C405">
        <v>336826</v>
      </c>
      <c r="E405" t="s">
        <v>28</v>
      </c>
      <c r="F405" t="s">
        <v>1104</v>
      </c>
      <c r="H405">
        <v>0</v>
      </c>
      <c r="I405" t="s">
        <v>16</v>
      </c>
    </row>
    <row r="406" spans="1:9" x14ac:dyDescent="0.25">
      <c r="A406" t="s">
        <v>13</v>
      </c>
      <c r="B406">
        <v>336899</v>
      </c>
      <c r="C406">
        <v>338242</v>
      </c>
      <c r="E406" t="s">
        <v>14</v>
      </c>
      <c r="F406" t="s">
        <v>1107</v>
      </c>
      <c r="H406">
        <v>0</v>
      </c>
      <c r="I406" t="s">
        <v>16</v>
      </c>
    </row>
    <row r="407" spans="1:9" x14ac:dyDescent="0.25">
      <c r="A407" t="s">
        <v>13</v>
      </c>
      <c r="B407">
        <v>338244</v>
      </c>
      <c r="C407">
        <v>339035</v>
      </c>
      <c r="E407" t="s">
        <v>14</v>
      </c>
      <c r="F407" t="s">
        <v>41</v>
      </c>
      <c r="H407">
        <v>0</v>
      </c>
      <c r="I407" t="s">
        <v>16</v>
      </c>
    </row>
    <row r="408" spans="1:9" x14ac:dyDescent="0.25">
      <c r="A408" t="s">
        <v>13</v>
      </c>
      <c r="B408">
        <v>339032</v>
      </c>
      <c r="C408">
        <v>339667</v>
      </c>
      <c r="E408" t="s">
        <v>14</v>
      </c>
      <c r="F408" t="s">
        <v>1112</v>
      </c>
      <c r="H408">
        <v>0</v>
      </c>
      <c r="I408" t="s">
        <v>16</v>
      </c>
    </row>
    <row r="409" spans="1:9" x14ac:dyDescent="0.25">
      <c r="A409" t="s">
        <v>13</v>
      </c>
      <c r="B409">
        <v>339664</v>
      </c>
      <c r="C409">
        <v>340173</v>
      </c>
      <c r="E409" t="s">
        <v>14</v>
      </c>
      <c r="F409" t="s">
        <v>41</v>
      </c>
      <c r="H409">
        <v>0</v>
      </c>
      <c r="I409" t="s">
        <v>16</v>
      </c>
    </row>
    <row r="410" spans="1:9" x14ac:dyDescent="0.25">
      <c r="A410" t="s">
        <v>13</v>
      </c>
      <c r="B410">
        <v>340177</v>
      </c>
      <c r="C410">
        <v>342636</v>
      </c>
      <c r="E410" t="s">
        <v>14</v>
      </c>
      <c r="F410" t="s">
        <v>1117</v>
      </c>
      <c r="H410">
        <v>0</v>
      </c>
      <c r="I410" t="s">
        <v>16</v>
      </c>
    </row>
    <row r="411" spans="1:9" x14ac:dyDescent="0.25">
      <c r="A411" t="s">
        <v>13</v>
      </c>
      <c r="B411">
        <v>342695</v>
      </c>
      <c r="C411">
        <v>343642</v>
      </c>
      <c r="E411" t="s">
        <v>14</v>
      </c>
      <c r="F411" t="s">
        <v>972</v>
      </c>
      <c r="H411">
        <v>0</v>
      </c>
      <c r="I411" t="s">
        <v>16</v>
      </c>
    </row>
    <row r="412" spans="1:9" x14ac:dyDescent="0.25">
      <c r="A412" t="s">
        <v>13</v>
      </c>
      <c r="B412">
        <v>343667</v>
      </c>
      <c r="C412">
        <v>344926</v>
      </c>
      <c r="E412" t="s">
        <v>14</v>
      </c>
      <c r="F412" t="s">
        <v>1122</v>
      </c>
      <c r="H412">
        <v>0</v>
      </c>
      <c r="I412" t="s">
        <v>16</v>
      </c>
    </row>
    <row r="413" spans="1:9" x14ac:dyDescent="0.25">
      <c r="A413" t="s">
        <v>13</v>
      </c>
      <c r="B413">
        <v>344936</v>
      </c>
      <c r="C413">
        <v>346210</v>
      </c>
      <c r="E413" t="s">
        <v>14</v>
      </c>
      <c r="F413" t="s">
        <v>1125</v>
      </c>
      <c r="H413">
        <v>0</v>
      </c>
      <c r="I413" t="s">
        <v>16</v>
      </c>
    </row>
    <row r="414" spans="1:9" x14ac:dyDescent="0.25">
      <c r="A414" t="s">
        <v>13</v>
      </c>
      <c r="B414">
        <v>346214</v>
      </c>
      <c r="C414">
        <v>346744</v>
      </c>
      <c r="E414" t="s">
        <v>14</v>
      </c>
      <c r="F414" t="s">
        <v>41</v>
      </c>
      <c r="H414">
        <v>0</v>
      </c>
      <c r="I414" t="s">
        <v>16</v>
      </c>
    </row>
    <row r="415" spans="1:9" x14ac:dyDescent="0.25">
      <c r="A415" t="s">
        <v>13</v>
      </c>
      <c r="B415">
        <v>346719</v>
      </c>
      <c r="C415">
        <v>347609</v>
      </c>
      <c r="E415" t="s">
        <v>14</v>
      </c>
      <c r="F415" t="s">
        <v>1130</v>
      </c>
      <c r="H415">
        <v>0</v>
      </c>
      <c r="I415" t="s">
        <v>16</v>
      </c>
    </row>
    <row r="416" spans="1:9" x14ac:dyDescent="0.25">
      <c r="A416" t="s">
        <v>13</v>
      </c>
      <c r="B416">
        <v>347609</v>
      </c>
      <c r="C416">
        <v>347830</v>
      </c>
      <c r="E416" t="s">
        <v>14</v>
      </c>
      <c r="F416" t="s">
        <v>41</v>
      </c>
      <c r="H416">
        <v>0</v>
      </c>
      <c r="I416" t="s">
        <v>16</v>
      </c>
    </row>
    <row r="417" spans="1:9" x14ac:dyDescent="0.25">
      <c r="A417" t="s">
        <v>13</v>
      </c>
      <c r="B417">
        <v>347891</v>
      </c>
      <c r="C417">
        <v>348913</v>
      </c>
      <c r="E417" t="s">
        <v>14</v>
      </c>
      <c r="F417" t="s">
        <v>1135</v>
      </c>
      <c r="H417">
        <v>0</v>
      </c>
      <c r="I417" t="s">
        <v>16</v>
      </c>
    </row>
    <row r="418" spans="1:9" x14ac:dyDescent="0.25">
      <c r="A418" t="s">
        <v>13</v>
      </c>
      <c r="B418">
        <v>348987</v>
      </c>
      <c r="C418">
        <v>351824</v>
      </c>
      <c r="E418" t="s">
        <v>14</v>
      </c>
      <c r="F418" t="s">
        <v>41</v>
      </c>
      <c r="H418">
        <v>0</v>
      </c>
      <c r="I418" t="s">
        <v>16</v>
      </c>
    </row>
    <row r="419" spans="1:9" x14ac:dyDescent="0.25">
      <c r="A419" t="s">
        <v>13</v>
      </c>
      <c r="B419">
        <v>351830</v>
      </c>
      <c r="C419">
        <v>352648</v>
      </c>
      <c r="E419" t="s">
        <v>14</v>
      </c>
      <c r="F419" t="s">
        <v>1140</v>
      </c>
      <c r="H419">
        <v>0</v>
      </c>
      <c r="I419" t="s">
        <v>16</v>
      </c>
    </row>
    <row r="420" spans="1:9" x14ac:dyDescent="0.25">
      <c r="A420" t="s">
        <v>13</v>
      </c>
      <c r="B420">
        <v>352658</v>
      </c>
      <c r="C420">
        <v>353272</v>
      </c>
      <c r="E420" t="s">
        <v>14</v>
      </c>
      <c r="F420" t="s">
        <v>1143</v>
      </c>
      <c r="H420">
        <v>0</v>
      </c>
      <c r="I420" t="s">
        <v>16</v>
      </c>
    </row>
    <row r="421" spans="1:9" x14ac:dyDescent="0.25">
      <c r="A421" t="s">
        <v>13</v>
      </c>
      <c r="B421">
        <v>353283</v>
      </c>
      <c r="C421">
        <v>354734</v>
      </c>
      <c r="E421" t="s">
        <v>14</v>
      </c>
      <c r="F421" t="s">
        <v>41</v>
      </c>
      <c r="H421">
        <v>0</v>
      </c>
      <c r="I421" t="s">
        <v>16</v>
      </c>
    </row>
    <row r="422" spans="1:9" x14ac:dyDescent="0.25">
      <c r="A422" t="s">
        <v>13</v>
      </c>
      <c r="B422">
        <v>354865</v>
      </c>
      <c r="C422">
        <v>355932</v>
      </c>
      <c r="E422" t="s">
        <v>14</v>
      </c>
      <c r="F422" t="s">
        <v>1148</v>
      </c>
      <c r="H422">
        <v>0</v>
      </c>
      <c r="I422" t="s">
        <v>16</v>
      </c>
    </row>
    <row r="423" spans="1:9" x14ac:dyDescent="0.25">
      <c r="A423" t="s">
        <v>13</v>
      </c>
      <c r="B423">
        <v>355955</v>
      </c>
      <c r="C423">
        <v>356398</v>
      </c>
      <c r="E423" t="s">
        <v>14</v>
      </c>
      <c r="F423" t="s">
        <v>1151</v>
      </c>
      <c r="H423">
        <v>0</v>
      </c>
      <c r="I423" t="s">
        <v>16</v>
      </c>
    </row>
    <row r="424" spans="1:9" x14ac:dyDescent="0.25">
      <c r="A424" t="s">
        <v>13</v>
      </c>
      <c r="B424">
        <v>356395</v>
      </c>
      <c r="C424">
        <v>357879</v>
      </c>
      <c r="E424" t="s">
        <v>28</v>
      </c>
      <c r="F424" t="s">
        <v>1154</v>
      </c>
      <c r="H424">
        <v>0</v>
      </c>
      <c r="I424" t="s">
        <v>16</v>
      </c>
    </row>
    <row r="425" spans="1:9" x14ac:dyDescent="0.25">
      <c r="A425" t="s">
        <v>13</v>
      </c>
      <c r="B425">
        <v>357831</v>
      </c>
      <c r="C425">
        <v>358577</v>
      </c>
      <c r="E425" t="s">
        <v>14</v>
      </c>
      <c r="F425" t="s">
        <v>1157</v>
      </c>
      <c r="H425">
        <v>0</v>
      </c>
      <c r="I425" t="s">
        <v>16</v>
      </c>
    </row>
    <row r="426" spans="1:9" x14ac:dyDescent="0.25">
      <c r="A426" t="s">
        <v>13</v>
      </c>
      <c r="B426">
        <v>358558</v>
      </c>
      <c r="C426">
        <v>358857</v>
      </c>
      <c r="E426" t="s">
        <v>14</v>
      </c>
      <c r="F426" t="s">
        <v>1160</v>
      </c>
      <c r="H426">
        <v>0</v>
      </c>
      <c r="I426" t="s">
        <v>16</v>
      </c>
    </row>
    <row r="427" spans="1:9" x14ac:dyDescent="0.25">
      <c r="A427" t="s">
        <v>13</v>
      </c>
      <c r="B427">
        <v>358858</v>
      </c>
      <c r="C427">
        <v>360048</v>
      </c>
      <c r="E427" t="s">
        <v>14</v>
      </c>
      <c r="F427" t="s">
        <v>1163</v>
      </c>
      <c r="H427">
        <v>0</v>
      </c>
      <c r="I427" t="s">
        <v>16</v>
      </c>
    </row>
    <row r="428" spans="1:9" x14ac:dyDescent="0.25">
      <c r="A428" t="s">
        <v>13</v>
      </c>
      <c r="B428">
        <v>360056</v>
      </c>
      <c r="C428">
        <v>360532</v>
      </c>
      <c r="E428" t="s">
        <v>14</v>
      </c>
      <c r="F428" t="s">
        <v>1166</v>
      </c>
      <c r="H428">
        <v>0</v>
      </c>
      <c r="I428" t="s">
        <v>16</v>
      </c>
    </row>
    <row r="429" spans="1:9" x14ac:dyDescent="0.25">
      <c r="A429" t="s">
        <v>13</v>
      </c>
      <c r="B429">
        <v>360534</v>
      </c>
      <c r="C429">
        <v>361142</v>
      </c>
      <c r="E429" t="s">
        <v>14</v>
      </c>
      <c r="F429" t="s">
        <v>1169</v>
      </c>
      <c r="H429">
        <v>0</v>
      </c>
      <c r="I429" t="s">
        <v>16</v>
      </c>
    </row>
    <row r="430" spans="1:9" x14ac:dyDescent="0.25">
      <c r="A430" t="s">
        <v>13</v>
      </c>
      <c r="B430">
        <v>361126</v>
      </c>
      <c r="C430">
        <v>361308</v>
      </c>
      <c r="E430" t="s">
        <v>28</v>
      </c>
      <c r="F430" t="s">
        <v>41</v>
      </c>
      <c r="H430">
        <v>0</v>
      </c>
      <c r="I430" t="s">
        <v>16</v>
      </c>
    </row>
    <row r="431" spans="1:9" x14ac:dyDescent="0.25">
      <c r="A431" t="s">
        <v>13</v>
      </c>
      <c r="B431">
        <v>361351</v>
      </c>
      <c r="C431">
        <v>362913</v>
      </c>
      <c r="E431" t="s">
        <v>28</v>
      </c>
      <c r="F431" t="s">
        <v>1174</v>
      </c>
      <c r="H431">
        <v>0</v>
      </c>
      <c r="I431" t="s">
        <v>16</v>
      </c>
    </row>
    <row r="432" spans="1:9" x14ac:dyDescent="0.25">
      <c r="A432" t="s">
        <v>13</v>
      </c>
      <c r="B432">
        <v>362978</v>
      </c>
      <c r="C432">
        <v>363226</v>
      </c>
      <c r="E432" t="s">
        <v>14</v>
      </c>
      <c r="F432" t="s">
        <v>41</v>
      </c>
      <c r="H432">
        <v>0</v>
      </c>
      <c r="I432" t="s">
        <v>16</v>
      </c>
    </row>
    <row r="433" spans="1:9" x14ac:dyDescent="0.25">
      <c r="A433" t="s">
        <v>13</v>
      </c>
      <c r="B433">
        <v>363223</v>
      </c>
      <c r="C433">
        <v>363627</v>
      </c>
      <c r="E433" t="s">
        <v>14</v>
      </c>
      <c r="F433" t="s">
        <v>41</v>
      </c>
      <c r="H433">
        <v>0</v>
      </c>
      <c r="I433" t="s">
        <v>16</v>
      </c>
    </row>
    <row r="434" spans="1:9" x14ac:dyDescent="0.25">
      <c r="A434" t="s">
        <v>13</v>
      </c>
      <c r="B434">
        <v>363624</v>
      </c>
      <c r="C434">
        <v>364847</v>
      </c>
      <c r="E434" t="s">
        <v>28</v>
      </c>
      <c r="F434" t="s">
        <v>1181</v>
      </c>
      <c r="H434">
        <v>0</v>
      </c>
      <c r="I434" t="s">
        <v>16</v>
      </c>
    </row>
    <row r="435" spans="1:9" x14ac:dyDescent="0.25">
      <c r="A435" t="s">
        <v>13</v>
      </c>
      <c r="B435">
        <v>364943</v>
      </c>
      <c r="C435">
        <v>365158</v>
      </c>
      <c r="E435" t="s">
        <v>14</v>
      </c>
      <c r="F435" t="s">
        <v>41</v>
      </c>
      <c r="H435">
        <v>0</v>
      </c>
      <c r="I435" t="s">
        <v>16</v>
      </c>
    </row>
    <row r="436" spans="1:9" x14ac:dyDescent="0.25">
      <c r="A436" t="s">
        <v>13</v>
      </c>
      <c r="B436">
        <v>365179</v>
      </c>
      <c r="C436">
        <v>366570</v>
      </c>
      <c r="E436" t="s">
        <v>28</v>
      </c>
      <c r="F436" t="s">
        <v>1186</v>
      </c>
      <c r="H436">
        <v>0</v>
      </c>
      <c r="I436" t="s">
        <v>16</v>
      </c>
    </row>
    <row r="437" spans="1:9" x14ac:dyDescent="0.25">
      <c r="A437" t="s">
        <v>13</v>
      </c>
      <c r="B437">
        <v>366563</v>
      </c>
      <c r="C437">
        <v>368740</v>
      </c>
      <c r="E437" t="s">
        <v>28</v>
      </c>
      <c r="F437" t="s">
        <v>1189</v>
      </c>
      <c r="H437">
        <v>0</v>
      </c>
      <c r="I437" t="s">
        <v>16</v>
      </c>
    </row>
    <row r="438" spans="1:9" x14ac:dyDescent="0.25">
      <c r="A438" t="s">
        <v>13</v>
      </c>
      <c r="B438">
        <v>368740</v>
      </c>
      <c r="C438">
        <v>369453</v>
      </c>
      <c r="E438" t="s">
        <v>28</v>
      </c>
      <c r="F438" t="s">
        <v>1192</v>
      </c>
      <c r="H438">
        <v>0</v>
      </c>
      <c r="I438" t="s">
        <v>16</v>
      </c>
    </row>
    <row r="439" spans="1:9" x14ac:dyDescent="0.25">
      <c r="A439" t="s">
        <v>13</v>
      </c>
      <c r="B439">
        <v>369450</v>
      </c>
      <c r="C439">
        <v>370133</v>
      </c>
      <c r="E439" t="s">
        <v>28</v>
      </c>
      <c r="F439" t="s">
        <v>1195</v>
      </c>
      <c r="H439">
        <v>0</v>
      </c>
      <c r="I439" t="s">
        <v>16</v>
      </c>
    </row>
    <row r="440" spans="1:9" x14ac:dyDescent="0.25">
      <c r="A440" t="s">
        <v>13</v>
      </c>
      <c r="B440">
        <v>370130</v>
      </c>
      <c r="C440">
        <v>370384</v>
      </c>
      <c r="E440" t="s">
        <v>28</v>
      </c>
      <c r="F440" t="s">
        <v>1198</v>
      </c>
      <c r="H440">
        <v>0</v>
      </c>
      <c r="I440" t="s">
        <v>16</v>
      </c>
    </row>
    <row r="441" spans="1:9" x14ac:dyDescent="0.25">
      <c r="A441" t="s">
        <v>13</v>
      </c>
      <c r="B441">
        <v>370387</v>
      </c>
      <c r="C441">
        <v>371073</v>
      </c>
      <c r="E441" t="s">
        <v>28</v>
      </c>
      <c r="F441" t="s">
        <v>1201</v>
      </c>
      <c r="H441">
        <v>0</v>
      </c>
      <c r="I441" t="s">
        <v>16</v>
      </c>
    </row>
    <row r="442" spans="1:9" x14ac:dyDescent="0.25">
      <c r="A442" t="s">
        <v>13</v>
      </c>
      <c r="B442">
        <v>371107</v>
      </c>
      <c r="C442">
        <v>371472</v>
      </c>
      <c r="E442" t="s">
        <v>28</v>
      </c>
      <c r="F442" t="s">
        <v>41</v>
      </c>
      <c r="H442">
        <v>0</v>
      </c>
      <c r="I442" t="s">
        <v>16</v>
      </c>
    </row>
    <row r="443" spans="1:9" x14ac:dyDescent="0.25">
      <c r="A443" t="s">
        <v>13</v>
      </c>
      <c r="B443">
        <v>371469</v>
      </c>
      <c r="C443">
        <v>371696</v>
      </c>
      <c r="E443" t="s">
        <v>28</v>
      </c>
      <c r="F443" t="s">
        <v>1206</v>
      </c>
      <c r="H443">
        <v>0</v>
      </c>
      <c r="I443" t="s">
        <v>16</v>
      </c>
    </row>
    <row r="444" spans="1:9" x14ac:dyDescent="0.25">
      <c r="A444" t="s">
        <v>13</v>
      </c>
      <c r="B444">
        <v>371706</v>
      </c>
      <c r="C444">
        <v>373055</v>
      </c>
      <c r="E444" t="s">
        <v>28</v>
      </c>
      <c r="F444" t="s">
        <v>1209</v>
      </c>
      <c r="H444">
        <v>0</v>
      </c>
      <c r="I444" t="s">
        <v>16</v>
      </c>
    </row>
    <row r="445" spans="1:9" x14ac:dyDescent="0.25">
      <c r="A445" t="s">
        <v>13</v>
      </c>
      <c r="B445">
        <v>373131</v>
      </c>
      <c r="C445">
        <v>373427</v>
      </c>
      <c r="E445" t="s">
        <v>14</v>
      </c>
      <c r="F445" t="s">
        <v>1212</v>
      </c>
      <c r="H445">
        <v>0</v>
      </c>
      <c r="I445" t="s">
        <v>16</v>
      </c>
    </row>
    <row r="446" spans="1:9" x14ac:dyDescent="0.25">
      <c r="A446" t="s">
        <v>13</v>
      </c>
      <c r="B446">
        <v>373456</v>
      </c>
      <c r="C446">
        <v>373770</v>
      </c>
      <c r="E446" t="s">
        <v>14</v>
      </c>
      <c r="F446" t="s">
        <v>1215</v>
      </c>
      <c r="H446">
        <v>0</v>
      </c>
      <c r="I446" t="s">
        <v>16</v>
      </c>
    </row>
    <row r="447" spans="1:9" x14ac:dyDescent="0.25">
      <c r="A447" t="s">
        <v>13</v>
      </c>
      <c r="B447">
        <v>373773</v>
      </c>
      <c r="C447">
        <v>374354</v>
      </c>
      <c r="E447" t="s">
        <v>28</v>
      </c>
      <c r="F447" t="s">
        <v>615</v>
      </c>
      <c r="H447">
        <v>0</v>
      </c>
      <c r="I447" t="s">
        <v>16</v>
      </c>
    </row>
    <row r="448" spans="1:9" x14ac:dyDescent="0.25">
      <c r="A448" t="s">
        <v>13</v>
      </c>
      <c r="B448">
        <v>374351</v>
      </c>
      <c r="C448">
        <v>374899</v>
      </c>
      <c r="E448" t="s">
        <v>28</v>
      </c>
      <c r="F448" t="s">
        <v>1220</v>
      </c>
      <c r="H448">
        <v>0</v>
      </c>
      <c r="I448" t="s">
        <v>16</v>
      </c>
    </row>
    <row r="449" spans="1:9" x14ac:dyDescent="0.25">
      <c r="A449" t="s">
        <v>13</v>
      </c>
      <c r="B449">
        <v>375001</v>
      </c>
      <c r="C449">
        <v>375660</v>
      </c>
      <c r="E449" t="s">
        <v>14</v>
      </c>
      <c r="F449" t="s">
        <v>41</v>
      </c>
      <c r="H449">
        <v>0</v>
      </c>
      <c r="I449" t="s">
        <v>16</v>
      </c>
    </row>
    <row r="450" spans="1:9" x14ac:dyDescent="0.25">
      <c r="A450" t="s">
        <v>13</v>
      </c>
      <c r="B450">
        <v>375657</v>
      </c>
      <c r="C450">
        <v>376022</v>
      </c>
      <c r="E450" t="s">
        <v>14</v>
      </c>
      <c r="F450" t="s">
        <v>1225</v>
      </c>
      <c r="H450">
        <v>0</v>
      </c>
      <c r="I450" t="s">
        <v>16</v>
      </c>
    </row>
    <row r="451" spans="1:9" x14ac:dyDescent="0.25">
      <c r="A451" t="s">
        <v>13</v>
      </c>
      <c r="B451">
        <v>375997</v>
      </c>
      <c r="C451">
        <v>376671</v>
      </c>
      <c r="E451" t="s">
        <v>14</v>
      </c>
      <c r="F451" t="s">
        <v>1228</v>
      </c>
      <c r="H451">
        <v>0</v>
      </c>
      <c r="I451" t="s">
        <v>16</v>
      </c>
    </row>
    <row r="452" spans="1:9" x14ac:dyDescent="0.25">
      <c r="A452" t="s">
        <v>13</v>
      </c>
      <c r="B452">
        <v>376770</v>
      </c>
      <c r="C452">
        <v>377948</v>
      </c>
      <c r="E452" t="s">
        <v>14</v>
      </c>
      <c r="F452" t="s">
        <v>1231</v>
      </c>
      <c r="H452">
        <v>0</v>
      </c>
      <c r="I452" t="s">
        <v>16</v>
      </c>
    </row>
    <row r="453" spans="1:9" x14ac:dyDescent="0.25">
      <c r="A453" t="s">
        <v>13</v>
      </c>
      <c r="B453">
        <v>377945</v>
      </c>
      <c r="C453">
        <v>378697</v>
      </c>
      <c r="E453" t="s">
        <v>14</v>
      </c>
      <c r="F453" t="s">
        <v>41</v>
      </c>
      <c r="H453">
        <v>0</v>
      </c>
      <c r="I453" t="s">
        <v>16</v>
      </c>
    </row>
    <row r="454" spans="1:9" x14ac:dyDescent="0.25">
      <c r="A454" t="s">
        <v>13</v>
      </c>
      <c r="B454">
        <v>378779</v>
      </c>
      <c r="C454">
        <v>378961</v>
      </c>
      <c r="E454" t="s">
        <v>14</v>
      </c>
      <c r="F454" t="s">
        <v>41</v>
      </c>
      <c r="H454">
        <v>0</v>
      </c>
      <c r="I454" t="s">
        <v>16</v>
      </c>
    </row>
    <row r="455" spans="1:9" x14ac:dyDescent="0.25">
      <c r="A455" t="s">
        <v>13</v>
      </c>
      <c r="B455">
        <v>378951</v>
      </c>
      <c r="C455">
        <v>379604</v>
      </c>
      <c r="E455" t="s">
        <v>14</v>
      </c>
      <c r="F455" t="s">
        <v>41</v>
      </c>
      <c r="H455">
        <v>0</v>
      </c>
      <c r="I455" t="s">
        <v>16</v>
      </c>
    </row>
    <row r="456" spans="1:9" x14ac:dyDescent="0.25">
      <c r="A456" t="s">
        <v>13</v>
      </c>
      <c r="B456">
        <v>379607</v>
      </c>
      <c r="C456">
        <v>379978</v>
      </c>
      <c r="E456" t="s">
        <v>14</v>
      </c>
      <c r="F456" t="s">
        <v>41</v>
      </c>
      <c r="H456">
        <v>0</v>
      </c>
      <c r="I456" t="s">
        <v>16</v>
      </c>
    </row>
    <row r="457" spans="1:9" x14ac:dyDescent="0.25">
      <c r="A457" t="s">
        <v>13</v>
      </c>
      <c r="B457">
        <v>379975</v>
      </c>
      <c r="C457">
        <v>380241</v>
      </c>
      <c r="E457" t="s">
        <v>14</v>
      </c>
      <c r="F457" t="s">
        <v>41</v>
      </c>
      <c r="H457">
        <v>0</v>
      </c>
      <c r="I457" t="s">
        <v>16</v>
      </c>
    </row>
    <row r="458" spans="1:9" x14ac:dyDescent="0.25">
      <c r="A458" t="s">
        <v>13</v>
      </c>
      <c r="B458">
        <v>380235</v>
      </c>
      <c r="C458">
        <v>380606</v>
      </c>
      <c r="E458" t="s">
        <v>14</v>
      </c>
      <c r="F458" t="s">
        <v>41</v>
      </c>
      <c r="H458">
        <v>0</v>
      </c>
      <c r="I458" t="s">
        <v>16</v>
      </c>
    </row>
    <row r="459" spans="1:9" x14ac:dyDescent="0.25">
      <c r="A459" t="s">
        <v>13</v>
      </c>
      <c r="B459">
        <v>380560</v>
      </c>
      <c r="C459">
        <v>381966</v>
      </c>
      <c r="E459" t="s">
        <v>28</v>
      </c>
      <c r="F459" t="s">
        <v>1246</v>
      </c>
      <c r="H459">
        <v>0</v>
      </c>
      <c r="I459" t="s">
        <v>16</v>
      </c>
    </row>
    <row r="460" spans="1:9" x14ac:dyDescent="0.25">
      <c r="A460" t="s">
        <v>13</v>
      </c>
      <c r="B460">
        <v>382032</v>
      </c>
      <c r="C460">
        <v>382724</v>
      </c>
      <c r="E460" t="s">
        <v>28</v>
      </c>
      <c r="F460" t="s">
        <v>951</v>
      </c>
      <c r="H460">
        <v>0</v>
      </c>
      <c r="I460" t="s">
        <v>16</v>
      </c>
    </row>
    <row r="461" spans="1:9" x14ac:dyDescent="0.25">
      <c r="A461" t="s">
        <v>13</v>
      </c>
      <c r="B461">
        <v>383394</v>
      </c>
      <c r="C461">
        <v>383603</v>
      </c>
      <c r="E461" t="s">
        <v>14</v>
      </c>
      <c r="F461" t="s">
        <v>41</v>
      </c>
      <c r="H461">
        <v>0</v>
      </c>
      <c r="I461" t="s">
        <v>16</v>
      </c>
    </row>
    <row r="462" spans="1:9" x14ac:dyDescent="0.25">
      <c r="A462" t="s">
        <v>13</v>
      </c>
      <c r="B462">
        <v>383663</v>
      </c>
      <c r="C462">
        <v>383947</v>
      </c>
      <c r="E462" t="s">
        <v>28</v>
      </c>
      <c r="F462" t="s">
        <v>1253</v>
      </c>
      <c r="H462">
        <v>0</v>
      </c>
      <c r="I462" t="s">
        <v>16</v>
      </c>
    </row>
    <row r="463" spans="1:9" x14ac:dyDescent="0.25">
      <c r="A463" t="s">
        <v>13</v>
      </c>
      <c r="B463">
        <v>383944</v>
      </c>
      <c r="C463">
        <v>384834</v>
      </c>
      <c r="E463" t="s">
        <v>28</v>
      </c>
      <c r="F463" t="s">
        <v>1256</v>
      </c>
      <c r="H463">
        <v>0</v>
      </c>
      <c r="I463" t="s">
        <v>16</v>
      </c>
    </row>
    <row r="464" spans="1:9" x14ac:dyDescent="0.25">
      <c r="A464" t="s">
        <v>13</v>
      </c>
      <c r="B464">
        <v>384836</v>
      </c>
      <c r="C464">
        <v>386812</v>
      </c>
      <c r="E464" t="s">
        <v>28</v>
      </c>
      <c r="F464" t="s">
        <v>1259</v>
      </c>
      <c r="H464">
        <v>0</v>
      </c>
      <c r="I464" t="s">
        <v>16</v>
      </c>
    </row>
    <row r="465" spans="1:9" x14ac:dyDescent="0.25">
      <c r="A465" t="s">
        <v>13</v>
      </c>
      <c r="B465">
        <v>386869</v>
      </c>
      <c r="C465">
        <v>387243</v>
      </c>
      <c r="E465" t="s">
        <v>14</v>
      </c>
      <c r="F465" t="s">
        <v>41</v>
      </c>
      <c r="H465">
        <v>0</v>
      </c>
      <c r="I465" t="s">
        <v>16</v>
      </c>
    </row>
    <row r="466" spans="1:9" x14ac:dyDescent="0.25">
      <c r="A466" t="s">
        <v>13</v>
      </c>
      <c r="B466">
        <v>387240</v>
      </c>
      <c r="C466">
        <v>387719</v>
      </c>
      <c r="E466" t="s">
        <v>28</v>
      </c>
      <c r="F466" t="s">
        <v>1264</v>
      </c>
      <c r="H466">
        <v>0</v>
      </c>
      <c r="I466" t="s">
        <v>16</v>
      </c>
    </row>
    <row r="467" spans="1:9" x14ac:dyDescent="0.25">
      <c r="A467" t="s">
        <v>13</v>
      </c>
      <c r="B467">
        <v>387729</v>
      </c>
      <c r="C467">
        <v>388520</v>
      </c>
      <c r="E467" t="s">
        <v>28</v>
      </c>
      <c r="F467" t="s">
        <v>1267</v>
      </c>
      <c r="H467">
        <v>0</v>
      </c>
      <c r="I467" t="s">
        <v>16</v>
      </c>
    </row>
    <row r="468" spans="1:9" x14ac:dyDescent="0.25">
      <c r="A468" t="s">
        <v>13</v>
      </c>
      <c r="B468">
        <v>388517</v>
      </c>
      <c r="C468">
        <v>389131</v>
      </c>
      <c r="E468" t="s">
        <v>28</v>
      </c>
      <c r="F468" t="s">
        <v>1270</v>
      </c>
      <c r="H468">
        <v>0</v>
      </c>
      <c r="I468" t="s">
        <v>16</v>
      </c>
    </row>
    <row r="469" spans="1:9" x14ac:dyDescent="0.25">
      <c r="A469" t="s">
        <v>13</v>
      </c>
      <c r="B469">
        <v>389107</v>
      </c>
      <c r="C469">
        <v>394413</v>
      </c>
      <c r="E469" t="s">
        <v>28</v>
      </c>
      <c r="F469" t="s">
        <v>1273</v>
      </c>
      <c r="H469">
        <v>0</v>
      </c>
      <c r="I469" t="s">
        <v>16</v>
      </c>
    </row>
    <row r="470" spans="1:9" x14ac:dyDescent="0.25">
      <c r="A470" t="s">
        <v>13</v>
      </c>
      <c r="B470">
        <v>394527</v>
      </c>
      <c r="C470">
        <v>395843</v>
      </c>
      <c r="E470" t="s">
        <v>14</v>
      </c>
      <c r="F470" t="s">
        <v>1276</v>
      </c>
      <c r="H470">
        <v>0</v>
      </c>
      <c r="I470" t="s">
        <v>16</v>
      </c>
    </row>
    <row r="471" spans="1:9" x14ac:dyDescent="0.25">
      <c r="A471" t="s">
        <v>13</v>
      </c>
      <c r="B471">
        <v>395853</v>
      </c>
      <c r="C471">
        <v>396170</v>
      </c>
      <c r="E471" t="s">
        <v>14</v>
      </c>
      <c r="F471" t="s">
        <v>1279</v>
      </c>
      <c r="H471">
        <v>0</v>
      </c>
      <c r="I471" t="s">
        <v>16</v>
      </c>
    </row>
    <row r="472" spans="1:9" x14ac:dyDescent="0.25">
      <c r="A472" t="s">
        <v>13</v>
      </c>
      <c r="B472">
        <v>396167</v>
      </c>
      <c r="C472">
        <v>396595</v>
      </c>
      <c r="E472" t="s">
        <v>28</v>
      </c>
      <c r="F472" t="s">
        <v>41</v>
      </c>
      <c r="H472">
        <v>0</v>
      </c>
      <c r="I472" t="s">
        <v>16</v>
      </c>
    </row>
    <row r="473" spans="1:9" x14ac:dyDescent="0.25">
      <c r="A473" t="s">
        <v>13</v>
      </c>
      <c r="B473">
        <v>396633</v>
      </c>
      <c r="C473">
        <v>397154</v>
      </c>
      <c r="E473" t="s">
        <v>14</v>
      </c>
      <c r="F473" t="s">
        <v>1284</v>
      </c>
      <c r="H473">
        <v>0</v>
      </c>
      <c r="I473" t="s">
        <v>16</v>
      </c>
    </row>
    <row r="474" spans="1:9" x14ac:dyDescent="0.25">
      <c r="A474" t="s">
        <v>13</v>
      </c>
      <c r="B474">
        <v>397164</v>
      </c>
      <c r="C474">
        <v>397691</v>
      </c>
      <c r="E474" t="s">
        <v>14</v>
      </c>
      <c r="F474" t="s">
        <v>1284</v>
      </c>
      <c r="H474">
        <v>0</v>
      </c>
      <c r="I474" t="s">
        <v>16</v>
      </c>
    </row>
    <row r="475" spans="1:9" x14ac:dyDescent="0.25">
      <c r="A475" t="s">
        <v>13</v>
      </c>
      <c r="B475">
        <v>397786</v>
      </c>
      <c r="C475">
        <v>399144</v>
      </c>
      <c r="E475" t="s">
        <v>14</v>
      </c>
      <c r="F475" t="s">
        <v>41</v>
      </c>
      <c r="H475">
        <v>0</v>
      </c>
      <c r="I475" t="s">
        <v>16</v>
      </c>
    </row>
    <row r="476" spans="1:9" x14ac:dyDescent="0.25">
      <c r="A476" t="s">
        <v>13</v>
      </c>
      <c r="B476">
        <v>399120</v>
      </c>
      <c r="C476">
        <v>399725</v>
      </c>
      <c r="E476" t="s">
        <v>28</v>
      </c>
      <c r="F476" t="s">
        <v>1291</v>
      </c>
      <c r="H476">
        <v>0</v>
      </c>
      <c r="I476" t="s">
        <v>16</v>
      </c>
    </row>
    <row r="477" spans="1:9" x14ac:dyDescent="0.25">
      <c r="A477" t="s">
        <v>13</v>
      </c>
      <c r="B477">
        <v>399753</v>
      </c>
      <c r="C477">
        <v>400274</v>
      </c>
      <c r="E477" t="s">
        <v>28</v>
      </c>
      <c r="F477" t="s">
        <v>1294</v>
      </c>
      <c r="H477">
        <v>0</v>
      </c>
      <c r="I477" t="s">
        <v>16</v>
      </c>
    </row>
    <row r="478" spans="1:9" x14ac:dyDescent="0.25">
      <c r="A478" t="s">
        <v>13</v>
      </c>
      <c r="B478">
        <v>400350</v>
      </c>
      <c r="C478">
        <v>400604</v>
      </c>
      <c r="E478" t="s">
        <v>14</v>
      </c>
      <c r="F478" t="s">
        <v>41</v>
      </c>
      <c r="H478">
        <v>0</v>
      </c>
      <c r="I478" t="s">
        <v>16</v>
      </c>
    </row>
    <row r="479" spans="1:9" x14ac:dyDescent="0.25">
      <c r="A479" t="s">
        <v>13</v>
      </c>
      <c r="B479">
        <v>400683</v>
      </c>
      <c r="C479">
        <v>401156</v>
      </c>
      <c r="E479" t="s">
        <v>28</v>
      </c>
      <c r="F479" t="s">
        <v>41</v>
      </c>
      <c r="H479">
        <v>0</v>
      </c>
      <c r="I479" t="s">
        <v>16</v>
      </c>
    </row>
    <row r="480" spans="1:9" x14ac:dyDescent="0.25">
      <c r="A480" t="s">
        <v>13</v>
      </c>
      <c r="B480">
        <v>401129</v>
      </c>
      <c r="C480">
        <v>401665</v>
      </c>
      <c r="E480" t="s">
        <v>28</v>
      </c>
      <c r="F480" t="s">
        <v>41</v>
      </c>
      <c r="H480">
        <v>0</v>
      </c>
      <c r="I480" t="s">
        <v>16</v>
      </c>
    </row>
    <row r="481" spans="1:9" x14ac:dyDescent="0.25">
      <c r="A481" t="s">
        <v>13</v>
      </c>
      <c r="B481">
        <v>401727</v>
      </c>
      <c r="C481">
        <v>402332</v>
      </c>
      <c r="E481" t="s">
        <v>28</v>
      </c>
      <c r="F481" t="s">
        <v>1303</v>
      </c>
      <c r="H481">
        <v>0</v>
      </c>
      <c r="I481" t="s">
        <v>16</v>
      </c>
    </row>
    <row r="482" spans="1:9" x14ac:dyDescent="0.25">
      <c r="A482" t="s">
        <v>13</v>
      </c>
      <c r="B482">
        <v>402333</v>
      </c>
      <c r="C482">
        <v>403061</v>
      </c>
      <c r="E482" t="s">
        <v>28</v>
      </c>
      <c r="F482" t="s">
        <v>41</v>
      </c>
      <c r="H482">
        <v>0</v>
      </c>
      <c r="I482" t="s">
        <v>16</v>
      </c>
    </row>
    <row r="483" spans="1:9" x14ac:dyDescent="0.25">
      <c r="A483" t="s">
        <v>13</v>
      </c>
      <c r="B483">
        <v>403125</v>
      </c>
      <c r="C483">
        <v>404927</v>
      </c>
      <c r="E483" t="s">
        <v>14</v>
      </c>
      <c r="F483" t="s">
        <v>1308</v>
      </c>
      <c r="H483">
        <v>0</v>
      </c>
      <c r="I483" t="s">
        <v>16</v>
      </c>
    </row>
    <row r="484" spans="1:9" x14ac:dyDescent="0.25">
      <c r="A484" t="s">
        <v>13</v>
      </c>
      <c r="B484">
        <v>404924</v>
      </c>
      <c r="C484">
        <v>405190</v>
      </c>
      <c r="E484" t="s">
        <v>28</v>
      </c>
      <c r="F484" t="s">
        <v>41</v>
      </c>
      <c r="H484">
        <v>0</v>
      </c>
      <c r="I484" t="s">
        <v>16</v>
      </c>
    </row>
    <row r="485" spans="1:9" x14ac:dyDescent="0.25">
      <c r="A485" t="s">
        <v>13</v>
      </c>
      <c r="B485">
        <v>405187</v>
      </c>
      <c r="C485">
        <v>405534</v>
      </c>
      <c r="E485" t="s">
        <v>28</v>
      </c>
      <c r="F485" t="s">
        <v>41</v>
      </c>
      <c r="H485">
        <v>0</v>
      </c>
      <c r="I485" t="s">
        <v>16</v>
      </c>
    </row>
    <row r="486" spans="1:9" x14ac:dyDescent="0.25">
      <c r="A486" t="s">
        <v>13</v>
      </c>
      <c r="B486">
        <v>405543</v>
      </c>
      <c r="C486">
        <v>405872</v>
      </c>
      <c r="E486" t="s">
        <v>28</v>
      </c>
      <c r="F486" t="s">
        <v>41</v>
      </c>
      <c r="H486">
        <v>0</v>
      </c>
      <c r="I486" t="s">
        <v>16</v>
      </c>
    </row>
    <row r="487" spans="1:9" x14ac:dyDescent="0.25">
      <c r="A487" t="s">
        <v>13</v>
      </c>
      <c r="B487">
        <v>405860</v>
      </c>
      <c r="C487">
        <v>406234</v>
      </c>
      <c r="E487" t="s">
        <v>28</v>
      </c>
      <c r="F487" t="s">
        <v>41</v>
      </c>
      <c r="H487">
        <v>0</v>
      </c>
      <c r="I487" t="s">
        <v>16</v>
      </c>
    </row>
    <row r="488" spans="1:9" x14ac:dyDescent="0.25">
      <c r="A488" t="s">
        <v>13</v>
      </c>
      <c r="B488">
        <v>406280</v>
      </c>
      <c r="C488">
        <v>406864</v>
      </c>
      <c r="E488" t="s">
        <v>28</v>
      </c>
      <c r="F488" t="s">
        <v>1319</v>
      </c>
      <c r="H488">
        <v>0</v>
      </c>
      <c r="I488" t="s">
        <v>16</v>
      </c>
    </row>
    <row r="489" spans="1:9" x14ac:dyDescent="0.25">
      <c r="A489" t="s">
        <v>13</v>
      </c>
      <c r="B489">
        <v>406868</v>
      </c>
      <c r="C489">
        <v>407185</v>
      </c>
      <c r="E489" t="s">
        <v>28</v>
      </c>
      <c r="F489" t="s">
        <v>41</v>
      </c>
      <c r="H489">
        <v>0</v>
      </c>
      <c r="I489" t="s">
        <v>16</v>
      </c>
    </row>
    <row r="490" spans="1:9" x14ac:dyDescent="0.25">
      <c r="A490" t="s">
        <v>13</v>
      </c>
      <c r="B490">
        <v>407216</v>
      </c>
      <c r="C490">
        <v>408196</v>
      </c>
      <c r="E490" t="s">
        <v>14</v>
      </c>
      <c r="F490" t="s">
        <v>1324</v>
      </c>
      <c r="H490">
        <v>0</v>
      </c>
      <c r="I490" t="s">
        <v>16</v>
      </c>
    </row>
    <row r="491" spans="1:9" x14ac:dyDescent="0.25">
      <c r="A491" t="s">
        <v>13</v>
      </c>
      <c r="B491">
        <v>408193</v>
      </c>
      <c r="C491">
        <v>409386</v>
      </c>
      <c r="E491" t="s">
        <v>28</v>
      </c>
      <c r="F491" t="s">
        <v>921</v>
      </c>
      <c r="H491">
        <v>0</v>
      </c>
      <c r="I491" t="s">
        <v>16</v>
      </c>
    </row>
    <row r="492" spans="1:9" x14ac:dyDescent="0.25">
      <c r="A492" t="s">
        <v>13</v>
      </c>
      <c r="B492">
        <v>409428</v>
      </c>
      <c r="C492">
        <v>411140</v>
      </c>
      <c r="E492" t="s">
        <v>28</v>
      </c>
      <c r="F492" t="s">
        <v>41</v>
      </c>
      <c r="H492">
        <v>0</v>
      </c>
      <c r="I492" t="s">
        <v>16</v>
      </c>
    </row>
    <row r="493" spans="1:9" x14ac:dyDescent="0.25">
      <c r="A493" t="s">
        <v>13</v>
      </c>
      <c r="B493">
        <v>411166</v>
      </c>
      <c r="C493">
        <v>411921</v>
      </c>
      <c r="E493" t="s">
        <v>14</v>
      </c>
      <c r="F493" t="s">
        <v>1331</v>
      </c>
      <c r="H493">
        <v>0</v>
      </c>
      <c r="I493" t="s">
        <v>16</v>
      </c>
    </row>
    <row r="494" spans="1:9" x14ac:dyDescent="0.25">
      <c r="A494" t="s">
        <v>13</v>
      </c>
      <c r="B494">
        <v>411921</v>
      </c>
      <c r="C494">
        <v>413876</v>
      </c>
      <c r="E494" t="s">
        <v>14</v>
      </c>
      <c r="F494" t="s">
        <v>1334</v>
      </c>
      <c r="H494">
        <v>0</v>
      </c>
      <c r="I494" t="s">
        <v>16</v>
      </c>
    </row>
    <row r="495" spans="1:9" x14ac:dyDescent="0.25">
      <c r="A495" t="s">
        <v>13</v>
      </c>
      <c r="B495">
        <v>413873</v>
      </c>
      <c r="C495">
        <v>414517</v>
      </c>
      <c r="E495" t="s">
        <v>14</v>
      </c>
      <c r="F495" t="s">
        <v>1337</v>
      </c>
      <c r="H495">
        <v>0</v>
      </c>
      <c r="I495" t="s">
        <v>16</v>
      </c>
    </row>
    <row r="496" spans="1:9" x14ac:dyDescent="0.25">
      <c r="A496" t="s">
        <v>13</v>
      </c>
      <c r="B496">
        <v>414492</v>
      </c>
      <c r="C496">
        <v>415793</v>
      </c>
      <c r="E496" t="s">
        <v>14</v>
      </c>
      <c r="F496" t="s">
        <v>1246</v>
      </c>
      <c r="H496">
        <v>0</v>
      </c>
      <c r="I496" t="s">
        <v>16</v>
      </c>
    </row>
    <row r="497" spans="1:9" x14ac:dyDescent="0.25">
      <c r="A497" t="s">
        <v>13</v>
      </c>
      <c r="B497">
        <v>415808</v>
      </c>
      <c r="C497">
        <v>416383</v>
      </c>
      <c r="E497" t="s">
        <v>14</v>
      </c>
      <c r="F497" t="s">
        <v>41</v>
      </c>
      <c r="H497">
        <v>0</v>
      </c>
      <c r="I497" t="s">
        <v>16</v>
      </c>
    </row>
    <row r="498" spans="1:9" x14ac:dyDescent="0.25">
      <c r="A498" t="s">
        <v>13</v>
      </c>
      <c r="B498">
        <v>416386</v>
      </c>
      <c r="C498">
        <v>416802</v>
      </c>
      <c r="E498" t="s">
        <v>14</v>
      </c>
      <c r="F498" t="s">
        <v>41</v>
      </c>
      <c r="H498">
        <v>0</v>
      </c>
      <c r="I498" t="s">
        <v>16</v>
      </c>
    </row>
    <row r="499" spans="1:9" x14ac:dyDescent="0.25">
      <c r="A499" t="s">
        <v>13</v>
      </c>
      <c r="B499">
        <v>416827</v>
      </c>
      <c r="C499">
        <v>419040</v>
      </c>
      <c r="E499" t="s">
        <v>14</v>
      </c>
      <c r="F499" t="s">
        <v>41</v>
      </c>
      <c r="H499">
        <v>0</v>
      </c>
      <c r="I499" t="s">
        <v>16</v>
      </c>
    </row>
    <row r="500" spans="1:9" x14ac:dyDescent="0.25">
      <c r="A500" t="s">
        <v>13</v>
      </c>
      <c r="B500">
        <v>419037</v>
      </c>
      <c r="C500">
        <v>421643</v>
      </c>
      <c r="E500" t="s">
        <v>14</v>
      </c>
      <c r="F500" t="s">
        <v>1348</v>
      </c>
      <c r="H500">
        <v>0</v>
      </c>
      <c r="I500" t="s">
        <v>16</v>
      </c>
    </row>
    <row r="501" spans="1:9" x14ac:dyDescent="0.25">
      <c r="A501" t="s">
        <v>13</v>
      </c>
      <c r="B501">
        <v>421640</v>
      </c>
      <c r="C501">
        <v>422026</v>
      </c>
      <c r="E501" t="s">
        <v>28</v>
      </c>
      <c r="F501" t="s">
        <v>1351</v>
      </c>
      <c r="H501">
        <v>0</v>
      </c>
      <c r="I501" t="s">
        <v>16</v>
      </c>
    </row>
    <row r="502" spans="1:9" x14ac:dyDescent="0.25">
      <c r="A502" t="s">
        <v>13</v>
      </c>
      <c r="B502">
        <v>422026</v>
      </c>
      <c r="C502">
        <v>422451</v>
      </c>
      <c r="E502" t="s">
        <v>28</v>
      </c>
      <c r="F502" t="s">
        <v>1354</v>
      </c>
      <c r="H502">
        <v>0</v>
      </c>
      <c r="I502" t="s">
        <v>16</v>
      </c>
    </row>
    <row r="503" spans="1:9" x14ac:dyDescent="0.25">
      <c r="A503" t="s">
        <v>13</v>
      </c>
      <c r="B503">
        <v>422585</v>
      </c>
      <c r="C503">
        <v>424234</v>
      </c>
      <c r="E503" t="s">
        <v>14</v>
      </c>
      <c r="F503" t="s">
        <v>1357</v>
      </c>
      <c r="H503">
        <v>0</v>
      </c>
      <c r="I503" t="s">
        <v>16</v>
      </c>
    </row>
    <row r="504" spans="1:9" x14ac:dyDescent="0.25">
      <c r="A504" t="s">
        <v>13</v>
      </c>
      <c r="B504">
        <v>424331</v>
      </c>
      <c r="C504">
        <v>425356</v>
      </c>
      <c r="E504" t="s">
        <v>28</v>
      </c>
      <c r="F504" t="s">
        <v>41</v>
      </c>
      <c r="H504">
        <v>0</v>
      </c>
      <c r="I504" t="s">
        <v>16</v>
      </c>
    </row>
    <row r="505" spans="1:9" x14ac:dyDescent="0.25">
      <c r="A505" t="s">
        <v>13</v>
      </c>
      <c r="B505">
        <v>425404</v>
      </c>
      <c r="C505">
        <v>425476</v>
      </c>
      <c r="E505" t="s">
        <v>28</v>
      </c>
      <c r="F505" t="s">
        <v>1362</v>
      </c>
      <c r="H505">
        <v>0</v>
      </c>
      <c r="I505" t="s">
        <v>133</v>
      </c>
    </row>
    <row r="506" spans="1:9" x14ac:dyDescent="0.25">
      <c r="A506" t="s">
        <v>13</v>
      </c>
      <c r="B506">
        <v>425516</v>
      </c>
      <c r="C506">
        <v>426127</v>
      </c>
      <c r="E506" t="s">
        <v>28</v>
      </c>
      <c r="F506" t="s">
        <v>1364</v>
      </c>
      <c r="H506">
        <v>0</v>
      </c>
      <c r="I506" t="s">
        <v>16</v>
      </c>
    </row>
    <row r="507" spans="1:9" x14ac:dyDescent="0.25">
      <c r="A507" t="s">
        <v>13</v>
      </c>
      <c r="B507">
        <v>426124</v>
      </c>
      <c r="C507">
        <v>427074</v>
      </c>
      <c r="E507" t="s">
        <v>28</v>
      </c>
      <c r="F507" t="s">
        <v>1367</v>
      </c>
      <c r="H507">
        <v>0</v>
      </c>
      <c r="I507" t="s">
        <v>16</v>
      </c>
    </row>
    <row r="508" spans="1:9" x14ac:dyDescent="0.25">
      <c r="A508" t="s">
        <v>13</v>
      </c>
      <c r="B508">
        <v>427132</v>
      </c>
      <c r="C508">
        <v>427578</v>
      </c>
      <c r="E508" t="s">
        <v>28</v>
      </c>
      <c r="F508" t="s">
        <v>29</v>
      </c>
      <c r="H508">
        <v>0</v>
      </c>
      <c r="I508" t="s">
        <v>16</v>
      </c>
    </row>
    <row r="509" spans="1:9" x14ac:dyDescent="0.25">
      <c r="A509" t="s">
        <v>13</v>
      </c>
      <c r="B509">
        <v>427940</v>
      </c>
      <c r="C509">
        <v>428356</v>
      </c>
      <c r="E509" t="s">
        <v>14</v>
      </c>
      <c r="F509" t="s">
        <v>730</v>
      </c>
      <c r="H509">
        <v>0</v>
      </c>
      <c r="I509" t="s">
        <v>16</v>
      </c>
    </row>
    <row r="510" spans="1:9" x14ac:dyDescent="0.25">
      <c r="A510" t="s">
        <v>13</v>
      </c>
      <c r="B510">
        <v>428382</v>
      </c>
      <c r="C510">
        <v>428801</v>
      </c>
      <c r="E510" t="s">
        <v>14</v>
      </c>
      <c r="F510" t="s">
        <v>1374</v>
      </c>
      <c r="H510">
        <v>0</v>
      </c>
      <c r="I510" t="s">
        <v>16</v>
      </c>
    </row>
    <row r="511" spans="1:9" x14ac:dyDescent="0.25">
      <c r="A511" t="s">
        <v>13</v>
      </c>
      <c r="B511">
        <v>428812</v>
      </c>
      <c r="C511">
        <v>429138</v>
      </c>
      <c r="E511" t="s">
        <v>14</v>
      </c>
      <c r="F511" t="s">
        <v>1377</v>
      </c>
      <c r="H511">
        <v>0</v>
      </c>
      <c r="I511" t="s">
        <v>16</v>
      </c>
    </row>
    <row r="512" spans="1:9" x14ac:dyDescent="0.25">
      <c r="A512" t="s">
        <v>13</v>
      </c>
      <c r="B512">
        <v>429211</v>
      </c>
      <c r="C512">
        <v>429780</v>
      </c>
      <c r="E512" t="s">
        <v>14</v>
      </c>
      <c r="F512" t="s">
        <v>1380</v>
      </c>
      <c r="H512">
        <v>0</v>
      </c>
      <c r="I512" t="s">
        <v>16</v>
      </c>
    </row>
    <row r="513" spans="1:9" x14ac:dyDescent="0.25">
      <c r="A513" t="s">
        <v>13</v>
      </c>
      <c r="B513">
        <v>429777</v>
      </c>
      <c r="C513">
        <v>430571</v>
      </c>
      <c r="E513" t="s">
        <v>14</v>
      </c>
      <c r="F513" t="s">
        <v>1383</v>
      </c>
      <c r="H513">
        <v>0</v>
      </c>
      <c r="I513" t="s">
        <v>16</v>
      </c>
    </row>
    <row r="514" spans="1:9" x14ac:dyDescent="0.25">
      <c r="A514" t="s">
        <v>13</v>
      </c>
      <c r="B514">
        <v>430574</v>
      </c>
      <c r="C514">
        <v>431005</v>
      </c>
      <c r="E514" t="s">
        <v>14</v>
      </c>
      <c r="F514" t="s">
        <v>1386</v>
      </c>
      <c r="H514">
        <v>0</v>
      </c>
      <c r="I514" t="s">
        <v>16</v>
      </c>
    </row>
    <row r="515" spans="1:9" x14ac:dyDescent="0.25">
      <c r="A515" t="s">
        <v>13</v>
      </c>
      <c r="B515">
        <v>431002</v>
      </c>
      <c r="C515">
        <v>431853</v>
      </c>
      <c r="E515" t="s">
        <v>14</v>
      </c>
      <c r="F515" t="s">
        <v>41</v>
      </c>
      <c r="H515">
        <v>0</v>
      </c>
      <c r="I515" t="s">
        <v>16</v>
      </c>
    </row>
    <row r="516" spans="1:9" x14ac:dyDescent="0.25">
      <c r="A516" t="s">
        <v>13</v>
      </c>
      <c r="B516">
        <v>431866</v>
      </c>
      <c r="C516">
        <v>433149</v>
      </c>
      <c r="E516" t="s">
        <v>14</v>
      </c>
      <c r="F516" t="s">
        <v>1391</v>
      </c>
      <c r="H516">
        <v>0</v>
      </c>
      <c r="I516" t="s">
        <v>16</v>
      </c>
    </row>
    <row r="517" spans="1:9" x14ac:dyDescent="0.25">
      <c r="A517" t="s">
        <v>13</v>
      </c>
      <c r="B517">
        <v>433218</v>
      </c>
      <c r="C517">
        <v>434501</v>
      </c>
      <c r="E517" t="s">
        <v>14</v>
      </c>
      <c r="F517" t="s">
        <v>1394</v>
      </c>
      <c r="H517">
        <v>0</v>
      </c>
      <c r="I517" t="s">
        <v>16</v>
      </c>
    </row>
    <row r="518" spans="1:9" x14ac:dyDescent="0.25">
      <c r="A518" t="s">
        <v>13</v>
      </c>
      <c r="B518">
        <v>434494</v>
      </c>
      <c r="C518">
        <v>435042</v>
      </c>
      <c r="E518" t="s">
        <v>14</v>
      </c>
      <c r="F518" t="s">
        <v>1397</v>
      </c>
      <c r="H518">
        <v>0</v>
      </c>
      <c r="I518" t="s">
        <v>16</v>
      </c>
    </row>
    <row r="519" spans="1:9" x14ac:dyDescent="0.25">
      <c r="A519" t="s">
        <v>13</v>
      </c>
      <c r="B519">
        <v>435052</v>
      </c>
      <c r="C519">
        <v>435720</v>
      </c>
      <c r="E519" t="s">
        <v>14</v>
      </c>
      <c r="F519" t="s">
        <v>1400</v>
      </c>
      <c r="H519">
        <v>0</v>
      </c>
      <c r="I519" t="s">
        <v>16</v>
      </c>
    </row>
    <row r="520" spans="1:9" x14ac:dyDescent="0.25">
      <c r="A520" t="s">
        <v>13</v>
      </c>
      <c r="B520">
        <v>435824</v>
      </c>
      <c r="C520">
        <v>436393</v>
      </c>
      <c r="E520" t="s">
        <v>14</v>
      </c>
      <c r="F520" t="s">
        <v>1403</v>
      </c>
      <c r="H520">
        <v>0</v>
      </c>
      <c r="I520" t="s">
        <v>16</v>
      </c>
    </row>
    <row r="521" spans="1:9" x14ac:dyDescent="0.25">
      <c r="A521" t="s">
        <v>13</v>
      </c>
      <c r="B521">
        <v>436390</v>
      </c>
      <c r="C521">
        <v>437055</v>
      </c>
      <c r="E521" t="s">
        <v>14</v>
      </c>
      <c r="F521" t="s">
        <v>1406</v>
      </c>
      <c r="H521">
        <v>0</v>
      </c>
      <c r="I521" t="s">
        <v>16</v>
      </c>
    </row>
    <row r="522" spans="1:9" x14ac:dyDescent="0.25">
      <c r="A522" t="s">
        <v>13</v>
      </c>
      <c r="B522">
        <v>437111</v>
      </c>
      <c r="C522">
        <v>437797</v>
      </c>
      <c r="E522" t="s">
        <v>14</v>
      </c>
      <c r="F522" t="s">
        <v>1409</v>
      </c>
      <c r="H522">
        <v>0</v>
      </c>
      <c r="I522" t="s">
        <v>16</v>
      </c>
    </row>
    <row r="523" spans="1:9" x14ac:dyDescent="0.25">
      <c r="A523" t="s">
        <v>13</v>
      </c>
      <c r="B523">
        <v>437889</v>
      </c>
      <c r="C523">
        <v>438317</v>
      </c>
      <c r="E523" t="s">
        <v>14</v>
      </c>
      <c r="F523" t="s">
        <v>1412</v>
      </c>
      <c r="H523">
        <v>0</v>
      </c>
      <c r="I523" t="s">
        <v>16</v>
      </c>
    </row>
    <row r="524" spans="1:9" x14ac:dyDescent="0.25">
      <c r="A524" t="s">
        <v>13</v>
      </c>
      <c r="B524">
        <v>438314</v>
      </c>
      <c r="C524">
        <v>440245</v>
      </c>
      <c r="E524" t="s">
        <v>14</v>
      </c>
      <c r="F524" t="s">
        <v>1415</v>
      </c>
      <c r="H524">
        <v>0</v>
      </c>
      <c r="I524" t="s">
        <v>16</v>
      </c>
    </row>
    <row r="525" spans="1:9" x14ac:dyDescent="0.25">
      <c r="A525" t="s">
        <v>13</v>
      </c>
      <c r="B525">
        <v>440242</v>
      </c>
      <c r="C525">
        <v>440778</v>
      </c>
      <c r="E525" t="s">
        <v>14</v>
      </c>
      <c r="F525" t="s">
        <v>1418</v>
      </c>
      <c r="H525">
        <v>0</v>
      </c>
      <c r="I525" t="s">
        <v>16</v>
      </c>
    </row>
    <row r="526" spans="1:9" x14ac:dyDescent="0.25">
      <c r="A526" t="s">
        <v>13</v>
      </c>
      <c r="B526">
        <v>440775</v>
      </c>
      <c r="C526">
        <v>441197</v>
      </c>
      <c r="E526" t="s">
        <v>14</v>
      </c>
      <c r="F526" t="s">
        <v>1421</v>
      </c>
      <c r="H526">
        <v>0</v>
      </c>
      <c r="I526" t="s">
        <v>16</v>
      </c>
    </row>
    <row r="527" spans="1:9" x14ac:dyDescent="0.25">
      <c r="A527" t="s">
        <v>13</v>
      </c>
      <c r="B527">
        <v>441194</v>
      </c>
      <c r="C527">
        <v>442174</v>
      </c>
      <c r="E527" t="s">
        <v>14</v>
      </c>
      <c r="F527" t="s">
        <v>1424</v>
      </c>
      <c r="H527">
        <v>0</v>
      </c>
      <c r="I527" t="s">
        <v>16</v>
      </c>
    </row>
    <row r="528" spans="1:9" x14ac:dyDescent="0.25">
      <c r="A528" t="s">
        <v>13</v>
      </c>
      <c r="B528">
        <v>442177</v>
      </c>
      <c r="C528">
        <v>442731</v>
      </c>
      <c r="E528" t="s">
        <v>14</v>
      </c>
      <c r="F528" t="s">
        <v>1427</v>
      </c>
      <c r="H528">
        <v>0</v>
      </c>
      <c r="I528" t="s">
        <v>16</v>
      </c>
    </row>
    <row r="529" spans="1:9" x14ac:dyDescent="0.25">
      <c r="A529" t="s">
        <v>13</v>
      </c>
      <c r="B529">
        <v>442728</v>
      </c>
      <c r="C529">
        <v>443564</v>
      </c>
      <c r="E529" t="s">
        <v>28</v>
      </c>
      <c r="F529" t="s">
        <v>41</v>
      </c>
      <c r="H529">
        <v>0</v>
      </c>
      <c r="I529" t="s">
        <v>16</v>
      </c>
    </row>
    <row r="530" spans="1:9" x14ac:dyDescent="0.25">
      <c r="A530" t="s">
        <v>13</v>
      </c>
      <c r="B530">
        <v>443736</v>
      </c>
      <c r="C530">
        <v>445037</v>
      </c>
      <c r="E530" t="s">
        <v>28</v>
      </c>
      <c r="F530" t="s">
        <v>1432</v>
      </c>
      <c r="H530">
        <v>0</v>
      </c>
      <c r="I530" t="s">
        <v>16</v>
      </c>
    </row>
    <row r="531" spans="1:9" x14ac:dyDescent="0.25">
      <c r="A531" t="s">
        <v>13</v>
      </c>
      <c r="B531">
        <v>445060</v>
      </c>
      <c r="C531">
        <v>445437</v>
      </c>
      <c r="E531" t="s">
        <v>14</v>
      </c>
      <c r="F531" t="s">
        <v>41</v>
      </c>
      <c r="H531">
        <v>0</v>
      </c>
      <c r="I531" t="s">
        <v>16</v>
      </c>
    </row>
    <row r="532" spans="1:9" x14ac:dyDescent="0.25">
      <c r="A532" t="s">
        <v>13</v>
      </c>
      <c r="B532">
        <v>445498</v>
      </c>
      <c r="C532">
        <v>445791</v>
      </c>
      <c r="E532" t="s">
        <v>14</v>
      </c>
      <c r="F532" t="s">
        <v>1437</v>
      </c>
      <c r="H532">
        <v>0</v>
      </c>
      <c r="I532" t="s">
        <v>16</v>
      </c>
    </row>
    <row r="533" spans="1:9" x14ac:dyDescent="0.25">
      <c r="A533" t="s">
        <v>13</v>
      </c>
      <c r="B533">
        <v>445914</v>
      </c>
      <c r="C533">
        <v>446651</v>
      </c>
      <c r="E533" t="s">
        <v>28</v>
      </c>
      <c r="F533" t="s">
        <v>41</v>
      </c>
      <c r="H533">
        <v>0</v>
      </c>
      <c r="I533" t="s">
        <v>16</v>
      </c>
    </row>
    <row r="534" spans="1:9" x14ac:dyDescent="0.25">
      <c r="A534" t="s">
        <v>13</v>
      </c>
      <c r="B534">
        <v>446636</v>
      </c>
      <c r="C534">
        <v>447514</v>
      </c>
      <c r="E534" t="s">
        <v>28</v>
      </c>
      <c r="F534" t="s">
        <v>1442</v>
      </c>
      <c r="H534">
        <v>0</v>
      </c>
      <c r="I534" t="s">
        <v>16</v>
      </c>
    </row>
    <row r="535" spans="1:9" x14ac:dyDescent="0.25">
      <c r="A535" t="s">
        <v>13</v>
      </c>
      <c r="B535">
        <v>448474</v>
      </c>
      <c r="C535">
        <v>448842</v>
      </c>
      <c r="E535" t="s">
        <v>14</v>
      </c>
      <c r="F535" t="s">
        <v>41</v>
      </c>
      <c r="H535">
        <v>0</v>
      </c>
      <c r="I535" t="s">
        <v>16</v>
      </c>
    </row>
    <row r="536" spans="1:9" x14ac:dyDescent="0.25">
      <c r="A536" t="s">
        <v>13</v>
      </c>
      <c r="B536">
        <v>448839</v>
      </c>
      <c r="C536">
        <v>450281</v>
      </c>
      <c r="E536" t="s">
        <v>28</v>
      </c>
      <c r="F536" t="s">
        <v>1447</v>
      </c>
      <c r="H536">
        <v>0</v>
      </c>
      <c r="I536" t="s">
        <v>16</v>
      </c>
    </row>
    <row r="537" spans="1:9" x14ac:dyDescent="0.25">
      <c r="A537" t="s">
        <v>13</v>
      </c>
      <c r="B537">
        <v>450327</v>
      </c>
      <c r="C537">
        <v>451061</v>
      </c>
      <c r="E537" t="s">
        <v>14</v>
      </c>
      <c r="F537" t="s">
        <v>1450</v>
      </c>
      <c r="H537">
        <v>0</v>
      </c>
      <c r="I537" t="s">
        <v>16</v>
      </c>
    </row>
    <row r="538" spans="1:9" x14ac:dyDescent="0.25">
      <c r="A538" t="s">
        <v>13</v>
      </c>
      <c r="B538">
        <v>451131</v>
      </c>
      <c r="C538">
        <v>452714</v>
      </c>
      <c r="E538" t="s">
        <v>28</v>
      </c>
      <c r="F538" t="s">
        <v>1453</v>
      </c>
      <c r="H538">
        <v>0</v>
      </c>
      <c r="I538" t="s">
        <v>16</v>
      </c>
    </row>
    <row r="539" spans="1:9" x14ac:dyDescent="0.25">
      <c r="A539" t="s">
        <v>13</v>
      </c>
      <c r="B539">
        <v>452743</v>
      </c>
      <c r="C539">
        <v>453534</v>
      </c>
      <c r="E539" t="s">
        <v>28</v>
      </c>
      <c r="F539" t="s">
        <v>41</v>
      </c>
      <c r="H539">
        <v>0</v>
      </c>
      <c r="I539" t="s">
        <v>16</v>
      </c>
    </row>
    <row r="540" spans="1:9" x14ac:dyDescent="0.25">
      <c r="A540" t="s">
        <v>13</v>
      </c>
      <c r="B540">
        <v>453755</v>
      </c>
      <c r="C540">
        <v>454225</v>
      </c>
      <c r="E540" t="s">
        <v>14</v>
      </c>
      <c r="F540" t="s">
        <v>41</v>
      </c>
      <c r="H540">
        <v>0</v>
      </c>
      <c r="I540" t="s">
        <v>16</v>
      </c>
    </row>
    <row r="541" spans="1:9" x14ac:dyDescent="0.25">
      <c r="A541" t="s">
        <v>13</v>
      </c>
      <c r="B541">
        <v>454222</v>
      </c>
      <c r="C541">
        <v>455520</v>
      </c>
      <c r="E541" t="s">
        <v>28</v>
      </c>
      <c r="F541" t="s">
        <v>1460</v>
      </c>
      <c r="H541">
        <v>0</v>
      </c>
      <c r="I541" t="s">
        <v>16</v>
      </c>
    </row>
    <row r="542" spans="1:9" x14ac:dyDescent="0.25">
      <c r="A542" t="s">
        <v>13</v>
      </c>
      <c r="B542">
        <v>455602</v>
      </c>
      <c r="C542">
        <v>456183</v>
      </c>
      <c r="E542" t="s">
        <v>14</v>
      </c>
      <c r="F542" t="s">
        <v>1463</v>
      </c>
      <c r="H542">
        <v>0</v>
      </c>
      <c r="I542" t="s">
        <v>16</v>
      </c>
    </row>
    <row r="543" spans="1:9" x14ac:dyDescent="0.25">
      <c r="A543" t="s">
        <v>13</v>
      </c>
      <c r="B543">
        <v>456193</v>
      </c>
      <c r="C543">
        <v>456555</v>
      </c>
      <c r="E543" t="s">
        <v>14</v>
      </c>
      <c r="F543" t="s">
        <v>41</v>
      </c>
      <c r="H543">
        <v>0</v>
      </c>
      <c r="I543" t="s">
        <v>16</v>
      </c>
    </row>
    <row r="544" spans="1:9" x14ac:dyDescent="0.25">
      <c r="A544" t="s">
        <v>13</v>
      </c>
      <c r="B544">
        <v>456533</v>
      </c>
      <c r="C544">
        <v>456907</v>
      </c>
      <c r="E544" t="s">
        <v>28</v>
      </c>
      <c r="F544" t="s">
        <v>1468</v>
      </c>
      <c r="H544">
        <v>0</v>
      </c>
      <c r="I544" t="s">
        <v>16</v>
      </c>
    </row>
    <row r="545" spans="1:9" x14ac:dyDescent="0.25">
      <c r="A545" t="s">
        <v>13</v>
      </c>
      <c r="B545">
        <v>456979</v>
      </c>
      <c r="C545">
        <v>458346</v>
      </c>
      <c r="E545" t="s">
        <v>14</v>
      </c>
      <c r="F545" t="s">
        <v>1471</v>
      </c>
      <c r="H545">
        <v>0</v>
      </c>
      <c r="I545" t="s">
        <v>16</v>
      </c>
    </row>
    <row r="546" spans="1:9" x14ac:dyDescent="0.25">
      <c r="A546" t="s">
        <v>13</v>
      </c>
      <c r="B546">
        <v>458434</v>
      </c>
      <c r="C546">
        <v>459483</v>
      </c>
      <c r="E546" t="s">
        <v>28</v>
      </c>
      <c r="F546" t="s">
        <v>1474</v>
      </c>
      <c r="H546">
        <v>0</v>
      </c>
      <c r="I546" t="s">
        <v>16</v>
      </c>
    </row>
    <row r="547" spans="1:9" x14ac:dyDescent="0.25">
      <c r="A547" t="s">
        <v>13</v>
      </c>
      <c r="B547">
        <v>459461</v>
      </c>
      <c r="C547">
        <v>460015</v>
      </c>
      <c r="E547" t="s">
        <v>28</v>
      </c>
      <c r="F547" t="s">
        <v>1477</v>
      </c>
      <c r="H547">
        <v>0</v>
      </c>
      <c r="I547" t="s">
        <v>16</v>
      </c>
    </row>
    <row r="548" spans="1:9" x14ac:dyDescent="0.25">
      <c r="A548" t="s">
        <v>13</v>
      </c>
      <c r="B548">
        <v>460028</v>
      </c>
      <c r="C548">
        <v>461215</v>
      </c>
      <c r="E548" t="s">
        <v>28</v>
      </c>
      <c r="F548" t="s">
        <v>1480</v>
      </c>
      <c r="H548">
        <v>0</v>
      </c>
      <c r="I548" t="s">
        <v>16</v>
      </c>
    </row>
    <row r="549" spans="1:9" x14ac:dyDescent="0.25">
      <c r="A549" t="s">
        <v>13</v>
      </c>
      <c r="B549">
        <v>461238</v>
      </c>
      <c r="C549">
        <v>463508</v>
      </c>
      <c r="E549" t="s">
        <v>28</v>
      </c>
      <c r="F549" t="s">
        <v>1483</v>
      </c>
      <c r="H549">
        <v>0</v>
      </c>
      <c r="I549" t="s">
        <v>16</v>
      </c>
    </row>
    <row r="550" spans="1:9" x14ac:dyDescent="0.25">
      <c r="A550" t="s">
        <v>13</v>
      </c>
      <c r="B550">
        <v>463505</v>
      </c>
      <c r="C550">
        <v>464434</v>
      </c>
      <c r="E550" t="s">
        <v>28</v>
      </c>
      <c r="F550" t="s">
        <v>1486</v>
      </c>
      <c r="H550">
        <v>0</v>
      </c>
      <c r="I550" t="s">
        <v>16</v>
      </c>
    </row>
    <row r="551" spans="1:9" x14ac:dyDescent="0.25">
      <c r="A551" t="s">
        <v>13</v>
      </c>
      <c r="B551">
        <v>464431</v>
      </c>
      <c r="C551">
        <v>465030</v>
      </c>
      <c r="E551" t="s">
        <v>28</v>
      </c>
      <c r="F551" t="s">
        <v>1489</v>
      </c>
      <c r="H551">
        <v>0</v>
      </c>
      <c r="I551" t="s">
        <v>16</v>
      </c>
    </row>
    <row r="552" spans="1:9" x14ac:dyDescent="0.25">
      <c r="A552" t="s">
        <v>13</v>
      </c>
      <c r="B552">
        <v>465020</v>
      </c>
      <c r="C552">
        <v>465643</v>
      </c>
      <c r="E552" t="s">
        <v>28</v>
      </c>
      <c r="F552" t="s">
        <v>1492</v>
      </c>
      <c r="H552">
        <v>0</v>
      </c>
      <c r="I552" t="s">
        <v>16</v>
      </c>
    </row>
    <row r="553" spans="1:9" x14ac:dyDescent="0.25">
      <c r="A553" t="s">
        <v>13</v>
      </c>
      <c r="B553">
        <v>465636</v>
      </c>
      <c r="C553">
        <v>466769</v>
      </c>
      <c r="E553" t="s">
        <v>28</v>
      </c>
      <c r="F553" t="s">
        <v>1495</v>
      </c>
      <c r="H553">
        <v>0</v>
      </c>
      <c r="I553" t="s">
        <v>16</v>
      </c>
    </row>
    <row r="554" spans="1:9" x14ac:dyDescent="0.25">
      <c r="A554" t="s">
        <v>13</v>
      </c>
      <c r="B554">
        <v>467048</v>
      </c>
      <c r="C554">
        <v>468052</v>
      </c>
      <c r="E554" t="s">
        <v>28</v>
      </c>
      <c r="F554" t="s">
        <v>1498</v>
      </c>
      <c r="H554">
        <v>0</v>
      </c>
      <c r="I554" t="s">
        <v>16</v>
      </c>
    </row>
    <row r="555" spans="1:9" x14ac:dyDescent="0.25">
      <c r="A555" t="s">
        <v>13</v>
      </c>
      <c r="B555">
        <v>468110</v>
      </c>
      <c r="C555">
        <v>468565</v>
      </c>
      <c r="E555" t="s">
        <v>28</v>
      </c>
      <c r="F555" t="s">
        <v>41</v>
      </c>
      <c r="H555">
        <v>0</v>
      </c>
      <c r="I555" t="s">
        <v>16</v>
      </c>
    </row>
    <row r="556" spans="1:9" x14ac:dyDescent="0.25">
      <c r="A556" t="s">
        <v>13</v>
      </c>
      <c r="B556">
        <v>468655</v>
      </c>
      <c r="C556">
        <v>470076</v>
      </c>
      <c r="E556" t="s">
        <v>28</v>
      </c>
      <c r="F556" t="s">
        <v>1503</v>
      </c>
      <c r="H556">
        <v>0</v>
      </c>
      <c r="I556" t="s">
        <v>16</v>
      </c>
    </row>
    <row r="557" spans="1:9" x14ac:dyDescent="0.25">
      <c r="A557" t="s">
        <v>13</v>
      </c>
      <c r="B557">
        <v>470715</v>
      </c>
      <c r="C557">
        <v>470787</v>
      </c>
      <c r="E557" t="s">
        <v>28</v>
      </c>
      <c r="F557" t="s">
        <v>1506</v>
      </c>
      <c r="H557">
        <v>0</v>
      </c>
      <c r="I557" t="s">
        <v>133</v>
      </c>
    </row>
    <row r="558" spans="1:9" x14ac:dyDescent="0.25">
      <c r="A558" t="s">
        <v>13</v>
      </c>
      <c r="B558">
        <v>470792</v>
      </c>
      <c r="C558">
        <v>470865</v>
      </c>
      <c r="E558" t="s">
        <v>28</v>
      </c>
      <c r="F558" t="s">
        <v>1508</v>
      </c>
      <c r="H558">
        <v>0</v>
      </c>
      <c r="I558" t="s">
        <v>133</v>
      </c>
    </row>
    <row r="559" spans="1:9" x14ac:dyDescent="0.25">
      <c r="A559" t="s">
        <v>13</v>
      </c>
      <c r="B559">
        <v>470932</v>
      </c>
      <c r="C559">
        <v>471297</v>
      </c>
      <c r="E559" t="s">
        <v>14</v>
      </c>
      <c r="F559" t="s">
        <v>41</v>
      </c>
      <c r="H559">
        <v>0</v>
      </c>
      <c r="I559" t="s">
        <v>16</v>
      </c>
    </row>
    <row r="560" spans="1:9" x14ac:dyDescent="0.25">
      <c r="A560" t="s">
        <v>13</v>
      </c>
      <c r="B560">
        <v>471260</v>
      </c>
      <c r="C560">
        <v>472018</v>
      </c>
      <c r="E560" t="s">
        <v>28</v>
      </c>
      <c r="F560" t="s">
        <v>1512</v>
      </c>
      <c r="H560">
        <v>0</v>
      </c>
      <c r="I560" t="s">
        <v>16</v>
      </c>
    </row>
    <row r="561" spans="1:9" x14ac:dyDescent="0.25">
      <c r="A561" t="s">
        <v>13</v>
      </c>
      <c r="B561">
        <v>472018</v>
      </c>
      <c r="C561">
        <v>472419</v>
      </c>
      <c r="E561" t="s">
        <v>28</v>
      </c>
      <c r="F561" t="s">
        <v>1515</v>
      </c>
      <c r="H561">
        <v>0</v>
      </c>
      <c r="I561" t="s">
        <v>16</v>
      </c>
    </row>
    <row r="562" spans="1:9" x14ac:dyDescent="0.25">
      <c r="A562" t="s">
        <v>13</v>
      </c>
      <c r="B562">
        <v>472483</v>
      </c>
      <c r="C562">
        <v>473577</v>
      </c>
      <c r="E562" t="s">
        <v>14</v>
      </c>
      <c r="F562" t="s">
        <v>1518</v>
      </c>
      <c r="H562">
        <v>0</v>
      </c>
      <c r="I562" t="s">
        <v>16</v>
      </c>
    </row>
    <row r="563" spans="1:9" x14ac:dyDescent="0.25">
      <c r="A563" t="s">
        <v>13</v>
      </c>
      <c r="B563">
        <v>473676</v>
      </c>
      <c r="C563">
        <v>474449</v>
      </c>
      <c r="E563" t="s">
        <v>28</v>
      </c>
      <c r="F563" t="s">
        <v>1521</v>
      </c>
      <c r="H563">
        <v>0</v>
      </c>
      <c r="I563" t="s">
        <v>16</v>
      </c>
    </row>
    <row r="564" spans="1:9" x14ac:dyDescent="0.25">
      <c r="A564" t="s">
        <v>13</v>
      </c>
      <c r="B564">
        <v>474497</v>
      </c>
      <c r="C564">
        <v>475249</v>
      </c>
      <c r="E564" t="s">
        <v>14</v>
      </c>
      <c r="F564" t="s">
        <v>1524</v>
      </c>
      <c r="H564">
        <v>0</v>
      </c>
      <c r="I564" t="s">
        <v>16</v>
      </c>
    </row>
    <row r="565" spans="1:9" x14ac:dyDescent="0.25">
      <c r="A565" t="s">
        <v>13</v>
      </c>
      <c r="B565">
        <v>475246</v>
      </c>
      <c r="C565">
        <v>476052</v>
      </c>
      <c r="E565" t="s">
        <v>14</v>
      </c>
      <c r="F565" t="s">
        <v>471</v>
      </c>
      <c r="H565">
        <v>0</v>
      </c>
      <c r="I565" t="s">
        <v>16</v>
      </c>
    </row>
    <row r="566" spans="1:9" x14ac:dyDescent="0.25">
      <c r="A566" t="s">
        <v>13</v>
      </c>
      <c r="B566">
        <v>476045</v>
      </c>
      <c r="C566">
        <v>476608</v>
      </c>
      <c r="E566" t="s">
        <v>28</v>
      </c>
      <c r="F566" t="s">
        <v>1529</v>
      </c>
      <c r="H566">
        <v>0</v>
      </c>
      <c r="I566" t="s">
        <v>16</v>
      </c>
    </row>
    <row r="567" spans="1:9" x14ac:dyDescent="0.25">
      <c r="A567" t="s">
        <v>13</v>
      </c>
      <c r="B567">
        <v>476592</v>
      </c>
      <c r="C567">
        <v>477992</v>
      </c>
      <c r="E567" t="s">
        <v>28</v>
      </c>
      <c r="F567" t="s">
        <v>1532</v>
      </c>
      <c r="H567">
        <v>0</v>
      </c>
      <c r="I567" t="s">
        <v>16</v>
      </c>
    </row>
    <row r="568" spans="1:9" x14ac:dyDescent="0.25">
      <c r="A568" t="s">
        <v>13</v>
      </c>
      <c r="B568">
        <v>477982</v>
      </c>
      <c r="C568">
        <v>478692</v>
      </c>
      <c r="E568" t="s">
        <v>28</v>
      </c>
      <c r="F568" t="s">
        <v>1535</v>
      </c>
      <c r="H568">
        <v>0</v>
      </c>
      <c r="I568" t="s">
        <v>16</v>
      </c>
    </row>
    <row r="569" spans="1:9" x14ac:dyDescent="0.25">
      <c r="A569" t="s">
        <v>13</v>
      </c>
      <c r="B569">
        <v>478683</v>
      </c>
      <c r="C569">
        <v>478799</v>
      </c>
      <c r="E569" t="s">
        <v>28</v>
      </c>
      <c r="F569" t="s">
        <v>41</v>
      </c>
      <c r="H569">
        <v>0</v>
      </c>
      <c r="I569" t="s">
        <v>16</v>
      </c>
    </row>
    <row r="570" spans="1:9" x14ac:dyDescent="0.25">
      <c r="A570" t="s">
        <v>13</v>
      </c>
      <c r="B570">
        <v>478811</v>
      </c>
      <c r="C570">
        <v>480055</v>
      </c>
      <c r="E570" t="s">
        <v>28</v>
      </c>
      <c r="F570" t="s">
        <v>1540</v>
      </c>
      <c r="H570">
        <v>0</v>
      </c>
      <c r="I570" t="s">
        <v>16</v>
      </c>
    </row>
    <row r="571" spans="1:9" x14ac:dyDescent="0.25">
      <c r="A571" t="s">
        <v>13</v>
      </c>
      <c r="B571">
        <v>480056</v>
      </c>
      <c r="C571">
        <v>480733</v>
      </c>
      <c r="E571" t="s">
        <v>28</v>
      </c>
      <c r="F571" t="s">
        <v>951</v>
      </c>
      <c r="H571">
        <v>0</v>
      </c>
      <c r="I571" t="s">
        <v>16</v>
      </c>
    </row>
    <row r="572" spans="1:9" x14ac:dyDescent="0.25">
      <c r="A572" t="s">
        <v>13</v>
      </c>
      <c r="B572">
        <v>480730</v>
      </c>
      <c r="C572">
        <v>481089</v>
      </c>
      <c r="E572" t="s">
        <v>28</v>
      </c>
      <c r="F572" t="s">
        <v>41</v>
      </c>
      <c r="H572">
        <v>0</v>
      </c>
      <c r="I572" t="s">
        <v>16</v>
      </c>
    </row>
    <row r="573" spans="1:9" x14ac:dyDescent="0.25">
      <c r="A573" t="s">
        <v>13</v>
      </c>
      <c r="B573">
        <v>481101</v>
      </c>
      <c r="C573">
        <v>481748</v>
      </c>
      <c r="E573" t="s">
        <v>28</v>
      </c>
      <c r="F573" t="s">
        <v>1547</v>
      </c>
      <c r="H573">
        <v>0</v>
      </c>
      <c r="I573" t="s">
        <v>16</v>
      </c>
    </row>
    <row r="574" spans="1:9" x14ac:dyDescent="0.25">
      <c r="A574" t="s">
        <v>13</v>
      </c>
      <c r="B574">
        <v>481769</v>
      </c>
      <c r="C574">
        <v>482377</v>
      </c>
      <c r="E574" t="s">
        <v>28</v>
      </c>
      <c r="F574" t="s">
        <v>1143</v>
      </c>
      <c r="H574">
        <v>0</v>
      </c>
      <c r="I574" t="s">
        <v>16</v>
      </c>
    </row>
    <row r="575" spans="1:9" x14ac:dyDescent="0.25">
      <c r="A575" t="s">
        <v>13</v>
      </c>
      <c r="B575">
        <v>482452</v>
      </c>
      <c r="C575">
        <v>482658</v>
      </c>
      <c r="E575" t="s">
        <v>28</v>
      </c>
      <c r="F575" t="s">
        <v>41</v>
      </c>
      <c r="H575">
        <v>0</v>
      </c>
      <c r="I575" t="s">
        <v>16</v>
      </c>
    </row>
    <row r="576" spans="1:9" x14ac:dyDescent="0.25">
      <c r="A576" t="s">
        <v>13</v>
      </c>
      <c r="B576">
        <v>482673</v>
      </c>
      <c r="C576">
        <v>483095</v>
      </c>
      <c r="E576" t="s">
        <v>28</v>
      </c>
      <c r="F576" t="s">
        <v>41</v>
      </c>
      <c r="H576">
        <v>0</v>
      </c>
      <c r="I576" t="s">
        <v>16</v>
      </c>
    </row>
    <row r="577" spans="1:9" x14ac:dyDescent="0.25">
      <c r="A577" t="s">
        <v>13</v>
      </c>
      <c r="B577">
        <v>483092</v>
      </c>
      <c r="C577">
        <v>483403</v>
      </c>
      <c r="E577" t="s">
        <v>28</v>
      </c>
      <c r="F577" t="s">
        <v>1556</v>
      </c>
      <c r="H577">
        <v>0</v>
      </c>
      <c r="I577" t="s">
        <v>16</v>
      </c>
    </row>
    <row r="578" spans="1:9" x14ac:dyDescent="0.25">
      <c r="A578" t="s">
        <v>13</v>
      </c>
      <c r="B578">
        <v>483404</v>
      </c>
      <c r="C578">
        <v>485821</v>
      </c>
      <c r="E578" t="s">
        <v>28</v>
      </c>
      <c r="F578" t="s">
        <v>1559</v>
      </c>
      <c r="H578">
        <v>0</v>
      </c>
      <c r="I578" t="s">
        <v>16</v>
      </c>
    </row>
    <row r="579" spans="1:9" x14ac:dyDescent="0.25">
      <c r="A579" t="s">
        <v>13</v>
      </c>
      <c r="B579">
        <v>485969</v>
      </c>
      <c r="C579">
        <v>486418</v>
      </c>
      <c r="E579" t="s">
        <v>28</v>
      </c>
      <c r="F579" t="s">
        <v>1562</v>
      </c>
      <c r="H579">
        <v>0</v>
      </c>
      <c r="I579" t="s">
        <v>16</v>
      </c>
    </row>
    <row r="580" spans="1:9" x14ac:dyDescent="0.25">
      <c r="A580" t="s">
        <v>13</v>
      </c>
      <c r="B580">
        <v>486425</v>
      </c>
      <c r="C580">
        <v>487390</v>
      </c>
      <c r="E580" t="s">
        <v>14</v>
      </c>
      <c r="F580" t="s">
        <v>1565</v>
      </c>
      <c r="H580">
        <v>0</v>
      </c>
      <c r="I580" t="s">
        <v>16</v>
      </c>
    </row>
    <row r="581" spans="1:9" x14ac:dyDescent="0.25">
      <c r="A581" t="s">
        <v>13</v>
      </c>
      <c r="B581">
        <v>487382</v>
      </c>
      <c r="C581">
        <v>488596</v>
      </c>
      <c r="E581" t="s">
        <v>28</v>
      </c>
      <c r="F581" t="s">
        <v>1568</v>
      </c>
      <c r="H581">
        <v>0</v>
      </c>
      <c r="I581" t="s">
        <v>16</v>
      </c>
    </row>
    <row r="582" spans="1:9" x14ac:dyDescent="0.25">
      <c r="A582" t="s">
        <v>13</v>
      </c>
      <c r="B582">
        <v>488645</v>
      </c>
      <c r="C582">
        <v>489298</v>
      </c>
      <c r="E582" t="s">
        <v>14</v>
      </c>
      <c r="F582" t="s">
        <v>1571</v>
      </c>
      <c r="H582">
        <v>0</v>
      </c>
      <c r="I582" t="s">
        <v>16</v>
      </c>
    </row>
    <row r="583" spans="1:9" x14ac:dyDescent="0.25">
      <c r="A583" t="s">
        <v>13</v>
      </c>
      <c r="B583">
        <v>489298</v>
      </c>
      <c r="C583">
        <v>490287</v>
      </c>
      <c r="E583" t="s">
        <v>14</v>
      </c>
      <c r="F583" t="s">
        <v>1574</v>
      </c>
      <c r="H583">
        <v>0</v>
      </c>
      <c r="I583" t="s">
        <v>16</v>
      </c>
    </row>
    <row r="584" spans="1:9" x14ac:dyDescent="0.25">
      <c r="A584" t="s">
        <v>13</v>
      </c>
      <c r="B584">
        <v>490293</v>
      </c>
      <c r="C584">
        <v>491123</v>
      </c>
      <c r="E584" t="s">
        <v>14</v>
      </c>
      <c r="F584" t="s">
        <v>41</v>
      </c>
      <c r="H584">
        <v>0</v>
      </c>
      <c r="I584" t="s">
        <v>16</v>
      </c>
    </row>
    <row r="585" spans="1:9" x14ac:dyDescent="0.25">
      <c r="A585" t="s">
        <v>13</v>
      </c>
      <c r="B585">
        <v>491429</v>
      </c>
      <c r="C585">
        <v>493168</v>
      </c>
      <c r="E585" t="s">
        <v>14</v>
      </c>
      <c r="F585" t="s">
        <v>1579</v>
      </c>
      <c r="H585">
        <v>0</v>
      </c>
      <c r="I585" t="s">
        <v>16</v>
      </c>
    </row>
    <row r="586" spans="1:9" x14ac:dyDescent="0.25">
      <c r="A586" t="s">
        <v>13</v>
      </c>
      <c r="B586">
        <v>493165</v>
      </c>
      <c r="C586">
        <v>494967</v>
      </c>
      <c r="E586" t="s">
        <v>14</v>
      </c>
      <c r="F586" t="s">
        <v>1582</v>
      </c>
      <c r="H586">
        <v>0</v>
      </c>
      <c r="I586" t="s">
        <v>16</v>
      </c>
    </row>
    <row r="587" spans="1:9" x14ac:dyDescent="0.25">
      <c r="A587" t="s">
        <v>13</v>
      </c>
      <c r="B587">
        <v>494971</v>
      </c>
      <c r="C587">
        <v>496155</v>
      </c>
      <c r="E587" t="s">
        <v>14</v>
      </c>
      <c r="F587" t="s">
        <v>1585</v>
      </c>
      <c r="H587">
        <v>0</v>
      </c>
      <c r="I587" t="s">
        <v>16</v>
      </c>
    </row>
    <row r="588" spans="1:9" x14ac:dyDescent="0.25">
      <c r="A588" t="s">
        <v>13</v>
      </c>
      <c r="B588">
        <v>496112</v>
      </c>
      <c r="C588">
        <v>497155</v>
      </c>
      <c r="E588" t="s">
        <v>28</v>
      </c>
      <c r="F588" t="s">
        <v>41</v>
      </c>
      <c r="H588">
        <v>0</v>
      </c>
      <c r="I588" t="s">
        <v>16</v>
      </c>
    </row>
    <row r="589" spans="1:9" x14ac:dyDescent="0.25">
      <c r="A589" t="s">
        <v>13</v>
      </c>
      <c r="B589">
        <v>497196</v>
      </c>
      <c r="C589">
        <v>498215</v>
      </c>
      <c r="E589" t="s">
        <v>28</v>
      </c>
      <c r="F589" t="s">
        <v>1590</v>
      </c>
      <c r="H589">
        <v>0</v>
      </c>
      <c r="I589" t="s">
        <v>16</v>
      </c>
    </row>
    <row r="590" spans="1:9" x14ac:dyDescent="0.25">
      <c r="A590" t="s">
        <v>13</v>
      </c>
      <c r="B590">
        <v>498208</v>
      </c>
      <c r="C590">
        <v>499128</v>
      </c>
      <c r="E590" t="s">
        <v>28</v>
      </c>
      <c r="F590" t="s">
        <v>1593</v>
      </c>
      <c r="H590">
        <v>0</v>
      </c>
      <c r="I590" t="s">
        <v>16</v>
      </c>
    </row>
    <row r="591" spans="1:9" x14ac:dyDescent="0.25">
      <c r="A591" t="s">
        <v>13</v>
      </c>
      <c r="B591">
        <v>499183</v>
      </c>
      <c r="C591">
        <v>500688</v>
      </c>
      <c r="E591" t="s">
        <v>28</v>
      </c>
      <c r="F591" t="s">
        <v>1596</v>
      </c>
      <c r="H591">
        <v>0</v>
      </c>
      <c r="I591" t="s">
        <v>16</v>
      </c>
    </row>
    <row r="592" spans="1:9" x14ac:dyDescent="0.25">
      <c r="A592" t="s">
        <v>13</v>
      </c>
      <c r="B592">
        <v>500747</v>
      </c>
      <c r="C592">
        <v>501460</v>
      </c>
      <c r="E592" t="s">
        <v>28</v>
      </c>
      <c r="F592" t="s">
        <v>1599</v>
      </c>
      <c r="H592">
        <v>0</v>
      </c>
      <c r="I592" t="s">
        <v>16</v>
      </c>
    </row>
    <row r="593" spans="1:9" x14ac:dyDescent="0.25">
      <c r="A593" t="s">
        <v>13</v>
      </c>
      <c r="B593">
        <v>501457</v>
      </c>
      <c r="C593">
        <v>502236</v>
      </c>
      <c r="E593" t="s">
        <v>28</v>
      </c>
      <c r="F593" t="s">
        <v>1602</v>
      </c>
      <c r="H593">
        <v>0</v>
      </c>
      <c r="I593" t="s">
        <v>16</v>
      </c>
    </row>
    <row r="594" spans="1:9" x14ac:dyDescent="0.25">
      <c r="A594" t="s">
        <v>13</v>
      </c>
      <c r="B594">
        <v>502233</v>
      </c>
      <c r="C594">
        <v>503561</v>
      </c>
      <c r="E594" t="s">
        <v>28</v>
      </c>
      <c r="F594" t="s">
        <v>1605</v>
      </c>
      <c r="H594">
        <v>0</v>
      </c>
      <c r="I594" t="s">
        <v>16</v>
      </c>
    </row>
    <row r="595" spans="1:9" x14ac:dyDescent="0.25">
      <c r="A595" t="s">
        <v>13</v>
      </c>
      <c r="B595">
        <v>503558</v>
      </c>
      <c r="C595">
        <v>504526</v>
      </c>
      <c r="E595" t="s">
        <v>28</v>
      </c>
      <c r="F595" t="s">
        <v>1608</v>
      </c>
      <c r="H595">
        <v>0</v>
      </c>
      <c r="I595" t="s">
        <v>16</v>
      </c>
    </row>
    <row r="596" spans="1:9" x14ac:dyDescent="0.25">
      <c r="A596" t="s">
        <v>13</v>
      </c>
      <c r="B596">
        <v>504595</v>
      </c>
      <c r="C596">
        <v>505764</v>
      </c>
      <c r="E596" t="s">
        <v>28</v>
      </c>
      <c r="F596" t="s">
        <v>1611</v>
      </c>
      <c r="H596">
        <v>0</v>
      </c>
      <c r="I596" t="s">
        <v>16</v>
      </c>
    </row>
    <row r="597" spans="1:9" x14ac:dyDescent="0.25">
      <c r="A597" t="s">
        <v>13</v>
      </c>
      <c r="B597">
        <v>505875</v>
      </c>
      <c r="C597">
        <v>507215</v>
      </c>
      <c r="E597" t="s">
        <v>28</v>
      </c>
      <c r="F597" t="s">
        <v>1614</v>
      </c>
      <c r="H597">
        <v>0</v>
      </c>
      <c r="I597" t="s">
        <v>16</v>
      </c>
    </row>
    <row r="598" spans="1:9" x14ac:dyDescent="0.25">
      <c r="A598" t="s">
        <v>13</v>
      </c>
      <c r="B598">
        <v>507411</v>
      </c>
      <c r="C598">
        <v>509063</v>
      </c>
      <c r="E598" t="s">
        <v>14</v>
      </c>
      <c r="F598" t="s">
        <v>1617</v>
      </c>
      <c r="H598">
        <v>0</v>
      </c>
      <c r="I598" t="s">
        <v>16</v>
      </c>
    </row>
    <row r="599" spans="1:9" x14ac:dyDescent="0.25">
      <c r="A599" t="s">
        <v>13</v>
      </c>
      <c r="B599">
        <v>509114</v>
      </c>
      <c r="C599">
        <v>509557</v>
      </c>
      <c r="E599" t="s">
        <v>28</v>
      </c>
      <c r="F599" t="s">
        <v>41</v>
      </c>
      <c r="H599">
        <v>0</v>
      </c>
      <c r="I599" t="s">
        <v>16</v>
      </c>
    </row>
    <row r="600" spans="1:9" x14ac:dyDescent="0.25">
      <c r="A600" t="s">
        <v>13</v>
      </c>
      <c r="B600">
        <v>509554</v>
      </c>
      <c r="C600">
        <v>510249</v>
      </c>
      <c r="E600" t="s">
        <v>28</v>
      </c>
      <c r="F600" t="s">
        <v>29</v>
      </c>
      <c r="H600">
        <v>0</v>
      </c>
      <c r="I600" t="s">
        <v>16</v>
      </c>
    </row>
    <row r="601" spans="1:9" x14ac:dyDescent="0.25">
      <c r="A601" t="s">
        <v>13</v>
      </c>
      <c r="B601">
        <v>510334</v>
      </c>
      <c r="C601">
        <v>511557</v>
      </c>
      <c r="E601" t="s">
        <v>28</v>
      </c>
      <c r="F601" t="s">
        <v>1624</v>
      </c>
      <c r="H601">
        <v>0</v>
      </c>
      <c r="I601" t="s">
        <v>16</v>
      </c>
    </row>
    <row r="602" spans="1:9" x14ac:dyDescent="0.25">
      <c r="A602" t="s">
        <v>13</v>
      </c>
      <c r="B602">
        <v>511721</v>
      </c>
      <c r="C602">
        <v>514156</v>
      </c>
      <c r="E602" t="s">
        <v>14</v>
      </c>
      <c r="F602" t="s">
        <v>1627</v>
      </c>
      <c r="H602">
        <v>0</v>
      </c>
      <c r="I602" t="s">
        <v>16</v>
      </c>
    </row>
    <row r="603" spans="1:9" x14ac:dyDescent="0.25">
      <c r="A603" t="s">
        <v>13</v>
      </c>
      <c r="B603">
        <v>514153</v>
      </c>
      <c r="C603">
        <v>515751</v>
      </c>
      <c r="E603" t="s">
        <v>14</v>
      </c>
      <c r="F603" t="s">
        <v>1630</v>
      </c>
      <c r="H603">
        <v>0</v>
      </c>
      <c r="I603" t="s">
        <v>16</v>
      </c>
    </row>
    <row r="604" spans="1:9" x14ac:dyDescent="0.25">
      <c r="A604" t="s">
        <v>13</v>
      </c>
      <c r="B604">
        <v>516171</v>
      </c>
      <c r="C604">
        <v>517028</v>
      </c>
      <c r="E604" t="s">
        <v>14</v>
      </c>
      <c r="F604" t="s">
        <v>1633</v>
      </c>
      <c r="H604">
        <v>0</v>
      </c>
      <c r="I604" t="s">
        <v>16</v>
      </c>
    </row>
    <row r="605" spans="1:9" x14ac:dyDescent="0.25">
      <c r="A605" t="s">
        <v>13</v>
      </c>
      <c r="B605">
        <v>517076</v>
      </c>
      <c r="C605">
        <v>518290</v>
      </c>
      <c r="E605" t="s">
        <v>14</v>
      </c>
      <c r="F605" t="s">
        <v>1636</v>
      </c>
      <c r="H605">
        <v>0</v>
      </c>
      <c r="I605" t="s">
        <v>16</v>
      </c>
    </row>
    <row r="606" spans="1:9" x14ac:dyDescent="0.25">
      <c r="A606" t="s">
        <v>13</v>
      </c>
      <c r="B606">
        <v>518287</v>
      </c>
      <c r="C606">
        <v>518703</v>
      </c>
      <c r="E606" t="s">
        <v>28</v>
      </c>
      <c r="F606" t="s">
        <v>41</v>
      </c>
      <c r="H606">
        <v>0</v>
      </c>
      <c r="I606" t="s">
        <v>16</v>
      </c>
    </row>
    <row r="607" spans="1:9" x14ac:dyDescent="0.25">
      <c r="A607" t="s">
        <v>13</v>
      </c>
      <c r="B607">
        <v>518704</v>
      </c>
      <c r="C607">
        <v>519681</v>
      </c>
      <c r="E607" t="s">
        <v>28</v>
      </c>
      <c r="F607" t="s">
        <v>1641</v>
      </c>
      <c r="H607">
        <v>0</v>
      </c>
      <c r="I607" t="s">
        <v>16</v>
      </c>
    </row>
    <row r="608" spans="1:9" x14ac:dyDescent="0.25">
      <c r="A608" t="s">
        <v>13</v>
      </c>
      <c r="B608">
        <v>519707</v>
      </c>
      <c r="C608">
        <v>521851</v>
      </c>
      <c r="E608" t="s">
        <v>28</v>
      </c>
      <c r="F608" t="s">
        <v>1644</v>
      </c>
      <c r="H608">
        <v>0</v>
      </c>
      <c r="I608" t="s">
        <v>16</v>
      </c>
    </row>
    <row r="609" spans="1:9" x14ac:dyDescent="0.25">
      <c r="A609" t="s">
        <v>13</v>
      </c>
      <c r="B609">
        <v>521912</v>
      </c>
      <c r="C609">
        <v>522916</v>
      </c>
      <c r="E609" t="s">
        <v>28</v>
      </c>
      <c r="F609" t="s">
        <v>1641</v>
      </c>
      <c r="H609">
        <v>0</v>
      </c>
      <c r="I609" t="s">
        <v>16</v>
      </c>
    </row>
    <row r="610" spans="1:9" x14ac:dyDescent="0.25">
      <c r="A610" t="s">
        <v>13</v>
      </c>
      <c r="B610">
        <v>522934</v>
      </c>
      <c r="C610">
        <v>524046</v>
      </c>
      <c r="E610" t="s">
        <v>28</v>
      </c>
      <c r="F610" t="s">
        <v>1649</v>
      </c>
      <c r="H610">
        <v>0</v>
      </c>
      <c r="I610" t="s">
        <v>16</v>
      </c>
    </row>
    <row r="611" spans="1:9" x14ac:dyDescent="0.25">
      <c r="A611" t="s">
        <v>13</v>
      </c>
      <c r="B611">
        <v>524113</v>
      </c>
      <c r="C611">
        <v>525309</v>
      </c>
      <c r="E611" t="s">
        <v>14</v>
      </c>
      <c r="F611" t="s">
        <v>1652</v>
      </c>
      <c r="H611">
        <v>0</v>
      </c>
      <c r="I611" t="s">
        <v>16</v>
      </c>
    </row>
    <row r="612" spans="1:9" x14ac:dyDescent="0.25">
      <c r="A612" t="s">
        <v>13</v>
      </c>
      <c r="B612">
        <v>525284</v>
      </c>
      <c r="C612">
        <v>526402</v>
      </c>
      <c r="E612" t="s">
        <v>28</v>
      </c>
      <c r="F612" t="s">
        <v>1655</v>
      </c>
      <c r="H612">
        <v>0</v>
      </c>
      <c r="I612" t="s">
        <v>16</v>
      </c>
    </row>
    <row r="613" spans="1:9" x14ac:dyDescent="0.25">
      <c r="A613" t="s">
        <v>13</v>
      </c>
      <c r="B613">
        <v>526399</v>
      </c>
      <c r="C613">
        <v>526956</v>
      </c>
      <c r="E613" t="s">
        <v>28</v>
      </c>
      <c r="F613" t="s">
        <v>615</v>
      </c>
      <c r="H613">
        <v>0</v>
      </c>
      <c r="I613" t="s">
        <v>16</v>
      </c>
    </row>
    <row r="614" spans="1:9" x14ac:dyDescent="0.25">
      <c r="A614" t="s">
        <v>13</v>
      </c>
      <c r="B614">
        <v>526962</v>
      </c>
      <c r="C614">
        <v>528050</v>
      </c>
      <c r="E614" t="s">
        <v>28</v>
      </c>
      <c r="F614" t="s">
        <v>1660</v>
      </c>
      <c r="H614">
        <v>0</v>
      </c>
      <c r="I614" t="s">
        <v>16</v>
      </c>
    </row>
    <row r="615" spans="1:9" x14ac:dyDescent="0.25">
      <c r="A615" t="s">
        <v>13</v>
      </c>
      <c r="B615">
        <v>528047</v>
      </c>
      <c r="C615">
        <v>528673</v>
      </c>
      <c r="E615" t="s">
        <v>28</v>
      </c>
      <c r="F615" t="s">
        <v>1663</v>
      </c>
      <c r="H615">
        <v>0</v>
      </c>
      <c r="I615" t="s">
        <v>16</v>
      </c>
    </row>
    <row r="616" spans="1:9" x14ac:dyDescent="0.25">
      <c r="A616" t="s">
        <v>13</v>
      </c>
      <c r="B616">
        <v>528684</v>
      </c>
      <c r="C616">
        <v>529526</v>
      </c>
      <c r="E616" t="s">
        <v>28</v>
      </c>
      <c r="F616" t="s">
        <v>41</v>
      </c>
      <c r="H616">
        <v>0</v>
      </c>
      <c r="I616" t="s">
        <v>16</v>
      </c>
    </row>
    <row r="617" spans="1:9" x14ac:dyDescent="0.25">
      <c r="A617" t="s">
        <v>13</v>
      </c>
      <c r="B617">
        <v>529545</v>
      </c>
      <c r="C617">
        <v>530618</v>
      </c>
      <c r="E617" t="s">
        <v>14</v>
      </c>
      <c r="F617" t="s">
        <v>1668</v>
      </c>
      <c r="H617">
        <v>0</v>
      </c>
      <c r="I617" t="s">
        <v>16</v>
      </c>
    </row>
    <row r="618" spans="1:9" x14ac:dyDescent="0.25">
      <c r="A618" t="s">
        <v>13</v>
      </c>
      <c r="B618">
        <v>531033</v>
      </c>
      <c r="C618">
        <v>533987</v>
      </c>
      <c r="E618" t="s">
        <v>14</v>
      </c>
      <c r="F618" t="s">
        <v>1671</v>
      </c>
      <c r="H618">
        <v>0</v>
      </c>
      <c r="I618" t="s">
        <v>16</v>
      </c>
    </row>
    <row r="619" spans="1:9" x14ac:dyDescent="0.25">
      <c r="A619" t="s">
        <v>13</v>
      </c>
      <c r="B619">
        <v>533961</v>
      </c>
      <c r="C619">
        <v>534146</v>
      </c>
      <c r="E619" t="s">
        <v>28</v>
      </c>
      <c r="F619" t="s">
        <v>41</v>
      </c>
      <c r="H619">
        <v>0</v>
      </c>
      <c r="I619" t="s">
        <v>16</v>
      </c>
    </row>
    <row r="620" spans="1:9" x14ac:dyDescent="0.25">
      <c r="A620" t="s">
        <v>13</v>
      </c>
      <c r="B620">
        <v>534385</v>
      </c>
      <c r="C620">
        <v>535947</v>
      </c>
      <c r="E620" t="s">
        <v>28</v>
      </c>
      <c r="F620" t="s">
        <v>1676</v>
      </c>
      <c r="H620">
        <v>0</v>
      </c>
      <c r="I620" t="s">
        <v>16</v>
      </c>
    </row>
    <row r="621" spans="1:9" x14ac:dyDescent="0.25">
      <c r="A621" t="s">
        <v>13</v>
      </c>
      <c r="B621">
        <v>536045</v>
      </c>
      <c r="C621">
        <v>536803</v>
      </c>
      <c r="E621" t="s">
        <v>14</v>
      </c>
      <c r="F621" t="s">
        <v>1679</v>
      </c>
      <c r="H621">
        <v>0</v>
      </c>
      <c r="I621" t="s">
        <v>16</v>
      </c>
    </row>
    <row r="622" spans="1:9" x14ac:dyDescent="0.25">
      <c r="A622" t="s">
        <v>13</v>
      </c>
      <c r="B622">
        <v>536863</v>
      </c>
      <c r="C622">
        <v>537540</v>
      </c>
      <c r="E622" t="s">
        <v>14</v>
      </c>
      <c r="F622" t="s">
        <v>1682</v>
      </c>
      <c r="H622">
        <v>0</v>
      </c>
      <c r="I622" t="s">
        <v>16</v>
      </c>
    </row>
    <row r="623" spans="1:9" x14ac:dyDescent="0.25">
      <c r="A623" t="s">
        <v>13</v>
      </c>
      <c r="B623">
        <v>537540</v>
      </c>
      <c r="C623">
        <v>538850</v>
      </c>
      <c r="E623" t="s">
        <v>14</v>
      </c>
      <c r="F623" t="s">
        <v>1685</v>
      </c>
      <c r="H623">
        <v>0</v>
      </c>
      <c r="I623" t="s">
        <v>16</v>
      </c>
    </row>
    <row r="624" spans="1:9" x14ac:dyDescent="0.25">
      <c r="A624" t="s">
        <v>13</v>
      </c>
      <c r="B624">
        <v>538807</v>
      </c>
      <c r="C624">
        <v>539550</v>
      </c>
      <c r="E624" t="s">
        <v>28</v>
      </c>
      <c r="F624" t="s">
        <v>1688</v>
      </c>
      <c r="H624">
        <v>0</v>
      </c>
      <c r="I624" t="s">
        <v>16</v>
      </c>
    </row>
    <row r="625" spans="1:9" x14ac:dyDescent="0.25">
      <c r="A625" t="s">
        <v>13</v>
      </c>
      <c r="B625">
        <v>539560</v>
      </c>
      <c r="C625">
        <v>540207</v>
      </c>
      <c r="E625" t="s">
        <v>28</v>
      </c>
      <c r="F625" t="s">
        <v>1691</v>
      </c>
      <c r="H625">
        <v>0</v>
      </c>
      <c r="I625" t="s">
        <v>16</v>
      </c>
    </row>
    <row r="626" spans="1:9" x14ac:dyDescent="0.25">
      <c r="A626" t="s">
        <v>13</v>
      </c>
      <c r="B626">
        <v>540256</v>
      </c>
      <c r="C626">
        <v>540882</v>
      </c>
      <c r="E626" t="s">
        <v>14</v>
      </c>
      <c r="F626" t="s">
        <v>1694</v>
      </c>
      <c r="H626">
        <v>0</v>
      </c>
      <c r="I626" t="s">
        <v>16</v>
      </c>
    </row>
    <row r="627" spans="1:9" x14ac:dyDescent="0.25">
      <c r="A627" t="s">
        <v>13</v>
      </c>
      <c r="B627">
        <v>540897</v>
      </c>
      <c r="C627">
        <v>541604</v>
      </c>
      <c r="E627" t="s">
        <v>14</v>
      </c>
      <c r="F627" t="s">
        <v>1697</v>
      </c>
      <c r="H627">
        <v>0</v>
      </c>
      <c r="I627" t="s">
        <v>16</v>
      </c>
    </row>
    <row r="628" spans="1:9" x14ac:dyDescent="0.25">
      <c r="A628" t="s">
        <v>13</v>
      </c>
      <c r="B628">
        <v>541606</v>
      </c>
      <c r="C628">
        <v>542421</v>
      </c>
      <c r="E628" t="s">
        <v>14</v>
      </c>
      <c r="F628" t="s">
        <v>423</v>
      </c>
      <c r="H628">
        <v>0</v>
      </c>
      <c r="I628" t="s">
        <v>16</v>
      </c>
    </row>
    <row r="629" spans="1:9" x14ac:dyDescent="0.25">
      <c r="A629" t="s">
        <v>13</v>
      </c>
      <c r="B629">
        <v>542460</v>
      </c>
      <c r="C629">
        <v>543332</v>
      </c>
      <c r="E629" t="s">
        <v>14</v>
      </c>
      <c r="F629" t="s">
        <v>41</v>
      </c>
      <c r="H629">
        <v>0</v>
      </c>
      <c r="I629" t="s">
        <v>16</v>
      </c>
    </row>
    <row r="630" spans="1:9" x14ac:dyDescent="0.25">
      <c r="A630" t="s">
        <v>13</v>
      </c>
      <c r="B630">
        <v>543471</v>
      </c>
      <c r="C630">
        <v>545099</v>
      </c>
      <c r="E630" t="s">
        <v>28</v>
      </c>
      <c r="F630" t="s">
        <v>68</v>
      </c>
      <c r="H630">
        <v>0</v>
      </c>
      <c r="I630" t="s">
        <v>16</v>
      </c>
    </row>
    <row r="631" spans="1:9" x14ac:dyDescent="0.25">
      <c r="A631" t="s">
        <v>13</v>
      </c>
      <c r="B631">
        <v>545144</v>
      </c>
      <c r="C631">
        <v>545305</v>
      </c>
      <c r="E631" t="s">
        <v>28</v>
      </c>
      <c r="F631" t="s">
        <v>41</v>
      </c>
      <c r="H631">
        <v>0</v>
      </c>
      <c r="I631" t="s">
        <v>16</v>
      </c>
    </row>
    <row r="632" spans="1:9" x14ac:dyDescent="0.25">
      <c r="A632" t="s">
        <v>13</v>
      </c>
      <c r="B632">
        <v>545325</v>
      </c>
      <c r="C632">
        <v>545450</v>
      </c>
      <c r="E632" t="s">
        <v>28</v>
      </c>
      <c r="F632" t="s">
        <v>41</v>
      </c>
      <c r="H632">
        <v>0</v>
      </c>
      <c r="I632" t="s">
        <v>16</v>
      </c>
    </row>
    <row r="633" spans="1:9" x14ac:dyDescent="0.25">
      <c r="A633" t="s">
        <v>13</v>
      </c>
      <c r="B633">
        <v>545544</v>
      </c>
      <c r="C633">
        <v>546497</v>
      </c>
      <c r="E633" t="s">
        <v>28</v>
      </c>
      <c r="F633" t="s">
        <v>41</v>
      </c>
      <c r="H633">
        <v>0</v>
      </c>
      <c r="I633" t="s">
        <v>16</v>
      </c>
    </row>
    <row r="634" spans="1:9" x14ac:dyDescent="0.25">
      <c r="A634" t="s">
        <v>13</v>
      </c>
      <c r="B634">
        <v>546494</v>
      </c>
      <c r="C634">
        <v>547387</v>
      </c>
      <c r="E634" t="s">
        <v>28</v>
      </c>
      <c r="F634" t="s">
        <v>1712</v>
      </c>
      <c r="H634">
        <v>0</v>
      </c>
      <c r="I634" t="s">
        <v>16</v>
      </c>
    </row>
    <row r="635" spans="1:9" x14ac:dyDescent="0.25">
      <c r="A635" t="s">
        <v>13</v>
      </c>
      <c r="B635">
        <v>547422</v>
      </c>
      <c r="C635">
        <v>549527</v>
      </c>
      <c r="E635" t="s">
        <v>14</v>
      </c>
      <c r="F635" t="s">
        <v>1348</v>
      </c>
      <c r="H635">
        <v>0</v>
      </c>
      <c r="I635" t="s">
        <v>16</v>
      </c>
    </row>
    <row r="636" spans="1:9" x14ac:dyDescent="0.25">
      <c r="A636" t="s">
        <v>13</v>
      </c>
      <c r="B636">
        <v>549538</v>
      </c>
      <c r="C636">
        <v>550251</v>
      </c>
      <c r="E636" t="s">
        <v>14</v>
      </c>
      <c r="F636" t="s">
        <v>41</v>
      </c>
      <c r="H636">
        <v>0</v>
      </c>
      <c r="I636" t="s">
        <v>16</v>
      </c>
    </row>
    <row r="637" spans="1:9" x14ac:dyDescent="0.25">
      <c r="A637" t="s">
        <v>13</v>
      </c>
      <c r="B637">
        <v>550935</v>
      </c>
      <c r="C637">
        <v>551357</v>
      </c>
      <c r="E637" t="s">
        <v>28</v>
      </c>
      <c r="F637" t="s">
        <v>1719</v>
      </c>
      <c r="H637">
        <v>0</v>
      </c>
      <c r="I637" t="s">
        <v>16</v>
      </c>
    </row>
    <row r="638" spans="1:9" x14ac:dyDescent="0.25">
      <c r="A638" t="s">
        <v>13</v>
      </c>
      <c r="B638">
        <v>551375</v>
      </c>
      <c r="C638">
        <v>551521</v>
      </c>
      <c r="E638" t="s">
        <v>14</v>
      </c>
      <c r="F638" t="s">
        <v>41</v>
      </c>
      <c r="H638">
        <v>0</v>
      </c>
      <c r="I638" t="s">
        <v>16</v>
      </c>
    </row>
    <row r="639" spans="1:9" x14ac:dyDescent="0.25">
      <c r="A639" t="s">
        <v>13</v>
      </c>
      <c r="B639">
        <v>551614</v>
      </c>
      <c r="C639">
        <v>552528</v>
      </c>
      <c r="E639" t="s">
        <v>28</v>
      </c>
      <c r="F639" t="s">
        <v>1724</v>
      </c>
      <c r="H639">
        <v>0</v>
      </c>
      <c r="I639" t="s">
        <v>16</v>
      </c>
    </row>
    <row r="640" spans="1:9" x14ac:dyDescent="0.25">
      <c r="A640" t="s">
        <v>13</v>
      </c>
      <c r="B640">
        <v>552528</v>
      </c>
      <c r="C640">
        <v>553004</v>
      </c>
      <c r="E640" t="s">
        <v>28</v>
      </c>
      <c r="F640" t="s">
        <v>41</v>
      </c>
      <c r="H640">
        <v>0</v>
      </c>
      <c r="I640" t="s">
        <v>16</v>
      </c>
    </row>
    <row r="641" spans="1:9" x14ac:dyDescent="0.25">
      <c r="A641" t="s">
        <v>13</v>
      </c>
      <c r="B641">
        <v>553001</v>
      </c>
      <c r="C641">
        <v>554407</v>
      </c>
      <c r="E641" t="s">
        <v>28</v>
      </c>
      <c r="F641" t="s">
        <v>1729</v>
      </c>
      <c r="H641">
        <v>0</v>
      </c>
      <c r="I641" t="s">
        <v>16</v>
      </c>
    </row>
    <row r="642" spans="1:9" x14ac:dyDescent="0.25">
      <c r="A642" t="s">
        <v>13</v>
      </c>
      <c r="B642">
        <v>554461</v>
      </c>
      <c r="C642">
        <v>555189</v>
      </c>
      <c r="E642" t="s">
        <v>14</v>
      </c>
      <c r="F642" t="s">
        <v>1732</v>
      </c>
      <c r="H642">
        <v>0</v>
      </c>
      <c r="I642" t="s">
        <v>16</v>
      </c>
    </row>
    <row r="643" spans="1:9" x14ac:dyDescent="0.25">
      <c r="A643" t="s">
        <v>13</v>
      </c>
      <c r="B643">
        <v>555190</v>
      </c>
      <c r="C643">
        <v>556578</v>
      </c>
      <c r="E643" t="s">
        <v>14</v>
      </c>
      <c r="F643" t="s">
        <v>1724</v>
      </c>
      <c r="H643">
        <v>0</v>
      </c>
      <c r="I643" t="s">
        <v>16</v>
      </c>
    </row>
    <row r="644" spans="1:9" x14ac:dyDescent="0.25">
      <c r="A644" t="s">
        <v>13</v>
      </c>
      <c r="B644">
        <v>556525</v>
      </c>
      <c r="C644">
        <v>557343</v>
      </c>
      <c r="E644" t="s">
        <v>28</v>
      </c>
      <c r="F644" t="s">
        <v>1737</v>
      </c>
      <c r="H644">
        <v>0</v>
      </c>
      <c r="I644" t="s">
        <v>16</v>
      </c>
    </row>
    <row r="645" spans="1:9" x14ac:dyDescent="0.25">
      <c r="A645" t="s">
        <v>13</v>
      </c>
      <c r="B645">
        <v>557306</v>
      </c>
      <c r="C645">
        <v>557893</v>
      </c>
      <c r="E645" t="s">
        <v>28</v>
      </c>
      <c r="F645" t="s">
        <v>1740</v>
      </c>
      <c r="H645">
        <v>0</v>
      </c>
      <c r="I645" t="s">
        <v>16</v>
      </c>
    </row>
    <row r="646" spans="1:9" x14ac:dyDescent="0.25">
      <c r="A646" t="s">
        <v>13</v>
      </c>
      <c r="B646">
        <v>557903</v>
      </c>
      <c r="C646">
        <v>559195</v>
      </c>
      <c r="E646" t="s">
        <v>28</v>
      </c>
      <c r="F646" t="s">
        <v>1743</v>
      </c>
      <c r="H646">
        <v>0</v>
      </c>
      <c r="I646" t="s">
        <v>16</v>
      </c>
    </row>
    <row r="647" spans="1:9" x14ac:dyDescent="0.25">
      <c r="A647" t="s">
        <v>13</v>
      </c>
      <c r="B647">
        <v>559192</v>
      </c>
      <c r="C647">
        <v>559440</v>
      </c>
      <c r="E647" t="s">
        <v>28</v>
      </c>
      <c r="F647" t="s">
        <v>1746</v>
      </c>
      <c r="H647">
        <v>0</v>
      </c>
      <c r="I647" t="s">
        <v>16</v>
      </c>
    </row>
    <row r="648" spans="1:9" x14ac:dyDescent="0.25">
      <c r="A648" t="s">
        <v>13</v>
      </c>
      <c r="B648">
        <v>559446</v>
      </c>
      <c r="C648">
        <v>559685</v>
      </c>
      <c r="E648" t="s">
        <v>28</v>
      </c>
      <c r="F648" t="s">
        <v>1749</v>
      </c>
      <c r="H648">
        <v>0</v>
      </c>
      <c r="I648" t="s">
        <v>16</v>
      </c>
    </row>
    <row r="649" spans="1:9" x14ac:dyDescent="0.25">
      <c r="A649" t="s">
        <v>13</v>
      </c>
      <c r="B649">
        <v>559784</v>
      </c>
      <c r="C649">
        <v>559930</v>
      </c>
      <c r="E649" t="s">
        <v>28</v>
      </c>
      <c r="F649" t="s">
        <v>1752</v>
      </c>
      <c r="H649">
        <v>0</v>
      </c>
      <c r="I649" t="s">
        <v>16</v>
      </c>
    </row>
    <row r="650" spans="1:9" x14ac:dyDescent="0.25">
      <c r="A650" t="s">
        <v>13</v>
      </c>
      <c r="B650">
        <v>560093</v>
      </c>
      <c r="C650">
        <v>560854</v>
      </c>
      <c r="E650" t="s">
        <v>14</v>
      </c>
      <c r="F650" t="s">
        <v>1602</v>
      </c>
      <c r="H650">
        <v>0</v>
      </c>
      <c r="I650" t="s">
        <v>16</v>
      </c>
    </row>
    <row r="651" spans="1:9" x14ac:dyDescent="0.25">
      <c r="A651" t="s">
        <v>13</v>
      </c>
      <c r="B651">
        <v>560851</v>
      </c>
      <c r="C651">
        <v>562785</v>
      </c>
      <c r="E651" t="s">
        <v>14</v>
      </c>
      <c r="F651" t="s">
        <v>1757</v>
      </c>
      <c r="H651">
        <v>0</v>
      </c>
      <c r="I651" t="s">
        <v>16</v>
      </c>
    </row>
    <row r="652" spans="1:9" x14ac:dyDescent="0.25">
      <c r="A652" t="s">
        <v>13</v>
      </c>
      <c r="B652">
        <v>562782</v>
      </c>
      <c r="C652">
        <v>563675</v>
      </c>
      <c r="E652" t="s">
        <v>14</v>
      </c>
      <c r="F652" t="s">
        <v>1608</v>
      </c>
      <c r="H652">
        <v>0</v>
      </c>
      <c r="I652" t="s">
        <v>16</v>
      </c>
    </row>
    <row r="653" spans="1:9" x14ac:dyDescent="0.25">
      <c r="A653" t="s">
        <v>13</v>
      </c>
      <c r="B653">
        <v>563672</v>
      </c>
      <c r="C653">
        <v>564739</v>
      </c>
      <c r="E653" t="s">
        <v>14</v>
      </c>
      <c r="F653" t="s">
        <v>1762</v>
      </c>
      <c r="H653">
        <v>0</v>
      </c>
      <c r="I653" t="s">
        <v>16</v>
      </c>
    </row>
    <row r="654" spans="1:9" x14ac:dyDescent="0.25">
      <c r="A654" t="s">
        <v>13</v>
      </c>
      <c r="B654">
        <v>564753</v>
      </c>
      <c r="C654">
        <v>565949</v>
      </c>
      <c r="E654" t="s">
        <v>14</v>
      </c>
      <c r="F654" t="s">
        <v>1765</v>
      </c>
      <c r="H654">
        <v>0</v>
      </c>
      <c r="I654" t="s">
        <v>16</v>
      </c>
    </row>
    <row r="655" spans="1:9" x14ac:dyDescent="0.25">
      <c r="A655" t="s">
        <v>13</v>
      </c>
      <c r="B655">
        <v>566006</v>
      </c>
      <c r="C655">
        <v>566839</v>
      </c>
      <c r="E655" t="s">
        <v>14</v>
      </c>
      <c r="F655" t="s">
        <v>1599</v>
      </c>
      <c r="H655">
        <v>0</v>
      </c>
      <c r="I655" t="s">
        <v>16</v>
      </c>
    </row>
    <row r="656" spans="1:9" x14ac:dyDescent="0.25">
      <c r="A656" t="s">
        <v>13</v>
      </c>
      <c r="B656">
        <v>566895</v>
      </c>
      <c r="C656">
        <v>567632</v>
      </c>
      <c r="E656" t="s">
        <v>28</v>
      </c>
      <c r="F656" t="s">
        <v>1770</v>
      </c>
      <c r="H656">
        <v>0</v>
      </c>
      <c r="I656" t="s">
        <v>16</v>
      </c>
    </row>
    <row r="657" spans="1:9" x14ac:dyDescent="0.25">
      <c r="A657" t="s">
        <v>13</v>
      </c>
      <c r="B657">
        <v>567625</v>
      </c>
      <c r="C657">
        <v>568542</v>
      </c>
      <c r="E657" t="s">
        <v>28</v>
      </c>
      <c r="F657" t="s">
        <v>1773</v>
      </c>
      <c r="H657">
        <v>0</v>
      </c>
      <c r="I657" t="s">
        <v>16</v>
      </c>
    </row>
    <row r="658" spans="1:9" x14ac:dyDescent="0.25">
      <c r="A658" t="s">
        <v>13</v>
      </c>
      <c r="B658">
        <v>568542</v>
      </c>
      <c r="C658">
        <v>569510</v>
      </c>
      <c r="E658" t="s">
        <v>28</v>
      </c>
      <c r="F658" t="s">
        <v>1776</v>
      </c>
      <c r="H658">
        <v>0</v>
      </c>
      <c r="I658" t="s">
        <v>16</v>
      </c>
    </row>
    <row r="659" spans="1:9" x14ac:dyDescent="0.25">
      <c r="A659" t="s">
        <v>13</v>
      </c>
      <c r="B659">
        <v>569602</v>
      </c>
      <c r="C659">
        <v>569784</v>
      </c>
      <c r="E659" t="s">
        <v>28</v>
      </c>
      <c r="F659" t="s">
        <v>1779</v>
      </c>
      <c r="H659">
        <v>0</v>
      </c>
      <c r="I659" t="s">
        <v>16</v>
      </c>
    </row>
    <row r="660" spans="1:9" x14ac:dyDescent="0.25">
      <c r="A660" t="s">
        <v>13</v>
      </c>
      <c r="B660">
        <v>569845</v>
      </c>
      <c r="C660">
        <v>570366</v>
      </c>
      <c r="E660" t="s">
        <v>28</v>
      </c>
      <c r="F660" t="s">
        <v>1782</v>
      </c>
      <c r="H660">
        <v>0</v>
      </c>
      <c r="I660" t="s">
        <v>16</v>
      </c>
    </row>
    <row r="661" spans="1:9" x14ac:dyDescent="0.25">
      <c r="A661" t="s">
        <v>13</v>
      </c>
      <c r="B661">
        <v>570469</v>
      </c>
      <c r="C661">
        <v>571335</v>
      </c>
      <c r="E661" t="s">
        <v>14</v>
      </c>
      <c r="F661" t="s">
        <v>1785</v>
      </c>
      <c r="H661">
        <v>0</v>
      </c>
      <c r="I661" t="s">
        <v>16</v>
      </c>
    </row>
    <row r="662" spans="1:9" x14ac:dyDescent="0.25">
      <c r="A662" t="s">
        <v>13</v>
      </c>
      <c r="B662">
        <v>571550</v>
      </c>
      <c r="C662">
        <v>573178</v>
      </c>
      <c r="E662" t="s">
        <v>14</v>
      </c>
      <c r="F662" t="s">
        <v>68</v>
      </c>
      <c r="H662">
        <v>0</v>
      </c>
      <c r="I662" t="s">
        <v>16</v>
      </c>
    </row>
    <row r="663" spans="1:9" x14ac:dyDescent="0.25">
      <c r="A663" t="s">
        <v>13</v>
      </c>
      <c r="B663">
        <v>573193</v>
      </c>
      <c r="C663">
        <v>574356</v>
      </c>
      <c r="E663" t="s">
        <v>14</v>
      </c>
      <c r="F663" t="s">
        <v>41</v>
      </c>
      <c r="H663">
        <v>0</v>
      </c>
      <c r="I663" t="s">
        <v>16</v>
      </c>
    </row>
    <row r="664" spans="1:9" x14ac:dyDescent="0.25">
      <c r="A664" t="s">
        <v>13</v>
      </c>
      <c r="B664">
        <v>574450</v>
      </c>
      <c r="C664">
        <v>575427</v>
      </c>
      <c r="E664" t="s">
        <v>14</v>
      </c>
      <c r="F664" t="s">
        <v>41</v>
      </c>
      <c r="H664">
        <v>0</v>
      </c>
      <c r="I664" t="s">
        <v>16</v>
      </c>
    </row>
    <row r="665" spans="1:9" x14ac:dyDescent="0.25">
      <c r="A665" t="s">
        <v>13</v>
      </c>
      <c r="B665">
        <v>575529</v>
      </c>
      <c r="C665">
        <v>576278</v>
      </c>
      <c r="E665" t="s">
        <v>28</v>
      </c>
      <c r="F665" t="s">
        <v>1794</v>
      </c>
      <c r="H665">
        <v>0</v>
      </c>
      <c r="I665" t="s">
        <v>16</v>
      </c>
    </row>
    <row r="666" spans="1:9" x14ac:dyDescent="0.25">
      <c r="A666" t="s">
        <v>13</v>
      </c>
      <c r="B666">
        <v>576282</v>
      </c>
      <c r="C666">
        <v>579587</v>
      </c>
      <c r="E666" t="s">
        <v>28</v>
      </c>
      <c r="F666" t="s">
        <v>1797</v>
      </c>
      <c r="H666">
        <v>0</v>
      </c>
      <c r="I666" t="s">
        <v>16</v>
      </c>
    </row>
    <row r="667" spans="1:9" x14ac:dyDescent="0.25">
      <c r="A667" t="s">
        <v>13</v>
      </c>
      <c r="B667">
        <v>579584</v>
      </c>
      <c r="C667">
        <v>580762</v>
      </c>
      <c r="E667" t="s">
        <v>28</v>
      </c>
      <c r="F667" t="s">
        <v>41</v>
      </c>
      <c r="H667">
        <v>0</v>
      </c>
      <c r="I667" t="s">
        <v>16</v>
      </c>
    </row>
    <row r="668" spans="1:9" x14ac:dyDescent="0.25">
      <c r="A668" t="s">
        <v>13</v>
      </c>
      <c r="B668">
        <v>580766</v>
      </c>
      <c r="C668">
        <v>581728</v>
      </c>
      <c r="E668" t="s">
        <v>28</v>
      </c>
      <c r="F668" t="s">
        <v>1802</v>
      </c>
      <c r="H668">
        <v>0</v>
      </c>
      <c r="I668" t="s">
        <v>16</v>
      </c>
    </row>
    <row r="669" spans="1:9" x14ac:dyDescent="0.25">
      <c r="A669" t="s">
        <v>13</v>
      </c>
      <c r="B669">
        <v>581725</v>
      </c>
      <c r="C669">
        <v>582990</v>
      </c>
      <c r="E669" t="s">
        <v>28</v>
      </c>
      <c r="F669" t="s">
        <v>1805</v>
      </c>
      <c r="H669">
        <v>0</v>
      </c>
      <c r="I669" t="s">
        <v>16</v>
      </c>
    </row>
    <row r="670" spans="1:9" x14ac:dyDescent="0.25">
      <c r="A670" t="s">
        <v>13</v>
      </c>
      <c r="B670">
        <v>582983</v>
      </c>
      <c r="C670">
        <v>583417</v>
      </c>
      <c r="E670" t="s">
        <v>28</v>
      </c>
      <c r="F670" t="s">
        <v>1808</v>
      </c>
      <c r="H670">
        <v>0</v>
      </c>
      <c r="I670" t="s">
        <v>16</v>
      </c>
    </row>
    <row r="671" spans="1:9" x14ac:dyDescent="0.25">
      <c r="A671" t="s">
        <v>13</v>
      </c>
      <c r="B671">
        <v>583540</v>
      </c>
      <c r="C671">
        <v>584832</v>
      </c>
      <c r="E671" t="s">
        <v>14</v>
      </c>
      <c r="F671" t="s">
        <v>1811</v>
      </c>
      <c r="H671">
        <v>0</v>
      </c>
      <c r="I671" t="s">
        <v>16</v>
      </c>
    </row>
    <row r="672" spans="1:9" x14ac:dyDescent="0.25">
      <c r="A672" t="s">
        <v>13</v>
      </c>
      <c r="B672">
        <v>584819</v>
      </c>
      <c r="C672">
        <v>585187</v>
      </c>
      <c r="E672" t="s">
        <v>14</v>
      </c>
      <c r="F672" t="s">
        <v>1814</v>
      </c>
      <c r="H672">
        <v>0</v>
      </c>
      <c r="I672" t="s">
        <v>16</v>
      </c>
    </row>
    <row r="673" spans="1:9" x14ac:dyDescent="0.25">
      <c r="A673" t="s">
        <v>13</v>
      </c>
      <c r="B673">
        <v>585184</v>
      </c>
      <c r="C673">
        <v>585843</v>
      </c>
      <c r="E673" t="s">
        <v>28</v>
      </c>
      <c r="F673" t="s">
        <v>41</v>
      </c>
      <c r="H673">
        <v>0</v>
      </c>
      <c r="I673" t="s">
        <v>16</v>
      </c>
    </row>
    <row r="674" spans="1:9" x14ac:dyDescent="0.25">
      <c r="A674" t="s">
        <v>13</v>
      </c>
      <c r="B674">
        <v>585840</v>
      </c>
      <c r="C674">
        <v>586691</v>
      </c>
      <c r="E674" t="s">
        <v>28</v>
      </c>
      <c r="F674" t="s">
        <v>1819</v>
      </c>
      <c r="H674">
        <v>0</v>
      </c>
      <c r="I674" t="s">
        <v>16</v>
      </c>
    </row>
    <row r="675" spans="1:9" x14ac:dyDescent="0.25">
      <c r="A675" t="s">
        <v>13</v>
      </c>
      <c r="B675">
        <v>586688</v>
      </c>
      <c r="C675">
        <v>588598</v>
      </c>
      <c r="E675" t="s">
        <v>28</v>
      </c>
      <c r="F675" t="s">
        <v>41</v>
      </c>
      <c r="H675">
        <v>0</v>
      </c>
      <c r="I675" t="s">
        <v>16</v>
      </c>
    </row>
    <row r="676" spans="1:9" x14ac:dyDescent="0.25">
      <c r="A676" t="s">
        <v>13</v>
      </c>
      <c r="B676">
        <v>588616</v>
      </c>
      <c r="C676">
        <v>589278</v>
      </c>
      <c r="E676" t="s">
        <v>14</v>
      </c>
      <c r="F676" t="s">
        <v>1824</v>
      </c>
      <c r="H676">
        <v>0</v>
      </c>
      <c r="I676" t="s">
        <v>16</v>
      </c>
    </row>
    <row r="677" spans="1:9" x14ac:dyDescent="0.25">
      <c r="A677" t="s">
        <v>13</v>
      </c>
      <c r="B677">
        <v>589281</v>
      </c>
      <c r="C677">
        <v>590255</v>
      </c>
      <c r="E677" t="s">
        <v>28</v>
      </c>
      <c r="F677" t="s">
        <v>1827</v>
      </c>
      <c r="H677">
        <v>0</v>
      </c>
      <c r="I677" t="s">
        <v>16</v>
      </c>
    </row>
    <row r="678" spans="1:9" x14ac:dyDescent="0.25">
      <c r="A678" t="s">
        <v>13</v>
      </c>
      <c r="B678">
        <v>590239</v>
      </c>
      <c r="C678">
        <v>592071</v>
      </c>
      <c r="E678" t="s">
        <v>28</v>
      </c>
      <c r="F678" t="s">
        <v>1830</v>
      </c>
      <c r="H678">
        <v>0</v>
      </c>
      <c r="I678" t="s">
        <v>16</v>
      </c>
    </row>
    <row r="679" spans="1:9" x14ac:dyDescent="0.25">
      <c r="A679" t="s">
        <v>13</v>
      </c>
      <c r="B679">
        <v>592210</v>
      </c>
      <c r="C679">
        <v>594420</v>
      </c>
      <c r="E679" t="s">
        <v>28</v>
      </c>
      <c r="F679" t="s">
        <v>1833</v>
      </c>
      <c r="H679">
        <v>0</v>
      </c>
      <c r="I679" t="s">
        <v>16</v>
      </c>
    </row>
    <row r="680" spans="1:9" x14ac:dyDescent="0.25">
      <c r="A680" t="s">
        <v>13</v>
      </c>
      <c r="B680">
        <v>594498</v>
      </c>
      <c r="C680">
        <v>594788</v>
      </c>
      <c r="E680" t="s">
        <v>28</v>
      </c>
      <c r="F680" t="s">
        <v>41</v>
      </c>
      <c r="H680">
        <v>0</v>
      </c>
      <c r="I680" t="s">
        <v>16</v>
      </c>
    </row>
    <row r="681" spans="1:9" x14ac:dyDescent="0.25">
      <c r="A681" t="s">
        <v>13</v>
      </c>
      <c r="B681">
        <v>594797</v>
      </c>
      <c r="C681">
        <v>596512</v>
      </c>
      <c r="E681" t="s">
        <v>28</v>
      </c>
      <c r="F681" t="s">
        <v>1838</v>
      </c>
      <c r="H681">
        <v>0</v>
      </c>
      <c r="I681" t="s">
        <v>16</v>
      </c>
    </row>
    <row r="682" spans="1:9" x14ac:dyDescent="0.25">
      <c r="A682" t="s">
        <v>13</v>
      </c>
      <c r="B682">
        <v>596481</v>
      </c>
      <c r="C682">
        <v>596756</v>
      </c>
      <c r="E682" t="s">
        <v>28</v>
      </c>
      <c r="F682" t="s">
        <v>1841</v>
      </c>
      <c r="H682">
        <v>0</v>
      </c>
      <c r="I682" t="s">
        <v>16</v>
      </c>
    </row>
    <row r="683" spans="1:9" x14ac:dyDescent="0.25">
      <c r="A683" t="s">
        <v>13</v>
      </c>
      <c r="B683">
        <v>596759</v>
      </c>
      <c r="C683">
        <v>597916</v>
      </c>
      <c r="E683" t="s">
        <v>28</v>
      </c>
      <c r="F683" t="s">
        <v>1844</v>
      </c>
      <c r="H683">
        <v>0</v>
      </c>
      <c r="I683" t="s">
        <v>16</v>
      </c>
    </row>
    <row r="684" spans="1:9" x14ac:dyDescent="0.25">
      <c r="A684" t="s">
        <v>13</v>
      </c>
      <c r="B684">
        <v>597925</v>
      </c>
      <c r="C684">
        <v>598350</v>
      </c>
      <c r="E684" t="s">
        <v>28</v>
      </c>
      <c r="F684" t="s">
        <v>1847</v>
      </c>
      <c r="H684">
        <v>0</v>
      </c>
      <c r="I684" t="s">
        <v>16</v>
      </c>
    </row>
    <row r="685" spans="1:9" x14ac:dyDescent="0.25">
      <c r="A685" t="s">
        <v>13</v>
      </c>
      <c r="B685">
        <v>598943</v>
      </c>
      <c r="C685">
        <v>599176</v>
      </c>
      <c r="E685" t="s">
        <v>14</v>
      </c>
      <c r="F685" t="s">
        <v>41</v>
      </c>
      <c r="H685">
        <v>0</v>
      </c>
      <c r="I685" t="s">
        <v>16</v>
      </c>
    </row>
    <row r="686" spans="1:9" x14ac:dyDescent="0.25">
      <c r="A686" t="s">
        <v>13</v>
      </c>
      <c r="B686">
        <v>599267</v>
      </c>
      <c r="C686">
        <v>600832</v>
      </c>
      <c r="E686" t="s">
        <v>14</v>
      </c>
      <c r="F686" t="s">
        <v>1453</v>
      </c>
      <c r="H686">
        <v>0</v>
      </c>
      <c r="I686" t="s">
        <v>16</v>
      </c>
    </row>
    <row r="687" spans="1:9" x14ac:dyDescent="0.25">
      <c r="A687" t="s">
        <v>13</v>
      </c>
      <c r="B687">
        <v>601010</v>
      </c>
      <c r="C687">
        <v>602161</v>
      </c>
      <c r="E687" t="s">
        <v>14</v>
      </c>
      <c r="F687" t="s">
        <v>1854</v>
      </c>
      <c r="H687">
        <v>0</v>
      </c>
      <c r="I687" t="s">
        <v>16</v>
      </c>
    </row>
    <row r="688" spans="1:9" x14ac:dyDescent="0.25">
      <c r="A688" t="s">
        <v>13</v>
      </c>
      <c r="B688">
        <v>602161</v>
      </c>
      <c r="C688">
        <v>602745</v>
      </c>
      <c r="E688" t="s">
        <v>14</v>
      </c>
      <c r="F688" t="s">
        <v>1857</v>
      </c>
      <c r="H688">
        <v>0</v>
      </c>
      <c r="I688" t="s">
        <v>16</v>
      </c>
    </row>
    <row r="689" spans="1:9" x14ac:dyDescent="0.25">
      <c r="A689" t="s">
        <v>13</v>
      </c>
      <c r="B689">
        <v>602745</v>
      </c>
      <c r="C689">
        <v>603944</v>
      </c>
      <c r="E689" t="s">
        <v>14</v>
      </c>
      <c r="F689" t="s">
        <v>1860</v>
      </c>
      <c r="H689">
        <v>0</v>
      </c>
      <c r="I689" t="s">
        <v>16</v>
      </c>
    </row>
    <row r="690" spans="1:9" x14ac:dyDescent="0.25">
      <c r="A690" t="s">
        <v>13</v>
      </c>
      <c r="B690">
        <v>603949</v>
      </c>
      <c r="C690">
        <v>606069</v>
      </c>
      <c r="E690" t="s">
        <v>14</v>
      </c>
      <c r="F690" t="s">
        <v>41</v>
      </c>
      <c r="H690">
        <v>0</v>
      </c>
      <c r="I690" t="s">
        <v>16</v>
      </c>
    </row>
    <row r="691" spans="1:9" x14ac:dyDescent="0.25">
      <c r="A691" t="s">
        <v>13</v>
      </c>
      <c r="B691">
        <v>606127</v>
      </c>
      <c r="C691">
        <v>606480</v>
      </c>
      <c r="E691" t="s">
        <v>14</v>
      </c>
      <c r="F691" t="s">
        <v>41</v>
      </c>
      <c r="H691">
        <v>0</v>
      </c>
      <c r="I691" t="s">
        <v>16</v>
      </c>
    </row>
    <row r="692" spans="1:9" x14ac:dyDescent="0.25">
      <c r="A692" t="s">
        <v>13</v>
      </c>
      <c r="B692">
        <v>606455</v>
      </c>
      <c r="C692">
        <v>606922</v>
      </c>
      <c r="E692" t="s">
        <v>28</v>
      </c>
      <c r="F692" t="s">
        <v>1867</v>
      </c>
      <c r="H692">
        <v>0</v>
      </c>
      <c r="I692" t="s">
        <v>16</v>
      </c>
    </row>
    <row r="693" spans="1:9" x14ac:dyDescent="0.25">
      <c r="A693" t="s">
        <v>13</v>
      </c>
      <c r="B693">
        <v>606919</v>
      </c>
      <c r="C693">
        <v>607347</v>
      </c>
      <c r="E693" t="s">
        <v>28</v>
      </c>
      <c r="F693" t="s">
        <v>1870</v>
      </c>
      <c r="H693">
        <v>0</v>
      </c>
      <c r="I693" t="s">
        <v>16</v>
      </c>
    </row>
    <row r="694" spans="1:9" x14ac:dyDescent="0.25">
      <c r="A694" t="s">
        <v>13</v>
      </c>
      <c r="B694">
        <v>607358</v>
      </c>
      <c r="C694">
        <v>609013</v>
      </c>
      <c r="E694" t="s">
        <v>28</v>
      </c>
      <c r="F694" t="s">
        <v>1873</v>
      </c>
      <c r="H694">
        <v>0</v>
      </c>
      <c r="I694" t="s">
        <v>16</v>
      </c>
    </row>
    <row r="695" spans="1:9" x14ac:dyDescent="0.25">
      <c r="A695" t="s">
        <v>13</v>
      </c>
      <c r="B695">
        <v>609128</v>
      </c>
      <c r="C695">
        <v>609994</v>
      </c>
      <c r="E695" t="s">
        <v>28</v>
      </c>
      <c r="F695" t="s">
        <v>1876</v>
      </c>
      <c r="H695">
        <v>0</v>
      </c>
      <c r="I695" t="s">
        <v>16</v>
      </c>
    </row>
    <row r="696" spans="1:9" x14ac:dyDescent="0.25">
      <c r="A696" t="s">
        <v>13</v>
      </c>
      <c r="B696">
        <v>609994</v>
      </c>
      <c r="C696">
        <v>611472</v>
      </c>
      <c r="E696" t="s">
        <v>28</v>
      </c>
      <c r="F696" t="s">
        <v>1879</v>
      </c>
      <c r="H696">
        <v>0</v>
      </c>
      <c r="I696" t="s">
        <v>16</v>
      </c>
    </row>
    <row r="697" spans="1:9" x14ac:dyDescent="0.25">
      <c r="A697" t="s">
        <v>13</v>
      </c>
      <c r="B697">
        <v>611469</v>
      </c>
      <c r="C697">
        <v>611939</v>
      </c>
      <c r="E697" t="s">
        <v>28</v>
      </c>
      <c r="F697" t="s">
        <v>1882</v>
      </c>
      <c r="H697">
        <v>0</v>
      </c>
      <c r="I697" t="s">
        <v>16</v>
      </c>
    </row>
    <row r="698" spans="1:9" x14ac:dyDescent="0.25">
      <c r="A698" t="s">
        <v>13</v>
      </c>
      <c r="B698">
        <v>612003</v>
      </c>
      <c r="C698">
        <v>612365</v>
      </c>
      <c r="E698" t="s">
        <v>28</v>
      </c>
      <c r="F698" t="s">
        <v>41</v>
      </c>
      <c r="H698">
        <v>0</v>
      </c>
      <c r="I698" t="s">
        <v>16</v>
      </c>
    </row>
    <row r="699" spans="1:9" x14ac:dyDescent="0.25">
      <c r="A699" t="s">
        <v>13</v>
      </c>
      <c r="B699">
        <v>612370</v>
      </c>
      <c r="C699">
        <v>612717</v>
      </c>
      <c r="E699" t="s">
        <v>28</v>
      </c>
      <c r="F699" t="s">
        <v>1887</v>
      </c>
      <c r="H699">
        <v>0</v>
      </c>
      <c r="I699" t="s">
        <v>16</v>
      </c>
    </row>
    <row r="700" spans="1:9" x14ac:dyDescent="0.25">
      <c r="A700" t="s">
        <v>13</v>
      </c>
      <c r="B700">
        <v>612723</v>
      </c>
      <c r="C700">
        <v>613139</v>
      </c>
      <c r="E700" t="s">
        <v>28</v>
      </c>
      <c r="F700" t="s">
        <v>1890</v>
      </c>
      <c r="H700">
        <v>0</v>
      </c>
      <c r="I700" t="s">
        <v>16</v>
      </c>
    </row>
    <row r="701" spans="1:9" x14ac:dyDescent="0.25">
      <c r="A701" t="s">
        <v>13</v>
      </c>
      <c r="B701">
        <v>613120</v>
      </c>
      <c r="C701">
        <v>615153</v>
      </c>
      <c r="E701" t="s">
        <v>28</v>
      </c>
      <c r="F701" t="s">
        <v>1893</v>
      </c>
      <c r="H701">
        <v>0</v>
      </c>
      <c r="I701" t="s">
        <v>16</v>
      </c>
    </row>
    <row r="702" spans="1:9" x14ac:dyDescent="0.25">
      <c r="A702" t="s">
        <v>13</v>
      </c>
      <c r="B702">
        <v>615147</v>
      </c>
      <c r="C702">
        <v>615539</v>
      </c>
      <c r="E702" t="s">
        <v>28</v>
      </c>
      <c r="F702" t="s">
        <v>41</v>
      </c>
      <c r="H702">
        <v>0</v>
      </c>
      <c r="I702" t="s">
        <v>16</v>
      </c>
    </row>
    <row r="703" spans="1:9" x14ac:dyDescent="0.25">
      <c r="A703" t="s">
        <v>13</v>
      </c>
      <c r="B703">
        <v>615536</v>
      </c>
      <c r="C703">
        <v>616513</v>
      </c>
      <c r="E703" t="s">
        <v>28</v>
      </c>
      <c r="F703" t="s">
        <v>41</v>
      </c>
      <c r="H703">
        <v>0</v>
      </c>
      <c r="I703" t="s">
        <v>16</v>
      </c>
    </row>
    <row r="704" spans="1:9" x14ac:dyDescent="0.25">
      <c r="A704" t="s">
        <v>13</v>
      </c>
      <c r="B704">
        <v>616516</v>
      </c>
      <c r="C704">
        <v>617784</v>
      </c>
      <c r="E704" t="s">
        <v>28</v>
      </c>
      <c r="F704" t="s">
        <v>41</v>
      </c>
      <c r="H704">
        <v>0</v>
      </c>
      <c r="I704" t="s">
        <v>16</v>
      </c>
    </row>
    <row r="705" spans="1:9" x14ac:dyDescent="0.25">
      <c r="A705" t="s">
        <v>13</v>
      </c>
      <c r="B705">
        <v>617838</v>
      </c>
      <c r="C705">
        <v>618635</v>
      </c>
      <c r="E705" t="s">
        <v>14</v>
      </c>
      <c r="F705" t="s">
        <v>1902</v>
      </c>
      <c r="H705">
        <v>0</v>
      </c>
      <c r="I705" t="s">
        <v>16</v>
      </c>
    </row>
    <row r="706" spans="1:9" x14ac:dyDescent="0.25">
      <c r="A706" t="s">
        <v>13</v>
      </c>
      <c r="B706">
        <v>618862</v>
      </c>
      <c r="C706">
        <v>621360</v>
      </c>
      <c r="E706" t="s">
        <v>14</v>
      </c>
      <c r="F706" t="s">
        <v>1905</v>
      </c>
      <c r="H706">
        <v>0</v>
      </c>
      <c r="I706" t="s">
        <v>16</v>
      </c>
    </row>
    <row r="707" spans="1:9" x14ac:dyDescent="0.25">
      <c r="A707" t="s">
        <v>13</v>
      </c>
      <c r="B707">
        <v>621477</v>
      </c>
      <c r="C707">
        <v>622664</v>
      </c>
      <c r="E707" t="s">
        <v>28</v>
      </c>
      <c r="F707" t="s">
        <v>41</v>
      </c>
      <c r="H707">
        <v>0</v>
      </c>
      <c r="I707" t="s">
        <v>16</v>
      </c>
    </row>
    <row r="708" spans="1:9" x14ac:dyDescent="0.25">
      <c r="A708" t="s">
        <v>13</v>
      </c>
      <c r="B708">
        <v>622742</v>
      </c>
      <c r="C708">
        <v>624052</v>
      </c>
      <c r="E708" t="s">
        <v>14</v>
      </c>
      <c r="F708" t="s">
        <v>1712</v>
      </c>
      <c r="H708">
        <v>0</v>
      </c>
      <c r="I708" t="s">
        <v>16</v>
      </c>
    </row>
    <row r="709" spans="1:9" x14ac:dyDescent="0.25">
      <c r="A709" t="s">
        <v>13</v>
      </c>
      <c r="B709">
        <v>624062</v>
      </c>
      <c r="C709">
        <v>624346</v>
      </c>
      <c r="E709" t="s">
        <v>14</v>
      </c>
      <c r="F709" t="s">
        <v>1912</v>
      </c>
      <c r="H709">
        <v>0</v>
      </c>
      <c r="I709" t="s">
        <v>16</v>
      </c>
    </row>
    <row r="710" spans="1:9" x14ac:dyDescent="0.25">
      <c r="A710" t="s">
        <v>13</v>
      </c>
      <c r="B710">
        <v>624328</v>
      </c>
      <c r="C710">
        <v>624726</v>
      </c>
      <c r="E710" t="s">
        <v>14</v>
      </c>
      <c r="F710" t="s">
        <v>1915</v>
      </c>
      <c r="H710">
        <v>0</v>
      </c>
      <c r="I710" t="s">
        <v>16</v>
      </c>
    </row>
    <row r="711" spans="1:9" x14ac:dyDescent="0.25">
      <c r="A711" t="s">
        <v>13</v>
      </c>
      <c r="B711">
        <v>624736</v>
      </c>
      <c r="C711">
        <v>625980</v>
      </c>
      <c r="E711" t="s">
        <v>14</v>
      </c>
      <c r="F711" t="s">
        <v>1918</v>
      </c>
      <c r="H711">
        <v>0</v>
      </c>
      <c r="I711" t="s">
        <v>16</v>
      </c>
    </row>
    <row r="712" spans="1:9" x14ac:dyDescent="0.25">
      <c r="A712" t="s">
        <v>13</v>
      </c>
      <c r="B712">
        <v>625982</v>
      </c>
      <c r="C712">
        <v>628195</v>
      </c>
      <c r="E712" t="s">
        <v>14</v>
      </c>
      <c r="F712" t="s">
        <v>1921</v>
      </c>
      <c r="H712">
        <v>0</v>
      </c>
      <c r="I712" t="s">
        <v>16</v>
      </c>
    </row>
    <row r="713" spans="1:9" x14ac:dyDescent="0.25">
      <c r="A713" t="s">
        <v>13</v>
      </c>
      <c r="B713">
        <v>628202</v>
      </c>
      <c r="C713">
        <v>629314</v>
      </c>
      <c r="E713" t="s">
        <v>28</v>
      </c>
      <c r="F713" t="s">
        <v>41</v>
      </c>
      <c r="H713">
        <v>0</v>
      </c>
      <c r="I713" t="s">
        <v>16</v>
      </c>
    </row>
    <row r="714" spans="1:9" x14ac:dyDescent="0.25">
      <c r="A714" t="s">
        <v>13</v>
      </c>
      <c r="B714">
        <v>629268</v>
      </c>
      <c r="C714">
        <v>630584</v>
      </c>
      <c r="E714" t="s">
        <v>28</v>
      </c>
      <c r="F714" t="s">
        <v>1926</v>
      </c>
      <c r="H714">
        <v>0</v>
      </c>
      <c r="I714" t="s">
        <v>16</v>
      </c>
    </row>
    <row r="715" spans="1:9" x14ac:dyDescent="0.25">
      <c r="A715" t="s">
        <v>13</v>
      </c>
      <c r="B715">
        <v>630564</v>
      </c>
      <c r="C715">
        <v>631166</v>
      </c>
      <c r="E715" t="s">
        <v>14</v>
      </c>
      <c r="F715" t="s">
        <v>1929</v>
      </c>
      <c r="H715">
        <v>0</v>
      </c>
      <c r="I715" t="s">
        <v>16</v>
      </c>
    </row>
    <row r="716" spans="1:9" x14ac:dyDescent="0.25">
      <c r="A716" t="s">
        <v>13</v>
      </c>
      <c r="B716">
        <v>631163</v>
      </c>
      <c r="C716">
        <v>631846</v>
      </c>
      <c r="E716" t="s">
        <v>14</v>
      </c>
      <c r="F716" t="s">
        <v>1932</v>
      </c>
      <c r="H716">
        <v>0</v>
      </c>
      <c r="I716" t="s">
        <v>16</v>
      </c>
    </row>
    <row r="717" spans="1:9" x14ac:dyDescent="0.25">
      <c r="A717" t="s">
        <v>13</v>
      </c>
      <c r="B717">
        <v>631856</v>
      </c>
      <c r="C717">
        <v>632263</v>
      </c>
      <c r="E717" t="s">
        <v>14</v>
      </c>
      <c r="F717" t="s">
        <v>1935</v>
      </c>
      <c r="H717">
        <v>0</v>
      </c>
      <c r="I717" t="s">
        <v>16</v>
      </c>
    </row>
    <row r="718" spans="1:9" x14ac:dyDescent="0.25">
      <c r="A718" t="s">
        <v>13</v>
      </c>
      <c r="B718">
        <v>632260</v>
      </c>
      <c r="C718">
        <v>632799</v>
      </c>
      <c r="E718" t="s">
        <v>14</v>
      </c>
      <c r="F718" t="s">
        <v>1938</v>
      </c>
      <c r="H718">
        <v>0</v>
      </c>
      <c r="I718" t="s">
        <v>16</v>
      </c>
    </row>
    <row r="719" spans="1:9" x14ac:dyDescent="0.25">
      <c r="A719" t="s">
        <v>13</v>
      </c>
      <c r="B719">
        <v>632809</v>
      </c>
      <c r="C719">
        <v>634233</v>
      </c>
      <c r="E719" t="s">
        <v>14</v>
      </c>
      <c r="F719" t="s">
        <v>443</v>
      </c>
      <c r="H719">
        <v>0</v>
      </c>
      <c r="I719" t="s">
        <v>16</v>
      </c>
    </row>
    <row r="720" spans="1:9" x14ac:dyDescent="0.25">
      <c r="A720" t="s">
        <v>13</v>
      </c>
      <c r="B720">
        <v>634441</v>
      </c>
      <c r="C720">
        <v>635373</v>
      </c>
      <c r="E720" t="s">
        <v>28</v>
      </c>
      <c r="F720" t="s">
        <v>1943</v>
      </c>
      <c r="H720">
        <v>0</v>
      </c>
      <c r="I720" t="s">
        <v>16</v>
      </c>
    </row>
    <row r="721" spans="1:9" x14ac:dyDescent="0.25">
      <c r="A721" t="s">
        <v>13</v>
      </c>
      <c r="B721">
        <v>635416</v>
      </c>
      <c r="C721">
        <v>635982</v>
      </c>
      <c r="E721" t="s">
        <v>28</v>
      </c>
      <c r="F721" t="s">
        <v>1946</v>
      </c>
      <c r="H721">
        <v>0</v>
      </c>
      <c r="I721" t="s">
        <v>16</v>
      </c>
    </row>
    <row r="722" spans="1:9" x14ac:dyDescent="0.25">
      <c r="A722" t="s">
        <v>13</v>
      </c>
      <c r="B722">
        <v>636049</v>
      </c>
      <c r="C722">
        <v>638463</v>
      </c>
      <c r="E722" t="s">
        <v>14</v>
      </c>
      <c r="F722" t="s">
        <v>772</v>
      </c>
      <c r="H722">
        <v>0</v>
      </c>
      <c r="I722" t="s">
        <v>16</v>
      </c>
    </row>
    <row r="723" spans="1:9" x14ac:dyDescent="0.25">
      <c r="A723" t="s">
        <v>13</v>
      </c>
      <c r="B723">
        <v>638460</v>
      </c>
      <c r="C723">
        <v>638912</v>
      </c>
      <c r="E723" t="s">
        <v>14</v>
      </c>
      <c r="F723" t="s">
        <v>1951</v>
      </c>
      <c r="H723">
        <v>0</v>
      </c>
      <c r="I723" t="s">
        <v>16</v>
      </c>
    </row>
    <row r="724" spans="1:9" x14ac:dyDescent="0.25">
      <c r="A724" t="s">
        <v>13</v>
      </c>
      <c r="B724">
        <v>638909</v>
      </c>
      <c r="C724">
        <v>639874</v>
      </c>
      <c r="E724" t="s">
        <v>14</v>
      </c>
      <c r="F724" t="s">
        <v>1954</v>
      </c>
      <c r="H724">
        <v>0</v>
      </c>
      <c r="I724" t="s">
        <v>16</v>
      </c>
    </row>
    <row r="725" spans="1:9" x14ac:dyDescent="0.25">
      <c r="A725" t="s">
        <v>13</v>
      </c>
      <c r="B725">
        <v>639853</v>
      </c>
      <c r="C725">
        <v>640299</v>
      </c>
      <c r="E725" t="s">
        <v>28</v>
      </c>
      <c r="F725" t="s">
        <v>1957</v>
      </c>
      <c r="H725">
        <v>0</v>
      </c>
      <c r="I725" t="s">
        <v>16</v>
      </c>
    </row>
    <row r="726" spans="1:9" x14ac:dyDescent="0.25">
      <c r="A726" t="s">
        <v>13</v>
      </c>
      <c r="B726">
        <v>640303</v>
      </c>
      <c r="C726">
        <v>642030</v>
      </c>
      <c r="E726" t="s">
        <v>28</v>
      </c>
      <c r="F726" t="s">
        <v>1960</v>
      </c>
      <c r="H726">
        <v>0</v>
      </c>
      <c r="I726" t="s">
        <v>16</v>
      </c>
    </row>
    <row r="727" spans="1:9" x14ac:dyDescent="0.25">
      <c r="A727" t="s">
        <v>13</v>
      </c>
      <c r="B727">
        <v>642080</v>
      </c>
      <c r="C727">
        <v>644221</v>
      </c>
      <c r="E727" t="s">
        <v>28</v>
      </c>
      <c r="F727" t="s">
        <v>727</v>
      </c>
      <c r="H727">
        <v>0</v>
      </c>
      <c r="I727" t="s">
        <v>16</v>
      </c>
    </row>
    <row r="728" spans="1:9" x14ac:dyDescent="0.25">
      <c r="A728" t="s">
        <v>13</v>
      </c>
      <c r="B728">
        <v>644280</v>
      </c>
      <c r="C728">
        <v>644597</v>
      </c>
      <c r="E728" t="s">
        <v>28</v>
      </c>
      <c r="F728" t="s">
        <v>1965</v>
      </c>
      <c r="H728">
        <v>0</v>
      </c>
      <c r="I728" t="s">
        <v>16</v>
      </c>
    </row>
    <row r="729" spans="1:9" x14ac:dyDescent="0.25">
      <c r="A729" t="s">
        <v>13</v>
      </c>
      <c r="B729">
        <v>644603</v>
      </c>
      <c r="C729">
        <v>645760</v>
      </c>
      <c r="E729" t="s">
        <v>28</v>
      </c>
      <c r="F729" t="s">
        <v>921</v>
      </c>
      <c r="H729">
        <v>0</v>
      </c>
      <c r="I729" t="s">
        <v>16</v>
      </c>
    </row>
    <row r="730" spans="1:9" x14ac:dyDescent="0.25">
      <c r="A730" t="s">
        <v>13</v>
      </c>
      <c r="B730">
        <v>645757</v>
      </c>
      <c r="C730">
        <v>646302</v>
      </c>
      <c r="E730" t="s">
        <v>28</v>
      </c>
      <c r="F730" t="s">
        <v>41</v>
      </c>
      <c r="H730">
        <v>0</v>
      </c>
      <c r="I730" t="s">
        <v>16</v>
      </c>
    </row>
    <row r="731" spans="1:9" x14ac:dyDescent="0.25">
      <c r="A731" t="s">
        <v>13</v>
      </c>
      <c r="B731">
        <v>646307</v>
      </c>
      <c r="C731">
        <v>647998</v>
      </c>
      <c r="E731" t="s">
        <v>28</v>
      </c>
      <c r="F731" t="s">
        <v>1972</v>
      </c>
      <c r="H731">
        <v>0</v>
      </c>
      <c r="I731" t="s">
        <v>16</v>
      </c>
    </row>
    <row r="732" spans="1:9" x14ac:dyDescent="0.25">
      <c r="A732" t="s">
        <v>13</v>
      </c>
      <c r="B732">
        <v>648000</v>
      </c>
      <c r="C732">
        <v>648512</v>
      </c>
      <c r="E732" t="s">
        <v>28</v>
      </c>
      <c r="F732" t="s">
        <v>1975</v>
      </c>
      <c r="H732">
        <v>0</v>
      </c>
      <c r="I732" t="s">
        <v>16</v>
      </c>
    </row>
    <row r="733" spans="1:9" x14ac:dyDescent="0.25">
      <c r="A733" t="s">
        <v>13</v>
      </c>
      <c r="B733">
        <v>648515</v>
      </c>
      <c r="C733">
        <v>648619</v>
      </c>
      <c r="E733" t="s">
        <v>28</v>
      </c>
      <c r="F733" t="s">
        <v>1978</v>
      </c>
      <c r="H733">
        <v>0</v>
      </c>
      <c r="I733" t="s">
        <v>16</v>
      </c>
    </row>
    <row r="734" spans="1:9" x14ac:dyDescent="0.25">
      <c r="A734" t="s">
        <v>13</v>
      </c>
      <c r="B734">
        <v>648788</v>
      </c>
      <c r="C734">
        <v>649378</v>
      </c>
      <c r="E734" t="s">
        <v>28</v>
      </c>
      <c r="F734" t="s">
        <v>1981</v>
      </c>
      <c r="H734">
        <v>0</v>
      </c>
      <c r="I734" t="s">
        <v>16</v>
      </c>
    </row>
    <row r="735" spans="1:9" x14ac:dyDescent="0.25">
      <c r="A735" t="s">
        <v>13</v>
      </c>
      <c r="B735">
        <v>649380</v>
      </c>
      <c r="C735">
        <v>649871</v>
      </c>
      <c r="E735" t="s">
        <v>28</v>
      </c>
      <c r="F735" t="s">
        <v>1981</v>
      </c>
      <c r="H735">
        <v>0</v>
      </c>
      <c r="I735" t="s">
        <v>16</v>
      </c>
    </row>
    <row r="736" spans="1:9" x14ac:dyDescent="0.25">
      <c r="A736" t="s">
        <v>13</v>
      </c>
      <c r="B736">
        <v>649889</v>
      </c>
      <c r="C736">
        <v>651211</v>
      </c>
      <c r="E736" t="s">
        <v>14</v>
      </c>
      <c r="F736" t="s">
        <v>1685</v>
      </c>
      <c r="H736">
        <v>0</v>
      </c>
      <c r="I736" t="s">
        <v>16</v>
      </c>
    </row>
    <row r="737" spans="1:9" x14ac:dyDescent="0.25">
      <c r="A737" t="s">
        <v>13</v>
      </c>
      <c r="B737">
        <v>651221</v>
      </c>
      <c r="C737">
        <v>652195</v>
      </c>
      <c r="E737" t="s">
        <v>14</v>
      </c>
      <c r="F737" t="s">
        <v>1988</v>
      </c>
      <c r="H737">
        <v>0</v>
      </c>
      <c r="I737" t="s">
        <v>16</v>
      </c>
    </row>
    <row r="738" spans="1:9" x14ac:dyDescent="0.25">
      <c r="A738" t="s">
        <v>13</v>
      </c>
      <c r="B738">
        <v>652234</v>
      </c>
      <c r="C738">
        <v>653121</v>
      </c>
      <c r="E738" t="s">
        <v>14</v>
      </c>
      <c r="F738" t="s">
        <v>1991</v>
      </c>
      <c r="H738">
        <v>0</v>
      </c>
      <c r="I738" t="s">
        <v>16</v>
      </c>
    </row>
    <row r="739" spans="1:9" x14ac:dyDescent="0.25">
      <c r="A739" t="s">
        <v>13</v>
      </c>
      <c r="B739">
        <v>653131</v>
      </c>
      <c r="C739">
        <v>653295</v>
      </c>
      <c r="E739" t="s">
        <v>14</v>
      </c>
      <c r="F739" t="s">
        <v>41</v>
      </c>
      <c r="H739">
        <v>0</v>
      </c>
      <c r="I739" t="s">
        <v>16</v>
      </c>
    </row>
    <row r="740" spans="1:9" x14ac:dyDescent="0.25">
      <c r="A740" t="s">
        <v>13</v>
      </c>
      <c r="B740">
        <v>653302</v>
      </c>
      <c r="C740">
        <v>654216</v>
      </c>
      <c r="E740" t="s">
        <v>14</v>
      </c>
      <c r="F740" t="s">
        <v>41</v>
      </c>
      <c r="H740">
        <v>0</v>
      </c>
      <c r="I740" t="s">
        <v>16</v>
      </c>
    </row>
    <row r="741" spans="1:9" x14ac:dyDescent="0.25">
      <c r="A741" t="s">
        <v>13</v>
      </c>
      <c r="B741">
        <v>654213</v>
      </c>
      <c r="C741">
        <v>654767</v>
      </c>
      <c r="E741" t="s">
        <v>14</v>
      </c>
      <c r="F741" t="s">
        <v>1998</v>
      </c>
      <c r="H741">
        <v>0</v>
      </c>
      <c r="I741" t="s">
        <v>16</v>
      </c>
    </row>
    <row r="742" spans="1:9" x14ac:dyDescent="0.25">
      <c r="A742" t="s">
        <v>13</v>
      </c>
      <c r="B742">
        <v>654874</v>
      </c>
      <c r="C742">
        <v>655371</v>
      </c>
      <c r="E742" t="s">
        <v>14</v>
      </c>
      <c r="F742" t="s">
        <v>2001</v>
      </c>
      <c r="H742">
        <v>0</v>
      </c>
      <c r="I742" t="s">
        <v>16</v>
      </c>
    </row>
    <row r="743" spans="1:9" x14ac:dyDescent="0.25">
      <c r="A743" t="s">
        <v>13</v>
      </c>
      <c r="B743">
        <v>655368</v>
      </c>
      <c r="C743">
        <v>656705</v>
      </c>
      <c r="E743" t="s">
        <v>14</v>
      </c>
      <c r="F743" t="s">
        <v>2004</v>
      </c>
      <c r="H743">
        <v>0</v>
      </c>
      <c r="I743" t="s">
        <v>16</v>
      </c>
    </row>
    <row r="744" spans="1:9" x14ac:dyDescent="0.25">
      <c r="A744" t="s">
        <v>13</v>
      </c>
      <c r="B744">
        <v>656715</v>
      </c>
      <c r="C744">
        <v>657047</v>
      </c>
      <c r="E744" t="s">
        <v>14</v>
      </c>
      <c r="F744" t="s">
        <v>41</v>
      </c>
      <c r="H744">
        <v>0</v>
      </c>
      <c r="I744" t="s">
        <v>16</v>
      </c>
    </row>
    <row r="745" spans="1:9" x14ac:dyDescent="0.25">
      <c r="A745" t="s">
        <v>13</v>
      </c>
      <c r="B745">
        <v>657040</v>
      </c>
      <c r="C745">
        <v>657495</v>
      </c>
      <c r="E745" t="s">
        <v>14</v>
      </c>
      <c r="F745" t="s">
        <v>2009</v>
      </c>
      <c r="H745">
        <v>0</v>
      </c>
      <c r="I745" t="s">
        <v>16</v>
      </c>
    </row>
    <row r="746" spans="1:9" x14ac:dyDescent="0.25">
      <c r="A746" t="s">
        <v>13</v>
      </c>
      <c r="B746">
        <v>657496</v>
      </c>
      <c r="C746">
        <v>658347</v>
      </c>
      <c r="E746" t="s">
        <v>14</v>
      </c>
      <c r="F746" t="s">
        <v>2012</v>
      </c>
      <c r="H746">
        <v>0</v>
      </c>
      <c r="I746" t="s">
        <v>16</v>
      </c>
    </row>
    <row r="747" spans="1:9" x14ac:dyDescent="0.25">
      <c r="A747" t="s">
        <v>13</v>
      </c>
      <c r="B747">
        <v>658331</v>
      </c>
      <c r="C747">
        <v>658786</v>
      </c>
      <c r="E747" t="s">
        <v>14</v>
      </c>
      <c r="F747" t="s">
        <v>41</v>
      </c>
      <c r="H747">
        <v>0</v>
      </c>
      <c r="I747" t="s">
        <v>16</v>
      </c>
    </row>
    <row r="748" spans="1:9" x14ac:dyDescent="0.25">
      <c r="A748" t="s">
        <v>13</v>
      </c>
      <c r="B748">
        <v>658765</v>
      </c>
      <c r="C748">
        <v>658965</v>
      </c>
      <c r="E748" t="s">
        <v>28</v>
      </c>
      <c r="F748" t="s">
        <v>41</v>
      </c>
      <c r="H748">
        <v>0</v>
      </c>
      <c r="I748" t="s">
        <v>16</v>
      </c>
    </row>
    <row r="749" spans="1:9" x14ac:dyDescent="0.25">
      <c r="A749" t="s">
        <v>13</v>
      </c>
      <c r="B749">
        <v>659040</v>
      </c>
      <c r="C749">
        <v>661025</v>
      </c>
      <c r="E749" t="s">
        <v>14</v>
      </c>
      <c r="F749" t="s">
        <v>2019</v>
      </c>
      <c r="H749">
        <v>0</v>
      </c>
      <c r="I749" t="s">
        <v>16</v>
      </c>
    </row>
    <row r="750" spans="1:9" x14ac:dyDescent="0.25">
      <c r="A750" t="s">
        <v>13</v>
      </c>
      <c r="B750">
        <v>661014</v>
      </c>
      <c r="C750">
        <v>661544</v>
      </c>
      <c r="E750" t="s">
        <v>28</v>
      </c>
      <c r="F750" t="s">
        <v>399</v>
      </c>
      <c r="H750">
        <v>0</v>
      </c>
      <c r="I750" t="s">
        <v>16</v>
      </c>
    </row>
    <row r="751" spans="1:9" x14ac:dyDescent="0.25">
      <c r="A751" t="s">
        <v>13</v>
      </c>
      <c r="B751">
        <v>661537</v>
      </c>
      <c r="C751">
        <v>662475</v>
      </c>
      <c r="E751" t="s">
        <v>28</v>
      </c>
      <c r="F751" t="s">
        <v>2024</v>
      </c>
      <c r="H751">
        <v>0</v>
      </c>
      <c r="I751" t="s">
        <v>16</v>
      </c>
    </row>
    <row r="752" spans="1:9" x14ac:dyDescent="0.25">
      <c r="A752" t="s">
        <v>13</v>
      </c>
      <c r="B752">
        <v>662506</v>
      </c>
      <c r="C752">
        <v>662649</v>
      </c>
      <c r="E752" t="s">
        <v>14</v>
      </c>
      <c r="F752" t="s">
        <v>2027</v>
      </c>
      <c r="H752">
        <v>0</v>
      </c>
      <c r="I752" t="s">
        <v>16</v>
      </c>
    </row>
    <row r="753" spans="1:9" x14ac:dyDescent="0.25">
      <c r="A753" t="s">
        <v>13</v>
      </c>
      <c r="B753">
        <v>662630</v>
      </c>
      <c r="C753">
        <v>664321</v>
      </c>
      <c r="E753" t="s">
        <v>28</v>
      </c>
      <c r="F753" t="s">
        <v>1453</v>
      </c>
      <c r="H753">
        <v>0</v>
      </c>
      <c r="I753" t="s">
        <v>16</v>
      </c>
    </row>
    <row r="754" spans="1:9" x14ac:dyDescent="0.25">
      <c r="A754" t="s">
        <v>13</v>
      </c>
      <c r="B754">
        <v>664410</v>
      </c>
      <c r="C754">
        <v>665249</v>
      </c>
      <c r="E754" t="s">
        <v>28</v>
      </c>
      <c r="F754" t="s">
        <v>2032</v>
      </c>
      <c r="H754">
        <v>0</v>
      </c>
      <c r="I754" t="s">
        <v>16</v>
      </c>
    </row>
    <row r="755" spans="1:9" x14ac:dyDescent="0.25">
      <c r="A755" t="s">
        <v>13</v>
      </c>
      <c r="B755">
        <v>665374</v>
      </c>
      <c r="C755">
        <v>667788</v>
      </c>
      <c r="E755" t="s">
        <v>14</v>
      </c>
      <c r="F755" t="s">
        <v>2035</v>
      </c>
      <c r="H755">
        <v>0</v>
      </c>
      <c r="I755" t="s">
        <v>16</v>
      </c>
    </row>
    <row r="756" spans="1:9" x14ac:dyDescent="0.25">
      <c r="A756" t="s">
        <v>13</v>
      </c>
      <c r="B756">
        <v>667837</v>
      </c>
      <c r="C756">
        <v>668943</v>
      </c>
      <c r="E756" t="s">
        <v>28</v>
      </c>
      <c r="F756" t="s">
        <v>2038</v>
      </c>
      <c r="H756">
        <v>0</v>
      </c>
      <c r="I756" t="s">
        <v>16</v>
      </c>
    </row>
    <row r="757" spans="1:9" x14ac:dyDescent="0.25">
      <c r="A757" t="s">
        <v>13</v>
      </c>
      <c r="B757">
        <v>668940</v>
      </c>
      <c r="C757">
        <v>669569</v>
      </c>
      <c r="E757" t="s">
        <v>28</v>
      </c>
      <c r="F757" t="s">
        <v>41</v>
      </c>
      <c r="H757">
        <v>0</v>
      </c>
      <c r="I757" t="s">
        <v>16</v>
      </c>
    </row>
    <row r="758" spans="1:9" x14ac:dyDescent="0.25">
      <c r="A758" t="s">
        <v>13</v>
      </c>
      <c r="B758">
        <v>669650</v>
      </c>
      <c r="C758">
        <v>671122</v>
      </c>
      <c r="E758" t="s">
        <v>14</v>
      </c>
      <c r="F758" t="s">
        <v>41</v>
      </c>
      <c r="H758">
        <v>0</v>
      </c>
      <c r="I758" t="s">
        <v>16</v>
      </c>
    </row>
    <row r="759" spans="1:9" x14ac:dyDescent="0.25">
      <c r="A759" t="s">
        <v>13</v>
      </c>
      <c r="B759">
        <v>671119</v>
      </c>
      <c r="C759">
        <v>671526</v>
      </c>
      <c r="E759" t="s">
        <v>14</v>
      </c>
      <c r="F759" t="s">
        <v>41</v>
      </c>
      <c r="H759">
        <v>0</v>
      </c>
      <c r="I759" t="s">
        <v>16</v>
      </c>
    </row>
    <row r="760" spans="1:9" x14ac:dyDescent="0.25">
      <c r="A760" t="s">
        <v>13</v>
      </c>
      <c r="B760">
        <v>671531</v>
      </c>
      <c r="C760">
        <v>673144</v>
      </c>
      <c r="E760" t="s">
        <v>28</v>
      </c>
      <c r="F760" t="s">
        <v>41</v>
      </c>
      <c r="H760">
        <v>0</v>
      </c>
      <c r="I760" t="s">
        <v>16</v>
      </c>
    </row>
    <row r="761" spans="1:9" x14ac:dyDescent="0.25">
      <c r="A761" t="s">
        <v>13</v>
      </c>
      <c r="B761">
        <v>673166</v>
      </c>
      <c r="C761">
        <v>673471</v>
      </c>
      <c r="E761" t="s">
        <v>28</v>
      </c>
      <c r="F761" t="s">
        <v>41</v>
      </c>
      <c r="H761">
        <v>0</v>
      </c>
      <c r="I761" t="s">
        <v>16</v>
      </c>
    </row>
    <row r="762" spans="1:9" x14ac:dyDescent="0.25">
      <c r="A762" t="s">
        <v>13</v>
      </c>
      <c r="B762">
        <v>673472</v>
      </c>
      <c r="C762">
        <v>674740</v>
      </c>
      <c r="E762" t="s">
        <v>28</v>
      </c>
      <c r="F762" t="s">
        <v>68</v>
      </c>
      <c r="H762">
        <v>0</v>
      </c>
      <c r="I762" t="s">
        <v>16</v>
      </c>
    </row>
    <row r="763" spans="1:9" x14ac:dyDescent="0.25">
      <c r="A763" t="s">
        <v>13</v>
      </c>
      <c r="B763">
        <v>674731</v>
      </c>
      <c r="C763">
        <v>674889</v>
      </c>
      <c r="E763" t="s">
        <v>28</v>
      </c>
      <c r="F763" t="s">
        <v>41</v>
      </c>
      <c r="H763">
        <v>0</v>
      </c>
      <c r="I763" t="s">
        <v>16</v>
      </c>
    </row>
    <row r="764" spans="1:9" x14ac:dyDescent="0.25">
      <c r="A764" t="s">
        <v>13</v>
      </c>
      <c r="B764">
        <v>674925</v>
      </c>
      <c r="C764">
        <v>675044</v>
      </c>
      <c r="E764" t="s">
        <v>28</v>
      </c>
      <c r="F764" t="s">
        <v>41</v>
      </c>
      <c r="H764">
        <v>0</v>
      </c>
      <c r="I764" t="s">
        <v>16</v>
      </c>
    </row>
    <row r="765" spans="1:9" x14ac:dyDescent="0.25">
      <c r="A765" t="s">
        <v>13</v>
      </c>
      <c r="B765">
        <v>675057</v>
      </c>
      <c r="C765">
        <v>675920</v>
      </c>
      <c r="E765" t="s">
        <v>28</v>
      </c>
      <c r="F765" t="s">
        <v>2057</v>
      </c>
      <c r="H765">
        <v>0</v>
      </c>
      <c r="I765" t="s">
        <v>16</v>
      </c>
    </row>
    <row r="766" spans="1:9" x14ac:dyDescent="0.25">
      <c r="A766" t="s">
        <v>13</v>
      </c>
      <c r="B766">
        <v>676238</v>
      </c>
      <c r="C766">
        <v>677257</v>
      </c>
      <c r="E766" t="s">
        <v>14</v>
      </c>
      <c r="F766" t="s">
        <v>2060</v>
      </c>
      <c r="H766">
        <v>0</v>
      </c>
      <c r="I766" t="s">
        <v>16</v>
      </c>
    </row>
    <row r="767" spans="1:9" x14ac:dyDescent="0.25">
      <c r="A767" t="s">
        <v>13</v>
      </c>
      <c r="B767">
        <v>677361</v>
      </c>
      <c r="C767">
        <v>678506</v>
      </c>
      <c r="E767" t="s">
        <v>14</v>
      </c>
      <c r="F767" t="s">
        <v>2063</v>
      </c>
      <c r="H767">
        <v>0</v>
      </c>
      <c r="I767" t="s">
        <v>16</v>
      </c>
    </row>
    <row r="768" spans="1:9" x14ac:dyDescent="0.25">
      <c r="A768" t="s">
        <v>13</v>
      </c>
      <c r="B768">
        <v>678533</v>
      </c>
      <c r="C768">
        <v>680053</v>
      </c>
      <c r="E768" t="s">
        <v>14</v>
      </c>
      <c r="F768" t="s">
        <v>2066</v>
      </c>
      <c r="H768">
        <v>0</v>
      </c>
      <c r="I768" t="s">
        <v>16</v>
      </c>
    </row>
    <row r="769" spans="1:9" x14ac:dyDescent="0.25">
      <c r="A769" t="s">
        <v>13</v>
      </c>
      <c r="B769">
        <v>680059</v>
      </c>
      <c r="C769">
        <v>681408</v>
      </c>
      <c r="E769" t="s">
        <v>14</v>
      </c>
      <c r="F769" t="s">
        <v>2069</v>
      </c>
      <c r="H769">
        <v>0</v>
      </c>
      <c r="I769" t="s">
        <v>16</v>
      </c>
    </row>
    <row r="770" spans="1:9" x14ac:dyDescent="0.25">
      <c r="A770" t="s">
        <v>13</v>
      </c>
      <c r="B770">
        <v>681362</v>
      </c>
      <c r="C770">
        <v>682552</v>
      </c>
      <c r="E770" t="s">
        <v>14</v>
      </c>
      <c r="F770" t="s">
        <v>2072</v>
      </c>
      <c r="H770">
        <v>0</v>
      </c>
      <c r="I770" t="s">
        <v>16</v>
      </c>
    </row>
    <row r="771" spans="1:9" x14ac:dyDescent="0.25">
      <c r="A771" t="s">
        <v>13</v>
      </c>
      <c r="B771">
        <v>682524</v>
      </c>
      <c r="C771">
        <v>683291</v>
      </c>
      <c r="E771" t="s">
        <v>14</v>
      </c>
      <c r="F771" t="s">
        <v>2075</v>
      </c>
      <c r="H771">
        <v>0</v>
      </c>
      <c r="I771" t="s">
        <v>16</v>
      </c>
    </row>
    <row r="772" spans="1:9" x14ac:dyDescent="0.25">
      <c r="A772" t="s">
        <v>13</v>
      </c>
      <c r="B772">
        <v>683288</v>
      </c>
      <c r="C772">
        <v>684337</v>
      </c>
      <c r="E772" t="s">
        <v>14</v>
      </c>
      <c r="F772" t="s">
        <v>2078</v>
      </c>
      <c r="H772">
        <v>0</v>
      </c>
      <c r="I772" t="s">
        <v>16</v>
      </c>
    </row>
    <row r="773" spans="1:9" x14ac:dyDescent="0.25">
      <c r="A773" t="s">
        <v>13</v>
      </c>
      <c r="B773">
        <v>684330</v>
      </c>
      <c r="C773">
        <v>685283</v>
      </c>
      <c r="E773" t="s">
        <v>14</v>
      </c>
      <c r="F773" t="s">
        <v>2081</v>
      </c>
      <c r="H773">
        <v>0</v>
      </c>
      <c r="I773" t="s">
        <v>16</v>
      </c>
    </row>
    <row r="774" spans="1:9" x14ac:dyDescent="0.25">
      <c r="A774" t="s">
        <v>13</v>
      </c>
      <c r="B774">
        <v>685120</v>
      </c>
      <c r="C774">
        <v>685416</v>
      </c>
      <c r="E774" t="s">
        <v>14</v>
      </c>
      <c r="F774" t="s">
        <v>41</v>
      </c>
      <c r="H774">
        <v>0</v>
      </c>
      <c r="I774" t="s">
        <v>16</v>
      </c>
    </row>
    <row r="775" spans="1:9" x14ac:dyDescent="0.25">
      <c r="A775" t="s">
        <v>13</v>
      </c>
      <c r="B775">
        <v>685475</v>
      </c>
      <c r="C775">
        <v>686371</v>
      </c>
      <c r="E775" t="s">
        <v>14</v>
      </c>
      <c r="F775" t="s">
        <v>2086</v>
      </c>
      <c r="H775">
        <v>0</v>
      </c>
      <c r="I775" t="s">
        <v>16</v>
      </c>
    </row>
    <row r="776" spans="1:9" x14ac:dyDescent="0.25">
      <c r="A776" t="s">
        <v>13</v>
      </c>
      <c r="B776">
        <v>686223</v>
      </c>
      <c r="C776">
        <v>687623</v>
      </c>
      <c r="E776" t="s">
        <v>28</v>
      </c>
      <c r="F776" t="s">
        <v>1712</v>
      </c>
      <c r="H776">
        <v>0</v>
      </c>
      <c r="I776" t="s">
        <v>16</v>
      </c>
    </row>
    <row r="777" spans="1:9" x14ac:dyDescent="0.25">
      <c r="A777" t="s">
        <v>13</v>
      </c>
      <c r="B777">
        <v>687663</v>
      </c>
      <c r="C777">
        <v>688637</v>
      </c>
      <c r="E777" t="s">
        <v>14</v>
      </c>
      <c r="F777" t="s">
        <v>721</v>
      </c>
      <c r="H777">
        <v>0</v>
      </c>
      <c r="I777" t="s">
        <v>16</v>
      </c>
    </row>
    <row r="778" spans="1:9" x14ac:dyDescent="0.25">
      <c r="A778" t="s">
        <v>13</v>
      </c>
      <c r="B778">
        <v>688665</v>
      </c>
      <c r="C778">
        <v>688895</v>
      </c>
      <c r="E778" t="s">
        <v>14</v>
      </c>
      <c r="F778" t="s">
        <v>2093</v>
      </c>
      <c r="H778">
        <v>0</v>
      </c>
      <c r="I778" t="s">
        <v>16</v>
      </c>
    </row>
    <row r="779" spans="1:9" x14ac:dyDescent="0.25">
      <c r="A779" t="s">
        <v>13</v>
      </c>
      <c r="B779">
        <v>688873</v>
      </c>
      <c r="C779">
        <v>690357</v>
      </c>
      <c r="E779" t="s">
        <v>14</v>
      </c>
      <c r="F779" t="s">
        <v>2096</v>
      </c>
      <c r="H779">
        <v>0</v>
      </c>
      <c r="I779" t="s">
        <v>16</v>
      </c>
    </row>
    <row r="780" spans="1:9" x14ac:dyDescent="0.25">
      <c r="A780" t="s">
        <v>13</v>
      </c>
      <c r="B780">
        <v>690377</v>
      </c>
      <c r="C780">
        <v>692833</v>
      </c>
      <c r="E780" t="s">
        <v>14</v>
      </c>
      <c r="F780" t="s">
        <v>2099</v>
      </c>
      <c r="H780">
        <v>0</v>
      </c>
      <c r="I780" t="s">
        <v>16</v>
      </c>
    </row>
    <row r="781" spans="1:9" x14ac:dyDescent="0.25">
      <c r="A781" t="s">
        <v>13</v>
      </c>
      <c r="B781">
        <v>692830</v>
      </c>
      <c r="C781">
        <v>693936</v>
      </c>
      <c r="E781" t="s">
        <v>28</v>
      </c>
      <c r="F781" t="s">
        <v>2072</v>
      </c>
      <c r="H781">
        <v>0</v>
      </c>
      <c r="I781" t="s">
        <v>16</v>
      </c>
    </row>
    <row r="782" spans="1:9" x14ac:dyDescent="0.25">
      <c r="A782" t="s">
        <v>13</v>
      </c>
      <c r="B782">
        <v>693949</v>
      </c>
      <c r="C782">
        <v>694266</v>
      </c>
      <c r="E782" t="s">
        <v>28</v>
      </c>
      <c r="F782" t="s">
        <v>41</v>
      </c>
      <c r="H782">
        <v>0</v>
      </c>
      <c r="I782" t="s">
        <v>16</v>
      </c>
    </row>
    <row r="783" spans="1:9" x14ac:dyDescent="0.25">
      <c r="A783" t="s">
        <v>13</v>
      </c>
      <c r="B783">
        <v>694266</v>
      </c>
      <c r="C783">
        <v>695489</v>
      </c>
      <c r="E783" t="s">
        <v>28</v>
      </c>
      <c r="F783" t="s">
        <v>2106</v>
      </c>
      <c r="H783">
        <v>0</v>
      </c>
      <c r="I783" t="s">
        <v>16</v>
      </c>
    </row>
    <row r="784" spans="1:9" x14ac:dyDescent="0.25">
      <c r="A784" t="s">
        <v>13</v>
      </c>
      <c r="B784">
        <v>695486</v>
      </c>
      <c r="C784">
        <v>695869</v>
      </c>
      <c r="E784" t="s">
        <v>28</v>
      </c>
      <c r="F784" t="s">
        <v>1212</v>
      </c>
      <c r="H784">
        <v>0</v>
      </c>
      <c r="I784" t="s">
        <v>16</v>
      </c>
    </row>
    <row r="785" spans="1:9" x14ac:dyDescent="0.25">
      <c r="A785" t="s">
        <v>13</v>
      </c>
      <c r="B785">
        <v>695854</v>
      </c>
      <c r="C785">
        <v>696156</v>
      </c>
      <c r="E785" t="s">
        <v>28</v>
      </c>
      <c r="F785" t="s">
        <v>1212</v>
      </c>
      <c r="H785">
        <v>0</v>
      </c>
      <c r="I785" t="s">
        <v>16</v>
      </c>
    </row>
    <row r="786" spans="1:9" x14ac:dyDescent="0.25">
      <c r="A786" t="s">
        <v>13</v>
      </c>
      <c r="B786">
        <v>696146</v>
      </c>
      <c r="C786">
        <v>697534</v>
      </c>
      <c r="E786" t="s">
        <v>28</v>
      </c>
      <c r="F786" t="s">
        <v>2113</v>
      </c>
      <c r="H786">
        <v>0</v>
      </c>
      <c r="I786" t="s">
        <v>16</v>
      </c>
    </row>
    <row r="787" spans="1:9" x14ac:dyDescent="0.25">
      <c r="A787" t="s">
        <v>13</v>
      </c>
      <c r="B787">
        <v>697584</v>
      </c>
      <c r="C787">
        <v>698168</v>
      </c>
      <c r="E787" t="s">
        <v>14</v>
      </c>
      <c r="F787" t="s">
        <v>2116</v>
      </c>
      <c r="H787">
        <v>0</v>
      </c>
      <c r="I787" t="s">
        <v>16</v>
      </c>
    </row>
    <row r="788" spans="1:9" x14ac:dyDescent="0.25">
      <c r="A788" t="s">
        <v>13</v>
      </c>
      <c r="B788">
        <v>698165</v>
      </c>
      <c r="C788">
        <v>699415</v>
      </c>
      <c r="E788" t="s">
        <v>14</v>
      </c>
      <c r="F788" t="s">
        <v>2119</v>
      </c>
      <c r="H788">
        <v>0</v>
      </c>
      <c r="I788" t="s">
        <v>16</v>
      </c>
    </row>
    <row r="789" spans="1:9" x14ac:dyDescent="0.25">
      <c r="A789" t="s">
        <v>13</v>
      </c>
      <c r="B789">
        <v>699426</v>
      </c>
      <c r="C789">
        <v>700499</v>
      </c>
      <c r="E789" t="s">
        <v>14</v>
      </c>
      <c r="F789" t="s">
        <v>2122</v>
      </c>
      <c r="H789">
        <v>0</v>
      </c>
      <c r="I789" t="s">
        <v>16</v>
      </c>
    </row>
    <row r="790" spans="1:9" x14ac:dyDescent="0.25">
      <c r="A790" t="s">
        <v>13</v>
      </c>
      <c r="B790">
        <v>700622</v>
      </c>
      <c r="C790">
        <v>700786</v>
      </c>
      <c r="E790" t="s">
        <v>28</v>
      </c>
      <c r="F790" t="s">
        <v>2125</v>
      </c>
      <c r="H790">
        <v>0</v>
      </c>
      <c r="I790" t="s">
        <v>16</v>
      </c>
    </row>
    <row r="791" spans="1:9" x14ac:dyDescent="0.25">
      <c r="A791" t="s">
        <v>13</v>
      </c>
      <c r="B791">
        <v>700856</v>
      </c>
      <c r="C791">
        <v>700929</v>
      </c>
      <c r="E791" t="s">
        <v>14</v>
      </c>
      <c r="F791" t="s">
        <v>2128</v>
      </c>
      <c r="H791">
        <v>0</v>
      </c>
      <c r="I791" t="s">
        <v>133</v>
      </c>
    </row>
    <row r="792" spans="1:9" x14ac:dyDescent="0.25">
      <c r="A792" t="s">
        <v>13</v>
      </c>
      <c r="B792">
        <v>700934</v>
      </c>
      <c r="C792">
        <v>701006</v>
      </c>
      <c r="E792" t="s">
        <v>14</v>
      </c>
      <c r="F792" t="s">
        <v>151</v>
      </c>
      <c r="H792">
        <v>0</v>
      </c>
      <c r="I792" t="s">
        <v>133</v>
      </c>
    </row>
    <row r="793" spans="1:9" x14ac:dyDescent="0.25">
      <c r="A793" t="s">
        <v>13</v>
      </c>
      <c r="B793">
        <v>701042</v>
      </c>
      <c r="C793">
        <v>701114</v>
      </c>
      <c r="E793" t="s">
        <v>14</v>
      </c>
      <c r="F793" t="s">
        <v>132</v>
      </c>
      <c r="H793">
        <v>0</v>
      </c>
      <c r="I793" t="s">
        <v>133</v>
      </c>
    </row>
    <row r="794" spans="1:9" x14ac:dyDescent="0.25">
      <c r="A794" t="s">
        <v>13</v>
      </c>
      <c r="B794">
        <v>701194</v>
      </c>
      <c r="C794">
        <v>702444</v>
      </c>
      <c r="E794" t="s">
        <v>28</v>
      </c>
      <c r="F794" t="s">
        <v>2132</v>
      </c>
      <c r="H794">
        <v>0</v>
      </c>
      <c r="I794" t="s">
        <v>16</v>
      </c>
    </row>
    <row r="795" spans="1:9" x14ac:dyDescent="0.25">
      <c r="A795" t="s">
        <v>13</v>
      </c>
      <c r="B795">
        <v>702444</v>
      </c>
      <c r="C795">
        <v>702581</v>
      </c>
      <c r="E795" t="s">
        <v>28</v>
      </c>
      <c r="F795" t="s">
        <v>41</v>
      </c>
      <c r="H795">
        <v>0</v>
      </c>
      <c r="I795" t="s">
        <v>16</v>
      </c>
    </row>
    <row r="796" spans="1:9" x14ac:dyDescent="0.25">
      <c r="A796" t="s">
        <v>13</v>
      </c>
      <c r="B796">
        <v>702578</v>
      </c>
      <c r="C796">
        <v>702823</v>
      </c>
      <c r="E796" t="s">
        <v>28</v>
      </c>
      <c r="F796" t="s">
        <v>41</v>
      </c>
      <c r="H796">
        <v>0</v>
      </c>
      <c r="I796" t="s">
        <v>16</v>
      </c>
    </row>
    <row r="797" spans="1:9" x14ac:dyDescent="0.25">
      <c r="A797" t="s">
        <v>13</v>
      </c>
      <c r="B797">
        <v>703014</v>
      </c>
      <c r="C797">
        <v>703727</v>
      </c>
      <c r="E797" t="s">
        <v>28</v>
      </c>
      <c r="F797" t="s">
        <v>2139</v>
      </c>
      <c r="H797">
        <v>0</v>
      </c>
      <c r="I797" t="s">
        <v>16</v>
      </c>
    </row>
    <row r="798" spans="1:9" x14ac:dyDescent="0.25">
      <c r="A798" t="s">
        <v>13</v>
      </c>
      <c r="B798">
        <v>703717</v>
      </c>
      <c r="C798">
        <v>704145</v>
      </c>
      <c r="E798" t="s">
        <v>28</v>
      </c>
      <c r="F798" t="s">
        <v>1174</v>
      </c>
      <c r="H798">
        <v>0</v>
      </c>
      <c r="I798" t="s">
        <v>16</v>
      </c>
    </row>
    <row r="799" spans="1:9" x14ac:dyDescent="0.25">
      <c r="A799" t="s">
        <v>13</v>
      </c>
      <c r="B799">
        <v>704160</v>
      </c>
      <c r="C799">
        <v>704630</v>
      </c>
      <c r="E799" t="s">
        <v>28</v>
      </c>
      <c r="F799" t="s">
        <v>41</v>
      </c>
      <c r="H799">
        <v>0</v>
      </c>
      <c r="I799" t="s">
        <v>16</v>
      </c>
    </row>
    <row r="800" spans="1:9" x14ac:dyDescent="0.25">
      <c r="A800" t="s">
        <v>13</v>
      </c>
      <c r="B800">
        <v>704710</v>
      </c>
      <c r="C800">
        <v>705042</v>
      </c>
      <c r="E800" t="s">
        <v>28</v>
      </c>
      <c r="F800" t="s">
        <v>41</v>
      </c>
      <c r="H800">
        <v>0</v>
      </c>
      <c r="I800" t="s">
        <v>16</v>
      </c>
    </row>
    <row r="801" spans="1:9" x14ac:dyDescent="0.25">
      <c r="A801" t="s">
        <v>13</v>
      </c>
      <c r="B801">
        <v>705039</v>
      </c>
      <c r="C801">
        <v>705365</v>
      </c>
      <c r="E801" t="s">
        <v>28</v>
      </c>
      <c r="F801" t="s">
        <v>41</v>
      </c>
      <c r="H801">
        <v>0</v>
      </c>
      <c r="I801" t="s">
        <v>16</v>
      </c>
    </row>
    <row r="802" spans="1:9" x14ac:dyDescent="0.25">
      <c r="A802" t="s">
        <v>13</v>
      </c>
      <c r="B802">
        <v>705378</v>
      </c>
      <c r="C802">
        <v>705680</v>
      </c>
      <c r="E802" t="s">
        <v>28</v>
      </c>
      <c r="F802" t="s">
        <v>41</v>
      </c>
      <c r="H802">
        <v>0</v>
      </c>
      <c r="I802" t="s">
        <v>16</v>
      </c>
    </row>
    <row r="803" spans="1:9" x14ac:dyDescent="0.25">
      <c r="A803" t="s">
        <v>13</v>
      </c>
      <c r="B803">
        <v>705673</v>
      </c>
      <c r="C803">
        <v>706227</v>
      </c>
      <c r="E803" t="s">
        <v>28</v>
      </c>
      <c r="F803" t="s">
        <v>41</v>
      </c>
      <c r="H803">
        <v>0</v>
      </c>
      <c r="I803" t="s">
        <v>16</v>
      </c>
    </row>
    <row r="804" spans="1:9" x14ac:dyDescent="0.25">
      <c r="A804" t="s">
        <v>13</v>
      </c>
      <c r="B804">
        <v>706218</v>
      </c>
      <c r="C804">
        <v>707483</v>
      </c>
      <c r="E804" t="s">
        <v>28</v>
      </c>
      <c r="F804" t="s">
        <v>41</v>
      </c>
      <c r="H804">
        <v>0</v>
      </c>
      <c r="I804" t="s">
        <v>16</v>
      </c>
    </row>
    <row r="805" spans="1:9" x14ac:dyDescent="0.25">
      <c r="A805" t="s">
        <v>13</v>
      </c>
      <c r="B805">
        <v>707487</v>
      </c>
      <c r="C805">
        <v>708566</v>
      </c>
      <c r="E805" t="s">
        <v>28</v>
      </c>
      <c r="F805" t="s">
        <v>2156</v>
      </c>
      <c r="H805">
        <v>0</v>
      </c>
      <c r="I805" t="s">
        <v>16</v>
      </c>
    </row>
    <row r="806" spans="1:9" x14ac:dyDescent="0.25">
      <c r="A806" t="s">
        <v>13</v>
      </c>
      <c r="B806">
        <v>708758</v>
      </c>
      <c r="C806">
        <v>709684</v>
      </c>
      <c r="E806" t="s">
        <v>28</v>
      </c>
      <c r="F806" t="s">
        <v>2159</v>
      </c>
      <c r="H806">
        <v>0</v>
      </c>
      <c r="I806" t="s">
        <v>16</v>
      </c>
    </row>
    <row r="807" spans="1:9" x14ac:dyDescent="0.25">
      <c r="A807" t="s">
        <v>13</v>
      </c>
      <c r="B807">
        <v>709671</v>
      </c>
      <c r="C807">
        <v>709841</v>
      </c>
      <c r="E807" t="s">
        <v>28</v>
      </c>
      <c r="F807" t="s">
        <v>41</v>
      </c>
      <c r="H807">
        <v>0</v>
      </c>
      <c r="I807" t="s">
        <v>16</v>
      </c>
    </row>
    <row r="808" spans="1:9" x14ac:dyDescent="0.25">
      <c r="A808" t="s">
        <v>13</v>
      </c>
      <c r="B808">
        <v>709844</v>
      </c>
      <c r="C808">
        <v>710101</v>
      </c>
      <c r="E808" t="s">
        <v>28</v>
      </c>
      <c r="F808" t="s">
        <v>41</v>
      </c>
      <c r="H808">
        <v>0</v>
      </c>
      <c r="I808" t="s">
        <v>16</v>
      </c>
    </row>
    <row r="809" spans="1:9" x14ac:dyDescent="0.25">
      <c r="A809" t="s">
        <v>13</v>
      </c>
      <c r="B809">
        <v>710491</v>
      </c>
      <c r="C809">
        <v>710682</v>
      </c>
      <c r="E809" t="s">
        <v>28</v>
      </c>
      <c r="F809" t="s">
        <v>41</v>
      </c>
      <c r="H809">
        <v>0</v>
      </c>
      <c r="I809" t="s">
        <v>16</v>
      </c>
    </row>
    <row r="810" spans="1:9" x14ac:dyDescent="0.25">
      <c r="A810" t="s">
        <v>13</v>
      </c>
      <c r="B810">
        <v>710669</v>
      </c>
      <c r="C810">
        <v>710830</v>
      </c>
      <c r="E810" t="s">
        <v>28</v>
      </c>
      <c r="F810" t="s">
        <v>41</v>
      </c>
      <c r="H810">
        <v>0</v>
      </c>
      <c r="I810" t="s">
        <v>16</v>
      </c>
    </row>
    <row r="811" spans="1:9" x14ac:dyDescent="0.25">
      <c r="A811" t="s">
        <v>13</v>
      </c>
      <c r="B811">
        <v>710880</v>
      </c>
      <c r="C811">
        <v>711164</v>
      </c>
      <c r="E811" t="s">
        <v>28</v>
      </c>
      <c r="F811" t="s">
        <v>41</v>
      </c>
      <c r="H811">
        <v>0</v>
      </c>
      <c r="I811" t="s">
        <v>16</v>
      </c>
    </row>
    <row r="812" spans="1:9" x14ac:dyDescent="0.25">
      <c r="A812" t="s">
        <v>13</v>
      </c>
      <c r="B812">
        <v>711292</v>
      </c>
      <c r="C812">
        <v>711534</v>
      </c>
      <c r="E812" t="s">
        <v>14</v>
      </c>
      <c r="F812" t="s">
        <v>41</v>
      </c>
      <c r="H812">
        <v>0</v>
      </c>
      <c r="I812" t="s">
        <v>16</v>
      </c>
    </row>
    <row r="813" spans="1:9" x14ac:dyDescent="0.25">
      <c r="A813" t="s">
        <v>13</v>
      </c>
      <c r="B813">
        <v>711531</v>
      </c>
      <c r="C813">
        <v>711821</v>
      </c>
      <c r="E813" t="s">
        <v>28</v>
      </c>
      <c r="F813" t="s">
        <v>41</v>
      </c>
      <c r="H813">
        <v>0</v>
      </c>
      <c r="I813" t="s">
        <v>16</v>
      </c>
    </row>
    <row r="814" spans="1:9" x14ac:dyDescent="0.25">
      <c r="A814" t="s">
        <v>13</v>
      </c>
      <c r="B814">
        <v>712124</v>
      </c>
      <c r="C814">
        <v>712243</v>
      </c>
      <c r="E814" t="s">
        <v>14</v>
      </c>
      <c r="F814" t="s">
        <v>41</v>
      </c>
      <c r="H814">
        <v>0</v>
      </c>
      <c r="I814" t="s">
        <v>16</v>
      </c>
    </row>
    <row r="815" spans="1:9" x14ac:dyDescent="0.25">
      <c r="A815" t="s">
        <v>13</v>
      </c>
      <c r="B815">
        <v>712610</v>
      </c>
      <c r="C815">
        <v>712993</v>
      </c>
      <c r="E815" t="s">
        <v>28</v>
      </c>
      <c r="F815" t="s">
        <v>41</v>
      </c>
      <c r="H815">
        <v>0</v>
      </c>
      <c r="I815" t="s">
        <v>16</v>
      </c>
    </row>
    <row r="816" spans="1:9" x14ac:dyDescent="0.25">
      <c r="A816" t="s">
        <v>13</v>
      </c>
      <c r="B816">
        <v>713151</v>
      </c>
      <c r="C816">
        <v>714332</v>
      </c>
      <c r="E816" t="s">
        <v>28</v>
      </c>
      <c r="F816" t="s">
        <v>2180</v>
      </c>
      <c r="H816">
        <v>0</v>
      </c>
      <c r="I816" t="s">
        <v>16</v>
      </c>
    </row>
    <row r="817" spans="1:9" x14ac:dyDescent="0.25">
      <c r="A817" t="s">
        <v>13</v>
      </c>
      <c r="B817">
        <v>714417</v>
      </c>
      <c r="C817">
        <v>714490</v>
      </c>
      <c r="E817" t="s">
        <v>28</v>
      </c>
      <c r="F817" t="s">
        <v>2183</v>
      </c>
      <c r="H817">
        <v>0</v>
      </c>
      <c r="I817" t="s">
        <v>133</v>
      </c>
    </row>
    <row r="818" spans="1:9" x14ac:dyDescent="0.25">
      <c r="A818" t="s">
        <v>13</v>
      </c>
      <c r="B818">
        <v>714547</v>
      </c>
      <c r="C818">
        <v>714687</v>
      </c>
      <c r="E818" t="s">
        <v>14</v>
      </c>
      <c r="F818" t="s">
        <v>41</v>
      </c>
      <c r="H818">
        <v>0</v>
      </c>
      <c r="I818" t="s">
        <v>16</v>
      </c>
    </row>
    <row r="819" spans="1:9" x14ac:dyDescent="0.25">
      <c r="A819" t="s">
        <v>13</v>
      </c>
      <c r="B819">
        <v>715029</v>
      </c>
      <c r="C819">
        <v>716267</v>
      </c>
      <c r="E819" t="s">
        <v>14</v>
      </c>
      <c r="F819" t="s">
        <v>235</v>
      </c>
      <c r="H819">
        <v>0</v>
      </c>
      <c r="I819" t="s">
        <v>16</v>
      </c>
    </row>
    <row r="820" spans="1:9" x14ac:dyDescent="0.25">
      <c r="A820" t="s">
        <v>13</v>
      </c>
      <c r="B820">
        <v>716252</v>
      </c>
      <c r="C820">
        <v>717406</v>
      </c>
      <c r="E820" t="s">
        <v>14</v>
      </c>
      <c r="F820" t="s">
        <v>2189</v>
      </c>
      <c r="H820">
        <v>0</v>
      </c>
      <c r="I820" t="s">
        <v>16</v>
      </c>
    </row>
    <row r="821" spans="1:9" x14ac:dyDescent="0.25">
      <c r="A821" t="s">
        <v>13</v>
      </c>
      <c r="B821">
        <v>717416</v>
      </c>
      <c r="C821">
        <v>718144</v>
      </c>
      <c r="E821" t="s">
        <v>14</v>
      </c>
      <c r="F821" t="s">
        <v>2192</v>
      </c>
      <c r="H821">
        <v>0</v>
      </c>
      <c r="I821" t="s">
        <v>16</v>
      </c>
    </row>
    <row r="822" spans="1:9" x14ac:dyDescent="0.25">
      <c r="A822" t="s">
        <v>13</v>
      </c>
      <c r="B822">
        <v>718116</v>
      </c>
      <c r="C822">
        <v>718949</v>
      </c>
      <c r="E822" t="s">
        <v>14</v>
      </c>
      <c r="F822" t="s">
        <v>2195</v>
      </c>
      <c r="H822">
        <v>0</v>
      </c>
      <c r="I822" t="s">
        <v>16</v>
      </c>
    </row>
    <row r="823" spans="1:9" x14ac:dyDescent="0.25">
      <c r="A823" t="s">
        <v>13</v>
      </c>
      <c r="B823">
        <v>719039</v>
      </c>
      <c r="C823">
        <v>721624</v>
      </c>
      <c r="E823" t="s">
        <v>28</v>
      </c>
      <c r="F823" t="s">
        <v>2198</v>
      </c>
      <c r="H823">
        <v>0</v>
      </c>
      <c r="I823" t="s">
        <v>16</v>
      </c>
    </row>
    <row r="824" spans="1:9" x14ac:dyDescent="0.25">
      <c r="A824" t="s">
        <v>13</v>
      </c>
      <c r="B824">
        <v>721634</v>
      </c>
      <c r="C824">
        <v>722116</v>
      </c>
      <c r="E824" t="s">
        <v>28</v>
      </c>
      <c r="F824" t="s">
        <v>2201</v>
      </c>
      <c r="H824">
        <v>0</v>
      </c>
      <c r="I824" t="s">
        <v>16</v>
      </c>
    </row>
    <row r="825" spans="1:9" x14ac:dyDescent="0.25">
      <c r="A825" t="s">
        <v>13</v>
      </c>
      <c r="B825">
        <v>722334</v>
      </c>
      <c r="C825">
        <v>722687</v>
      </c>
      <c r="E825" t="s">
        <v>14</v>
      </c>
      <c r="F825" t="s">
        <v>2204</v>
      </c>
      <c r="H825">
        <v>0</v>
      </c>
      <c r="I825" t="s">
        <v>16</v>
      </c>
    </row>
    <row r="826" spans="1:9" x14ac:dyDescent="0.25">
      <c r="A826" t="s">
        <v>13</v>
      </c>
      <c r="B826">
        <v>723029</v>
      </c>
      <c r="C826">
        <v>724498</v>
      </c>
      <c r="E826" t="s">
        <v>14</v>
      </c>
      <c r="F826" t="s">
        <v>2207</v>
      </c>
      <c r="H826">
        <v>0</v>
      </c>
      <c r="I826" t="s">
        <v>16</v>
      </c>
    </row>
    <row r="827" spans="1:9" x14ac:dyDescent="0.25">
      <c r="A827" t="s">
        <v>13</v>
      </c>
      <c r="B827">
        <v>724495</v>
      </c>
      <c r="C827">
        <v>725544</v>
      </c>
      <c r="E827" t="s">
        <v>14</v>
      </c>
      <c r="F827" t="s">
        <v>2210</v>
      </c>
      <c r="H827">
        <v>0</v>
      </c>
      <c r="I827" t="s">
        <v>16</v>
      </c>
    </row>
    <row r="828" spans="1:9" x14ac:dyDescent="0.25">
      <c r="A828" t="s">
        <v>13</v>
      </c>
      <c r="B828">
        <v>725544</v>
      </c>
      <c r="C828">
        <v>726377</v>
      </c>
      <c r="E828" t="s">
        <v>14</v>
      </c>
      <c r="F828" t="s">
        <v>2213</v>
      </c>
      <c r="H828">
        <v>0</v>
      </c>
      <c r="I828" t="s">
        <v>16</v>
      </c>
    </row>
    <row r="829" spans="1:9" x14ac:dyDescent="0.25">
      <c r="A829" t="s">
        <v>13</v>
      </c>
      <c r="B829">
        <v>726381</v>
      </c>
      <c r="C829">
        <v>727520</v>
      </c>
      <c r="E829" t="s">
        <v>14</v>
      </c>
      <c r="F829" t="s">
        <v>2216</v>
      </c>
      <c r="H829">
        <v>0</v>
      </c>
      <c r="I829" t="s">
        <v>16</v>
      </c>
    </row>
    <row r="830" spans="1:9" x14ac:dyDescent="0.25">
      <c r="A830" t="s">
        <v>13</v>
      </c>
      <c r="B830">
        <v>727567</v>
      </c>
      <c r="C830">
        <v>728865</v>
      </c>
      <c r="E830" t="s">
        <v>28</v>
      </c>
      <c r="F830" t="s">
        <v>2219</v>
      </c>
      <c r="H830">
        <v>0</v>
      </c>
      <c r="I830" t="s">
        <v>16</v>
      </c>
    </row>
    <row r="831" spans="1:9" x14ac:dyDescent="0.25">
      <c r="A831" t="s">
        <v>13</v>
      </c>
      <c r="B831">
        <v>729214</v>
      </c>
      <c r="C831">
        <v>729762</v>
      </c>
      <c r="E831" t="s">
        <v>28</v>
      </c>
      <c r="F831" t="s">
        <v>2222</v>
      </c>
      <c r="H831">
        <v>0</v>
      </c>
      <c r="I831" t="s">
        <v>16</v>
      </c>
    </row>
    <row r="832" spans="1:9" x14ac:dyDescent="0.25">
      <c r="A832" t="s">
        <v>13</v>
      </c>
      <c r="B832">
        <v>729759</v>
      </c>
      <c r="C832">
        <v>730142</v>
      </c>
      <c r="E832" t="s">
        <v>28</v>
      </c>
      <c r="F832" t="s">
        <v>41</v>
      </c>
      <c r="H832">
        <v>0</v>
      </c>
      <c r="I832" t="s">
        <v>16</v>
      </c>
    </row>
    <row r="833" spans="1:9" x14ac:dyDescent="0.25">
      <c r="A833" t="s">
        <v>13</v>
      </c>
      <c r="B833">
        <v>730174</v>
      </c>
      <c r="C833">
        <v>731664</v>
      </c>
      <c r="E833" t="s">
        <v>14</v>
      </c>
      <c r="F833" t="s">
        <v>2227</v>
      </c>
      <c r="H833">
        <v>0</v>
      </c>
      <c r="I833" t="s">
        <v>16</v>
      </c>
    </row>
    <row r="834" spans="1:9" x14ac:dyDescent="0.25">
      <c r="A834" t="s">
        <v>13</v>
      </c>
      <c r="B834">
        <v>731636</v>
      </c>
      <c r="C834">
        <v>732742</v>
      </c>
      <c r="E834" t="s">
        <v>28</v>
      </c>
      <c r="F834" t="s">
        <v>2230</v>
      </c>
      <c r="H834">
        <v>0</v>
      </c>
      <c r="I834" t="s">
        <v>16</v>
      </c>
    </row>
    <row r="835" spans="1:9" x14ac:dyDescent="0.25">
      <c r="A835" t="s">
        <v>13</v>
      </c>
      <c r="B835">
        <v>732935</v>
      </c>
      <c r="C835">
        <v>733393</v>
      </c>
      <c r="E835" t="s">
        <v>28</v>
      </c>
      <c r="F835" t="s">
        <v>2233</v>
      </c>
      <c r="H835">
        <v>0</v>
      </c>
      <c r="I835" t="s">
        <v>16</v>
      </c>
    </row>
    <row r="836" spans="1:9" x14ac:dyDescent="0.25">
      <c r="A836" t="s">
        <v>13</v>
      </c>
      <c r="B836">
        <v>733396</v>
      </c>
      <c r="C836">
        <v>734238</v>
      </c>
      <c r="E836" t="s">
        <v>28</v>
      </c>
      <c r="F836" t="s">
        <v>41</v>
      </c>
      <c r="H836">
        <v>0</v>
      </c>
      <c r="I836" t="s">
        <v>16</v>
      </c>
    </row>
    <row r="837" spans="1:9" x14ac:dyDescent="0.25">
      <c r="A837" t="s">
        <v>13</v>
      </c>
      <c r="B837">
        <v>734222</v>
      </c>
      <c r="C837">
        <v>735064</v>
      </c>
      <c r="E837" t="s">
        <v>28</v>
      </c>
      <c r="F837" t="s">
        <v>41</v>
      </c>
      <c r="H837">
        <v>0</v>
      </c>
      <c r="I837" t="s">
        <v>16</v>
      </c>
    </row>
    <row r="838" spans="1:9" x14ac:dyDescent="0.25">
      <c r="A838" t="s">
        <v>13</v>
      </c>
      <c r="B838">
        <v>735245</v>
      </c>
      <c r="C838">
        <v>735364</v>
      </c>
      <c r="E838" t="s">
        <v>28</v>
      </c>
      <c r="F838" t="s">
        <v>41</v>
      </c>
      <c r="H838">
        <v>0</v>
      </c>
      <c r="I838" t="s">
        <v>16</v>
      </c>
    </row>
    <row r="839" spans="1:9" x14ac:dyDescent="0.25">
      <c r="A839" t="s">
        <v>13</v>
      </c>
      <c r="B839">
        <v>735406</v>
      </c>
      <c r="C839">
        <v>735576</v>
      </c>
      <c r="E839" t="s">
        <v>14</v>
      </c>
      <c r="F839" t="s">
        <v>2242</v>
      </c>
      <c r="H839">
        <v>0</v>
      </c>
      <c r="I839" t="s">
        <v>16</v>
      </c>
    </row>
    <row r="840" spans="1:9" x14ac:dyDescent="0.25">
      <c r="A840" t="s">
        <v>13</v>
      </c>
      <c r="B840">
        <v>735630</v>
      </c>
      <c r="C840">
        <v>735785</v>
      </c>
      <c r="E840" t="s">
        <v>14</v>
      </c>
      <c r="F840" t="s">
        <v>1590</v>
      </c>
      <c r="H840">
        <v>0</v>
      </c>
      <c r="I840" t="s">
        <v>16</v>
      </c>
    </row>
    <row r="841" spans="1:9" x14ac:dyDescent="0.25">
      <c r="A841" t="s">
        <v>13</v>
      </c>
      <c r="B841">
        <v>735837</v>
      </c>
      <c r="C841">
        <v>736238</v>
      </c>
      <c r="E841" t="s">
        <v>14</v>
      </c>
      <c r="F841" t="s">
        <v>2247</v>
      </c>
      <c r="H841">
        <v>0</v>
      </c>
      <c r="I841" t="s">
        <v>16</v>
      </c>
    </row>
    <row r="842" spans="1:9" x14ac:dyDescent="0.25">
      <c r="A842" t="s">
        <v>13</v>
      </c>
      <c r="B842">
        <v>736235</v>
      </c>
      <c r="C842">
        <v>736774</v>
      </c>
      <c r="E842" t="s">
        <v>14</v>
      </c>
      <c r="F842" t="s">
        <v>2247</v>
      </c>
      <c r="H842">
        <v>0</v>
      </c>
      <c r="I842" t="s">
        <v>16</v>
      </c>
    </row>
    <row r="843" spans="1:9" x14ac:dyDescent="0.25">
      <c r="A843" t="s">
        <v>13</v>
      </c>
      <c r="B843">
        <v>736811</v>
      </c>
      <c r="C843">
        <v>737620</v>
      </c>
      <c r="E843" t="s">
        <v>14</v>
      </c>
      <c r="F843" t="s">
        <v>2252</v>
      </c>
      <c r="H843">
        <v>0</v>
      </c>
      <c r="I843" t="s">
        <v>16</v>
      </c>
    </row>
    <row r="844" spans="1:9" x14ac:dyDescent="0.25">
      <c r="A844" t="s">
        <v>13</v>
      </c>
      <c r="B844">
        <v>737707</v>
      </c>
      <c r="C844">
        <v>737865</v>
      </c>
      <c r="E844" t="s">
        <v>14</v>
      </c>
      <c r="F844" t="s">
        <v>41</v>
      </c>
      <c r="H844">
        <v>0</v>
      </c>
      <c r="I844" t="s">
        <v>16</v>
      </c>
    </row>
    <row r="845" spans="1:9" x14ac:dyDescent="0.25">
      <c r="A845" t="s">
        <v>13</v>
      </c>
      <c r="B845">
        <v>737862</v>
      </c>
      <c r="C845">
        <v>739115</v>
      </c>
      <c r="E845" t="s">
        <v>14</v>
      </c>
      <c r="F845" t="s">
        <v>2132</v>
      </c>
      <c r="H845">
        <v>0</v>
      </c>
      <c r="I845" t="s">
        <v>16</v>
      </c>
    </row>
    <row r="846" spans="1:9" x14ac:dyDescent="0.25">
      <c r="A846" t="s">
        <v>13</v>
      </c>
      <c r="B846">
        <v>739142</v>
      </c>
      <c r="C846">
        <v>739903</v>
      </c>
      <c r="E846" t="s">
        <v>14</v>
      </c>
      <c r="F846" t="s">
        <v>2259</v>
      </c>
      <c r="H846">
        <v>0</v>
      </c>
      <c r="I846" t="s">
        <v>16</v>
      </c>
    </row>
    <row r="847" spans="1:9" x14ac:dyDescent="0.25">
      <c r="A847" t="s">
        <v>13</v>
      </c>
      <c r="B847">
        <v>740172</v>
      </c>
      <c r="C847">
        <v>742754</v>
      </c>
      <c r="E847" t="s">
        <v>14</v>
      </c>
      <c r="F847" t="s">
        <v>2262</v>
      </c>
      <c r="H847">
        <v>0</v>
      </c>
      <c r="I847" t="s">
        <v>16</v>
      </c>
    </row>
    <row r="848" spans="1:9" x14ac:dyDescent="0.25">
      <c r="A848" t="s">
        <v>13</v>
      </c>
      <c r="B848">
        <v>742767</v>
      </c>
      <c r="C848">
        <v>744686</v>
      </c>
      <c r="E848" t="s">
        <v>28</v>
      </c>
      <c r="F848" t="s">
        <v>2265</v>
      </c>
      <c r="H848">
        <v>0</v>
      </c>
      <c r="I848" t="s">
        <v>16</v>
      </c>
    </row>
    <row r="849" spans="1:9" x14ac:dyDescent="0.25">
      <c r="A849" t="s">
        <v>13</v>
      </c>
      <c r="B849">
        <v>744673</v>
      </c>
      <c r="C849">
        <v>744930</v>
      </c>
      <c r="E849" t="s">
        <v>28</v>
      </c>
      <c r="F849" t="s">
        <v>41</v>
      </c>
      <c r="H849">
        <v>0</v>
      </c>
      <c r="I849" t="s">
        <v>16</v>
      </c>
    </row>
    <row r="850" spans="1:9" x14ac:dyDescent="0.25">
      <c r="A850" t="s">
        <v>13</v>
      </c>
      <c r="B850">
        <v>744911</v>
      </c>
      <c r="C850">
        <v>745240</v>
      </c>
      <c r="E850" t="s">
        <v>28</v>
      </c>
      <c r="F850" t="s">
        <v>41</v>
      </c>
      <c r="H850">
        <v>0</v>
      </c>
      <c r="I850" t="s">
        <v>16</v>
      </c>
    </row>
    <row r="851" spans="1:9" x14ac:dyDescent="0.25">
      <c r="A851" t="s">
        <v>13</v>
      </c>
      <c r="B851">
        <v>745237</v>
      </c>
      <c r="C851">
        <v>746232</v>
      </c>
      <c r="E851" t="s">
        <v>28</v>
      </c>
      <c r="F851" t="s">
        <v>2272</v>
      </c>
      <c r="H851">
        <v>0</v>
      </c>
      <c r="I851" t="s">
        <v>16</v>
      </c>
    </row>
    <row r="852" spans="1:9" x14ac:dyDescent="0.25">
      <c r="A852" t="s">
        <v>13</v>
      </c>
      <c r="B852">
        <v>746354</v>
      </c>
      <c r="C852">
        <v>747445</v>
      </c>
      <c r="E852" t="s">
        <v>14</v>
      </c>
      <c r="F852" t="s">
        <v>2275</v>
      </c>
      <c r="H852">
        <v>0</v>
      </c>
      <c r="I852" t="s">
        <v>16</v>
      </c>
    </row>
    <row r="853" spans="1:9" x14ac:dyDescent="0.25">
      <c r="A853" t="s">
        <v>13</v>
      </c>
      <c r="B853">
        <v>747453</v>
      </c>
      <c r="C853">
        <v>747782</v>
      </c>
      <c r="E853" t="s">
        <v>28</v>
      </c>
      <c r="F853" t="s">
        <v>2278</v>
      </c>
      <c r="H853">
        <v>0</v>
      </c>
      <c r="I853" t="s">
        <v>16</v>
      </c>
    </row>
    <row r="854" spans="1:9" x14ac:dyDescent="0.25">
      <c r="A854" t="s">
        <v>13</v>
      </c>
      <c r="B854">
        <v>747790</v>
      </c>
      <c r="C854">
        <v>748005</v>
      </c>
      <c r="E854" t="s">
        <v>28</v>
      </c>
      <c r="F854" t="s">
        <v>2281</v>
      </c>
      <c r="H854">
        <v>0</v>
      </c>
      <c r="I854" t="s">
        <v>16</v>
      </c>
    </row>
    <row r="855" spans="1:9" x14ac:dyDescent="0.25">
      <c r="A855" t="s">
        <v>13</v>
      </c>
      <c r="B855">
        <v>748159</v>
      </c>
      <c r="C855">
        <v>749013</v>
      </c>
      <c r="E855" t="s">
        <v>28</v>
      </c>
      <c r="F855" t="s">
        <v>2284</v>
      </c>
      <c r="H855">
        <v>0</v>
      </c>
      <c r="I855" t="s">
        <v>16</v>
      </c>
    </row>
    <row r="856" spans="1:9" x14ac:dyDescent="0.25">
      <c r="A856" t="s">
        <v>13</v>
      </c>
      <c r="B856">
        <v>749010</v>
      </c>
      <c r="C856">
        <v>749528</v>
      </c>
      <c r="E856" t="s">
        <v>28</v>
      </c>
      <c r="F856" t="s">
        <v>2287</v>
      </c>
      <c r="H856">
        <v>0</v>
      </c>
      <c r="I856" t="s">
        <v>16</v>
      </c>
    </row>
    <row r="857" spans="1:9" x14ac:dyDescent="0.25">
      <c r="A857" t="s">
        <v>13</v>
      </c>
      <c r="B857">
        <v>749841</v>
      </c>
      <c r="C857">
        <v>750830</v>
      </c>
      <c r="E857" t="s">
        <v>14</v>
      </c>
      <c r="F857" t="s">
        <v>2290</v>
      </c>
      <c r="H857">
        <v>0</v>
      </c>
      <c r="I857" t="s">
        <v>16</v>
      </c>
    </row>
    <row r="858" spans="1:9" x14ac:dyDescent="0.25">
      <c r="A858" t="s">
        <v>13</v>
      </c>
      <c r="B858">
        <v>750843</v>
      </c>
      <c r="C858">
        <v>751181</v>
      </c>
      <c r="E858" t="s">
        <v>14</v>
      </c>
      <c r="F858" t="s">
        <v>2293</v>
      </c>
      <c r="H858">
        <v>0</v>
      </c>
      <c r="I858" t="s">
        <v>16</v>
      </c>
    </row>
    <row r="859" spans="1:9" x14ac:dyDescent="0.25">
      <c r="A859" t="s">
        <v>13</v>
      </c>
      <c r="B859">
        <v>751185</v>
      </c>
      <c r="C859">
        <v>751877</v>
      </c>
      <c r="E859" t="s">
        <v>14</v>
      </c>
      <c r="F859" t="s">
        <v>2296</v>
      </c>
      <c r="H859">
        <v>0</v>
      </c>
      <c r="I859" t="s">
        <v>16</v>
      </c>
    </row>
    <row r="860" spans="1:9" x14ac:dyDescent="0.25">
      <c r="A860" t="s">
        <v>13</v>
      </c>
      <c r="B860">
        <v>751856</v>
      </c>
      <c r="C860">
        <v>752419</v>
      </c>
      <c r="E860" t="s">
        <v>14</v>
      </c>
      <c r="F860" t="s">
        <v>2299</v>
      </c>
      <c r="H860">
        <v>0</v>
      </c>
      <c r="I860" t="s">
        <v>16</v>
      </c>
    </row>
    <row r="861" spans="1:9" x14ac:dyDescent="0.25">
      <c r="A861" t="s">
        <v>13</v>
      </c>
      <c r="B861">
        <v>752448</v>
      </c>
      <c r="C861">
        <v>753047</v>
      </c>
      <c r="E861" t="s">
        <v>14</v>
      </c>
      <c r="F861" t="s">
        <v>2302</v>
      </c>
      <c r="H861">
        <v>0</v>
      </c>
      <c r="I861" t="s">
        <v>16</v>
      </c>
    </row>
    <row r="862" spans="1:9" x14ac:dyDescent="0.25">
      <c r="A862" t="s">
        <v>13</v>
      </c>
      <c r="B862">
        <v>753044</v>
      </c>
      <c r="C862">
        <v>754366</v>
      </c>
      <c r="E862" t="s">
        <v>14</v>
      </c>
      <c r="F862" t="s">
        <v>2305</v>
      </c>
      <c r="H862">
        <v>0</v>
      </c>
      <c r="I862" t="s">
        <v>16</v>
      </c>
    </row>
    <row r="863" spans="1:9" x14ac:dyDescent="0.25">
      <c r="A863" t="s">
        <v>13</v>
      </c>
      <c r="B863">
        <v>754363</v>
      </c>
      <c r="C863">
        <v>755415</v>
      </c>
      <c r="E863" t="s">
        <v>28</v>
      </c>
      <c r="F863" t="s">
        <v>2308</v>
      </c>
      <c r="H863">
        <v>0</v>
      </c>
      <c r="I863" t="s">
        <v>16</v>
      </c>
    </row>
    <row r="864" spans="1:9" x14ac:dyDescent="0.25">
      <c r="A864" t="s">
        <v>13</v>
      </c>
      <c r="B864">
        <v>755417</v>
      </c>
      <c r="C864">
        <v>756133</v>
      </c>
      <c r="E864" t="s">
        <v>28</v>
      </c>
      <c r="F864" t="s">
        <v>2311</v>
      </c>
      <c r="H864">
        <v>0</v>
      </c>
      <c r="I864" t="s">
        <v>16</v>
      </c>
    </row>
    <row r="865" spans="1:9" x14ac:dyDescent="0.25">
      <c r="A865" t="s">
        <v>13</v>
      </c>
      <c r="B865">
        <v>756126</v>
      </c>
      <c r="C865">
        <v>756866</v>
      </c>
      <c r="E865" t="s">
        <v>28</v>
      </c>
      <c r="F865" t="s">
        <v>2314</v>
      </c>
      <c r="H865">
        <v>0</v>
      </c>
      <c r="I865" t="s">
        <v>16</v>
      </c>
    </row>
    <row r="866" spans="1:9" x14ac:dyDescent="0.25">
      <c r="A866" t="s">
        <v>13</v>
      </c>
      <c r="B866">
        <v>756867</v>
      </c>
      <c r="C866">
        <v>757526</v>
      </c>
      <c r="E866" t="s">
        <v>28</v>
      </c>
      <c r="F866" t="s">
        <v>2317</v>
      </c>
      <c r="H866">
        <v>0</v>
      </c>
      <c r="I866" t="s">
        <v>16</v>
      </c>
    </row>
    <row r="867" spans="1:9" x14ac:dyDescent="0.25">
      <c r="A867" t="s">
        <v>13</v>
      </c>
      <c r="B867">
        <v>757523</v>
      </c>
      <c r="C867">
        <v>758173</v>
      </c>
      <c r="E867" t="s">
        <v>28</v>
      </c>
      <c r="F867" t="s">
        <v>2320</v>
      </c>
      <c r="H867">
        <v>0</v>
      </c>
      <c r="I867" t="s">
        <v>16</v>
      </c>
    </row>
    <row r="868" spans="1:9" x14ac:dyDescent="0.25">
      <c r="A868" t="s">
        <v>13</v>
      </c>
      <c r="B868">
        <v>758170</v>
      </c>
      <c r="C868">
        <v>758931</v>
      </c>
      <c r="E868" t="s">
        <v>28</v>
      </c>
      <c r="F868" t="s">
        <v>1228</v>
      </c>
      <c r="H868">
        <v>0</v>
      </c>
      <c r="I868" t="s">
        <v>16</v>
      </c>
    </row>
    <row r="869" spans="1:9" x14ac:dyDescent="0.25">
      <c r="A869" t="s">
        <v>13</v>
      </c>
      <c r="B869">
        <v>758969</v>
      </c>
      <c r="C869">
        <v>760696</v>
      </c>
      <c r="E869" t="s">
        <v>28</v>
      </c>
      <c r="F869" t="s">
        <v>2325</v>
      </c>
      <c r="H869">
        <v>0</v>
      </c>
      <c r="I869" t="s">
        <v>16</v>
      </c>
    </row>
    <row r="870" spans="1:9" x14ac:dyDescent="0.25">
      <c r="A870" t="s">
        <v>13</v>
      </c>
      <c r="B870">
        <v>760820</v>
      </c>
      <c r="C870">
        <v>760939</v>
      </c>
      <c r="E870" t="s">
        <v>14</v>
      </c>
      <c r="F870" t="s">
        <v>41</v>
      </c>
      <c r="H870">
        <v>0</v>
      </c>
      <c r="I870" t="s">
        <v>16</v>
      </c>
    </row>
    <row r="871" spans="1:9" x14ac:dyDescent="0.25">
      <c r="A871" t="s">
        <v>13</v>
      </c>
      <c r="B871">
        <v>761048</v>
      </c>
      <c r="C871">
        <v>761452</v>
      </c>
      <c r="E871" t="s">
        <v>14</v>
      </c>
      <c r="F871" t="s">
        <v>41</v>
      </c>
      <c r="H871">
        <v>0</v>
      </c>
      <c r="I871" t="s">
        <v>16</v>
      </c>
    </row>
    <row r="872" spans="1:9" x14ac:dyDescent="0.25">
      <c r="A872" t="s">
        <v>13</v>
      </c>
      <c r="B872">
        <v>761544</v>
      </c>
      <c r="C872">
        <v>762296</v>
      </c>
      <c r="E872" t="s">
        <v>28</v>
      </c>
      <c r="F872" t="s">
        <v>2332</v>
      </c>
      <c r="H872">
        <v>0</v>
      </c>
      <c r="I872" t="s">
        <v>16</v>
      </c>
    </row>
    <row r="873" spans="1:9" x14ac:dyDescent="0.25">
      <c r="A873" t="s">
        <v>13</v>
      </c>
      <c r="B873">
        <v>762289</v>
      </c>
      <c r="C873">
        <v>763263</v>
      </c>
      <c r="E873" t="s">
        <v>28</v>
      </c>
      <c r="F873" t="s">
        <v>2335</v>
      </c>
      <c r="H873">
        <v>0</v>
      </c>
      <c r="I873" t="s">
        <v>16</v>
      </c>
    </row>
    <row r="874" spans="1:9" x14ac:dyDescent="0.25">
      <c r="A874" t="s">
        <v>13</v>
      </c>
      <c r="B874">
        <v>763278</v>
      </c>
      <c r="C874">
        <v>764207</v>
      </c>
      <c r="E874" t="s">
        <v>28</v>
      </c>
      <c r="F874" t="s">
        <v>2338</v>
      </c>
      <c r="H874">
        <v>0</v>
      </c>
      <c r="I874" t="s">
        <v>16</v>
      </c>
    </row>
    <row r="875" spans="1:9" x14ac:dyDescent="0.25">
      <c r="A875" t="s">
        <v>13</v>
      </c>
      <c r="B875">
        <v>764692</v>
      </c>
      <c r="C875">
        <v>765312</v>
      </c>
      <c r="E875" t="s">
        <v>14</v>
      </c>
      <c r="F875" t="s">
        <v>2341</v>
      </c>
      <c r="H875">
        <v>0</v>
      </c>
      <c r="I875" t="s">
        <v>16</v>
      </c>
    </row>
    <row r="876" spans="1:9" x14ac:dyDescent="0.25">
      <c r="A876" t="s">
        <v>13</v>
      </c>
      <c r="B876">
        <v>765299</v>
      </c>
      <c r="C876">
        <v>765493</v>
      </c>
      <c r="E876" t="s">
        <v>14</v>
      </c>
      <c r="F876" t="s">
        <v>2344</v>
      </c>
      <c r="H876">
        <v>0</v>
      </c>
      <c r="I876" t="s">
        <v>16</v>
      </c>
    </row>
    <row r="877" spans="1:9" x14ac:dyDescent="0.25">
      <c r="A877" t="s">
        <v>13</v>
      </c>
      <c r="B877">
        <v>765494</v>
      </c>
      <c r="C877">
        <v>766276</v>
      </c>
      <c r="E877" t="s">
        <v>14</v>
      </c>
      <c r="F877" t="s">
        <v>2347</v>
      </c>
      <c r="H877">
        <v>0</v>
      </c>
      <c r="I877" t="s">
        <v>16</v>
      </c>
    </row>
    <row r="878" spans="1:9" x14ac:dyDescent="0.25">
      <c r="A878" t="s">
        <v>13</v>
      </c>
      <c r="B878">
        <v>766273</v>
      </c>
      <c r="C878">
        <v>767202</v>
      </c>
      <c r="E878" t="s">
        <v>14</v>
      </c>
      <c r="F878" t="s">
        <v>2350</v>
      </c>
      <c r="H878">
        <v>0</v>
      </c>
      <c r="I878" t="s">
        <v>16</v>
      </c>
    </row>
    <row r="879" spans="1:9" x14ac:dyDescent="0.25">
      <c r="A879" t="s">
        <v>13</v>
      </c>
      <c r="B879">
        <v>767208</v>
      </c>
      <c r="C879">
        <v>768506</v>
      </c>
      <c r="E879" t="s">
        <v>14</v>
      </c>
      <c r="F879" t="s">
        <v>2353</v>
      </c>
      <c r="H879">
        <v>0</v>
      </c>
      <c r="I879" t="s">
        <v>16</v>
      </c>
    </row>
    <row r="880" spans="1:9" x14ac:dyDescent="0.25">
      <c r="A880" t="s">
        <v>13</v>
      </c>
      <c r="B880">
        <v>768503</v>
      </c>
      <c r="C880">
        <v>769282</v>
      </c>
      <c r="E880" t="s">
        <v>14</v>
      </c>
      <c r="F880" t="s">
        <v>2356</v>
      </c>
      <c r="H880">
        <v>0</v>
      </c>
      <c r="I880" t="s">
        <v>16</v>
      </c>
    </row>
    <row r="881" spans="1:9" x14ac:dyDescent="0.25">
      <c r="A881" t="s">
        <v>13</v>
      </c>
      <c r="B881">
        <v>769284</v>
      </c>
      <c r="C881">
        <v>771068</v>
      </c>
      <c r="E881" t="s">
        <v>28</v>
      </c>
      <c r="F881" t="s">
        <v>2359</v>
      </c>
      <c r="H881">
        <v>0</v>
      </c>
      <c r="I881" t="s">
        <v>16</v>
      </c>
    </row>
    <row r="882" spans="1:9" x14ac:dyDescent="0.25">
      <c r="A882" t="s">
        <v>13</v>
      </c>
      <c r="B882">
        <v>771072</v>
      </c>
      <c r="C882">
        <v>772436</v>
      </c>
      <c r="E882" t="s">
        <v>28</v>
      </c>
      <c r="F882" t="s">
        <v>2362</v>
      </c>
      <c r="H882">
        <v>0</v>
      </c>
      <c r="I882" t="s">
        <v>16</v>
      </c>
    </row>
    <row r="883" spans="1:9" x14ac:dyDescent="0.25">
      <c r="A883" t="s">
        <v>13</v>
      </c>
      <c r="B883">
        <v>772433</v>
      </c>
      <c r="C883">
        <v>773536</v>
      </c>
      <c r="E883" t="s">
        <v>28</v>
      </c>
      <c r="F883" t="s">
        <v>2365</v>
      </c>
      <c r="H883">
        <v>0</v>
      </c>
      <c r="I883" t="s">
        <v>16</v>
      </c>
    </row>
    <row r="884" spans="1:9" x14ac:dyDescent="0.25">
      <c r="A884" t="s">
        <v>13</v>
      </c>
      <c r="B884">
        <v>773586</v>
      </c>
      <c r="C884">
        <v>774827</v>
      </c>
      <c r="E884" t="s">
        <v>28</v>
      </c>
      <c r="F884" t="s">
        <v>2368</v>
      </c>
      <c r="H884">
        <v>0</v>
      </c>
      <c r="I884" t="s">
        <v>16</v>
      </c>
    </row>
    <row r="885" spans="1:9" x14ac:dyDescent="0.25">
      <c r="A885" t="s">
        <v>13</v>
      </c>
      <c r="B885">
        <v>774870</v>
      </c>
      <c r="C885">
        <v>775766</v>
      </c>
      <c r="E885" t="s">
        <v>28</v>
      </c>
      <c r="F885" t="s">
        <v>2371</v>
      </c>
      <c r="H885">
        <v>0</v>
      </c>
      <c r="I885" t="s">
        <v>16</v>
      </c>
    </row>
    <row r="886" spans="1:9" x14ac:dyDescent="0.25">
      <c r="A886" t="s">
        <v>13</v>
      </c>
      <c r="B886">
        <v>775964</v>
      </c>
      <c r="C886">
        <v>777010</v>
      </c>
      <c r="E886" t="s">
        <v>14</v>
      </c>
      <c r="F886" t="s">
        <v>41</v>
      </c>
      <c r="H886">
        <v>0</v>
      </c>
      <c r="I886" t="s">
        <v>16</v>
      </c>
    </row>
    <row r="887" spans="1:9" x14ac:dyDescent="0.25">
      <c r="A887" t="s">
        <v>13</v>
      </c>
      <c r="B887">
        <v>777053</v>
      </c>
      <c r="C887">
        <v>777784</v>
      </c>
      <c r="E887" t="s">
        <v>14</v>
      </c>
      <c r="F887" t="s">
        <v>975</v>
      </c>
      <c r="H887">
        <v>0</v>
      </c>
      <c r="I887" t="s">
        <v>16</v>
      </c>
    </row>
    <row r="888" spans="1:9" x14ac:dyDescent="0.25">
      <c r="A888" t="s">
        <v>13</v>
      </c>
      <c r="B888">
        <v>777834</v>
      </c>
      <c r="C888">
        <v>778097</v>
      </c>
      <c r="E888" t="s">
        <v>14</v>
      </c>
      <c r="F888" t="s">
        <v>2378</v>
      </c>
      <c r="H888">
        <v>0</v>
      </c>
      <c r="I888" t="s">
        <v>16</v>
      </c>
    </row>
    <row r="889" spans="1:9" x14ac:dyDescent="0.25">
      <c r="A889" t="s">
        <v>13</v>
      </c>
      <c r="B889">
        <v>778056</v>
      </c>
      <c r="C889">
        <v>779396</v>
      </c>
      <c r="E889" t="s">
        <v>28</v>
      </c>
      <c r="F889" t="s">
        <v>1712</v>
      </c>
      <c r="H889">
        <v>0</v>
      </c>
      <c r="I889" t="s">
        <v>16</v>
      </c>
    </row>
    <row r="890" spans="1:9" x14ac:dyDescent="0.25">
      <c r="A890" t="s">
        <v>13</v>
      </c>
      <c r="B890">
        <v>779488</v>
      </c>
      <c r="C890">
        <v>779697</v>
      </c>
      <c r="E890" t="s">
        <v>14</v>
      </c>
      <c r="F890" t="s">
        <v>721</v>
      </c>
      <c r="H890">
        <v>0</v>
      </c>
      <c r="I890" t="s">
        <v>16</v>
      </c>
    </row>
    <row r="891" spans="1:9" x14ac:dyDescent="0.25">
      <c r="A891" t="s">
        <v>13</v>
      </c>
      <c r="B891">
        <v>779989</v>
      </c>
      <c r="C891">
        <v>780408</v>
      </c>
      <c r="E891" t="s">
        <v>14</v>
      </c>
      <c r="F891" t="s">
        <v>2132</v>
      </c>
      <c r="H891">
        <v>0</v>
      </c>
      <c r="I891" t="s">
        <v>16</v>
      </c>
    </row>
    <row r="892" spans="1:9" x14ac:dyDescent="0.25">
      <c r="A892" t="s">
        <v>13</v>
      </c>
      <c r="B892">
        <v>781042</v>
      </c>
      <c r="C892">
        <v>781713</v>
      </c>
      <c r="E892" t="s">
        <v>14</v>
      </c>
      <c r="F892" t="s">
        <v>2387</v>
      </c>
      <c r="H892">
        <v>0</v>
      </c>
      <c r="I892" t="s">
        <v>16</v>
      </c>
    </row>
    <row r="893" spans="1:9" x14ac:dyDescent="0.25">
      <c r="A893" t="s">
        <v>13</v>
      </c>
      <c r="B893">
        <v>781725</v>
      </c>
      <c r="C893">
        <v>783605</v>
      </c>
      <c r="E893" t="s">
        <v>14</v>
      </c>
      <c r="F893" t="s">
        <v>2390</v>
      </c>
      <c r="H893">
        <v>0</v>
      </c>
      <c r="I893" t="s">
        <v>16</v>
      </c>
    </row>
    <row r="894" spans="1:9" x14ac:dyDescent="0.25">
      <c r="A894" t="s">
        <v>13</v>
      </c>
      <c r="B894">
        <v>783602</v>
      </c>
      <c r="C894">
        <v>783844</v>
      </c>
      <c r="E894" t="s">
        <v>14</v>
      </c>
      <c r="F894" t="s">
        <v>41</v>
      </c>
      <c r="H894">
        <v>0</v>
      </c>
      <c r="I894" t="s">
        <v>16</v>
      </c>
    </row>
    <row r="895" spans="1:9" x14ac:dyDescent="0.25">
      <c r="A895" t="s">
        <v>13</v>
      </c>
      <c r="B895">
        <v>783807</v>
      </c>
      <c r="C895">
        <v>784967</v>
      </c>
      <c r="E895" t="s">
        <v>14</v>
      </c>
      <c r="F895" t="s">
        <v>235</v>
      </c>
      <c r="H895">
        <v>0</v>
      </c>
      <c r="I895" t="s">
        <v>16</v>
      </c>
    </row>
    <row r="896" spans="1:9" x14ac:dyDescent="0.25">
      <c r="A896" t="s">
        <v>13</v>
      </c>
      <c r="B896">
        <v>784964</v>
      </c>
      <c r="C896">
        <v>785941</v>
      </c>
      <c r="E896" t="s">
        <v>14</v>
      </c>
      <c r="F896" t="s">
        <v>41</v>
      </c>
      <c r="H896">
        <v>0</v>
      </c>
      <c r="I896" t="s">
        <v>16</v>
      </c>
    </row>
    <row r="897" spans="1:9" x14ac:dyDescent="0.25">
      <c r="A897" t="s">
        <v>13</v>
      </c>
      <c r="B897">
        <v>785934</v>
      </c>
      <c r="C897">
        <v>786284</v>
      </c>
      <c r="E897" t="s">
        <v>14</v>
      </c>
      <c r="F897" t="s">
        <v>41</v>
      </c>
      <c r="H897">
        <v>0</v>
      </c>
      <c r="I897" t="s">
        <v>16</v>
      </c>
    </row>
    <row r="898" spans="1:9" x14ac:dyDescent="0.25">
      <c r="A898" t="s">
        <v>13</v>
      </c>
      <c r="B898">
        <v>786281</v>
      </c>
      <c r="C898">
        <v>786925</v>
      </c>
      <c r="E898" t="s">
        <v>14</v>
      </c>
      <c r="F898" t="s">
        <v>153</v>
      </c>
      <c r="H898">
        <v>0</v>
      </c>
      <c r="I898" t="s">
        <v>16</v>
      </c>
    </row>
    <row r="899" spans="1:9" x14ac:dyDescent="0.25">
      <c r="A899" t="s">
        <v>13</v>
      </c>
      <c r="B899">
        <v>787010</v>
      </c>
      <c r="C899">
        <v>787753</v>
      </c>
      <c r="E899" t="s">
        <v>28</v>
      </c>
      <c r="F899" t="s">
        <v>1599</v>
      </c>
      <c r="H899">
        <v>0</v>
      </c>
      <c r="I899" t="s">
        <v>16</v>
      </c>
    </row>
    <row r="900" spans="1:9" x14ac:dyDescent="0.25">
      <c r="A900" t="s">
        <v>13</v>
      </c>
      <c r="B900">
        <v>787746</v>
      </c>
      <c r="C900">
        <v>788510</v>
      </c>
      <c r="E900" t="s">
        <v>28</v>
      </c>
      <c r="F900" t="s">
        <v>1602</v>
      </c>
      <c r="H900">
        <v>0</v>
      </c>
      <c r="I900" t="s">
        <v>16</v>
      </c>
    </row>
    <row r="901" spans="1:9" x14ac:dyDescent="0.25">
      <c r="A901" t="s">
        <v>13</v>
      </c>
      <c r="B901">
        <v>788497</v>
      </c>
      <c r="C901">
        <v>790158</v>
      </c>
      <c r="E901" t="s">
        <v>28</v>
      </c>
      <c r="F901" t="s">
        <v>1757</v>
      </c>
      <c r="H901">
        <v>0</v>
      </c>
      <c r="I901" t="s">
        <v>16</v>
      </c>
    </row>
    <row r="902" spans="1:9" x14ac:dyDescent="0.25">
      <c r="A902" t="s">
        <v>13</v>
      </c>
      <c r="B902">
        <v>790155</v>
      </c>
      <c r="C902">
        <v>791225</v>
      </c>
      <c r="E902" t="s">
        <v>28</v>
      </c>
      <c r="F902" t="s">
        <v>1605</v>
      </c>
      <c r="H902">
        <v>0</v>
      </c>
      <c r="I902" t="s">
        <v>16</v>
      </c>
    </row>
    <row r="903" spans="1:9" x14ac:dyDescent="0.25">
      <c r="A903" t="s">
        <v>13</v>
      </c>
      <c r="B903">
        <v>791222</v>
      </c>
      <c r="C903">
        <v>792085</v>
      </c>
      <c r="E903" t="s">
        <v>28</v>
      </c>
      <c r="F903" t="s">
        <v>1608</v>
      </c>
      <c r="H903">
        <v>0</v>
      </c>
      <c r="I903" t="s">
        <v>16</v>
      </c>
    </row>
    <row r="904" spans="1:9" x14ac:dyDescent="0.25">
      <c r="A904" t="s">
        <v>13</v>
      </c>
      <c r="B904">
        <v>792086</v>
      </c>
      <c r="C904">
        <v>793372</v>
      </c>
      <c r="E904" t="s">
        <v>28</v>
      </c>
      <c r="F904" t="s">
        <v>2413</v>
      </c>
      <c r="H904">
        <v>0</v>
      </c>
      <c r="I904" t="s">
        <v>16</v>
      </c>
    </row>
    <row r="905" spans="1:9" x14ac:dyDescent="0.25">
      <c r="A905" t="s">
        <v>13</v>
      </c>
      <c r="B905">
        <v>793956</v>
      </c>
      <c r="C905">
        <v>794747</v>
      </c>
      <c r="E905" t="s">
        <v>14</v>
      </c>
      <c r="F905" t="s">
        <v>41</v>
      </c>
      <c r="H905">
        <v>0</v>
      </c>
      <c r="I905" t="s">
        <v>16</v>
      </c>
    </row>
    <row r="906" spans="1:9" x14ac:dyDescent="0.25">
      <c r="A906" t="s">
        <v>13</v>
      </c>
      <c r="B906">
        <v>794999</v>
      </c>
      <c r="C906">
        <v>795148</v>
      </c>
      <c r="E906" t="s">
        <v>14</v>
      </c>
      <c r="F906" t="s">
        <v>41</v>
      </c>
      <c r="H906">
        <v>0</v>
      </c>
      <c r="I906" t="s">
        <v>16</v>
      </c>
    </row>
    <row r="907" spans="1:9" x14ac:dyDescent="0.25">
      <c r="A907" t="s">
        <v>13</v>
      </c>
      <c r="B907">
        <v>795520</v>
      </c>
      <c r="C907">
        <v>795849</v>
      </c>
      <c r="E907" t="s">
        <v>28</v>
      </c>
      <c r="F907" t="s">
        <v>41</v>
      </c>
      <c r="H907">
        <v>0</v>
      </c>
      <c r="I907" t="s">
        <v>16</v>
      </c>
    </row>
    <row r="908" spans="1:9" x14ac:dyDescent="0.25">
      <c r="A908" t="s">
        <v>13</v>
      </c>
      <c r="B908">
        <v>795891</v>
      </c>
      <c r="C908">
        <v>796226</v>
      </c>
      <c r="E908" t="s">
        <v>28</v>
      </c>
      <c r="F908" t="s">
        <v>41</v>
      </c>
      <c r="H908">
        <v>0</v>
      </c>
      <c r="I908" t="s">
        <v>16</v>
      </c>
    </row>
    <row r="909" spans="1:9" x14ac:dyDescent="0.25">
      <c r="A909" t="s">
        <v>13</v>
      </c>
      <c r="B909">
        <v>796260</v>
      </c>
      <c r="C909">
        <v>796493</v>
      </c>
      <c r="E909" t="s">
        <v>14</v>
      </c>
      <c r="F909" t="s">
        <v>2424</v>
      </c>
      <c r="H909">
        <v>0</v>
      </c>
      <c r="I909" t="s">
        <v>16</v>
      </c>
    </row>
    <row r="910" spans="1:9" x14ac:dyDescent="0.25">
      <c r="A910" t="s">
        <v>13</v>
      </c>
      <c r="B910">
        <v>796474</v>
      </c>
      <c r="C910">
        <v>796773</v>
      </c>
      <c r="E910" t="s">
        <v>14</v>
      </c>
      <c r="F910" t="s">
        <v>2427</v>
      </c>
      <c r="H910">
        <v>0</v>
      </c>
      <c r="I910" t="s">
        <v>16</v>
      </c>
    </row>
    <row r="911" spans="1:9" x14ac:dyDescent="0.25">
      <c r="A911" t="s">
        <v>13</v>
      </c>
      <c r="B911">
        <v>797181</v>
      </c>
      <c r="C911">
        <v>798422</v>
      </c>
      <c r="E911" t="s">
        <v>14</v>
      </c>
      <c r="F911" t="s">
        <v>2430</v>
      </c>
      <c r="H911">
        <v>0</v>
      </c>
      <c r="I911" t="s">
        <v>16</v>
      </c>
    </row>
    <row r="912" spans="1:9" x14ac:dyDescent="0.25">
      <c r="A912" t="s">
        <v>13</v>
      </c>
      <c r="B912">
        <v>798422</v>
      </c>
      <c r="C912">
        <v>799210</v>
      </c>
      <c r="E912" t="s">
        <v>14</v>
      </c>
      <c r="F912" t="s">
        <v>1770</v>
      </c>
      <c r="H912">
        <v>0</v>
      </c>
      <c r="I912" t="s">
        <v>16</v>
      </c>
    </row>
    <row r="913" spans="1:9" x14ac:dyDescent="0.25">
      <c r="A913" t="s">
        <v>13</v>
      </c>
      <c r="B913">
        <v>799505</v>
      </c>
      <c r="C913">
        <v>799897</v>
      </c>
      <c r="E913" t="s">
        <v>14</v>
      </c>
      <c r="F913" t="s">
        <v>2435</v>
      </c>
      <c r="H913">
        <v>0</v>
      </c>
      <c r="I913" t="s">
        <v>16</v>
      </c>
    </row>
    <row r="914" spans="1:9" x14ac:dyDescent="0.25">
      <c r="A914" t="s">
        <v>13</v>
      </c>
      <c r="B914">
        <v>799922</v>
      </c>
      <c r="C914">
        <v>801532</v>
      </c>
      <c r="E914" t="s">
        <v>14</v>
      </c>
      <c r="F914" t="s">
        <v>2438</v>
      </c>
      <c r="H914">
        <v>0</v>
      </c>
      <c r="I914" t="s">
        <v>16</v>
      </c>
    </row>
    <row r="915" spans="1:9" x14ac:dyDescent="0.25">
      <c r="A915" t="s">
        <v>13</v>
      </c>
      <c r="B915">
        <v>801532</v>
      </c>
      <c r="C915">
        <v>802293</v>
      </c>
      <c r="E915" t="s">
        <v>14</v>
      </c>
      <c r="F915" t="s">
        <v>1932</v>
      </c>
      <c r="H915">
        <v>0</v>
      </c>
      <c r="I915" t="s">
        <v>16</v>
      </c>
    </row>
    <row r="916" spans="1:9" x14ac:dyDescent="0.25">
      <c r="A916" t="s">
        <v>13</v>
      </c>
      <c r="B916">
        <v>802313</v>
      </c>
      <c r="C916">
        <v>802720</v>
      </c>
      <c r="E916" t="s">
        <v>28</v>
      </c>
      <c r="F916" t="s">
        <v>41</v>
      </c>
      <c r="H916">
        <v>0</v>
      </c>
      <c r="I916" t="s">
        <v>16</v>
      </c>
    </row>
    <row r="917" spans="1:9" x14ac:dyDescent="0.25">
      <c r="A917" t="s">
        <v>13</v>
      </c>
      <c r="B917">
        <v>802733</v>
      </c>
      <c r="C917">
        <v>804361</v>
      </c>
      <c r="E917" t="s">
        <v>28</v>
      </c>
      <c r="F917" t="s">
        <v>68</v>
      </c>
      <c r="H917">
        <v>0</v>
      </c>
      <c r="I917" t="s">
        <v>16</v>
      </c>
    </row>
    <row r="918" spans="1:9" x14ac:dyDescent="0.25">
      <c r="A918" t="s">
        <v>13</v>
      </c>
      <c r="B918">
        <v>804371</v>
      </c>
      <c r="C918">
        <v>806587</v>
      </c>
      <c r="E918" t="s">
        <v>28</v>
      </c>
      <c r="F918" t="s">
        <v>41</v>
      </c>
      <c r="H918">
        <v>0</v>
      </c>
      <c r="I918" t="s">
        <v>16</v>
      </c>
    </row>
    <row r="919" spans="1:9" x14ac:dyDescent="0.25">
      <c r="A919" t="s">
        <v>13</v>
      </c>
      <c r="B919">
        <v>806665</v>
      </c>
      <c r="C919">
        <v>807672</v>
      </c>
      <c r="E919" t="s">
        <v>14</v>
      </c>
      <c r="F919" t="s">
        <v>2449</v>
      </c>
      <c r="H919">
        <v>0</v>
      </c>
      <c r="I919" t="s">
        <v>16</v>
      </c>
    </row>
    <row r="920" spans="1:9" x14ac:dyDescent="0.25">
      <c r="A920" t="s">
        <v>13</v>
      </c>
      <c r="B920">
        <v>807665</v>
      </c>
      <c r="C920">
        <v>809149</v>
      </c>
      <c r="E920" t="s">
        <v>14</v>
      </c>
      <c r="F920" t="s">
        <v>2452</v>
      </c>
      <c r="H920">
        <v>0</v>
      </c>
      <c r="I920" t="s">
        <v>16</v>
      </c>
    </row>
    <row r="921" spans="1:9" x14ac:dyDescent="0.25">
      <c r="A921" t="s">
        <v>13</v>
      </c>
      <c r="B921">
        <v>809139</v>
      </c>
      <c r="C921">
        <v>809909</v>
      </c>
      <c r="E921" t="s">
        <v>14</v>
      </c>
      <c r="F921" t="s">
        <v>2455</v>
      </c>
      <c r="H921">
        <v>0</v>
      </c>
      <c r="I921" t="s">
        <v>16</v>
      </c>
    </row>
    <row r="922" spans="1:9" x14ac:dyDescent="0.25">
      <c r="A922" t="s">
        <v>13</v>
      </c>
      <c r="B922">
        <v>809902</v>
      </c>
      <c r="C922">
        <v>810633</v>
      </c>
      <c r="E922" t="s">
        <v>14</v>
      </c>
      <c r="F922" t="s">
        <v>41</v>
      </c>
      <c r="H922">
        <v>0</v>
      </c>
      <c r="I922" t="s">
        <v>16</v>
      </c>
    </row>
    <row r="923" spans="1:9" x14ac:dyDescent="0.25">
      <c r="A923" t="s">
        <v>13</v>
      </c>
      <c r="B923">
        <v>810630</v>
      </c>
      <c r="C923">
        <v>811037</v>
      </c>
      <c r="E923" t="s">
        <v>14</v>
      </c>
      <c r="F923" t="s">
        <v>2460</v>
      </c>
      <c r="H923">
        <v>0</v>
      </c>
      <c r="I923" t="s">
        <v>16</v>
      </c>
    </row>
    <row r="924" spans="1:9" x14ac:dyDescent="0.25">
      <c r="A924" t="s">
        <v>13</v>
      </c>
      <c r="B924">
        <v>811151</v>
      </c>
      <c r="C924">
        <v>812347</v>
      </c>
      <c r="E924" t="s">
        <v>14</v>
      </c>
      <c r="F924" t="s">
        <v>2463</v>
      </c>
      <c r="H924">
        <v>0</v>
      </c>
      <c r="I924" t="s">
        <v>16</v>
      </c>
    </row>
    <row r="925" spans="1:9" x14ac:dyDescent="0.25">
      <c r="A925" t="s">
        <v>13</v>
      </c>
      <c r="B925">
        <v>812349</v>
      </c>
      <c r="C925">
        <v>813206</v>
      </c>
      <c r="E925" t="s">
        <v>14</v>
      </c>
      <c r="F925" t="s">
        <v>1608</v>
      </c>
      <c r="H925">
        <v>0</v>
      </c>
      <c r="I925" t="s">
        <v>16</v>
      </c>
    </row>
    <row r="926" spans="1:9" x14ac:dyDescent="0.25">
      <c r="A926" t="s">
        <v>13</v>
      </c>
      <c r="B926">
        <v>813203</v>
      </c>
      <c r="C926">
        <v>814099</v>
      </c>
      <c r="E926" t="s">
        <v>14</v>
      </c>
      <c r="F926" t="s">
        <v>2468</v>
      </c>
      <c r="H926">
        <v>0</v>
      </c>
      <c r="I926" t="s">
        <v>16</v>
      </c>
    </row>
    <row r="927" spans="1:9" x14ac:dyDescent="0.25">
      <c r="A927" t="s">
        <v>13</v>
      </c>
      <c r="B927">
        <v>814092</v>
      </c>
      <c r="C927">
        <v>814817</v>
      </c>
      <c r="E927" t="s">
        <v>14</v>
      </c>
      <c r="F927" t="s">
        <v>1602</v>
      </c>
      <c r="H927">
        <v>0</v>
      </c>
      <c r="I927" t="s">
        <v>16</v>
      </c>
    </row>
    <row r="928" spans="1:9" x14ac:dyDescent="0.25">
      <c r="A928" t="s">
        <v>13</v>
      </c>
      <c r="B928">
        <v>814814</v>
      </c>
      <c r="C928">
        <v>815518</v>
      </c>
      <c r="E928" t="s">
        <v>14</v>
      </c>
      <c r="F928" t="s">
        <v>1599</v>
      </c>
      <c r="H928">
        <v>0</v>
      </c>
      <c r="I928" t="s">
        <v>16</v>
      </c>
    </row>
    <row r="929" spans="1:9" x14ac:dyDescent="0.25">
      <c r="A929" t="s">
        <v>13</v>
      </c>
      <c r="B929">
        <v>815528</v>
      </c>
      <c r="C929">
        <v>816283</v>
      </c>
      <c r="E929" t="s">
        <v>14</v>
      </c>
      <c r="F929" t="s">
        <v>2475</v>
      </c>
      <c r="H929">
        <v>0</v>
      </c>
      <c r="I929" t="s">
        <v>16</v>
      </c>
    </row>
    <row r="930" spans="1:9" x14ac:dyDescent="0.25">
      <c r="A930" t="s">
        <v>13</v>
      </c>
      <c r="B930">
        <v>816292</v>
      </c>
      <c r="C930">
        <v>816792</v>
      </c>
      <c r="E930" t="s">
        <v>14</v>
      </c>
      <c r="F930" t="s">
        <v>2478</v>
      </c>
      <c r="H930">
        <v>0</v>
      </c>
      <c r="I930" t="s">
        <v>16</v>
      </c>
    </row>
    <row r="931" spans="1:9" x14ac:dyDescent="0.25">
      <c r="A931" t="s">
        <v>13</v>
      </c>
      <c r="B931">
        <v>816789</v>
      </c>
      <c r="C931">
        <v>817490</v>
      </c>
      <c r="E931" t="s">
        <v>14</v>
      </c>
      <c r="F931" t="s">
        <v>2481</v>
      </c>
      <c r="H931">
        <v>0</v>
      </c>
      <c r="I931" t="s">
        <v>16</v>
      </c>
    </row>
    <row r="932" spans="1:9" x14ac:dyDescent="0.25">
      <c r="A932" t="s">
        <v>13</v>
      </c>
      <c r="B932">
        <v>817487</v>
      </c>
      <c r="C932">
        <v>817618</v>
      </c>
      <c r="E932" t="s">
        <v>28</v>
      </c>
      <c r="F932" t="s">
        <v>2484</v>
      </c>
      <c r="H932">
        <v>0</v>
      </c>
      <c r="I932" t="s">
        <v>16</v>
      </c>
    </row>
    <row r="933" spans="1:9" x14ac:dyDescent="0.25">
      <c r="A933" t="s">
        <v>13</v>
      </c>
      <c r="B933">
        <v>817718</v>
      </c>
      <c r="C933">
        <v>819532</v>
      </c>
      <c r="E933" t="s">
        <v>14</v>
      </c>
      <c r="F933" t="s">
        <v>41</v>
      </c>
      <c r="H933">
        <v>0</v>
      </c>
      <c r="I933" t="s">
        <v>16</v>
      </c>
    </row>
    <row r="934" spans="1:9" x14ac:dyDescent="0.25">
      <c r="A934" t="s">
        <v>13</v>
      </c>
      <c r="B934">
        <v>819735</v>
      </c>
      <c r="C934">
        <v>819872</v>
      </c>
      <c r="E934" t="s">
        <v>14</v>
      </c>
      <c r="F934" t="s">
        <v>41</v>
      </c>
      <c r="H934">
        <v>0</v>
      </c>
      <c r="I934" t="s">
        <v>16</v>
      </c>
    </row>
    <row r="935" spans="1:9" x14ac:dyDescent="0.25">
      <c r="A935" t="s">
        <v>13</v>
      </c>
      <c r="B935">
        <v>820011</v>
      </c>
      <c r="C935">
        <v>821312</v>
      </c>
      <c r="E935" t="s">
        <v>28</v>
      </c>
      <c r="F935" t="s">
        <v>2491</v>
      </c>
      <c r="H935">
        <v>0</v>
      </c>
      <c r="I935" t="s">
        <v>16</v>
      </c>
    </row>
    <row r="936" spans="1:9" x14ac:dyDescent="0.25">
      <c r="A936" t="s">
        <v>13</v>
      </c>
      <c r="B936">
        <v>821322</v>
      </c>
      <c r="C936">
        <v>822134</v>
      </c>
      <c r="E936" t="s">
        <v>28</v>
      </c>
      <c r="F936" t="s">
        <v>2494</v>
      </c>
      <c r="H936">
        <v>0</v>
      </c>
      <c r="I936" t="s">
        <v>16</v>
      </c>
    </row>
    <row r="937" spans="1:9" x14ac:dyDescent="0.25">
      <c r="A937" t="s">
        <v>13</v>
      </c>
      <c r="B937">
        <v>822127</v>
      </c>
      <c r="C937">
        <v>823038</v>
      </c>
      <c r="E937" t="s">
        <v>28</v>
      </c>
      <c r="F937" t="s">
        <v>2497</v>
      </c>
      <c r="H937">
        <v>0</v>
      </c>
      <c r="I937" t="s">
        <v>16</v>
      </c>
    </row>
    <row r="938" spans="1:9" x14ac:dyDescent="0.25">
      <c r="A938" t="s">
        <v>13</v>
      </c>
      <c r="B938">
        <v>823123</v>
      </c>
      <c r="C938">
        <v>823860</v>
      </c>
      <c r="E938" t="s">
        <v>14</v>
      </c>
      <c r="F938" t="s">
        <v>41</v>
      </c>
      <c r="H938">
        <v>0</v>
      </c>
      <c r="I938" t="s">
        <v>16</v>
      </c>
    </row>
    <row r="939" spans="1:9" x14ac:dyDescent="0.25">
      <c r="A939" t="s">
        <v>13</v>
      </c>
      <c r="B939">
        <v>823870</v>
      </c>
      <c r="C939">
        <v>824601</v>
      </c>
      <c r="E939" t="s">
        <v>14</v>
      </c>
      <c r="F939" t="s">
        <v>62</v>
      </c>
      <c r="H939">
        <v>0</v>
      </c>
      <c r="I939" t="s">
        <v>16</v>
      </c>
    </row>
    <row r="940" spans="1:9" x14ac:dyDescent="0.25">
      <c r="A940" t="s">
        <v>13</v>
      </c>
      <c r="B940">
        <v>824585</v>
      </c>
      <c r="C940">
        <v>825301</v>
      </c>
      <c r="E940" t="s">
        <v>14</v>
      </c>
      <c r="F940" t="s">
        <v>2504</v>
      </c>
      <c r="H940">
        <v>0</v>
      </c>
      <c r="I940" t="s">
        <v>16</v>
      </c>
    </row>
    <row r="941" spans="1:9" x14ac:dyDescent="0.25">
      <c r="A941" t="s">
        <v>13</v>
      </c>
      <c r="B941">
        <v>825339</v>
      </c>
      <c r="C941">
        <v>826844</v>
      </c>
      <c r="E941" t="s">
        <v>14</v>
      </c>
      <c r="F941" t="s">
        <v>2507</v>
      </c>
      <c r="H941">
        <v>0</v>
      </c>
      <c r="I941" t="s">
        <v>16</v>
      </c>
    </row>
    <row r="942" spans="1:9" x14ac:dyDescent="0.25">
      <c r="A942" t="s">
        <v>13</v>
      </c>
      <c r="B942">
        <v>827049</v>
      </c>
      <c r="C942">
        <v>827684</v>
      </c>
      <c r="E942" t="s">
        <v>14</v>
      </c>
      <c r="F942" t="s">
        <v>2510</v>
      </c>
      <c r="H942">
        <v>0</v>
      </c>
      <c r="I942" t="s">
        <v>16</v>
      </c>
    </row>
    <row r="943" spans="1:9" x14ac:dyDescent="0.25">
      <c r="A943" t="s">
        <v>13</v>
      </c>
      <c r="B943">
        <v>827815</v>
      </c>
      <c r="C943">
        <v>828222</v>
      </c>
      <c r="E943" t="s">
        <v>14</v>
      </c>
      <c r="F943" t="s">
        <v>41</v>
      </c>
      <c r="H943">
        <v>0</v>
      </c>
      <c r="I943" t="s">
        <v>16</v>
      </c>
    </row>
    <row r="944" spans="1:9" x14ac:dyDescent="0.25">
      <c r="A944" t="s">
        <v>13</v>
      </c>
      <c r="B944">
        <v>828472</v>
      </c>
      <c r="C944">
        <v>830037</v>
      </c>
      <c r="E944" t="s">
        <v>14</v>
      </c>
      <c r="F944" t="s">
        <v>1130</v>
      </c>
      <c r="H944">
        <v>0</v>
      </c>
      <c r="I944" t="s">
        <v>16</v>
      </c>
    </row>
    <row r="945" spans="1:9" x14ac:dyDescent="0.25">
      <c r="A945" t="s">
        <v>13</v>
      </c>
      <c r="B945">
        <v>830155</v>
      </c>
      <c r="C945">
        <v>830283</v>
      </c>
      <c r="E945" t="s">
        <v>14</v>
      </c>
      <c r="F945" t="s">
        <v>41</v>
      </c>
      <c r="H945">
        <v>0</v>
      </c>
      <c r="I945" t="s">
        <v>16</v>
      </c>
    </row>
    <row r="946" spans="1:9" x14ac:dyDescent="0.25">
      <c r="A946" t="s">
        <v>13</v>
      </c>
      <c r="B946">
        <v>830338</v>
      </c>
      <c r="C946">
        <v>830766</v>
      </c>
      <c r="E946" t="s">
        <v>28</v>
      </c>
      <c r="F946" t="s">
        <v>41</v>
      </c>
      <c r="H946">
        <v>0</v>
      </c>
      <c r="I946" t="s">
        <v>16</v>
      </c>
    </row>
    <row r="947" spans="1:9" x14ac:dyDescent="0.25">
      <c r="A947" t="s">
        <v>13</v>
      </c>
      <c r="B947">
        <v>830843</v>
      </c>
      <c r="C947">
        <v>832027</v>
      </c>
      <c r="E947" t="s">
        <v>14</v>
      </c>
      <c r="F947" t="s">
        <v>1611</v>
      </c>
      <c r="H947">
        <v>0</v>
      </c>
      <c r="I947" t="s">
        <v>16</v>
      </c>
    </row>
    <row r="948" spans="1:9" x14ac:dyDescent="0.25">
      <c r="A948" t="s">
        <v>13</v>
      </c>
      <c r="B948">
        <v>832083</v>
      </c>
      <c r="C948">
        <v>832958</v>
      </c>
      <c r="E948" t="s">
        <v>14</v>
      </c>
      <c r="F948" t="s">
        <v>1608</v>
      </c>
      <c r="H948">
        <v>0</v>
      </c>
      <c r="I948" t="s">
        <v>16</v>
      </c>
    </row>
    <row r="949" spans="1:9" x14ac:dyDescent="0.25">
      <c r="A949" t="s">
        <v>13</v>
      </c>
      <c r="B949">
        <v>832958</v>
      </c>
      <c r="C949">
        <v>833734</v>
      </c>
      <c r="E949" t="s">
        <v>14</v>
      </c>
      <c r="F949" t="s">
        <v>1599</v>
      </c>
      <c r="H949">
        <v>0</v>
      </c>
      <c r="I949" t="s">
        <v>16</v>
      </c>
    </row>
    <row r="950" spans="1:9" x14ac:dyDescent="0.25">
      <c r="A950" t="s">
        <v>13</v>
      </c>
      <c r="B950">
        <v>833758</v>
      </c>
      <c r="C950">
        <v>834501</v>
      </c>
      <c r="E950" t="s">
        <v>14</v>
      </c>
      <c r="F950" t="s">
        <v>1602</v>
      </c>
      <c r="H950">
        <v>0</v>
      </c>
      <c r="I950" t="s">
        <v>16</v>
      </c>
    </row>
    <row r="951" spans="1:9" x14ac:dyDescent="0.25">
      <c r="A951" t="s">
        <v>13</v>
      </c>
      <c r="B951">
        <v>834504</v>
      </c>
      <c r="C951">
        <v>836357</v>
      </c>
      <c r="E951" t="s">
        <v>14</v>
      </c>
      <c r="F951" t="s">
        <v>1757</v>
      </c>
      <c r="H951">
        <v>0</v>
      </c>
      <c r="I951" t="s">
        <v>16</v>
      </c>
    </row>
    <row r="952" spans="1:9" x14ac:dyDescent="0.25">
      <c r="A952" t="s">
        <v>13</v>
      </c>
      <c r="B952">
        <v>836359</v>
      </c>
      <c r="C952">
        <v>837426</v>
      </c>
      <c r="E952" t="s">
        <v>14</v>
      </c>
      <c r="F952" t="s">
        <v>1605</v>
      </c>
      <c r="H952">
        <v>0</v>
      </c>
      <c r="I952" t="s">
        <v>16</v>
      </c>
    </row>
    <row r="953" spans="1:9" x14ac:dyDescent="0.25">
      <c r="A953" t="s">
        <v>13</v>
      </c>
      <c r="B953">
        <v>837623</v>
      </c>
      <c r="C953">
        <v>838138</v>
      </c>
      <c r="E953" t="s">
        <v>14</v>
      </c>
      <c r="F953" t="s">
        <v>41</v>
      </c>
      <c r="H953">
        <v>0</v>
      </c>
      <c r="I953" t="s">
        <v>16</v>
      </c>
    </row>
    <row r="954" spans="1:9" x14ac:dyDescent="0.25">
      <c r="A954" t="s">
        <v>13</v>
      </c>
      <c r="B954">
        <v>838161</v>
      </c>
      <c r="C954">
        <v>840899</v>
      </c>
      <c r="E954" t="s">
        <v>14</v>
      </c>
      <c r="F954" t="s">
        <v>41</v>
      </c>
      <c r="H954">
        <v>0</v>
      </c>
      <c r="I954" t="s">
        <v>16</v>
      </c>
    </row>
    <row r="955" spans="1:9" x14ac:dyDescent="0.25">
      <c r="A955" t="s">
        <v>13</v>
      </c>
      <c r="B955">
        <v>840991</v>
      </c>
      <c r="C955">
        <v>843639</v>
      </c>
      <c r="E955" t="s">
        <v>14</v>
      </c>
      <c r="F955" t="s">
        <v>41</v>
      </c>
      <c r="H955">
        <v>0</v>
      </c>
      <c r="I955" t="s">
        <v>16</v>
      </c>
    </row>
    <row r="956" spans="1:9" x14ac:dyDescent="0.25">
      <c r="A956" t="s">
        <v>13</v>
      </c>
      <c r="B956">
        <v>843636</v>
      </c>
      <c r="C956">
        <v>849014</v>
      </c>
      <c r="E956" t="s">
        <v>14</v>
      </c>
      <c r="F956" t="s">
        <v>41</v>
      </c>
      <c r="H956">
        <v>0</v>
      </c>
      <c r="I956" t="s">
        <v>16</v>
      </c>
    </row>
    <row r="957" spans="1:9" x14ac:dyDescent="0.25">
      <c r="A957" t="s">
        <v>13</v>
      </c>
      <c r="B957">
        <v>849935</v>
      </c>
      <c r="C957">
        <v>854005</v>
      </c>
      <c r="E957" t="s">
        <v>14</v>
      </c>
      <c r="F957" t="s">
        <v>2541</v>
      </c>
      <c r="H957">
        <v>0</v>
      </c>
      <c r="I957" t="s">
        <v>16</v>
      </c>
    </row>
    <row r="958" spans="1:9" x14ac:dyDescent="0.25">
      <c r="A958" t="s">
        <v>13</v>
      </c>
      <c r="B958">
        <v>853984</v>
      </c>
      <c r="C958">
        <v>854196</v>
      </c>
      <c r="E958" t="s">
        <v>28</v>
      </c>
      <c r="F958" t="s">
        <v>41</v>
      </c>
      <c r="H958">
        <v>0</v>
      </c>
      <c r="I958" t="s">
        <v>16</v>
      </c>
    </row>
    <row r="959" spans="1:9" x14ac:dyDescent="0.25">
      <c r="A959" t="s">
        <v>13</v>
      </c>
      <c r="B959">
        <v>854177</v>
      </c>
      <c r="C959">
        <v>854752</v>
      </c>
      <c r="E959" t="s">
        <v>14</v>
      </c>
      <c r="F959" t="s">
        <v>672</v>
      </c>
      <c r="H959">
        <v>0</v>
      </c>
      <c r="I959" t="s">
        <v>16</v>
      </c>
    </row>
    <row r="960" spans="1:9" x14ac:dyDescent="0.25">
      <c r="A960" t="s">
        <v>13</v>
      </c>
      <c r="B960">
        <v>854739</v>
      </c>
      <c r="C960">
        <v>855875</v>
      </c>
      <c r="E960" t="s">
        <v>14</v>
      </c>
      <c r="F960" t="s">
        <v>235</v>
      </c>
      <c r="H960">
        <v>0</v>
      </c>
      <c r="I960" t="s">
        <v>16</v>
      </c>
    </row>
    <row r="961" spans="1:9" x14ac:dyDescent="0.25">
      <c r="A961" t="s">
        <v>13</v>
      </c>
      <c r="B961">
        <v>855891</v>
      </c>
      <c r="C961">
        <v>856343</v>
      </c>
      <c r="E961" t="s">
        <v>14</v>
      </c>
      <c r="F961" t="s">
        <v>2550</v>
      </c>
      <c r="H961">
        <v>0</v>
      </c>
      <c r="I961" t="s">
        <v>16</v>
      </c>
    </row>
    <row r="962" spans="1:9" x14ac:dyDescent="0.25">
      <c r="A962" t="s">
        <v>13</v>
      </c>
      <c r="B962">
        <v>856343</v>
      </c>
      <c r="C962">
        <v>857083</v>
      </c>
      <c r="E962" t="s">
        <v>14</v>
      </c>
      <c r="F962" t="s">
        <v>1770</v>
      </c>
      <c r="H962">
        <v>0</v>
      </c>
      <c r="I962" t="s">
        <v>16</v>
      </c>
    </row>
    <row r="963" spans="1:9" x14ac:dyDescent="0.25">
      <c r="A963" t="s">
        <v>13</v>
      </c>
      <c r="B963">
        <v>857111</v>
      </c>
      <c r="C963">
        <v>857587</v>
      </c>
      <c r="E963" t="s">
        <v>14</v>
      </c>
      <c r="F963" t="s">
        <v>2555</v>
      </c>
      <c r="H963">
        <v>0</v>
      </c>
      <c r="I963" t="s">
        <v>16</v>
      </c>
    </row>
    <row r="964" spans="1:9" x14ac:dyDescent="0.25">
      <c r="A964" t="s">
        <v>13</v>
      </c>
      <c r="B964">
        <v>857593</v>
      </c>
      <c r="C964">
        <v>857889</v>
      </c>
      <c r="E964" t="s">
        <v>28</v>
      </c>
      <c r="F964" t="s">
        <v>2558</v>
      </c>
      <c r="H964">
        <v>0</v>
      </c>
      <c r="I964" t="s">
        <v>16</v>
      </c>
    </row>
    <row r="965" spans="1:9" x14ac:dyDescent="0.25">
      <c r="A965" t="s">
        <v>13</v>
      </c>
      <c r="B965">
        <v>857949</v>
      </c>
      <c r="C965">
        <v>858875</v>
      </c>
      <c r="E965" t="s">
        <v>28</v>
      </c>
      <c r="F965" t="s">
        <v>2561</v>
      </c>
      <c r="H965">
        <v>0</v>
      </c>
      <c r="I965" t="s">
        <v>16</v>
      </c>
    </row>
    <row r="966" spans="1:9" x14ac:dyDescent="0.25">
      <c r="A966" t="s">
        <v>13</v>
      </c>
      <c r="B966">
        <v>859047</v>
      </c>
      <c r="C966">
        <v>859289</v>
      </c>
      <c r="E966" t="s">
        <v>28</v>
      </c>
      <c r="F966" t="s">
        <v>41</v>
      </c>
      <c r="H966">
        <v>0</v>
      </c>
      <c r="I966" t="s">
        <v>16</v>
      </c>
    </row>
    <row r="967" spans="1:9" x14ac:dyDescent="0.25">
      <c r="A967" t="s">
        <v>13</v>
      </c>
      <c r="B967">
        <v>859441</v>
      </c>
      <c r="C967">
        <v>859629</v>
      </c>
      <c r="E967" t="s">
        <v>28</v>
      </c>
      <c r="F967" t="s">
        <v>41</v>
      </c>
      <c r="H967">
        <v>0</v>
      </c>
      <c r="I967" t="s">
        <v>16</v>
      </c>
    </row>
    <row r="968" spans="1:9" x14ac:dyDescent="0.25">
      <c r="A968" t="s">
        <v>13</v>
      </c>
      <c r="B968">
        <v>859698</v>
      </c>
      <c r="C968">
        <v>860816</v>
      </c>
      <c r="E968" t="s">
        <v>28</v>
      </c>
      <c r="F968" t="s">
        <v>2568</v>
      </c>
      <c r="H968">
        <v>0</v>
      </c>
      <c r="I968" t="s">
        <v>16</v>
      </c>
    </row>
    <row r="969" spans="1:9" x14ac:dyDescent="0.25">
      <c r="A969" t="s">
        <v>13</v>
      </c>
      <c r="B969">
        <v>861104</v>
      </c>
      <c r="C969">
        <v>861364</v>
      </c>
      <c r="E969" t="s">
        <v>28</v>
      </c>
      <c r="F969" t="s">
        <v>289</v>
      </c>
      <c r="H969">
        <v>0</v>
      </c>
      <c r="I969" t="s">
        <v>16</v>
      </c>
    </row>
    <row r="970" spans="1:9" x14ac:dyDescent="0.25">
      <c r="A970" t="s">
        <v>13</v>
      </c>
      <c r="B970">
        <v>861368</v>
      </c>
      <c r="C970">
        <v>861877</v>
      </c>
      <c r="E970" t="s">
        <v>28</v>
      </c>
      <c r="F970" t="s">
        <v>41</v>
      </c>
      <c r="H970">
        <v>0</v>
      </c>
      <c r="I970" t="s">
        <v>16</v>
      </c>
    </row>
    <row r="971" spans="1:9" x14ac:dyDescent="0.25">
      <c r="A971" t="s">
        <v>13</v>
      </c>
      <c r="B971">
        <v>862090</v>
      </c>
      <c r="C971">
        <v>863046</v>
      </c>
      <c r="E971" t="s">
        <v>28</v>
      </c>
      <c r="F971" t="s">
        <v>2575</v>
      </c>
      <c r="H971">
        <v>0</v>
      </c>
      <c r="I971" t="s">
        <v>16</v>
      </c>
    </row>
    <row r="972" spans="1:9" x14ac:dyDescent="0.25">
      <c r="A972" t="s">
        <v>13</v>
      </c>
      <c r="B972">
        <v>863039</v>
      </c>
      <c r="C972">
        <v>864895</v>
      </c>
      <c r="E972" t="s">
        <v>28</v>
      </c>
      <c r="F972" t="s">
        <v>2578</v>
      </c>
      <c r="H972">
        <v>0</v>
      </c>
      <c r="I972" t="s">
        <v>16</v>
      </c>
    </row>
    <row r="973" spans="1:9" x14ac:dyDescent="0.25">
      <c r="A973" t="s">
        <v>13</v>
      </c>
      <c r="B973">
        <v>864889</v>
      </c>
      <c r="C973">
        <v>865557</v>
      </c>
      <c r="E973" t="s">
        <v>28</v>
      </c>
      <c r="F973" t="s">
        <v>2581</v>
      </c>
      <c r="H973">
        <v>0</v>
      </c>
      <c r="I973" t="s">
        <v>16</v>
      </c>
    </row>
    <row r="974" spans="1:9" x14ac:dyDescent="0.25">
      <c r="A974" t="s">
        <v>13</v>
      </c>
      <c r="B974">
        <v>865658</v>
      </c>
      <c r="C974">
        <v>867907</v>
      </c>
      <c r="E974" t="s">
        <v>14</v>
      </c>
      <c r="F974" t="s">
        <v>2584</v>
      </c>
      <c r="H974">
        <v>0</v>
      </c>
      <c r="I974" t="s">
        <v>16</v>
      </c>
    </row>
    <row r="975" spans="1:9" x14ac:dyDescent="0.25">
      <c r="A975" t="s">
        <v>13</v>
      </c>
      <c r="B975">
        <v>867883</v>
      </c>
      <c r="C975">
        <v>868404</v>
      </c>
      <c r="E975" t="s">
        <v>14</v>
      </c>
      <c r="F975" t="s">
        <v>2587</v>
      </c>
      <c r="H975">
        <v>0</v>
      </c>
      <c r="I975" t="s">
        <v>16</v>
      </c>
    </row>
    <row r="976" spans="1:9" x14ac:dyDescent="0.25">
      <c r="A976" t="s">
        <v>13</v>
      </c>
      <c r="B976">
        <v>868397</v>
      </c>
      <c r="C976">
        <v>869380</v>
      </c>
      <c r="E976" t="s">
        <v>14</v>
      </c>
      <c r="F976" t="s">
        <v>292</v>
      </c>
      <c r="H976">
        <v>0</v>
      </c>
      <c r="I976" t="s">
        <v>16</v>
      </c>
    </row>
    <row r="977" spans="1:9" x14ac:dyDescent="0.25">
      <c r="A977" t="s">
        <v>13</v>
      </c>
      <c r="B977">
        <v>871269</v>
      </c>
      <c r="C977">
        <v>871826</v>
      </c>
      <c r="E977" t="s">
        <v>14</v>
      </c>
      <c r="F977" t="s">
        <v>672</v>
      </c>
      <c r="H977">
        <v>0</v>
      </c>
      <c r="I977" t="s">
        <v>16</v>
      </c>
    </row>
    <row r="978" spans="1:9" x14ac:dyDescent="0.25">
      <c r="A978" t="s">
        <v>13</v>
      </c>
      <c r="B978">
        <v>871813</v>
      </c>
      <c r="C978">
        <v>872784</v>
      </c>
      <c r="E978" t="s">
        <v>14</v>
      </c>
      <c r="F978" t="s">
        <v>2594</v>
      </c>
      <c r="H978">
        <v>0</v>
      </c>
      <c r="I978" t="s">
        <v>16</v>
      </c>
    </row>
    <row r="979" spans="1:9" x14ac:dyDescent="0.25">
      <c r="A979" t="s">
        <v>13</v>
      </c>
      <c r="B979">
        <v>872794</v>
      </c>
      <c r="C979">
        <v>873315</v>
      </c>
      <c r="E979" t="s">
        <v>14</v>
      </c>
      <c r="F979" t="s">
        <v>2597</v>
      </c>
      <c r="H979">
        <v>0</v>
      </c>
      <c r="I979" t="s">
        <v>16</v>
      </c>
    </row>
    <row r="980" spans="1:9" x14ac:dyDescent="0.25">
      <c r="A980" t="s">
        <v>13</v>
      </c>
      <c r="B980">
        <v>873308</v>
      </c>
      <c r="C980">
        <v>874066</v>
      </c>
      <c r="E980" t="s">
        <v>14</v>
      </c>
      <c r="F980" t="s">
        <v>2600</v>
      </c>
      <c r="H980">
        <v>0</v>
      </c>
      <c r="I980" t="s">
        <v>16</v>
      </c>
    </row>
    <row r="981" spans="1:9" x14ac:dyDescent="0.25">
      <c r="A981" t="s">
        <v>13</v>
      </c>
      <c r="B981">
        <v>874060</v>
      </c>
      <c r="C981">
        <v>874515</v>
      </c>
      <c r="E981" t="s">
        <v>14</v>
      </c>
      <c r="F981" t="s">
        <v>2603</v>
      </c>
      <c r="H981">
        <v>0</v>
      </c>
      <c r="I981" t="s">
        <v>16</v>
      </c>
    </row>
    <row r="982" spans="1:9" x14ac:dyDescent="0.25">
      <c r="A982" t="s">
        <v>13</v>
      </c>
      <c r="B982">
        <v>874524</v>
      </c>
      <c r="C982">
        <v>876515</v>
      </c>
      <c r="E982" t="s">
        <v>14</v>
      </c>
      <c r="F982" t="s">
        <v>2606</v>
      </c>
      <c r="H982">
        <v>0</v>
      </c>
      <c r="I982" t="s">
        <v>16</v>
      </c>
    </row>
    <row r="983" spans="1:9" x14ac:dyDescent="0.25">
      <c r="A983" t="s">
        <v>13</v>
      </c>
      <c r="B983">
        <v>876487</v>
      </c>
      <c r="C983">
        <v>877005</v>
      </c>
      <c r="E983" t="s">
        <v>28</v>
      </c>
      <c r="F983" t="s">
        <v>41</v>
      </c>
      <c r="H983">
        <v>0</v>
      </c>
      <c r="I983" t="s">
        <v>16</v>
      </c>
    </row>
    <row r="984" spans="1:9" x14ac:dyDescent="0.25">
      <c r="A984" t="s">
        <v>13</v>
      </c>
      <c r="B984">
        <v>877021</v>
      </c>
      <c r="C984">
        <v>877482</v>
      </c>
      <c r="E984" t="s">
        <v>28</v>
      </c>
      <c r="F984" t="s">
        <v>41</v>
      </c>
      <c r="H984">
        <v>0</v>
      </c>
      <c r="I984" t="s">
        <v>16</v>
      </c>
    </row>
    <row r="985" spans="1:9" x14ac:dyDescent="0.25">
      <c r="A985" t="s">
        <v>13</v>
      </c>
      <c r="B985">
        <v>877486</v>
      </c>
      <c r="C985">
        <v>878823</v>
      </c>
      <c r="E985" t="s">
        <v>28</v>
      </c>
      <c r="F985" t="s">
        <v>2613</v>
      </c>
      <c r="H985">
        <v>0</v>
      </c>
      <c r="I985" t="s">
        <v>16</v>
      </c>
    </row>
    <row r="986" spans="1:9" x14ac:dyDescent="0.25">
      <c r="A986" t="s">
        <v>13</v>
      </c>
      <c r="B986">
        <v>878820</v>
      </c>
      <c r="C986">
        <v>879188</v>
      </c>
      <c r="E986" t="s">
        <v>28</v>
      </c>
      <c r="F986" t="s">
        <v>2616</v>
      </c>
      <c r="H986">
        <v>0</v>
      </c>
      <c r="I986" t="s">
        <v>16</v>
      </c>
    </row>
    <row r="987" spans="1:9" x14ac:dyDescent="0.25">
      <c r="A987" t="s">
        <v>13</v>
      </c>
      <c r="B987">
        <v>879185</v>
      </c>
      <c r="C987">
        <v>879901</v>
      </c>
      <c r="E987" t="s">
        <v>28</v>
      </c>
      <c r="F987" t="s">
        <v>1599</v>
      </c>
      <c r="H987">
        <v>0</v>
      </c>
      <c r="I987" t="s">
        <v>16</v>
      </c>
    </row>
    <row r="988" spans="1:9" x14ac:dyDescent="0.25">
      <c r="A988" t="s">
        <v>13</v>
      </c>
      <c r="B988">
        <v>879901</v>
      </c>
      <c r="C988">
        <v>881649</v>
      </c>
      <c r="E988" t="s">
        <v>28</v>
      </c>
      <c r="F988" t="s">
        <v>1605</v>
      </c>
      <c r="H988">
        <v>0</v>
      </c>
      <c r="I988" t="s">
        <v>16</v>
      </c>
    </row>
    <row r="989" spans="1:9" x14ac:dyDescent="0.25">
      <c r="A989" t="s">
        <v>13</v>
      </c>
      <c r="B989">
        <v>881649</v>
      </c>
      <c r="C989">
        <v>882626</v>
      </c>
      <c r="E989" t="s">
        <v>28</v>
      </c>
      <c r="F989" t="s">
        <v>1608</v>
      </c>
      <c r="H989">
        <v>0</v>
      </c>
      <c r="I989" t="s">
        <v>16</v>
      </c>
    </row>
    <row r="990" spans="1:9" x14ac:dyDescent="0.25">
      <c r="A990" t="s">
        <v>13</v>
      </c>
      <c r="B990">
        <v>882630</v>
      </c>
      <c r="C990">
        <v>883802</v>
      </c>
      <c r="E990" t="s">
        <v>28</v>
      </c>
      <c r="F990" t="s">
        <v>1611</v>
      </c>
      <c r="H990">
        <v>0</v>
      </c>
      <c r="I990" t="s">
        <v>16</v>
      </c>
    </row>
    <row r="991" spans="1:9" x14ac:dyDescent="0.25">
      <c r="A991" t="s">
        <v>13</v>
      </c>
      <c r="B991">
        <v>883898</v>
      </c>
      <c r="C991">
        <v>884857</v>
      </c>
      <c r="E991" t="s">
        <v>28</v>
      </c>
      <c r="F991" t="s">
        <v>2627</v>
      </c>
      <c r="H991">
        <v>0</v>
      </c>
      <c r="I991" t="s">
        <v>16</v>
      </c>
    </row>
    <row r="992" spans="1:9" x14ac:dyDescent="0.25">
      <c r="A992" t="s">
        <v>13</v>
      </c>
      <c r="B992">
        <v>884845</v>
      </c>
      <c r="C992">
        <v>885291</v>
      </c>
      <c r="E992" t="s">
        <v>28</v>
      </c>
      <c r="F992" t="s">
        <v>2630</v>
      </c>
      <c r="H992">
        <v>0</v>
      </c>
      <c r="I992" t="s">
        <v>16</v>
      </c>
    </row>
    <row r="993" spans="1:9" x14ac:dyDescent="0.25">
      <c r="A993" t="s">
        <v>13</v>
      </c>
      <c r="B993">
        <v>885288</v>
      </c>
      <c r="C993">
        <v>886733</v>
      </c>
      <c r="E993" t="s">
        <v>28</v>
      </c>
      <c r="F993" t="s">
        <v>2633</v>
      </c>
      <c r="H993">
        <v>0</v>
      </c>
      <c r="I993" t="s">
        <v>16</v>
      </c>
    </row>
    <row r="994" spans="1:9" x14ac:dyDescent="0.25">
      <c r="A994" t="s">
        <v>13</v>
      </c>
      <c r="B994">
        <v>886735</v>
      </c>
      <c r="C994">
        <v>888288</v>
      </c>
      <c r="E994" t="s">
        <v>28</v>
      </c>
      <c r="F994" t="s">
        <v>2636</v>
      </c>
      <c r="H994">
        <v>0</v>
      </c>
      <c r="I994" t="s">
        <v>16</v>
      </c>
    </row>
    <row r="995" spans="1:9" x14ac:dyDescent="0.25">
      <c r="A995" t="s">
        <v>13</v>
      </c>
      <c r="B995">
        <v>888285</v>
      </c>
      <c r="C995">
        <v>889025</v>
      </c>
      <c r="E995" t="s">
        <v>28</v>
      </c>
      <c r="F995" t="s">
        <v>2639</v>
      </c>
      <c r="H995">
        <v>0</v>
      </c>
      <c r="I995" t="s">
        <v>16</v>
      </c>
    </row>
    <row r="996" spans="1:9" x14ac:dyDescent="0.25">
      <c r="A996" t="s">
        <v>13</v>
      </c>
      <c r="B996">
        <v>889022</v>
      </c>
      <c r="C996">
        <v>889960</v>
      </c>
      <c r="E996" t="s">
        <v>28</v>
      </c>
      <c r="F996" t="s">
        <v>2642</v>
      </c>
      <c r="H996">
        <v>0</v>
      </c>
      <c r="I996" t="s">
        <v>16</v>
      </c>
    </row>
    <row r="997" spans="1:9" x14ac:dyDescent="0.25">
      <c r="A997" t="s">
        <v>13</v>
      </c>
      <c r="B997">
        <v>890058</v>
      </c>
      <c r="C997">
        <v>891431</v>
      </c>
      <c r="E997" t="s">
        <v>14</v>
      </c>
      <c r="F997" t="s">
        <v>41</v>
      </c>
      <c r="H997">
        <v>0</v>
      </c>
      <c r="I997" t="s">
        <v>16</v>
      </c>
    </row>
    <row r="998" spans="1:9" x14ac:dyDescent="0.25">
      <c r="A998" t="s">
        <v>13</v>
      </c>
      <c r="B998">
        <v>891558</v>
      </c>
      <c r="C998">
        <v>892262</v>
      </c>
      <c r="E998" t="s">
        <v>28</v>
      </c>
      <c r="F998" t="s">
        <v>2311</v>
      </c>
      <c r="H998">
        <v>0</v>
      </c>
      <c r="I998" t="s">
        <v>16</v>
      </c>
    </row>
    <row r="999" spans="1:9" x14ac:dyDescent="0.25">
      <c r="A999" t="s">
        <v>13</v>
      </c>
      <c r="B999">
        <v>892259</v>
      </c>
      <c r="C999">
        <v>892573</v>
      </c>
      <c r="E999" t="s">
        <v>28</v>
      </c>
      <c r="F999" t="s">
        <v>41</v>
      </c>
      <c r="H999">
        <v>0</v>
      </c>
      <c r="I999" t="s">
        <v>16</v>
      </c>
    </row>
    <row r="1000" spans="1:9" x14ac:dyDescent="0.25">
      <c r="A1000" t="s">
        <v>13</v>
      </c>
      <c r="B1000">
        <v>892622</v>
      </c>
      <c r="C1000">
        <v>893725</v>
      </c>
      <c r="E1000" t="s">
        <v>28</v>
      </c>
      <c r="F1000" t="s">
        <v>2651</v>
      </c>
      <c r="H1000">
        <v>0</v>
      </c>
      <c r="I1000" t="s">
        <v>16</v>
      </c>
    </row>
    <row r="1001" spans="1:9" x14ac:dyDescent="0.25">
      <c r="A1001" t="s">
        <v>13</v>
      </c>
      <c r="B1001">
        <v>893722</v>
      </c>
      <c r="C1001">
        <v>894801</v>
      </c>
      <c r="E1001" t="s">
        <v>28</v>
      </c>
      <c r="F1001" t="s">
        <v>2654</v>
      </c>
      <c r="H1001">
        <v>0</v>
      </c>
      <c r="I1001" t="s">
        <v>16</v>
      </c>
    </row>
    <row r="1002" spans="1:9" x14ac:dyDescent="0.25">
      <c r="A1002" t="s">
        <v>13</v>
      </c>
      <c r="B1002">
        <v>894794</v>
      </c>
      <c r="C1002">
        <v>895657</v>
      </c>
      <c r="E1002" t="s">
        <v>28</v>
      </c>
      <c r="F1002" t="s">
        <v>2657</v>
      </c>
      <c r="H1002">
        <v>0</v>
      </c>
      <c r="I1002" t="s">
        <v>16</v>
      </c>
    </row>
    <row r="1003" spans="1:9" x14ac:dyDescent="0.25">
      <c r="A1003" t="s">
        <v>13</v>
      </c>
      <c r="B1003">
        <v>895661</v>
      </c>
      <c r="C1003">
        <v>896404</v>
      </c>
      <c r="E1003" t="s">
        <v>28</v>
      </c>
      <c r="F1003" t="s">
        <v>2660</v>
      </c>
      <c r="H1003">
        <v>0</v>
      </c>
      <c r="I1003" t="s">
        <v>16</v>
      </c>
    </row>
    <row r="1004" spans="1:9" x14ac:dyDescent="0.25">
      <c r="A1004" t="s">
        <v>13</v>
      </c>
      <c r="B1004">
        <v>896401</v>
      </c>
      <c r="C1004">
        <v>897078</v>
      </c>
      <c r="E1004" t="s">
        <v>28</v>
      </c>
      <c r="F1004" t="s">
        <v>2663</v>
      </c>
      <c r="H1004">
        <v>0</v>
      </c>
      <c r="I1004" t="s">
        <v>16</v>
      </c>
    </row>
    <row r="1005" spans="1:9" x14ac:dyDescent="0.25">
      <c r="A1005" t="s">
        <v>13</v>
      </c>
      <c r="B1005">
        <v>897075</v>
      </c>
      <c r="C1005">
        <v>898289</v>
      </c>
      <c r="E1005" t="s">
        <v>28</v>
      </c>
      <c r="F1005" t="s">
        <v>2666</v>
      </c>
      <c r="H1005">
        <v>0</v>
      </c>
      <c r="I1005" t="s">
        <v>16</v>
      </c>
    </row>
    <row r="1006" spans="1:9" x14ac:dyDescent="0.25">
      <c r="A1006" t="s">
        <v>13</v>
      </c>
      <c r="B1006">
        <v>898289</v>
      </c>
      <c r="C1006">
        <v>898987</v>
      </c>
      <c r="E1006" t="s">
        <v>28</v>
      </c>
      <c r="F1006" t="s">
        <v>2669</v>
      </c>
      <c r="H1006">
        <v>0</v>
      </c>
      <c r="I1006" t="s">
        <v>16</v>
      </c>
    </row>
    <row r="1007" spans="1:9" x14ac:dyDescent="0.25">
      <c r="A1007" t="s">
        <v>13</v>
      </c>
      <c r="B1007">
        <v>898980</v>
      </c>
      <c r="C1007">
        <v>900080</v>
      </c>
      <c r="E1007" t="s">
        <v>28</v>
      </c>
      <c r="F1007" t="s">
        <v>2672</v>
      </c>
      <c r="H1007">
        <v>0</v>
      </c>
      <c r="I1007" t="s">
        <v>16</v>
      </c>
    </row>
    <row r="1008" spans="1:9" x14ac:dyDescent="0.25">
      <c r="A1008" t="s">
        <v>13</v>
      </c>
      <c r="B1008">
        <v>900077</v>
      </c>
      <c r="C1008">
        <v>900739</v>
      </c>
      <c r="E1008" t="s">
        <v>28</v>
      </c>
      <c r="F1008" t="s">
        <v>2675</v>
      </c>
      <c r="H1008">
        <v>0</v>
      </c>
      <c r="I1008" t="s">
        <v>16</v>
      </c>
    </row>
    <row r="1009" spans="1:9" x14ac:dyDescent="0.25">
      <c r="A1009" t="s">
        <v>13</v>
      </c>
      <c r="B1009">
        <v>901116</v>
      </c>
      <c r="C1009">
        <v>902318</v>
      </c>
      <c r="E1009" t="s">
        <v>14</v>
      </c>
      <c r="F1009" t="s">
        <v>2189</v>
      </c>
      <c r="H1009">
        <v>0</v>
      </c>
      <c r="I1009" t="s">
        <v>16</v>
      </c>
    </row>
    <row r="1010" spans="1:9" x14ac:dyDescent="0.25">
      <c r="A1010" t="s">
        <v>13</v>
      </c>
      <c r="B1010">
        <v>902315</v>
      </c>
      <c r="C1010">
        <v>903799</v>
      </c>
      <c r="E1010" t="s">
        <v>28</v>
      </c>
      <c r="F1010" t="s">
        <v>2680</v>
      </c>
      <c r="H1010">
        <v>0</v>
      </c>
      <c r="I1010" t="s">
        <v>16</v>
      </c>
    </row>
    <row r="1011" spans="1:9" x14ac:dyDescent="0.25">
      <c r="A1011" t="s">
        <v>13</v>
      </c>
      <c r="B1011">
        <v>903799</v>
      </c>
      <c r="C1011">
        <v>904722</v>
      </c>
      <c r="E1011" t="s">
        <v>28</v>
      </c>
      <c r="F1011" t="s">
        <v>2683</v>
      </c>
      <c r="H1011">
        <v>0</v>
      </c>
      <c r="I1011" t="s">
        <v>16</v>
      </c>
    </row>
    <row r="1012" spans="1:9" x14ac:dyDescent="0.25">
      <c r="A1012" t="s">
        <v>13</v>
      </c>
      <c r="B1012">
        <v>904715</v>
      </c>
      <c r="C1012">
        <v>905125</v>
      </c>
      <c r="E1012" t="s">
        <v>28</v>
      </c>
      <c r="F1012" t="s">
        <v>2686</v>
      </c>
      <c r="H1012">
        <v>0</v>
      </c>
      <c r="I1012" t="s">
        <v>16</v>
      </c>
    </row>
    <row r="1013" spans="1:9" x14ac:dyDescent="0.25">
      <c r="A1013" t="s">
        <v>13</v>
      </c>
      <c r="B1013">
        <v>905112</v>
      </c>
      <c r="C1013">
        <v>905366</v>
      </c>
      <c r="E1013" t="s">
        <v>28</v>
      </c>
      <c r="F1013" t="s">
        <v>41</v>
      </c>
      <c r="H1013">
        <v>0</v>
      </c>
      <c r="I1013" t="s">
        <v>16</v>
      </c>
    </row>
    <row r="1014" spans="1:9" x14ac:dyDescent="0.25">
      <c r="A1014" t="s">
        <v>13</v>
      </c>
      <c r="B1014">
        <v>905392</v>
      </c>
      <c r="C1014">
        <v>906231</v>
      </c>
      <c r="E1014" t="s">
        <v>28</v>
      </c>
      <c r="F1014" t="s">
        <v>2691</v>
      </c>
      <c r="H1014">
        <v>0</v>
      </c>
      <c r="I1014" t="s">
        <v>16</v>
      </c>
    </row>
    <row r="1015" spans="1:9" x14ac:dyDescent="0.25">
      <c r="A1015" t="s">
        <v>13</v>
      </c>
      <c r="B1015">
        <v>906294</v>
      </c>
      <c r="C1015">
        <v>908216</v>
      </c>
      <c r="E1015" t="s">
        <v>14</v>
      </c>
      <c r="F1015" t="s">
        <v>1303</v>
      </c>
      <c r="H1015">
        <v>0</v>
      </c>
      <c r="I1015" t="s">
        <v>16</v>
      </c>
    </row>
    <row r="1016" spans="1:9" x14ac:dyDescent="0.25">
      <c r="A1016" t="s">
        <v>13</v>
      </c>
      <c r="B1016">
        <v>908203</v>
      </c>
      <c r="C1016">
        <v>909687</v>
      </c>
      <c r="E1016" t="s">
        <v>28</v>
      </c>
      <c r="F1016" t="s">
        <v>2696</v>
      </c>
      <c r="H1016">
        <v>0</v>
      </c>
      <c r="I1016" t="s">
        <v>16</v>
      </c>
    </row>
    <row r="1017" spans="1:9" x14ac:dyDescent="0.25">
      <c r="A1017" t="s">
        <v>13</v>
      </c>
      <c r="B1017">
        <v>909778</v>
      </c>
      <c r="C1017">
        <v>911322</v>
      </c>
      <c r="E1017" t="s">
        <v>14</v>
      </c>
      <c r="F1017" t="s">
        <v>2699</v>
      </c>
      <c r="H1017">
        <v>0</v>
      </c>
      <c r="I1017" t="s">
        <v>16</v>
      </c>
    </row>
    <row r="1018" spans="1:9" x14ac:dyDescent="0.25">
      <c r="A1018" t="s">
        <v>13</v>
      </c>
      <c r="B1018">
        <v>911295</v>
      </c>
      <c r="C1018">
        <v>913007</v>
      </c>
      <c r="E1018" t="s">
        <v>28</v>
      </c>
      <c r="F1018" t="s">
        <v>2702</v>
      </c>
      <c r="H1018">
        <v>0</v>
      </c>
      <c r="I1018" t="s">
        <v>16</v>
      </c>
    </row>
    <row r="1019" spans="1:9" x14ac:dyDescent="0.25">
      <c r="A1019" t="s">
        <v>13</v>
      </c>
      <c r="B1019">
        <v>912985</v>
      </c>
      <c r="C1019">
        <v>913488</v>
      </c>
      <c r="E1019" t="s">
        <v>28</v>
      </c>
      <c r="F1019" t="s">
        <v>41</v>
      </c>
      <c r="H1019">
        <v>0</v>
      </c>
      <c r="I1019" t="s">
        <v>16</v>
      </c>
    </row>
    <row r="1020" spans="1:9" x14ac:dyDescent="0.25">
      <c r="A1020" t="s">
        <v>13</v>
      </c>
      <c r="B1020">
        <v>913457</v>
      </c>
      <c r="C1020">
        <v>913867</v>
      </c>
      <c r="E1020" t="s">
        <v>28</v>
      </c>
      <c r="F1020" t="s">
        <v>41</v>
      </c>
      <c r="H1020">
        <v>0</v>
      </c>
      <c r="I1020" t="s">
        <v>16</v>
      </c>
    </row>
    <row r="1021" spans="1:9" x14ac:dyDescent="0.25">
      <c r="A1021" t="s">
        <v>13</v>
      </c>
      <c r="B1021">
        <v>913867</v>
      </c>
      <c r="C1021">
        <v>915531</v>
      </c>
      <c r="E1021" t="s">
        <v>28</v>
      </c>
      <c r="F1021" t="s">
        <v>2709</v>
      </c>
      <c r="H1021">
        <v>0</v>
      </c>
      <c r="I1021" t="s">
        <v>16</v>
      </c>
    </row>
    <row r="1022" spans="1:9" x14ac:dyDescent="0.25">
      <c r="A1022" t="s">
        <v>13</v>
      </c>
      <c r="B1022">
        <v>915545</v>
      </c>
      <c r="C1022">
        <v>916861</v>
      </c>
      <c r="E1022" t="s">
        <v>28</v>
      </c>
      <c r="F1022" t="s">
        <v>2712</v>
      </c>
      <c r="H1022">
        <v>0</v>
      </c>
      <c r="I1022" t="s">
        <v>16</v>
      </c>
    </row>
    <row r="1023" spans="1:9" x14ac:dyDescent="0.25">
      <c r="A1023" t="s">
        <v>13</v>
      </c>
      <c r="B1023">
        <v>916886</v>
      </c>
      <c r="C1023">
        <v>918472</v>
      </c>
      <c r="E1023" t="s">
        <v>28</v>
      </c>
      <c r="F1023" t="s">
        <v>41</v>
      </c>
      <c r="H1023">
        <v>0</v>
      </c>
      <c r="I1023" t="s">
        <v>16</v>
      </c>
    </row>
    <row r="1024" spans="1:9" x14ac:dyDescent="0.25">
      <c r="A1024" t="s">
        <v>13</v>
      </c>
      <c r="B1024">
        <v>918469</v>
      </c>
      <c r="C1024">
        <v>919173</v>
      </c>
      <c r="E1024" t="s">
        <v>28</v>
      </c>
      <c r="F1024" t="s">
        <v>41</v>
      </c>
      <c r="H1024">
        <v>0</v>
      </c>
      <c r="I1024" t="s">
        <v>16</v>
      </c>
    </row>
    <row r="1025" spans="1:9" x14ac:dyDescent="0.25">
      <c r="A1025" t="s">
        <v>13</v>
      </c>
      <c r="B1025">
        <v>919182</v>
      </c>
      <c r="C1025">
        <v>919346</v>
      </c>
      <c r="E1025" t="s">
        <v>28</v>
      </c>
      <c r="F1025" t="s">
        <v>41</v>
      </c>
      <c r="H1025">
        <v>0</v>
      </c>
      <c r="I1025" t="s">
        <v>16</v>
      </c>
    </row>
    <row r="1026" spans="1:9" x14ac:dyDescent="0.25">
      <c r="A1026" t="s">
        <v>13</v>
      </c>
      <c r="B1026">
        <v>919547</v>
      </c>
      <c r="C1026">
        <v>920401</v>
      </c>
      <c r="E1026" t="s">
        <v>14</v>
      </c>
      <c r="F1026" t="s">
        <v>2721</v>
      </c>
      <c r="H1026">
        <v>0</v>
      </c>
      <c r="I1026" t="s">
        <v>16</v>
      </c>
    </row>
    <row r="1027" spans="1:9" x14ac:dyDescent="0.25">
      <c r="A1027" t="s">
        <v>13</v>
      </c>
      <c r="B1027">
        <v>920409</v>
      </c>
      <c r="C1027">
        <v>921452</v>
      </c>
      <c r="E1027" t="s">
        <v>14</v>
      </c>
      <c r="F1027" t="s">
        <v>2724</v>
      </c>
      <c r="H1027">
        <v>0</v>
      </c>
      <c r="I1027" t="s">
        <v>16</v>
      </c>
    </row>
    <row r="1028" spans="1:9" x14ac:dyDescent="0.25">
      <c r="A1028" t="s">
        <v>13</v>
      </c>
      <c r="B1028">
        <v>921469</v>
      </c>
      <c r="C1028">
        <v>921594</v>
      </c>
      <c r="E1028" t="s">
        <v>14</v>
      </c>
      <c r="F1028" t="s">
        <v>2727</v>
      </c>
      <c r="H1028">
        <v>0</v>
      </c>
      <c r="I1028" t="s">
        <v>16</v>
      </c>
    </row>
    <row r="1029" spans="1:9" x14ac:dyDescent="0.25">
      <c r="A1029" t="s">
        <v>13</v>
      </c>
      <c r="B1029">
        <v>921733</v>
      </c>
      <c r="C1029">
        <v>921882</v>
      </c>
      <c r="E1029" t="s">
        <v>14</v>
      </c>
      <c r="F1029" t="s">
        <v>2727</v>
      </c>
      <c r="H1029">
        <v>0</v>
      </c>
      <c r="I1029" t="s">
        <v>16</v>
      </c>
    </row>
    <row r="1030" spans="1:9" x14ac:dyDescent="0.25">
      <c r="A1030" t="s">
        <v>13</v>
      </c>
      <c r="B1030">
        <v>921879</v>
      </c>
      <c r="C1030">
        <v>922121</v>
      </c>
      <c r="E1030" t="s">
        <v>14</v>
      </c>
      <c r="F1030" t="s">
        <v>2732</v>
      </c>
      <c r="H1030">
        <v>0</v>
      </c>
      <c r="I1030" t="s">
        <v>16</v>
      </c>
    </row>
    <row r="1031" spans="1:9" x14ac:dyDescent="0.25">
      <c r="A1031" t="s">
        <v>13</v>
      </c>
      <c r="B1031">
        <v>922118</v>
      </c>
      <c r="C1031">
        <v>923194</v>
      </c>
      <c r="E1031" t="s">
        <v>28</v>
      </c>
      <c r="F1031" t="s">
        <v>2735</v>
      </c>
      <c r="H1031">
        <v>0</v>
      </c>
      <c r="I1031" t="s">
        <v>16</v>
      </c>
    </row>
    <row r="1032" spans="1:9" x14ac:dyDescent="0.25">
      <c r="A1032" t="s">
        <v>13</v>
      </c>
      <c r="B1032">
        <v>923321</v>
      </c>
      <c r="C1032">
        <v>923641</v>
      </c>
      <c r="E1032" t="s">
        <v>28</v>
      </c>
      <c r="F1032" t="s">
        <v>951</v>
      </c>
      <c r="H1032">
        <v>0</v>
      </c>
      <c r="I1032" t="s">
        <v>16</v>
      </c>
    </row>
    <row r="1033" spans="1:9" x14ac:dyDescent="0.25">
      <c r="A1033" t="s">
        <v>13</v>
      </c>
      <c r="B1033">
        <v>923655</v>
      </c>
      <c r="C1033">
        <v>926531</v>
      </c>
      <c r="E1033" t="s">
        <v>28</v>
      </c>
      <c r="F1033" t="s">
        <v>1540</v>
      </c>
      <c r="H1033">
        <v>0</v>
      </c>
      <c r="I1033" t="s">
        <v>16</v>
      </c>
    </row>
    <row r="1034" spans="1:9" x14ac:dyDescent="0.25">
      <c r="A1034" t="s">
        <v>13</v>
      </c>
      <c r="B1034">
        <v>926650</v>
      </c>
      <c r="C1034">
        <v>927795</v>
      </c>
      <c r="E1034" t="s">
        <v>14</v>
      </c>
      <c r="F1034" t="s">
        <v>2742</v>
      </c>
      <c r="H1034">
        <v>0</v>
      </c>
      <c r="I1034" t="s">
        <v>16</v>
      </c>
    </row>
    <row r="1035" spans="1:9" x14ac:dyDescent="0.25">
      <c r="A1035" t="s">
        <v>13</v>
      </c>
      <c r="B1035">
        <v>927808</v>
      </c>
      <c r="C1035">
        <v>928551</v>
      </c>
      <c r="E1035" t="s">
        <v>14</v>
      </c>
      <c r="F1035" t="s">
        <v>2745</v>
      </c>
      <c r="H1035">
        <v>0</v>
      </c>
      <c r="I1035" t="s">
        <v>16</v>
      </c>
    </row>
    <row r="1036" spans="1:9" x14ac:dyDescent="0.25">
      <c r="A1036" t="s">
        <v>13</v>
      </c>
      <c r="B1036">
        <v>928561</v>
      </c>
      <c r="C1036">
        <v>929502</v>
      </c>
      <c r="E1036" t="s">
        <v>14</v>
      </c>
      <c r="F1036" t="s">
        <v>2748</v>
      </c>
      <c r="H1036">
        <v>0</v>
      </c>
      <c r="I1036" t="s">
        <v>16</v>
      </c>
    </row>
    <row r="1037" spans="1:9" x14ac:dyDescent="0.25">
      <c r="A1037" t="s">
        <v>13</v>
      </c>
      <c r="B1037">
        <v>929643</v>
      </c>
      <c r="C1037">
        <v>930020</v>
      </c>
      <c r="E1037" t="s">
        <v>28</v>
      </c>
      <c r="F1037" t="s">
        <v>41</v>
      </c>
      <c r="H1037">
        <v>0</v>
      </c>
      <c r="I1037" t="s">
        <v>16</v>
      </c>
    </row>
    <row r="1038" spans="1:9" x14ac:dyDescent="0.25">
      <c r="A1038" t="s">
        <v>13</v>
      </c>
      <c r="B1038">
        <v>930079</v>
      </c>
      <c r="C1038">
        <v>931653</v>
      </c>
      <c r="E1038" t="s">
        <v>14</v>
      </c>
      <c r="F1038" t="s">
        <v>630</v>
      </c>
      <c r="H1038">
        <v>0</v>
      </c>
      <c r="I1038" t="s">
        <v>16</v>
      </c>
    </row>
    <row r="1039" spans="1:9" x14ac:dyDescent="0.25">
      <c r="A1039" t="s">
        <v>13</v>
      </c>
      <c r="B1039">
        <v>931804</v>
      </c>
      <c r="C1039">
        <v>932475</v>
      </c>
      <c r="E1039" t="s">
        <v>14</v>
      </c>
      <c r="F1039" t="s">
        <v>2755</v>
      </c>
      <c r="H1039">
        <v>0</v>
      </c>
      <c r="I1039" t="s">
        <v>16</v>
      </c>
    </row>
    <row r="1040" spans="1:9" x14ac:dyDescent="0.25">
      <c r="A1040" t="s">
        <v>13</v>
      </c>
      <c r="B1040">
        <v>932453</v>
      </c>
      <c r="C1040">
        <v>934180</v>
      </c>
      <c r="E1040" t="s">
        <v>28</v>
      </c>
      <c r="F1040" t="s">
        <v>2758</v>
      </c>
      <c r="H1040">
        <v>0</v>
      </c>
      <c r="I1040" t="s">
        <v>16</v>
      </c>
    </row>
    <row r="1041" spans="1:9" x14ac:dyDescent="0.25">
      <c r="A1041" t="s">
        <v>13</v>
      </c>
      <c r="B1041">
        <v>934204</v>
      </c>
      <c r="C1041">
        <v>934452</v>
      </c>
      <c r="E1041" t="s">
        <v>14</v>
      </c>
      <c r="F1041" t="s">
        <v>41</v>
      </c>
      <c r="H1041">
        <v>0</v>
      </c>
      <c r="I1041" t="s">
        <v>16</v>
      </c>
    </row>
    <row r="1042" spans="1:9" x14ac:dyDescent="0.25">
      <c r="A1042" t="s">
        <v>13</v>
      </c>
      <c r="B1042">
        <v>934629</v>
      </c>
      <c r="C1042">
        <v>934769</v>
      </c>
      <c r="E1042" t="s">
        <v>14</v>
      </c>
      <c r="F1042" t="s">
        <v>41</v>
      </c>
      <c r="H1042">
        <v>0</v>
      </c>
      <c r="I1042" t="s">
        <v>16</v>
      </c>
    </row>
    <row r="1043" spans="1:9" x14ac:dyDescent="0.25">
      <c r="A1043" t="s">
        <v>13</v>
      </c>
      <c r="B1043">
        <v>934802</v>
      </c>
      <c r="C1043">
        <v>936028</v>
      </c>
      <c r="E1043" t="s">
        <v>14</v>
      </c>
      <c r="F1043" t="s">
        <v>2765</v>
      </c>
      <c r="H1043">
        <v>0</v>
      </c>
      <c r="I1043" t="s">
        <v>16</v>
      </c>
    </row>
    <row r="1044" spans="1:9" x14ac:dyDescent="0.25">
      <c r="A1044" t="s">
        <v>13</v>
      </c>
      <c r="B1044">
        <v>936151</v>
      </c>
      <c r="C1044">
        <v>937389</v>
      </c>
      <c r="E1044" t="s">
        <v>28</v>
      </c>
      <c r="F1044" t="s">
        <v>2768</v>
      </c>
      <c r="H1044">
        <v>0</v>
      </c>
      <c r="I1044" t="s">
        <v>16</v>
      </c>
    </row>
    <row r="1045" spans="1:9" x14ac:dyDescent="0.25">
      <c r="A1045" t="s">
        <v>13</v>
      </c>
      <c r="B1045">
        <v>937399</v>
      </c>
      <c r="C1045">
        <v>937812</v>
      </c>
      <c r="E1045" t="s">
        <v>28</v>
      </c>
      <c r="F1045" t="s">
        <v>1957</v>
      </c>
      <c r="H1045">
        <v>0</v>
      </c>
      <c r="I1045" t="s">
        <v>16</v>
      </c>
    </row>
    <row r="1046" spans="1:9" x14ac:dyDescent="0.25">
      <c r="A1046" t="s">
        <v>13</v>
      </c>
      <c r="B1046">
        <v>938051</v>
      </c>
      <c r="C1046">
        <v>938899</v>
      </c>
      <c r="E1046" t="s">
        <v>14</v>
      </c>
      <c r="F1046" t="s">
        <v>2773</v>
      </c>
      <c r="H1046">
        <v>0</v>
      </c>
      <c r="I1046" t="s">
        <v>16</v>
      </c>
    </row>
    <row r="1047" spans="1:9" x14ac:dyDescent="0.25">
      <c r="A1047" t="s">
        <v>13</v>
      </c>
      <c r="B1047">
        <v>938892</v>
      </c>
      <c r="C1047">
        <v>939638</v>
      </c>
      <c r="E1047" t="s">
        <v>14</v>
      </c>
      <c r="F1047" t="s">
        <v>2776</v>
      </c>
      <c r="H1047">
        <v>0</v>
      </c>
      <c r="I1047" t="s">
        <v>16</v>
      </c>
    </row>
    <row r="1048" spans="1:9" x14ac:dyDescent="0.25">
      <c r="A1048" t="s">
        <v>13</v>
      </c>
      <c r="B1048">
        <v>939623</v>
      </c>
      <c r="C1048">
        <v>940372</v>
      </c>
      <c r="E1048" t="s">
        <v>14</v>
      </c>
      <c r="F1048" t="s">
        <v>2779</v>
      </c>
      <c r="H1048">
        <v>0</v>
      </c>
      <c r="I1048" t="s">
        <v>16</v>
      </c>
    </row>
    <row r="1049" spans="1:9" x14ac:dyDescent="0.25">
      <c r="A1049" t="s">
        <v>13</v>
      </c>
      <c r="B1049">
        <v>940375</v>
      </c>
      <c r="C1049">
        <v>941400</v>
      </c>
      <c r="E1049" t="s">
        <v>28</v>
      </c>
      <c r="F1049" t="s">
        <v>2782</v>
      </c>
      <c r="H1049">
        <v>0</v>
      </c>
      <c r="I1049" t="s">
        <v>16</v>
      </c>
    </row>
    <row r="1050" spans="1:9" x14ac:dyDescent="0.25">
      <c r="A1050" t="s">
        <v>13</v>
      </c>
      <c r="B1050">
        <v>941437</v>
      </c>
      <c r="C1050">
        <v>942879</v>
      </c>
      <c r="E1050" t="s">
        <v>14</v>
      </c>
      <c r="F1050" t="s">
        <v>2785</v>
      </c>
      <c r="H1050">
        <v>0</v>
      </c>
      <c r="I1050" t="s">
        <v>16</v>
      </c>
    </row>
    <row r="1051" spans="1:9" x14ac:dyDescent="0.25">
      <c r="A1051" t="s">
        <v>13</v>
      </c>
      <c r="B1051">
        <v>943004</v>
      </c>
      <c r="C1051">
        <v>944737</v>
      </c>
      <c r="E1051" t="s">
        <v>28</v>
      </c>
      <c r="F1051" t="s">
        <v>2788</v>
      </c>
      <c r="H1051">
        <v>0</v>
      </c>
      <c r="I1051" t="s">
        <v>16</v>
      </c>
    </row>
    <row r="1052" spans="1:9" x14ac:dyDescent="0.25">
      <c r="A1052" t="s">
        <v>13</v>
      </c>
      <c r="B1052">
        <v>944748</v>
      </c>
      <c r="C1052">
        <v>945941</v>
      </c>
      <c r="E1052" t="s">
        <v>28</v>
      </c>
      <c r="F1052" t="s">
        <v>2189</v>
      </c>
      <c r="H1052">
        <v>0</v>
      </c>
      <c r="I1052" t="s">
        <v>16</v>
      </c>
    </row>
    <row r="1053" spans="1:9" x14ac:dyDescent="0.25">
      <c r="A1053" t="s">
        <v>13</v>
      </c>
      <c r="B1053">
        <v>945954</v>
      </c>
      <c r="C1053">
        <v>948245</v>
      </c>
      <c r="E1053" t="s">
        <v>28</v>
      </c>
      <c r="F1053" t="s">
        <v>2793</v>
      </c>
      <c r="H1053">
        <v>0</v>
      </c>
      <c r="I1053" t="s">
        <v>16</v>
      </c>
    </row>
    <row r="1054" spans="1:9" x14ac:dyDescent="0.25">
      <c r="A1054" t="s">
        <v>13</v>
      </c>
      <c r="B1054">
        <v>948791</v>
      </c>
      <c r="C1054">
        <v>948982</v>
      </c>
      <c r="E1054" t="s">
        <v>14</v>
      </c>
      <c r="F1054" t="s">
        <v>41</v>
      </c>
      <c r="H1054">
        <v>0</v>
      </c>
      <c r="I1054" t="s">
        <v>16</v>
      </c>
    </row>
    <row r="1055" spans="1:9" x14ac:dyDescent="0.25">
      <c r="A1055" t="s">
        <v>13</v>
      </c>
      <c r="B1055">
        <v>948979</v>
      </c>
      <c r="C1055">
        <v>951915</v>
      </c>
      <c r="E1055" t="s">
        <v>28</v>
      </c>
      <c r="F1055" t="s">
        <v>2798</v>
      </c>
      <c r="H1055">
        <v>0</v>
      </c>
      <c r="I1055" t="s">
        <v>16</v>
      </c>
    </row>
    <row r="1056" spans="1:9" x14ac:dyDescent="0.25">
      <c r="A1056" t="s">
        <v>13</v>
      </c>
      <c r="B1056">
        <v>951940</v>
      </c>
      <c r="C1056">
        <v>952800</v>
      </c>
      <c r="E1056" t="s">
        <v>28</v>
      </c>
      <c r="F1056" t="s">
        <v>41</v>
      </c>
      <c r="H1056">
        <v>0</v>
      </c>
      <c r="I1056" t="s">
        <v>16</v>
      </c>
    </row>
    <row r="1057" spans="1:9" x14ac:dyDescent="0.25">
      <c r="A1057" t="s">
        <v>13</v>
      </c>
      <c r="B1057">
        <v>952828</v>
      </c>
      <c r="C1057">
        <v>953406</v>
      </c>
      <c r="E1057" t="s">
        <v>14</v>
      </c>
      <c r="F1057" t="s">
        <v>2803</v>
      </c>
      <c r="H1057">
        <v>0</v>
      </c>
      <c r="I1057" t="s">
        <v>16</v>
      </c>
    </row>
    <row r="1058" spans="1:9" x14ac:dyDescent="0.25">
      <c r="A1058" t="s">
        <v>13</v>
      </c>
      <c r="B1058">
        <v>953757</v>
      </c>
      <c r="C1058">
        <v>954569</v>
      </c>
      <c r="E1058" t="s">
        <v>14</v>
      </c>
      <c r="F1058" t="s">
        <v>41</v>
      </c>
      <c r="H1058">
        <v>0</v>
      </c>
      <c r="I1058" t="s">
        <v>16</v>
      </c>
    </row>
    <row r="1059" spans="1:9" x14ac:dyDescent="0.25">
      <c r="A1059" t="s">
        <v>13</v>
      </c>
      <c r="B1059">
        <v>954589</v>
      </c>
      <c r="C1059">
        <v>955785</v>
      </c>
      <c r="E1059" t="s">
        <v>14</v>
      </c>
      <c r="F1059" t="s">
        <v>2072</v>
      </c>
      <c r="H1059">
        <v>0</v>
      </c>
      <c r="I1059" t="s">
        <v>16</v>
      </c>
    </row>
    <row r="1060" spans="1:9" x14ac:dyDescent="0.25">
      <c r="A1060" t="s">
        <v>13</v>
      </c>
      <c r="B1060">
        <v>955793</v>
      </c>
      <c r="C1060">
        <v>956500</v>
      </c>
      <c r="E1060" t="s">
        <v>28</v>
      </c>
      <c r="F1060" t="s">
        <v>2072</v>
      </c>
      <c r="H1060">
        <v>0</v>
      </c>
      <c r="I1060" t="s">
        <v>16</v>
      </c>
    </row>
    <row r="1061" spans="1:9" x14ac:dyDescent="0.25">
      <c r="A1061" t="s">
        <v>13</v>
      </c>
      <c r="B1061">
        <v>956560</v>
      </c>
      <c r="C1061">
        <v>957732</v>
      </c>
      <c r="E1061" t="s">
        <v>14</v>
      </c>
      <c r="F1061" t="s">
        <v>2812</v>
      </c>
      <c r="H1061">
        <v>0</v>
      </c>
      <c r="I1061" t="s">
        <v>16</v>
      </c>
    </row>
    <row r="1062" spans="1:9" x14ac:dyDescent="0.25">
      <c r="A1062" t="s">
        <v>13</v>
      </c>
      <c r="B1062">
        <v>957723</v>
      </c>
      <c r="C1062">
        <v>958916</v>
      </c>
      <c r="E1062" t="s">
        <v>14</v>
      </c>
      <c r="F1062" t="s">
        <v>2815</v>
      </c>
      <c r="H1062">
        <v>0</v>
      </c>
      <c r="I1062" t="s">
        <v>16</v>
      </c>
    </row>
    <row r="1063" spans="1:9" x14ac:dyDescent="0.25">
      <c r="A1063" t="s">
        <v>13</v>
      </c>
      <c r="B1063">
        <v>958798</v>
      </c>
      <c r="C1063">
        <v>959466</v>
      </c>
      <c r="E1063" t="s">
        <v>28</v>
      </c>
      <c r="F1063" t="s">
        <v>41</v>
      </c>
      <c r="H1063">
        <v>0</v>
      </c>
      <c r="I1063" t="s">
        <v>16</v>
      </c>
    </row>
    <row r="1064" spans="1:9" x14ac:dyDescent="0.25">
      <c r="A1064" t="s">
        <v>13</v>
      </c>
      <c r="B1064">
        <v>959487</v>
      </c>
      <c r="C1064">
        <v>960230</v>
      </c>
      <c r="E1064" t="s">
        <v>14</v>
      </c>
      <c r="F1064" t="s">
        <v>41</v>
      </c>
      <c r="H1064">
        <v>0</v>
      </c>
      <c r="I1064" t="s">
        <v>16</v>
      </c>
    </row>
    <row r="1065" spans="1:9" x14ac:dyDescent="0.25">
      <c r="A1065" t="s">
        <v>13</v>
      </c>
      <c r="B1065">
        <v>960241</v>
      </c>
      <c r="C1065">
        <v>960510</v>
      </c>
      <c r="E1065" t="s">
        <v>14</v>
      </c>
      <c r="F1065" t="s">
        <v>2822</v>
      </c>
      <c r="H1065">
        <v>0</v>
      </c>
      <c r="I1065" t="s">
        <v>16</v>
      </c>
    </row>
    <row r="1066" spans="1:9" x14ac:dyDescent="0.25">
      <c r="A1066" t="s">
        <v>13</v>
      </c>
      <c r="B1066">
        <v>960507</v>
      </c>
      <c r="C1066">
        <v>961781</v>
      </c>
      <c r="E1066" t="s">
        <v>14</v>
      </c>
      <c r="F1066" t="s">
        <v>2825</v>
      </c>
      <c r="H1066">
        <v>0</v>
      </c>
      <c r="I1066" t="s">
        <v>16</v>
      </c>
    </row>
    <row r="1067" spans="1:9" x14ac:dyDescent="0.25">
      <c r="A1067" t="s">
        <v>13</v>
      </c>
      <c r="B1067">
        <v>961772</v>
      </c>
      <c r="C1067">
        <v>962881</v>
      </c>
      <c r="E1067" t="s">
        <v>14</v>
      </c>
      <c r="F1067" t="s">
        <v>2828</v>
      </c>
      <c r="H1067">
        <v>0</v>
      </c>
      <c r="I1067" t="s">
        <v>16</v>
      </c>
    </row>
    <row r="1068" spans="1:9" x14ac:dyDescent="0.25">
      <c r="A1068" t="s">
        <v>13</v>
      </c>
      <c r="B1068">
        <v>962854</v>
      </c>
      <c r="C1068">
        <v>963636</v>
      </c>
      <c r="E1068" t="s">
        <v>14</v>
      </c>
      <c r="F1068" t="s">
        <v>41</v>
      </c>
      <c r="H1068">
        <v>0</v>
      </c>
      <c r="I1068" t="s">
        <v>16</v>
      </c>
    </row>
    <row r="1069" spans="1:9" x14ac:dyDescent="0.25">
      <c r="A1069" t="s">
        <v>13</v>
      </c>
      <c r="B1069">
        <v>963617</v>
      </c>
      <c r="C1069">
        <v>964726</v>
      </c>
      <c r="E1069" t="s">
        <v>14</v>
      </c>
      <c r="F1069" t="s">
        <v>2833</v>
      </c>
      <c r="H1069">
        <v>0</v>
      </c>
      <c r="I1069" t="s">
        <v>16</v>
      </c>
    </row>
    <row r="1070" spans="1:9" x14ac:dyDescent="0.25">
      <c r="A1070" t="s">
        <v>13</v>
      </c>
      <c r="B1070">
        <v>964726</v>
      </c>
      <c r="C1070">
        <v>966087</v>
      </c>
      <c r="E1070" t="s">
        <v>14</v>
      </c>
      <c r="F1070" t="s">
        <v>2836</v>
      </c>
      <c r="H1070">
        <v>0</v>
      </c>
      <c r="I1070" t="s">
        <v>16</v>
      </c>
    </row>
    <row r="1071" spans="1:9" x14ac:dyDescent="0.25">
      <c r="A1071" t="s">
        <v>13</v>
      </c>
      <c r="B1071">
        <v>965945</v>
      </c>
      <c r="C1071">
        <v>966637</v>
      </c>
      <c r="E1071" t="s">
        <v>28</v>
      </c>
      <c r="F1071" t="s">
        <v>2839</v>
      </c>
      <c r="H1071">
        <v>0</v>
      </c>
      <c r="I1071" t="s">
        <v>16</v>
      </c>
    </row>
    <row r="1072" spans="1:9" x14ac:dyDescent="0.25">
      <c r="A1072" t="s">
        <v>13</v>
      </c>
      <c r="B1072">
        <v>966697</v>
      </c>
      <c r="C1072">
        <v>967065</v>
      </c>
      <c r="E1072" t="s">
        <v>14</v>
      </c>
      <c r="F1072" t="s">
        <v>2842</v>
      </c>
      <c r="H1072">
        <v>0</v>
      </c>
      <c r="I1072" t="s">
        <v>16</v>
      </c>
    </row>
    <row r="1073" spans="1:9" x14ac:dyDescent="0.25">
      <c r="A1073" t="s">
        <v>13</v>
      </c>
      <c r="B1073">
        <v>967062</v>
      </c>
      <c r="C1073">
        <v>967241</v>
      </c>
      <c r="E1073" t="s">
        <v>14</v>
      </c>
      <c r="F1073" t="s">
        <v>41</v>
      </c>
      <c r="H1073">
        <v>0</v>
      </c>
      <c r="I1073" t="s">
        <v>16</v>
      </c>
    </row>
    <row r="1074" spans="1:9" x14ac:dyDescent="0.25">
      <c r="A1074" t="s">
        <v>13</v>
      </c>
      <c r="B1074">
        <v>967767</v>
      </c>
      <c r="C1074">
        <v>969359</v>
      </c>
      <c r="E1074" t="s">
        <v>28</v>
      </c>
      <c r="F1074" t="s">
        <v>2847</v>
      </c>
      <c r="H1074">
        <v>0</v>
      </c>
      <c r="I1074" t="s">
        <v>16</v>
      </c>
    </row>
    <row r="1075" spans="1:9" x14ac:dyDescent="0.25">
      <c r="A1075" t="s">
        <v>13</v>
      </c>
      <c r="B1075">
        <v>969380</v>
      </c>
      <c r="C1075">
        <v>969865</v>
      </c>
      <c r="E1075" t="s">
        <v>28</v>
      </c>
      <c r="F1075" t="s">
        <v>2850</v>
      </c>
      <c r="H1075">
        <v>0</v>
      </c>
      <c r="I1075" t="s">
        <v>16</v>
      </c>
    </row>
    <row r="1076" spans="1:9" x14ac:dyDescent="0.25">
      <c r="A1076" t="s">
        <v>13</v>
      </c>
      <c r="B1076">
        <v>969866</v>
      </c>
      <c r="C1076">
        <v>970378</v>
      </c>
      <c r="E1076" t="s">
        <v>28</v>
      </c>
      <c r="F1076" t="s">
        <v>2853</v>
      </c>
      <c r="H1076">
        <v>0</v>
      </c>
      <c r="I1076" t="s">
        <v>16</v>
      </c>
    </row>
    <row r="1077" spans="1:9" x14ac:dyDescent="0.25">
      <c r="A1077" t="s">
        <v>13</v>
      </c>
      <c r="B1077">
        <v>970391</v>
      </c>
      <c r="C1077">
        <v>971866</v>
      </c>
      <c r="E1077" t="s">
        <v>28</v>
      </c>
      <c r="F1077" t="s">
        <v>2856</v>
      </c>
      <c r="H1077">
        <v>0</v>
      </c>
      <c r="I1077" t="s">
        <v>16</v>
      </c>
    </row>
    <row r="1078" spans="1:9" x14ac:dyDescent="0.25">
      <c r="A1078" t="s">
        <v>13</v>
      </c>
      <c r="B1078">
        <v>971911</v>
      </c>
      <c r="C1078">
        <v>971984</v>
      </c>
      <c r="E1078" t="s">
        <v>28</v>
      </c>
      <c r="F1078" t="s">
        <v>2128</v>
      </c>
      <c r="H1078">
        <v>0</v>
      </c>
      <c r="I1078" t="s">
        <v>133</v>
      </c>
    </row>
    <row r="1079" spans="1:9" x14ac:dyDescent="0.25">
      <c r="A1079" t="s">
        <v>13</v>
      </c>
      <c r="B1079">
        <v>972035</v>
      </c>
      <c r="C1079">
        <v>973159</v>
      </c>
      <c r="E1079" t="s">
        <v>28</v>
      </c>
      <c r="F1079" t="s">
        <v>2132</v>
      </c>
      <c r="H1079">
        <v>0</v>
      </c>
      <c r="I1079" t="s">
        <v>16</v>
      </c>
    </row>
    <row r="1080" spans="1:9" x14ac:dyDescent="0.25">
      <c r="A1080" t="s">
        <v>13</v>
      </c>
      <c r="B1080">
        <v>973628</v>
      </c>
      <c r="C1080">
        <v>974932</v>
      </c>
      <c r="E1080" t="s">
        <v>14</v>
      </c>
      <c r="F1080" t="s">
        <v>2862</v>
      </c>
      <c r="H1080">
        <v>0</v>
      </c>
      <c r="I1080" t="s">
        <v>16</v>
      </c>
    </row>
    <row r="1081" spans="1:9" x14ac:dyDescent="0.25">
      <c r="A1081" t="s">
        <v>13</v>
      </c>
      <c r="B1081">
        <v>974929</v>
      </c>
      <c r="C1081">
        <v>976071</v>
      </c>
      <c r="E1081" t="s">
        <v>14</v>
      </c>
      <c r="F1081" t="s">
        <v>2865</v>
      </c>
      <c r="H1081">
        <v>0</v>
      </c>
      <c r="I1081" t="s">
        <v>16</v>
      </c>
    </row>
    <row r="1082" spans="1:9" x14ac:dyDescent="0.25">
      <c r="A1082" t="s">
        <v>13</v>
      </c>
      <c r="B1082">
        <v>976080</v>
      </c>
      <c r="C1082">
        <v>977378</v>
      </c>
      <c r="E1082" t="s">
        <v>28</v>
      </c>
      <c r="F1082" t="s">
        <v>2868</v>
      </c>
      <c r="H1082">
        <v>0</v>
      </c>
      <c r="I1082" t="s">
        <v>16</v>
      </c>
    </row>
    <row r="1083" spans="1:9" x14ac:dyDescent="0.25">
      <c r="A1083" t="s">
        <v>13</v>
      </c>
      <c r="B1083">
        <v>977375</v>
      </c>
      <c r="C1083">
        <v>977569</v>
      </c>
      <c r="E1083" t="s">
        <v>28</v>
      </c>
      <c r="F1083" t="s">
        <v>41</v>
      </c>
      <c r="H1083">
        <v>0</v>
      </c>
      <c r="I1083" t="s">
        <v>16</v>
      </c>
    </row>
    <row r="1084" spans="1:9" x14ac:dyDescent="0.25">
      <c r="A1084" t="s">
        <v>13</v>
      </c>
      <c r="B1084">
        <v>977571</v>
      </c>
      <c r="C1084">
        <v>977822</v>
      </c>
      <c r="E1084" t="s">
        <v>28</v>
      </c>
      <c r="F1084" t="s">
        <v>41</v>
      </c>
      <c r="H1084">
        <v>0</v>
      </c>
      <c r="I1084" t="s">
        <v>16</v>
      </c>
    </row>
    <row r="1085" spans="1:9" x14ac:dyDescent="0.25">
      <c r="A1085" t="s">
        <v>13</v>
      </c>
      <c r="B1085">
        <v>977822</v>
      </c>
      <c r="C1085">
        <v>979096</v>
      </c>
      <c r="E1085" t="s">
        <v>28</v>
      </c>
      <c r="F1085" t="s">
        <v>2875</v>
      </c>
      <c r="H1085">
        <v>0</v>
      </c>
      <c r="I1085" t="s">
        <v>16</v>
      </c>
    </row>
    <row r="1086" spans="1:9" x14ac:dyDescent="0.25">
      <c r="A1086" t="s">
        <v>13</v>
      </c>
      <c r="B1086">
        <v>979193</v>
      </c>
      <c r="C1086">
        <v>980188</v>
      </c>
      <c r="E1086" t="s">
        <v>28</v>
      </c>
      <c r="F1086" t="s">
        <v>2878</v>
      </c>
      <c r="H1086">
        <v>0</v>
      </c>
      <c r="I1086" t="s">
        <v>16</v>
      </c>
    </row>
    <row r="1087" spans="1:9" x14ac:dyDescent="0.25">
      <c r="A1087" t="s">
        <v>13</v>
      </c>
      <c r="B1087">
        <v>980182</v>
      </c>
      <c r="C1087">
        <v>981207</v>
      </c>
      <c r="E1087" t="s">
        <v>28</v>
      </c>
      <c r="F1087" t="s">
        <v>2881</v>
      </c>
      <c r="H1087">
        <v>0</v>
      </c>
      <c r="I1087" t="s">
        <v>16</v>
      </c>
    </row>
    <row r="1088" spans="1:9" x14ac:dyDescent="0.25">
      <c r="A1088" t="s">
        <v>13</v>
      </c>
      <c r="B1088">
        <v>981219</v>
      </c>
      <c r="C1088">
        <v>982337</v>
      </c>
      <c r="E1088" t="s">
        <v>28</v>
      </c>
      <c r="F1088" t="s">
        <v>2884</v>
      </c>
      <c r="H1088">
        <v>0</v>
      </c>
      <c r="I1088" t="s">
        <v>16</v>
      </c>
    </row>
    <row r="1089" spans="1:9" x14ac:dyDescent="0.25">
      <c r="A1089" t="s">
        <v>13</v>
      </c>
      <c r="B1089">
        <v>982417</v>
      </c>
      <c r="C1089">
        <v>983160</v>
      </c>
      <c r="E1089" t="s">
        <v>28</v>
      </c>
      <c r="F1089" t="s">
        <v>2887</v>
      </c>
      <c r="H1089">
        <v>0</v>
      </c>
      <c r="I1089" t="s">
        <v>16</v>
      </c>
    </row>
    <row r="1090" spans="1:9" x14ac:dyDescent="0.25">
      <c r="A1090" t="s">
        <v>13</v>
      </c>
      <c r="B1090">
        <v>983306</v>
      </c>
      <c r="C1090">
        <v>984910</v>
      </c>
      <c r="E1090" t="s">
        <v>14</v>
      </c>
      <c r="F1090" t="s">
        <v>2890</v>
      </c>
      <c r="H1090">
        <v>0</v>
      </c>
      <c r="I1090" t="s">
        <v>16</v>
      </c>
    </row>
    <row r="1091" spans="1:9" x14ac:dyDescent="0.25">
      <c r="A1091" t="s">
        <v>13</v>
      </c>
      <c r="B1091">
        <v>984963</v>
      </c>
      <c r="C1091">
        <v>986135</v>
      </c>
      <c r="E1091" t="s">
        <v>28</v>
      </c>
      <c r="F1091" t="s">
        <v>2893</v>
      </c>
      <c r="H1091">
        <v>0</v>
      </c>
      <c r="I1091" t="s">
        <v>16</v>
      </c>
    </row>
    <row r="1092" spans="1:9" x14ac:dyDescent="0.25">
      <c r="A1092" t="s">
        <v>13</v>
      </c>
      <c r="B1092">
        <v>986136</v>
      </c>
      <c r="C1092">
        <v>987131</v>
      </c>
      <c r="E1092" t="s">
        <v>28</v>
      </c>
      <c r="F1092" t="s">
        <v>2896</v>
      </c>
      <c r="H1092">
        <v>0</v>
      </c>
      <c r="I1092" t="s">
        <v>16</v>
      </c>
    </row>
    <row r="1093" spans="1:9" x14ac:dyDescent="0.25">
      <c r="A1093" t="s">
        <v>13</v>
      </c>
      <c r="B1093">
        <v>987309</v>
      </c>
      <c r="C1093">
        <v>987917</v>
      </c>
      <c r="E1093" t="s">
        <v>14</v>
      </c>
      <c r="F1093" t="s">
        <v>2899</v>
      </c>
      <c r="H1093">
        <v>0</v>
      </c>
      <c r="I1093" t="s">
        <v>16</v>
      </c>
    </row>
    <row r="1094" spans="1:9" x14ac:dyDescent="0.25">
      <c r="A1094" t="s">
        <v>13</v>
      </c>
      <c r="B1094">
        <v>988127</v>
      </c>
      <c r="C1094">
        <v>988918</v>
      </c>
      <c r="E1094" t="s">
        <v>14</v>
      </c>
      <c r="F1094" t="s">
        <v>41</v>
      </c>
      <c r="H1094">
        <v>0</v>
      </c>
      <c r="I1094" t="s">
        <v>16</v>
      </c>
    </row>
    <row r="1095" spans="1:9" x14ac:dyDescent="0.25">
      <c r="A1095" t="s">
        <v>13</v>
      </c>
      <c r="B1095">
        <v>988942</v>
      </c>
      <c r="C1095">
        <v>989277</v>
      </c>
      <c r="E1095" t="s">
        <v>14</v>
      </c>
      <c r="F1095" t="s">
        <v>2904</v>
      </c>
      <c r="H1095">
        <v>0</v>
      </c>
      <c r="I1095" t="s">
        <v>16</v>
      </c>
    </row>
    <row r="1096" spans="1:9" x14ac:dyDescent="0.25">
      <c r="A1096" t="s">
        <v>13</v>
      </c>
      <c r="B1096">
        <v>989283</v>
      </c>
      <c r="C1096">
        <v>989717</v>
      </c>
      <c r="E1096" t="s">
        <v>14</v>
      </c>
      <c r="F1096" t="s">
        <v>2907</v>
      </c>
      <c r="H1096">
        <v>0</v>
      </c>
      <c r="I1096" t="s">
        <v>16</v>
      </c>
    </row>
    <row r="1097" spans="1:9" x14ac:dyDescent="0.25">
      <c r="A1097" t="s">
        <v>13</v>
      </c>
      <c r="B1097">
        <v>989714</v>
      </c>
      <c r="C1097">
        <v>990862</v>
      </c>
      <c r="E1097" t="s">
        <v>14</v>
      </c>
      <c r="F1097" t="s">
        <v>1518</v>
      </c>
      <c r="H1097">
        <v>0</v>
      </c>
      <c r="I1097" t="s">
        <v>16</v>
      </c>
    </row>
    <row r="1098" spans="1:9" x14ac:dyDescent="0.25">
      <c r="A1098" t="s">
        <v>13</v>
      </c>
      <c r="B1098">
        <v>990859</v>
      </c>
      <c r="C1098">
        <v>991353</v>
      </c>
      <c r="E1098" t="s">
        <v>14</v>
      </c>
      <c r="F1098" t="s">
        <v>41</v>
      </c>
      <c r="H1098">
        <v>0</v>
      </c>
      <c r="I1098" t="s">
        <v>16</v>
      </c>
    </row>
    <row r="1099" spans="1:9" x14ac:dyDescent="0.25">
      <c r="A1099" t="s">
        <v>13</v>
      </c>
      <c r="B1099">
        <v>991350</v>
      </c>
      <c r="C1099">
        <v>994373</v>
      </c>
      <c r="E1099" t="s">
        <v>14</v>
      </c>
      <c r="F1099" t="s">
        <v>1802</v>
      </c>
      <c r="H1099">
        <v>0</v>
      </c>
      <c r="I1099" t="s">
        <v>16</v>
      </c>
    </row>
    <row r="1100" spans="1:9" x14ac:dyDescent="0.25">
      <c r="A1100" t="s">
        <v>13</v>
      </c>
      <c r="B1100">
        <v>994363</v>
      </c>
      <c r="C1100">
        <v>994689</v>
      </c>
      <c r="E1100" t="s">
        <v>14</v>
      </c>
      <c r="F1100" t="s">
        <v>41</v>
      </c>
      <c r="H1100">
        <v>0</v>
      </c>
      <c r="I1100" t="s">
        <v>16</v>
      </c>
    </row>
    <row r="1101" spans="1:9" x14ac:dyDescent="0.25">
      <c r="A1101" t="s">
        <v>13</v>
      </c>
      <c r="B1101">
        <v>994831</v>
      </c>
      <c r="C1101">
        <v>995034</v>
      </c>
      <c r="E1101" t="s">
        <v>28</v>
      </c>
      <c r="F1101" t="s">
        <v>41</v>
      </c>
      <c r="H1101">
        <v>0</v>
      </c>
      <c r="I1101" t="s">
        <v>16</v>
      </c>
    </row>
    <row r="1102" spans="1:9" x14ac:dyDescent="0.25">
      <c r="A1102" t="s">
        <v>13</v>
      </c>
      <c r="B1102">
        <v>995071</v>
      </c>
      <c r="C1102">
        <v>995754</v>
      </c>
      <c r="E1102" t="s">
        <v>28</v>
      </c>
      <c r="F1102" t="s">
        <v>2920</v>
      </c>
      <c r="H1102">
        <v>0</v>
      </c>
      <c r="I1102" t="s">
        <v>16</v>
      </c>
    </row>
    <row r="1103" spans="1:9" x14ac:dyDescent="0.25">
      <c r="A1103" t="s">
        <v>13</v>
      </c>
      <c r="B1103">
        <v>996023</v>
      </c>
      <c r="C1103">
        <v>996151</v>
      </c>
      <c r="E1103" t="s">
        <v>28</v>
      </c>
      <c r="F1103" t="s">
        <v>2768</v>
      </c>
      <c r="H1103">
        <v>0</v>
      </c>
      <c r="I1103" t="s">
        <v>16</v>
      </c>
    </row>
    <row r="1104" spans="1:9" x14ac:dyDescent="0.25">
      <c r="A1104" t="s">
        <v>13</v>
      </c>
      <c r="B1104">
        <v>996098</v>
      </c>
      <c r="C1104">
        <v>996958</v>
      </c>
      <c r="E1104" t="s">
        <v>14</v>
      </c>
      <c r="F1104" t="s">
        <v>2925</v>
      </c>
      <c r="H1104">
        <v>0</v>
      </c>
      <c r="I1104" t="s">
        <v>16</v>
      </c>
    </row>
    <row r="1105" spans="1:9" x14ac:dyDescent="0.25">
      <c r="A1105" t="s">
        <v>13</v>
      </c>
      <c r="B1105">
        <v>996955</v>
      </c>
      <c r="C1105">
        <v>997815</v>
      </c>
      <c r="E1105" t="s">
        <v>28</v>
      </c>
      <c r="F1105" t="s">
        <v>2928</v>
      </c>
      <c r="H1105">
        <v>0</v>
      </c>
      <c r="I1105" t="s">
        <v>16</v>
      </c>
    </row>
    <row r="1106" spans="1:9" x14ac:dyDescent="0.25">
      <c r="A1106" t="s">
        <v>13</v>
      </c>
      <c r="B1106">
        <v>997975</v>
      </c>
      <c r="C1106">
        <v>998553</v>
      </c>
      <c r="E1106" t="s">
        <v>14</v>
      </c>
      <c r="F1106" t="s">
        <v>2931</v>
      </c>
      <c r="H1106">
        <v>0</v>
      </c>
      <c r="I1106" t="s">
        <v>16</v>
      </c>
    </row>
    <row r="1107" spans="1:9" x14ac:dyDescent="0.25">
      <c r="A1107" t="s">
        <v>13</v>
      </c>
      <c r="B1107">
        <v>998618</v>
      </c>
      <c r="C1107">
        <v>999070</v>
      </c>
      <c r="E1107" t="s">
        <v>28</v>
      </c>
      <c r="F1107" t="s">
        <v>2934</v>
      </c>
      <c r="H1107">
        <v>0</v>
      </c>
      <c r="I1107" t="s">
        <v>16</v>
      </c>
    </row>
    <row r="1108" spans="1:9" x14ac:dyDescent="0.25">
      <c r="A1108" t="s">
        <v>13</v>
      </c>
      <c r="B1108">
        <v>999128</v>
      </c>
      <c r="C1108">
        <v>999847</v>
      </c>
      <c r="E1108" t="s">
        <v>28</v>
      </c>
      <c r="F1108" t="s">
        <v>2937</v>
      </c>
      <c r="H1108">
        <v>0</v>
      </c>
      <c r="I1108" t="s">
        <v>16</v>
      </c>
    </row>
    <row r="1109" spans="1:9" x14ac:dyDescent="0.25">
      <c r="A1109" t="s">
        <v>13</v>
      </c>
      <c r="B1109">
        <v>999848</v>
      </c>
      <c r="C1109">
        <v>1000345</v>
      </c>
      <c r="E1109" t="s">
        <v>28</v>
      </c>
      <c r="F1109" t="s">
        <v>2940</v>
      </c>
      <c r="H1109">
        <v>0</v>
      </c>
      <c r="I1109" t="s">
        <v>16</v>
      </c>
    </row>
    <row r="1110" spans="1:9" x14ac:dyDescent="0.25">
      <c r="A1110" t="s">
        <v>13</v>
      </c>
      <c r="B1110">
        <v>1000342</v>
      </c>
      <c r="C1110">
        <v>1000560</v>
      </c>
      <c r="E1110" t="s">
        <v>28</v>
      </c>
      <c r="F1110" t="s">
        <v>2943</v>
      </c>
      <c r="H1110">
        <v>0</v>
      </c>
      <c r="I1110" t="s">
        <v>16</v>
      </c>
    </row>
    <row r="1111" spans="1:9" x14ac:dyDescent="0.25">
      <c r="A1111" t="s">
        <v>13</v>
      </c>
      <c r="B1111">
        <v>1000618</v>
      </c>
      <c r="C1111">
        <v>1000881</v>
      </c>
      <c r="E1111" t="s">
        <v>28</v>
      </c>
      <c r="F1111" t="s">
        <v>2946</v>
      </c>
      <c r="H1111">
        <v>0</v>
      </c>
      <c r="I1111" t="s">
        <v>16</v>
      </c>
    </row>
    <row r="1112" spans="1:9" x14ac:dyDescent="0.25">
      <c r="A1112" t="s">
        <v>13</v>
      </c>
      <c r="B1112">
        <v>1000889</v>
      </c>
      <c r="C1112">
        <v>1002181</v>
      </c>
      <c r="E1112" t="s">
        <v>28</v>
      </c>
      <c r="F1112" t="s">
        <v>2949</v>
      </c>
      <c r="H1112">
        <v>0</v>
      </c>
      <c r="I1112" t="s">
        <v>16</v>
      </c>
    </row>
    <row r="1113" spans="1:9" x14ac:dyDescent="0.25">
      <c r="A1113" t="s">
        <v>13</v>
      </c>
      <c r="B1113">
        <v>1002390</v>
      </c>
      <c r="C1113">
        <v>1003736</v>
      </c>
      <c r="E1113" t="s">
        <v>14</v>
      </c>
      <c r="F1113" t="s">
        <v>2952</v>
      </c>
      <c r="H1113">
        <v>0</v>
      </c>
      <c r="I1113" t="s">
        <v>16</v>
      </c>
    </row>
    <row r="1114" spans="1:9" x14ac:dyDescent="0.25">
      <c r="A1114" t="s">
        <v>13</v>
      </c>
      <c r="B1114">
        <v>1003739</v>
      </c>
      <c r="C1114">
        <v>1004134</v>
      </c>
      <c r="E1114" t="s">
        <v>14</v>
      </c>
      <c r="F1114" t="s">
        <v>2955</v>
      </c>
      <c r="H1114">
        <v>0</v>
      </c>
      <c r="I1114" t="s">
        <v>16</v>
      </c>
    </row>
    <row r="1115" spans="1:9" x14ac:dyDescent="0.25">
      <c r="A1115" t="s">
        <v>13</v>
      </c>
      <c r="B1115">
        <v>1004101</v>
      </c>
      <c r="C1115">
        <v>1005138</v>
      </c>
      <c r="E1115" t="s">
        <v>28</v>
      </c>
      <c r="F1115" t="s">
        <v>2958</v>
      </c>
      <c r="H1115">
        <v>0</v>
      </c>
      <c r="I1115" t="s">
        <v>16</v>
      </c>
    </row>
    <row r="1116" spans="1:9" x14ac:dyDescent="0.25">
      <c r="A1116" t="s">
        <v>13</v>
      </c>
      <c r="B1116">
        <v>1005142</v>
      </c>
      <c r="C1116">
        <v>1005681</v>
      </c>
      <c r="E1116" t="s">
        <v>28</v>
      </c>
      <c r="F1116" t="s">
        <v>41</v>
      </c>
      <c r="H1116">
        <v>0</v>
      </c>
      <c r="I1116" t="s">
        <v>16</v>
      </c>
    </row>
    <row r="1117" spans="1:9" x14ac:dyDescent="0.25">
      <c r="A1117" t="s">
        <v>13</v>
      </c>
      <c r="B1117">
        <v>1005755</v>
      </c>
      <c r="C1117">
        <v>1008328</v>
      </c>
      <c r="E1117" t="s">
        <v>28</v>
      </c>
      <c r="F1117" t="s">
        <v>2963</v>
      </c>
      <c r="H1117">
        <v>0</v>
      </c>
      <c r="I1117" t="s">
        <v>16</v>
      </c>
    </row>
    <row r="1118" spans="1:9" x14ac:dyDescent="0.25">
      <c r="A1118" t="s">
        <v>13</v>
      </c>
      <c r="B1118">
        <v>1008325</v>
      </c>
      <c r="C1118">
        <v>1009080</v>
      </c>
      <c r="E1118" t="s">
        <v>28</v>
      </c>
      <c r="F1118" t="s">
        <v>2966</v>
      </c>
      <c r="H1118">
        <v>0</v>
      </c>
      <c r="I1118" t="s">
        <v>16</v>
      </c>
    </row>
    <row r="1119" spans="1:9" x14ac:dyDescent="0.25">
      <c r="A1119" t="s">
        <v>13</v>
      </c>
      <c r="B1119">
        <v>1009503</v>
      </c>
      <c r="C1119">
        <v>1010456</v>
      </c>
      <c r="E1119" t="s">
        <v>14</v>
      </c>
      <c r="F1119" t="s">
        <v>68</v>
      </c>
      <c r="H1119">
        <v>0</v>
      </c>
      <c r="I1119" t="s">
        <v>16</v>
      </c>
    </row>
    <row r="1120" spans="1:9" x14ac:dyDescent="0.25">
      <c r="A1120" t="s">
        <v>13</v>
      </c>
      <c r="B1120">
        <v>1011232</v>
      </c>
      <c r="C1120">
        <v>1011471</v>
      </c>
      <c r="E1120" t="s">
        <v>28</v>
      </c>
      <c r="F1120" t="s">
        <v>41</v>
      </c>
      <c r="H1120">
        <v>0</v>
      </c>
      <c r="I1120" t="s">
        <v>16</v>
      </c>
    </row>
    <row r="1121" spans="1:9" x14ac:dyDescent="0.25">
      <c r="A1121" t="s">
        <v>13</v>
      </c>
      <c r="B1121">
        <v>1011495</v>
      </c>
      <c r="C1121">
        <v>1012160</v>
      </c>
      <c r="E1121" t="s">
        <v>14</v>
      </c>
      <c r="F1121" t="s">
        <v>2973</v>
      </c>
      <c r="H1121">
        <v>0</v>
      </c>
      <c r="I1121" t="s">
        <v>16</v>
      </c>
    </row>
    <row r="1122" spans="1:9" x14ac:dyDescent="0.25">
      <c r="A1122" t="s">
        <v>13</v>
      </c>
      <c r="B1122">
        <v>1012147</v>
      </c>
      <c r="C1122">
        <v>1012617</v>
      </c>
      <c r="E1122" t="s">
        <v>28</v>
      </c>
      <c r="F1122" t="s">
        <v>2976</v>
      </c>
      <c r="H1122">
        <v>0</v>
      </c>
      <c r="I1122" t="s">
        <v>16</v>
      </c>
    </row>
    <row r="1123" spans="1:9" x14ac:dyDescent="0.25">
      <c r="A1123" t="s">
        <v>13</v>
      </c>
      <c r="B1123">
        <v>1012674</v>
      </c>
      <c r="C1123">
        <v>1013420</v>
      </c>
      <c r="E1123" t="s">
        <v>28</v>
      </c>
      <c r="F1123" t="s">
        <v>2979</v>
      </c>
      <c r="H1123">
        <v>0</v>
      </c>
      <c r="I1123" t="s">
        <v>16</v>
      </c>
    </row>
    <row r="1124" spans="1:9" x14ac:dyDescent="0.25">
      <c r="A1124" t="s">
        <v>13</v>
      </c>
      <c r="B1124">
        <v>1013417</v>
      </c>
      <c r="C1124">
        <v>1015267</v>
      </c>
      <c r="E1124" t="s">
        <v>28</v>
      </c>
      <c r="F1124" t="s">
        <v>2982</v>
      </c>
      <c r="H1124">
        <v>0</v>
      </c>
      <c r="I1124" t="s">
        <v>16</v>
      </c>
    </row>
    <row r="1125" spans="1:9" x14ac:dyDescent="0.25">
      <c r="A1125" t="s">
        <v>13</v>
      </c>
      <c r="B1125">
        <v>1015290</v>
      </c>
      <c r="C1125">
        <v>1015811</v>
      </c>
      <c r="E1125" t="s">
        <v>14</v>
      </c>
      <c r="F1125" t="s">
        <v>615</v>
      </c>
      <c r="H1125">
        <v>0</v>
      </c>
      <c r="I1125" t="s">
        <v>16</v>
      </c>
    </row>
    <row r="1126" spans="1:9" x14ac:dyDescent="0.25">
      <c r="A1126" t="s">
        <v>13</v>
      </c>
      <c r="B1126">
        <v>1015892</v>
      </c>
      <c r="C1126">
        <v>1019449</v>
      </c>
      <c r="E1126" t="s">
        <v>28</v>
      </c>
      <c r="F1126" t="s">
        <v>2987</v>
      </c>
      <c r="H1126">
        <v>0</v>
      </c>
      <c r="I1126" t="s">
        <v>16</v>
      </c>
    </row>
    <row r="1127" spans="1:9" x14ac:dyDescent="0.25">
      <c r="A1127" t="s">
        <v>13</v>
      </c>
      <c r="B1127">
        <v>1019492</v>
      </c>
      <c r="C1127">
        <v>1021015</v>
      </c>
      <c r="E1127" t="s">
        <v>14</v>
      </c>
      <c r="F1127" t="s">
        <v>2990</v>
      </c>
      <c r="H1127">
        <v>0</v>
      </c>
      <c r="I1127" t="s">
        <v>16</v>
      </c>
    </row>
    <row r="1128" spans="1:9" x14ac:dyDescent="0.25">
      <c r="A1128" t="s">
        <v>13</v>
      </c>
      <c r="B1128">
        <v>1021095</v>
      </c>
      <c r="C1128">
        <v>1022285</v>
      </c>
      <c r="E1128" t="s">
        <v>28</v>
      </c>
      <c r="F1128" t="s">
        <v>2993</v>
      </c>
      <c r="H1128">
        <v>0</v>
      </c>
      <c r="I1128" t="s">
        <v>16</v>
      </c>
    </row>
    <row r="1129" spans="1:9" x14ac:dyDescent="0.25">
      <c r="A1129" t="s">
        <v>13</v>
      </c>
      <c r="B1129">
        <v>1022272</v>
      </c>
      <c r="C1129">
        <v>1022856</v>
      </c>
      <c r="E1129" t="s">
        <v>28</v>
      </c>
      <c r="F1129" t="s">
        <v>2996</v>
      </c>
      <c r="H1129">
        <v>0</v>
      </c>
      <c r="I1129" t="s">
        <v>16</v>
      </c>
    </row>
    <row r="1130" spans="1:9" x14ac:dyDescent="0.25">
      <c r="A1130" t="s">
        <v>13</v>
      </c>
      <c r="B1130">
        <v>1023013</v>
      </c>
      <c r="C1130">
        <v>1024224</v>
      </c>
      <c r="E1130" t="s">
        <v>28</v>
      </c>
      <c r="F1130" t="s">
        <v>2999</v>
      </c>
      <c r="H1130">
        <v>0</v>
      </c>
      <c r="I1130" t="s">
        <v>16</v>
      </c>
    </row>
    <row r="1131" spans="1:9" x14ac:dyDescent="0.25">
      <c r="A1131" t="s">
        <v>13</v>
      </c>
      <c r="B1131">
        <v>1024261</v>
      </c>
      <c r="C1131">
        <v>1024342</v>
      </c>
      <c r="E1131" t="s">
        <v>28</v>
      </c>
      <c r="F1131" t="s">
        <v>686</v>
      </c>
      <c r="H1131">
        <v>0</v>
      </c>
      <c r="I1131" t="s">
        <v>133</v>
      </c>
    </row>
    <row r="1132" spans="1:9" x14ac:dyDescent="0.25">
      <c r="A1132" t="s">
        <v>13</v>
      </c>
      <c r="B1132">
        <v>1024398</v>
      </c>
      <c r="C1132">
        <v>1024471</v>
      </c>
      <c r="E1132" t="s">
        <v>28</v>
      </c>
      <c r="F1132" t="s">
        <v>3003</v>
      </c>
      <c r="H1132">
        <v>0</v>
      </c>
      <c r="I1132" t="s">
        <v>133</v>
      </c>
    </row>
    <row r="1133" spans="1:9" x14ac:dyDescent="0.25">
      <c r="A1133" t="s">
        <v>13</v>
      </c>
      <c r="B1133">
        <v>1024500</v>
      </c>
      <c r="C1133">
        <v>1024784</v>
      </c>
      <c r="E1133" t="s">
        <v>28</v>
      </c>
      <c r="F1133" t="s">
        <v>41</v>
      </c>
      <c r="H1133">
        <v>0</v>
      </c>
      <c r="I1133" t="s">
        <v>16</v>
      </c>
    </row>
    <row r="1134" spans="1:9" x14ac:dyDescent="0.25">
      <c r="A1134" t="s">
        <v>13</v>
      </c>
      <c r="B1134">
        <v>1024919</v>
      </c>
      <c r="C1134">
        <v>1028011</v>
      </c>
      <c r="E1134" t="s">
        <v>14</v>
      </c>
      <c r="F1134" t="s">
        <v>3007</v>
      </c>
      <c r="H1134">
        <v>0</v>
      </c>
      <c r="I1134" t="s">
        <v>16</v>
      </c>
    </row>
    <row r="1135" spans="1:9" x14ac:dyDescent="0.25">
      <c r="A1135" t="s">
        <v>13</v>
      </c>
      <c r="B1135">
        <v>1028008</v>
      </c>
      <c r="C1135">
        <v>1028337</v>
      </c>
      <c r="E1135" t="s">
        <v>14</v>
      </c>
      <c r="F1135" t="s">
        <v>3010</v>
      </c>
      <c r="H1135">
        <v>0</v>
      </c>
      <c r="I1135" t="s">
        <v>16</v>
      </c>
    </row>
    <row r="1136" spans="1:9" x14ac:dyDescent="0.25">
      <c r="A1136" t="s">
        <v>13</v>
      </c>
      <c r="B1136">
        <v>1028334</v>
      </c>
      <c r="C1136">
        <v>1029191</v>
      </c>
      <c r="E1136" t="s">
        <v>14</v>
      </c>
      <c r="F1136" t="s">
        <v>41</v>
      </c>
      <c r="H1136">
        <v>0</v>
      </c>
      <c r="I1136" t="s">
        <v>16</v>
      </c>
    </row>
    <row r="1137" spans="1:9" x14ac:dyDescent="0.25">
      <c r="A1137" t="s">
        <v>13</v>
      </c>
      <c r="B1137">
        <v>1029193</v>
      </c>
      <c r="C1137">
        <v>1029966</v>
      </c>
      <c r="E1137" t="s">
        <v>14</v>
      </c>
      <c r="F1137" t="s">
        <v>3015</v>
      </c>
      <c r="H1137">
        <v>0</v>
      </c>
      <c r="I1137" t="s">
        <v>16</v>
      </c>
    </row>
    <row r="1138" spans="1:9" x14ac:dyDescent="0.25">
      <c r="A1138" t="s">
        <v>13</v>
      </c>
      <c r="B1138">
        <v>1029951</v>
      </c>
      <c r="C1138">
        <v>1031501</v>
      </c>
      <c r="E1138" t="s">
        <v>14</v>
      </c>
      <c r="F1138" t="s">
        <v>3018</v>
      </c>
      <c r="H1138">
        <v>0</v>
      </c>
      <c r="I1138" t="s">
        <v>16</v>
      </c>
    </row>
    <row r="1139" spans="1:9" x14ac:dyDescent="0.25">
      <c r="A1139" t="s">
        <v>13</v>
      </c>
      <c r="B1139">
        <v>1031525</v>
      </c>
      <c r="C1139">
        <v>1031875</v>
      </c>
      <c r="E1139" t="s">
        <v>14</v>
      </c>
      <c r="F1139" t="s">
        <v>3021</v>
      </c>
      <c r="H1139">
        <v>0</v>
      </c>
      <c r="I1139" t="s">
        <v>16</v>
      </c>
    </row>
    <row r="1140" spans="1:9" x14ac:dyDescent="0.25">
      <c r="A1140" t="s">
        <v>13</v>
      </c>
      <c r="B1140">
        <v>1031872</v>
      </c>
      <c r="C1140">
        <v>1032726</v>
      </c>
      <c r="E1140" t="s">
        <v>14</v>
      </c>
      <c r="F1140" t="s">
        <v>3024</v>
      </c>
      <c r="H1140">
        <v>0</v>
      </c>
      <c r="I1140" t="s">
        <v>16</v>
      </c>
    </row>
    <row r="1141" spans="1:9" x14ac:dyDescent="0.25">
      <c r="A1141" t="s">
        <v>13</v>
      </c>
      <c r="B1141">
        <v>1032736</v>
      </c>
      <c r="C1141">
        <v>1033314</v>
      </c>
      <c r="E1141" t="s">
        <v>14</v>
      </c>
      <c r="F1141" t="s">
        <v>41</v>
      </c>
      <c r="H1141">
        <v>0</v>
      </c>
      <c r="I1141" t="s">
        <v>16</v>
      </c>
    </row>
    <row r="1142" spans="1:9" x14ac:dyDescent="0.25">
      <c r="A1142" t="s">
        <v>13</v>
      </c>
      <c r="B1142">
        <v>1033289</v>
      </c>
      <c r="C1142">
        <v>1034347</v>
      </c>
      <c r="E1142" t="s">
        <v>28</v>
      </c>
      <c r="F1142" t="s">
        <v>3029</v>
      </c>
      <c r="H1142">
        <v>0</v>
      </c>
      <c r="I1142" t="s">
        <v>16</v>
      </c>
    </row>
    <row r="1143" spans="1:9" x14ac:dyDescent="0.25">
      <c r="A1143" t="s">
        <v>13</v>
      </c>
      <c r="B1143">
        <v>1034362</v>
      </c>
      <c r="C1143">
        <v>1035222</v>
      </c>
      <c r="E1143" t="s">
        <v>14</v>
      </c>
      <c r="F1143" t="s">
        <v>41</v>
      </c>
      <c r="H1143">
        <v>0</v>
      </c>
      <c r="I1143" t="s">
        <v>16</v>
      </c>
    </row>
    <row r="1144" spans="1:9" x14ac:dyDescent="0.25">
      <c r="A1144" t="s">
        <v>13</v>
      </c>
      <c r="B1144">
        <v>1035176</v>
      </c>
      <c r="C1144">
        <v>1035550</v>
      </c>
      <c r="E1144" t="s">
        <v>28</v>
      </c>
      <c r="F1144" t="s">
        <v>3034</v>
      </c>
      <c r="H1144">
        <v>0</v>
      </c>
      <c r="I1144" t="s">
        <v>16</v>
      </c>
    </row>
    <row r="1145" spans="1:9" x14ac:dyDescent="0.25">
      <c r="A1145" t="s">
        <v>13</v>
      </c>
      <c r="B1145">
        <v>1035701</v>
      </c>
      <c r="C1145">
        <v>1036831</v>
      </c>
      <c r="E1145" t="s">
        <v>14</v>
      </c>
      <c r="F1145" t="s">
        <v>3037</v>
      </c>
      <c r="H1145">
        <v>0</v>
      </c>
      <c r="I1145" t="s">
        <v>16</v>
      </c>
    </row>
    <row r="1146" spans="1:9" x14ac:dyDescent="0.25">
      <c r="A1146" t="s">
        <v>13</v>
      </c>
      <c r="B1146">
        <v>1036988</v>
      </c>
      <c r="C1146">
        <v>1038688</v>
      </c>
      <c r="E1146" t="s">
        <v>14</v>
      </c>
      <c r="F1146" t="s">
        <v>41</v>
      </c>
      <c r="H1146">
        <v>0</v>
      </c>
      <c r="I1146" t="s">
        <v>16</v>
      </c>
    </row>
    <row r="1147" spans="1:9" x14ac:dyDescent="0.25">
      <c r="A1147" t="s">
        <v>13</v>
      </c>
      <c r="B1147">
        <v>1038673</v>
      </c>
      <c r="C1147">
        <v>1039665</v>
      </c>
      <c r="E1147" t="s">
        <v>14</v>
      </c>
      <c r="F1147" t="s">
        <v>3042</v>
      </c>
      <c r="H1147">
        <v>0</v>
      </c>
      <c r="I1147" t="s">
        <v>16</v>
      </c>
    </row>
    <row r="1148" spans="1:9" x14ac:dyDescent="0.25">
      <c r="A1148" t="s">
        <v>13</v>
      </c>
      <c r="B1148">
        <v>1039640</v>
      </c>
      <c r="C1148">
        <v>1040698</v>
      </c>
      <c r="E1148" t="s">
        <v>28</v>
      </c>
      <c r="F1148" t="s">
        <v>41</v>
      </c>
      <c r="H1148">
        <v>0</v>
      </c>
      <c r="I1148" t="s">
        <v>16</v>
      </c>
    </row>
    <row r="1149" spans="1:9" x14ac:dyDescent="0.25">
      <c r="A1149" t="s">
        <v>13</v>
      </c>
      <c r="B1149">
        <v>1040700</v>
      </c>
      <c r="C1149">
        <v>1041443</v>
      </c>
      <c r="E1149" t="s">
        <v>28</v>
      </c>
      <c r="F1149" t="s">
        <v>94</v>
      </c>
      <c r="H1149">
        <v>0</v>
      </c>
      <c r="I1149" t="s">
        <v>16</v>
      </c>
    </row>
    <row r="1150" spans="1:9" x14ac:dyDescent="0.25">
      <c r="A1150" t="s">
        <v>13</v>
      </c>
      <c r="B1150">
        <v>1041443</v>
      </c>
      <c r="C1150">
        <v>1042858</v>
      </c>
      <c r="E1150" t="s">
        <v>28</v>
      </c>
      <c r="F1150" t="s">
        <v>3049</v>
      </c>
      <c r="H1150">
        <v>0</v>
      </c>
      <c r="I1150" t="s">
        <v>16</v>
      </c>
    </row>
    <row r="1151" spans="1:9" x14ac:dyDescent="0.25">
      <c r="A1151" t="s">
        <v>13</v>
      </c>
      <c r="B1151">
        <v>1042866</v>
      </c>
      <c r="C1151">
        <v>1043774</v>
      </c>
      <c r="E1151" t="s">
        <v>28</v>
      </c>
      <c r="F1151" t="s">
        <v>3052</v>
      </c>
      <c r="H1151">
        <v>0</v>
      </c>
      <c r="I1151" t="s">
        <v>16</v>
      </c>
    </row>
    <row r="1152" spans="1:9" x14ac:dyDescent="0.25">
      <c r="A1152" t="s">
        <v>13</v>
      </c>
      <c r="B1152">
        <v>1043793</v>
      </c>
      <c r="C1152">
        <v>1044194</v>
      </c>
      <c r="E1152" t="s">
        <v>14</v>
      </c>
      <c r="F1152" t="s">
        <v>3055</v>
      </c>
      <c r="H1152">
        <v>0</v>
      </c>
      <c r="I1152" t="s">
        <v>16</v>
      </c>
    </row>
    <row r="1153" spans="1:9" x14ac:dyDescent="0.25">
      <c r="A1153" t="s">
        <v>13</v>
      </c>
      <c r="B1153">
        <v>1044191</v>
      </c>
      <c r="C1153">
        <v>1044769</v>
      </c>
      <c r="E1153" t="s">
        <v>28</v>
      </c>
      <c r="F1153" t="s">
        <v>3058</v>
      </c>
      <c r="H1153">
        <v>0</v>
      </c>
      <c r="I1153" t="s">
        <v>16</v>
      </c>
    </row>
    <row r="1154" spans="1:9" x14ac:dyDescent="0.25">
      <c r="A1154" t="s">
        <v>13</v>
      </c>
      <c r="B1154">
        <v>1044840</v>
      </c>
      <c r="C1154">
        <v>1045130</v>
      </c>
      <c r="E1154" t="s">
        <v>28</v>
      </c>
      <c r="F1154" t="s">
        <v>3061</v>
      </c>
      <c r="H1154">
        <v>0</v>
      </c>
      <c r="I1154" t="s">
        <v>16</v>
      </c>
    </row>
    <row r="1155" spans="1:9" x14ac:dyDescent="0.25">
      <c r="A1155" t="s">
        <v>13</v>
      </c>
      <c r="B1155">
        <v>1045137</v>
      </c>
      <c r="C1155">
        <v>1045322</v>
      </c>
      <c r="E1155" t="s">
        <v>28</v>
      </c>
      <c r="F1155" t="s">
        <v>41</v>
      </c>
      <c r="H1155">
        <v>0</v>
      </c>
      <c r="I1155" t="s">
        <v>16</v>
      </c>
    </row>
    <row r="1156" spans="1:9" x14ac:dyDescent="0.25">
      <c r="A1156" t="s">
        <v>13</v>
      </c>
      <c r="B1156">
        <v>1045973</v>
      </c>
      <c r="C1156">
        <v>1047016</v>
      </c>
      <c r="E1156" t="s">
        <v>28</v>
      </c>
      <c r="F1156" t="s">
        <v>3066</v>
      </c>
      <c r="H1156">
        <v>0</v>
      </c>
      <c r="I1156" t="s">
        <v>16</v>
      </c>
    </row>
    <row r="1157" spans="1:9" x14ac:dyDescent="0.25">
      <c r="A1157" t="s">
        <v>13</v>
      </c>
      <c r="B1157">
        <v>1047312</v>
      </c>
      <c r="C1157">
        <v>1047659</v>
      </c>
      <c r="E1157" t="s">
        <v>28</v>
      </c>
      <c r="F1157" t="s">
        <v>3069</v>
      </c>
      <c r="H1157">
        <v>0</v>
      </c>
      <c r="I1157" t="s">
        <v>16</v>
      </c>
    </row>
    <row r="1158" spans="1:9" x14ac:dyDescent="0.25">
      <c r="A1158" t="s">
        <v>13</v>
      </c>
      <c r="B1158">
        <v>1047681</v>
      </c>
      <c r="C1158">
        <v>1048826</v>
      </c>
      <c r="E1158" t="s">
        <v>28</v>
      </c>
      <c r="F1158" t="s">
        <v>3072</v>
      </c>
      <c r="H1158">
        <v>0</v>
      </c>
      <c r="I1158" t="s">
        <v>16</v>
      </c>
    </row>
    <row r="1159" spans="1:9" x14ac:dyDescent="0.25">
      <c r="A1159" t="s">
        <v>13</v>
      </c>
      <c r="B1159">
        <v>1048823</v>
      </c>
      <c r="C1159">
        <v>1049185</v>
      </c>
      <c r="E1159" t="s">
        <v>28</v>
      </c>
      <c r="F1159" t="s">
        <v>41</v>
      </c>
      <c r="H1159">
        <v>0</v>
      </c>
      <c r="I1159" t="s">
        <v>16</v>
      </c>
    </row>
    <row r="1160" spans="1:9" x14ac:dyDescent="0.25">
      <c r="A1160" t="s">
        <v>13</v>
      </c>
      <c r="B1160">
        <v>1049188</v>
      </c>
      <c r="C1160">
        <v>1050051</v>
      </c>
      <c r="E1160" t="s">
        <v>28</v>
      </c>
      <c r="F1160" t="s">
        <v>41</v>
      </c>
      <c r="H1160">
        <v>0</v>
      </c>
      <c r="I1160" t="s">
        <v>16</v>
      </c>
    </row>
    <row r="1161" spans="1:9" x14ac:dyDescent="0.25">
      <c r="A1161" t="s">
        <v>13</v>
      </c>
      <c r="B1161">
        <v>1050053</v>
      </c>
      <c r="C1161">
        <v>1050394</v>
      </c>
      <c r="E1161" t="s">
        <v>28</v>
      </c>
      <c r="F1161" t="s">
        <v>41</v>
      </c>
      <c r="H1161">
        <v>0</v>
      </c>
      <c r="I1161" t="s">
        <v>16</v>
      </c>
    </row>
    <row r="1162" spans="1:9" x14ac:dyDescent="0.25">
      <c r="A1162" t="s">
        <v>13</v>
      </c>
      <c r="B1162">
        <v>1050395</v>
      </c>
      <c r="C1162">
        <v>1050607</v>
      </c>
      <c r="E1162" t="s">
        <v>28</v>
      </c>
      <c r="F1162" t="s">
        <v>41</v>
      </c>
      <c r="H1162">
        <v>0</v>
      </c>
      <c r="I1162" t="s">
        <v>16</v>
      </c>
    </row>
    <row r="1163" spans="1:9" x14ac:dyDescent="0.25">
      <c r="A1163" t="s">
        <v>13</v>
      </c>
      <c r="B1163">
        <v>1050624</v>
      </c>
      <c r="C1163">
        <v>1051382</v>
      </c>
      <c r="E1163" t="s">
        <v>28</v>
      </c>
      <c r="F1163" t="s">
        <v>548</v>
      </c>
      <c r="H1163">
        <v>0</v>
      </c>
      <c r="I1163" t="s">
        <v>16</v>
      </c>
    </row>
    <row r="1164" spans="1:9" x14ac:dyDescent="0.25">
      <c r="A1164" t="s">
        <v>13</v>
      </c>
      <c r="B1164">
        <v>1051375</v>
      </c>
      <c r="C1164">
        <v>1052412</v>
      </c>
      <c r="E1164" t="s">
        <v>28</v>
      </c>
      <c r="F1164" t="s">
        <v>3085</v>
      </c>
      <c r="H1164">
        <v>0</v>
      </c>
      <c r="I1164" t="s">
        <v>16</v>
      </c>
    </row>
    <row r="1165" spans="1:9" x14ac:dyDescent="0.25">
      <c r="A1165" t="s">
        <v>13</v>
      </c>
      <c r="B1165">
        <v>1052405</v>
      </c>
      <c r="C1165">
        <v>1052767</v>
      </c>
      <c r="E1165" t="s">
        <v>28</v>
      </c>
      <c r="F1165" t="s">
        <v>3088</v>
      </c>
      <c r="H1165">
        <v>0</v>
      </c>
      <c r="I1165" t="s">
        <v>16</v>
      </c>
    </row>
    <row r="1166" spans="1:9" x14ac:dyDescent="0.25">
      <c r="A1166" t="s">
        <v>13</v>
      </c>
      <c r="B1166">
        <v>1052771</v>
      </c>
      <c r="C1166">
        <v>1053415</v>
      </c>
      <c r="E1166" t="s">
        <v>28</v>
      </c>
      <c r="F1166" t="s">
        <v>3091</v>
      </c>
      <c r="H1166">
        <v>0</v>
      </c>
      <c r="I1166" t="s">
        <v>16</v>
      </c>
    </row>
    <row r="1167" spans="1:9" x14ac:dyDescent="0.25">
      <c r="A1167" t="s">
        <v>13</v>
      </c>
      <c r="B1167">
        <v>1053412</v>
      </c>
      <c r="C1167">
        <v>1054098</v>
      </c>
      <c r="E1167" t="s">
        <v>28</v>
      </c>
      <c r="F1167" t="s">
        <v>41</v>
      </c>
      <c r="H1167">
        <v>0</v>
      </c>
      <c r="I1167" t="s">
        <v>16</v>
      </c>
    </row>
    <row r="1168" spans="1:9" x14ac:dyDescent="0.25">
      <c r="A1168" t="s">
        <v>13</v>
      </c>
      <c r="B1168">
        <v>1054095</v>
      </c>
      <c r="C1168">
        <v>1054688</v>
      </c>
      <c r="E1168" t="s">
        <v>28</v>
      </c>
      <c r="F1168" t="s">
        <v>41</v>
      </c>
      <c r="H1168">
        <v>0</v>
      </c>
      <c r="I1168" t="s">
        <v>16</v>
      </c>
    </row>
    <row r="1169" spans="1:9" x14ac:dyDescent="0.25">
      <c r="A1169" t="s">
        <v>13</v>
      </c>
      <c r="B1169">
        <v>1054722</v>
      </c>
      <c r="C1169">
        <v>1057853</v>
      </c>
      <c r="E1169" t="s">
        <v>28</v>
      </c>
      <c r="F1169" t="s">
        <v>3098</v>
      </c>
      <c r="H1169">
        <v>0</v>
      </c>
      <c r="I1169" t="s">
        <v>16</v>
      </c>
    </row>
    <row r="1170" spans="1:9" x14ac:dyDescent="0.25">
      <c r="A1170" t="s">
        <v>13</v>
      </c>
      <c r="B1170">
        <v>1057854</v>
      </c>
      <c r="C1170">
        <v>1058480</v>
      </c>
      <c r="E1170" t="s">
        <v>28</v>
      </c>
      <c r="F1170" t="s">
        <v>3101</v>
      </c>
      <c r="H1170">
        <v>0</v>
      </c>
      <c r="I1170" t="s">
        <v>16</v>
      </c>
    </row>
    <row r="1171" spans="1:9" x14ac:dyDescent="0.25">
      <c r="A1171" t="s">
        <v>13</v>
      </c>
      <c r="B1171">
        <v>1059318</v>
      </c>
      <c r="C1171">
        <v>1059839</v>
      </c>
      <c r="E1171" t="s">
        <v>28</v>
      </c>
      <c r="F1171" t="s">
        <v>41</v>
      </c>
      <c r="H1171">
        <v>0</v>
      </c>
      <c r="I1171" t="s">
        <v>16</v>
      </c>
    </row>
    <row r="1172" spans="1:9" x14ac:dyDescent="0.25">
      <c r="A1172" t="s">
        <v>13</v>
      </c>
      <c r="B1172">
        <v>1060542</v>
      </c>
      <c r="C1172">
        <v>1060823</v>
      </c>
      <c r="E1172" t="s">
        <v>28</v>
      </c>
      <c r="F1172" t="s">
        <v>41</v>
      </c>
      <c r="H1172">
        <v>0</v>
      </c>
      <c r="I1172" t="s">
        <v>16</v>
      </c>
    </row>
    <row r="1173" spans="1:9" x14ac:dyDescent="0.25">
      <c r="A1173" t="s">
        <v>13</v>
      </c>
      <c r="B1173">
        <v>1060778</v>
      </c>
      <c r="C1173">
        <v>1061947</v>
      </c>
      <c r="E1173" t="s">
        <v>28</v>
      </c>
      <c r="F1173" t="s">
        <v>3108</v>
      </c>
      <c r="H1173">
        <v>0</v>
      </c>
      <c r="I1173" t="s">
        <v>16</v>
      </c>
    </row>
    <row r="1174" spans="1:9" x14ac:dyDescent="0.25">
      <c r="A1174" t="s">
        <v>13</v>
      </c>
      <c r="B1174">
        <v>1061931</v>
      </c>
      <c r="C1174">
        <v>1063439</v>
      </c>
      <c r="E1174" t="s">
        <v>28</v>
      </c>
      <c r="F1174" t="s">
        <v>3111</v>
      </c>
      <c r="H1174">
        <v>0</v>
      </c>
      <c r="I1174" t="s">
        <v>16</v>
      </c>
    </row>
    <row r="1175" spans="1:9" x14ac:dyDescent="0.25">
      <c r="A1175" t="s">
        <v>13</v>
      </c>
      <c r="B1175">
        <v>1063439</v>
      </c>
      <c r="C1175">
        <v>1064716</v>
      </c>
      <c r="E1175" t="s">
        <v>28</v>
      </c>
      <c r="F1175" t="s">
        <v>3114</v>
      </c>
      <c r="H1175">
        <v>0</v>
      </c>
      <c r="I1175" t="s">
        <v>16</v>
      </c>
    </row>
    <row r="1176" spans="1:9" x14ac:dyDescent="0.25">
      <c r="A1176" t="s">
        <v>13</v>
      </c>
      <c r="B1176">
        <v>1064706</v>
      </c>
      <c r="C1176">
        <v>1065245</v>
      </c>
      <c r="E1176" t="s">
        <v>28</v>
      </c>
      <c r="F1176" t="s">
        <v>3114</v>
      </c>
      <c r="H1176">
        <v>0</v>
      </c>
      <c r="I1176" t="s">
        <v>16</v>
      </c>
    </row>
    <row r="1177" spans="1:9" x14ac:dyDescent="0.25">
      <c r="A1177" t="s">
        <v>13</v>
      </c>
      <c r="B1177">
        <v>1065242</v>
      </c>
      <c r="C1177">
        <v>1065424</v>
      </c>
      <c r="E1177" t="s">
        <v>28</v>
      </c>
      <c r="F1177" t="s">
        <v>41</v>
      </c>
      <c r="H1177">
        <v>0</v>
      </c>
      <c r="I1177" t="s">
        <v>16</v>
      </c>
    </row>
    <row r="1178" spans="1:9" x14ac:dyDescent="0.25">
      <c r="A1178" t="s">
        <v>13</v>
      </c>
      <c r="B1178">
        <v>1065431</v>
      </c>
      <c r="C1178">
        <v>1065706</v>
      </c>
      <c r="E1178" t="s">
        <v>28</v>
      </c>
      <c r="F1178" t="s">
        <v>41</v>
      </c>
      <c r="H1178">
        <v>0</v>
      </c>
      <c r="I1178" t="s">
        <v>16</v>
      </c>
    </row>
    <row r="1179" spans="1:9" x14ac:dyDescent="0.25">
      <c r="A1179" t="s">
        <v>13</v>
      </c>
      <c r="B1179">
        <v>1065775</v>
      </c>
      <c r="C1179">
        <v>1066032</v>
      </c>
      <c r="E1179" t="s">
        <v>28</v>
      </c>
      <c r="F1179" t="s">
        <v>41</v>
      </c>
      <c r="H1179">
        <v>0</v>
      </c>
      <c r="I1179" t="s">
        <v>16</v>
      </c>
    </row>
    <row r="1180" spans="1:9" x14ac:dyDescent="0.25">
      <c r="A1180" t="s">
        <v>13</v>
      </c>
      <c r="B1180">
        <v>1066103</v>
      </c>
      <c r="C1180">
        <v>1066555</v>
      </c>
      <c r="E1180" t="s">
        <v>28</v>
      </c>
      <c r="F1180" t="s">
        <v>41</v>
      </c>
      <c r="H1180">
        <v>0</v>
      </c>
      <c r="I1180" t="s">
        <v>16</v>
      </c>
    </row>
    <row r="1181" spans="1:9" x14ac:dyDescent="0.25">
      <c r="A1181" t="s">
        <v>13</v>
      </c>
      <c r="B1181">
        <v>1066548</v>
      </c>
      <c r="C1181">
        <v>1067402</v>
      </c>
      <c r="E1181" t="s">
        <v>28</v>
      </c>
      <c r="F1181" t="s">
        <v>3127</v>
      </c>
      <c r="H1181">
        <v>0</v>
      </c>
      <c r="I1181" t="s">
        <v>16</v>
      </c>
    </row>
    <row r="1182" spans="1:9" x14ac:dyDescent="0.25">
      <c r="A1182" t="s">
        <v>13</v>
      </c>
      <c r="B1182">
        <v>1067469</v>
      </c>
      <c r="C1182">
        <v>1067657</v>
      </c>
      <c r="E1182" t="s">
        <v>28</v>
      </c>
      <c r="F1182" t="s">
        <v>41</v>
      </c>
      <c r="H1182">
        <v>0</v>
      </c>
      <c r="I1182" t="s">
        <v>16</v>
      </c>
    </row>
    <row r="1183" spans="1:9" x14ac:dyDescent="0.25">
      <c r="A1183" t="s">
        <v>13</v>
      </c>
      <c r="B1183">
        <v>1067676</v>
      </c>
      <c r="C1183">
        <v>1067939</v>
      </c>
      <c r="E1183" t="s">
        <v>28</v>
      </c>
      <c r="F1183" t="s">
        <v>41</v>
      </c>
      <c r="H1183">
        <v>0</v>
      </c>
      <c r="I1183" t="s">
        <v>16</v>
      </c>
    </row>
    <row r="1184" spans="1:9" x14ac:dyDescent="0.25">
      <c r="A1184" t="s">
        <v>13</v>
      </c>
      <c r="B1184">
        <v>1067903</v>
      </c>
      <c r="C1184">
        <v>1068127</v>
      </c>
      <c r="E1184" t="s">
        <v>28</v>
      </c>
      <c r="F1184" t="s">
        <v>41</v>
      </c>
      <c r="H1184">
        <v>0</v>
      </c>
      <c r="I1184" t="s">
        <v>16</v>
      </c>
    </row>
    <row r="1185" spans="1:9" x14ac:dyDescent="0.25">
      <c r="A1185" t="s">
        <v>13</v>
      </c>
      <c r="B1185">
        <v>1068111</v>
      </c>
      <c r="C1185">
        <v>1068491</v>
      </c>
      <c r="E1185" t="s">
        <v>28</v>
      </c>
      <c r="F1185" t="s">
        <v>41</v>
      </c>
      <c r="H1185">
        <v>0</v>
      </c>
      <c r="I1185" t="s">
        <v>16</v>
      </c>
    </row>
    <row r="1186" spans="1:9" x14ac:dyDescent="0.25">
      <c r="A1186" t="s">
        <v>13</v>
      </c>
      <c r="B1186">
        <v>1068472</v>
      </c>
      <c r="C1186">
        <v>1068870</v>
      </c>
      <c r="E1186" t="s">
        <v>28</v>
      </c>
      <c r="F1186" t="s">
        <v>3138</v>
      </c>
      <c r="H1186">
        <v>0</v>
      </c>
      <c r="I1186" t="s">
        <v>16</v>
      </c>
    </row>
    <row r="1187" spans="1:9" x14ac:dyDescent="0.25">
      <c r="A1187" t="s">
        <v>13</v>
      </c>
      <c r="B1187">
        <v>1068867</v>
      </c>
      <c r="C1187">
        <v>1069109</v>
      </c>
      <c r="E1187" t="s">
        <v>28</v>
      </c>
      <c r="F1187" t="s">
        <v>41</v>
      </c>
      <c r="H1187">
        <v>0</v>
      </c>
      <c r="I1187" t="s">
        <v>16</v>
      </c>
    </row>
    <row r="1188" spans="1:9" x14ac:dyDescent="0.25">
      <c r="A1188" t="s">
        <v>13</v>
      </c>
      <c r="B1188">
        <v>1069099</v>
      </c>
      <c r="C1188">
        <v>1069374</v>
      </c>
      <c r="E1188" t="s">
        <v>28</v>
      </c>
      <c r="F1188" t="s">
        <v>41</v>
      </c>
      <c r="H1188">
        <v>0</v>
      </c>
      <c r="I1188" t="s">
        <v>16</v>
      </c>
    </row>
    <row r="1189" spans="1:9" x14ac:dyDescent="0.25">
      <c r="A1189" t="s">
        <v>13</v>
      </c>
      <c r="B1189">
        <v>1069365</v>
      </c>
      <c r="C1189">
        <v>1069649</v>
      </c>
      <c r="E1189" t="s">
        <v>28</v>
      </c>
      <c r="F1189" t="s">
        <v>41</v>
      </c>
      <c r="H1189">
        <v>0</v>
      </c>
      <c r="I1189" t="s">
        <v>16</v>
      </c>
    </row>
    <row r="1190" spans="1:9" x14ac:dyDescent="0.25">
      <c r="A1190" t="s">
        <v>13</v>
      </c>
      <c r="B1190">
        <v>1069633</v>
      </c>
      <c r="C1190">
        <v>1069821</v>
      </c>
      <c r="E1190" t="s">
        <v>28</v>
      </c>
      <c r="F1190" t="s">
        <v>41</v>
      </c>
      <c r="H1190">
        <v>0</v>
      </c>
      <c r="I1190" t="s">
        <v>16</v>
      </c>
    </row>
    <row r="1191" spans="1:9" x14ac:dyDescent="0.25">
      <c r="A1191" t="s">
        <v>13</v>
      </c>
      <c r="B1191">
        <v>1069821</v>
      </c>
      <c r="C1191">
        <v>1070243</v>
      </c>
      <c r="E1191" t="s">
        <v>28</v>
      </c>
      <c r="F1191" t="s">
        <v>41</v>
      </c>
      <c r="H1191">
        <v>0</v>
      </c>
      <c r="I1191" t="s">
        <v>16</v>
      </c>
    </row>
    <row r="1192" spans="1:9" x14ac:dyDescent="0.25">
      <c r="A1192" t="s">
        <v>13</v>
      </c>
      <c r="B1192">
        <v>1070227</v>
      </c>
      <c r="C1192">
        <v>1070553</v>
      </c>
      <c r="E1192" t="s">
        <v>28</v>
      </c>
      <c r="F1192" t="s">
        <v>41</v>
      </c>
      <c r="H1192">
        <v>0</v>
      </c>
      <c r="I1192" t="s">
        <v>16</v>
      </c>
    </row>
    <row r="1193" spans="1:9" x14ac:dyDescent="0.25">
      <c r="A1193" t="s">
        <v>13</v>
      </c>
      <c r="B1193">
        <v>1070580</v>
      </c>
      <c r="C1193">
        <v>1071350</v>
      </c>
      <c r="E1193" t="s">
        <v>28</v>
      </c>
      <c r="F1193" t="s">
        <v>3153</v>
      </c>
      <c r="H1193">
        <v>0</v>
      </c>
      <c r="I1193" t="s">
        <v>16</v>
      </c>
    </row>
    <row r="1194" spans="1:9" x14ac:dyDescent="0.25">
      <c r="A1194" t="s">
        <v>13</v>
      </c>
      <c r="B1194">
        <v>1071347</v>
      </c>
      <c r="C1194">
        <v>1073296</v>
      </c>
      <c r="E1194" t="s">
        <v>28</v>
      </c>
      <c r="F1194" t="s">
        <v>3156</v>
      </c>
      <c r="H1194">
        <v>0</v>
      </c>
      <c r="I1194" t="s">
        <v>16</v>
      </c>
    </row>
    <row r="1195" spans="1:9" x14ac:dyDescent="0.25">
      <c r="A1195" t="s">
        <v>13</v>
      </c>
      <c r="B1195">
        <v>1073280</v>
      </c>
      <c r="C1195">
        <v>1073543</v>
      </c>
      <c r="E1195" t="s">
        <v>28</v>
      </c>
      <c r="F1195" t="s">
        <v>3159</v>
      </c>
      <c r="H1195">
        <v>0</v>
      </c>
      <c r="I1195" t="s">
        <v>16</v>
      </c>
    </row>
    <row r="1196" spans="1:9" x14ac:dyDescent="0.25">
      <c r="A1196" t="s">
        <v>13</v>
      </c>
      <c r="B1196">
        <v>1073585</v>
      </c>
      <c r="C1196">
        <v>1074286</v>
      </c>
      <c r="E1196" t="s">
        <v>14</v>
      </c>
      <c r="F1196" t="s">
        <v>3162</v>
      </c>
      <c r="H1196">
        <v>0</v>
      </c>
      <c r="I1196" t="s">
        <v>16</v>
      </c>
    </row>
    <row r="1197" spans="1:9" x14ac:dyDescent="0.25">
      <c r="A1197" t="s">
        <v>13</v>
      </c>
      <c r="B1197">
        <v>1074376</v>
      </c>
      <c r="C1197">
        <v>1074645</v>
      </c>
      <c r="E1197" t="s">
        <v>14</v>
      </c>
      <c r="F1197" t="s">
        <v>41</v>
      </c>
      <c r="H1197">
        <v>0</v>
      </c>
      <c r="I1197" t="s">
        <v>16</v>
      </c>
    </row>
    <row r="1198" spans="1:9" x14ac:dyDescent="0.25">
      <c r="A1198" t="s">
        <v>13</v>
      </c>
      <c r="B1198">
        <v>1074735</v>
      </c>
      <c r="C1198">
        <v>1075736</v>
      </c>
      <c r="E1198" t="s">
        <v>14</v>
      </c>
      <c r="F1198" t="s">
        <v>3167</v>
      </c>
      <c r="H1198">
        <v>0</v>
      </c>
      <c r="I1198" t="s">
        <v>16</v>
      </c>
    </row>
    <row r="1199" spans="1:9" x14ac:dyDescent="0.25">
      <c r="A1199" t="s">
        <v>13</v>
      </c>
      <c r="B1199">
        <v>1075740</v>
      </c>
      <c r="C1199">
        <v>1076123</v>
      </c>
      <c r="E1199" t="s">
        <v>14</v>
      </c>
      <c r="F1199" t="s">
        <v>3170</v>
      </c>
      <c r="H1199">
        <v>0</v>
      </c>
      <c r="I1199" t="s">
        <v>16</v>
      </c>
    </row>
    <row r="1200" spans="1:9" x14ac:dyDescent="0.25">
      <c r="A1200" t="s">
        <v>13</v>
      </c>
      <c r="B1200">
        <v>1076123</v>
      </c>
      <c r="C1200">
        <v>1077019</v>
      </c>
      <c r="E1200" t="s">
        <v>14</v>
      </c>
      <c r="F1200" t="s">
        <v>3173</v>
      </c>
      <c r="H1200">
        <v>0</v>
      </c>
      <c r="I1200" t="s">
        <v>16</v>
      </c>
    </row>
    <row r="1201" spans="1:9" x14ac:dyDescent="0.25">
      <c r="A1201" t="s">
        <v>13</v>
      </c>
      <c r="B1201">
        <v>1077019</v>
      </c>
      <c r="C1201">
        <v>1077456</v>
      </c>
      <c r="E1201" t="s">
        <v>14</v>
      </c>
      <c r="F1201" t="s">
        <v>3176</v>
      </c>
      <c r="H1201">
        <v>0</v>
      </c>
      <c r="I1201" t="s">
        <v>16</v>
      </c>
    </row>
    <row r="1202" spans="1:9" x14ac:dyDescent="0.25">
      <c r="A1202" t="s">
        <v>13</v>
      </c>
      <c r="B1202">
        <v>1077456</v>
      </c>
      <c r="C1202">
        <v>1077941</v>
      </c>
      <c r="E1202" t="s">
        <v>14</v>
      </c>
      <c r="F1202" t="s">
        <v>3179</v>
      </c>
      <c r="H1202">
        <v>0</v>
      </c>
      <c r="I1202" t="s">
        <v>16</v>
      </c>
    </row>
    <row r="1203" spans="1:9" x14ac:dyDescent="0.25">
      <c r="A1203" t="s">
        <v>13</v>
      </c>
      <c r="B1203">
        <v>1077950</v>
      </c>
      <c r="C1203">
        <v>1078423</v>
      </c>
      <c r="E1203" t="s">
        <v>14</v>
      </c>
      <c r="F1203" t="s">
        <v>41</v>
      </c>
      <c r="H1203">
        <v>0</v>
      </c>
      <c r="I1203" t="s">
        <v>16</v>
      </c>
    </row>
    <row r="1204" spans="1:9" x14ac:dyDescent="0.25">
      <c r="A1204" t="s">
        <v>13</v>
      </c>
      <c r="B1204">
        <v>1078425</v>
      </c>
      <c r="C1204">
        <v>1078634</v>
      </c>
      <c r="E1204" t="s">
        <v>14</v>
      </c>
      <c r="F1204" t="s">
        <v>41</v>
      </c>
      <c r="H1204">
        <v>0</v>
      </c>
      <c r="I1204" t="s">
        <v>16</v>
      </c>
    </row>
    <row r="1205" spans="1:9" x14ac:dyDescent="0.25">
      <c r="A1205" t="s">
        <v>13</v>
      </c>
      <c r="B1205">
        <v>1078646</v>
      </c>
      <c r="C1205">
        <v>1080067</v>
      </c>
      <c r="E1205" t="s">
        <v>14</v>
      </c>
      <c r="F1205" t="s">
        <v>3186</v>
      </c>
      <c r="H1205">
        <v>0</v>
      </c>
      <c r="I1205" t="s">
        <v>16</v>
      </c>
    </row>
    <row r="1206" spans="1:9" x14ac:dyDescent="0.25">
      <c r="A1206" t="s">
        <v>13</v>
      </c>
      <c r="B1206">
        <v>1080079</v>
      </c>
      <c r="C1206">
        <v>1080492</v>
      </c>
      <c r="E1206" t="s">
        <v>14</v>
      </c>
      <c r="F1206" t="s">
        <v>3186</v>
      </c>
      <c r="H1206">
        <v>0</v>
      </c>
      <c r="I1206" t="s">
        <v>16</v>
      </c>
    </row>
    <row r="1207" spans="1:9" x14ac:dyDescent="0.25">
      <c r="A1207" t="s">
        <v>13</v>
      </c>
      <c r="B1207">
        <v>1080502</v>
      </c>
      <c r="C1207">
        <v>1080750</v>
      </c>
      <c r="E1207" t="s">
        <v>14</v>
      </c>
      <c r="F1207" t="s">
        <v>41</v>
      </c>
      <c r="H1207">
        <v>0</v>
      </c>
      <c r="I1207" t="s">
        <v>16</v>
      </c>
    </row>
    <row r="1208" spans="1:9" x14ac:dyDescent="0.25">
      <c r="A1208" t="s">
        <v>13</v>
      </c>
      <c r="B1208">
        <v>1080846</v>
      </c>
      <c r="C1208">
        <v>1080968</v>
      </c>
      <c r="E1208" t="s">
        <v>28</v>
      </c>
      <c r="F1208" t="s">
        <v>41</v>
      </c>
      <c r="H1208">
        <v>0</v>
      </c>
      <c r="I1208" t="s">
        <v>16</v>
      </c>
    </row>
    <row r="1209" spans="1:9" x14ac:dyDescent="0.25">
      <c r="A1209" t="s">
        <v>13</v>
      </c>
      <c r="B1209">
        <v>1081089</v>
      </c>
      <c r="C1209">
        <v>1081229</v>
      </c>
      <c r="E1209" t="s">
        <v>14</v>
      </c>
      <c r="F1209" t="s">
        <v>41</v>
      </c>
      <c r="H1209">
        <v>0</v>
      </c>
      <c r="I1209" t="s">
        <v>16</v>
      </c>
    </row>
    <row r="1210" spans="1:9" x14ac:dyDescent="0.25">
      <c r="A1210" t="s">
        <v>13</v>
      </c>
      <c r="B1210">
        <v>1082193</v>
      </c>
      <c r="C1210">
        <v>1082627</v>
      </c>
      <c r="E1210" t="s">
        <v>14</v>
      </c>
      <c r="F1210" t="s">
        <v>3197</v>
      </c>
      <c r="H1210">
        <v>0</v>
      </c>
      <c r="I1210" t="s">
        <v>16</v>
      </c>
    </row>
    <row r="1211" spans="1:9" x14ac:dyDescent="0.25">
      <c r="A1211" t="s">
        <v>13</v>
      </c>
      <c r="B1211">
        <v>1082634</v>
      </c>
      <c r="C1211">
        <v>1083494</v>
      </c>
      <c r="E1211" t="s">
        <v>14</v>
      </c>
      <c r="F1211" t="s">
        <v>3200</v>
      </c>
      <c r="H1211">
        <v>0</v>
      </c>
      <c r="I1211" t="s">
        <v>16</v>
      </c>
    </row>
    <row r="1212" spans="1:9" x14ac:dyDescent="0.25">
      <c r="A1212" t="s">
        <v>13</v>
      </c>
      <c r="B1212">
        <v>1083491</v>
      </c>
      <c r="C1212">
        <v>1083736</v>
      </c>
      <c r="E1212" t="s">
        <v>14</v>
      </c>
      <c r="F1212" t="s">
        <v>3203</v>
      </c>
      <c r="H1212">
        <v>0</v>
      </c>
      <c r="I1212" t="s">
        <v>16</v>
      </c>
    </row>
    <row r="1213" spans="1:9" x14ac:dyDescent="0.25">
      <c r="A1213" t="s">
        <v>13</v>
      </c>
      <c r="B1213">
        <v>1083733</v>
      </c>
      <c r="C1213">
        <v>1085052</v>
      </c>
      <c r="E1213" t="s">
        <v>14</v>
      </c>
      <c r="F1213" t="s">
        <v>3206</v>
      </c>
      <c r="H1213">
        <v>0</v>
      </c>
      <c r="I1213" t="s">
        <v>16</v>
      </c>
    </row>
    <row r="1214" spans="1:9" x14ac:dyDescent="0.25">
      <c r="A1214" t="s">
        <v>13</v>
      </c>
      <c r="B1214">
        <v>1085084</v>
      </c>
      <c r="C1214">
        <v>1086346</v>
      </c>
      <c r="E1214" t="s">
        <v>14</v>
      </c>
      <c r="F1214" t="s">
        <v>3209</v>
      </c>
      <c r="H1214">
        <v>0</v>
      </c>
      <c r="I1214" t="s">
        <v>16</v>
      </c>
    </row>
    <row r="1215" spans="1:9" x14ac:dyDescent="0.25">
      <c r="A1215" t="s">
        <v>13</v>
      </c>
      <c r="B1215">
        <v>1086334</v>
      </c>
      <c r="C1215">
        <v>1087134</v>
      </c>
      <c r="E1215" t="s">
        <v>14</v>
      </c>
      <c r="F1215" t="s">
        <v>41</v>
      </c>
      <c r="H1215">
        <v>0</v>
      </c>
      <c r="I1215" t="s">
        <v>16</v>
      </c>
    </row>
    <row r="1216" spans="1:9" x14ac:dyDescent="0.25">
      <c r="A1216" t="s">
        <v>13</v>
      </c>
      <c r="B1216">
        <v>1087125</v>
      </c>
      <c r="C1216">
        <v>1087976</v>
      </c>
      <c r="E1216" t="s">
        <v>14</v>
      </c>
      <c r="F1216" t="s">
        <v>3214</v>
      </c>
      <c r="H1216">
        <v>0</v>
      </c>
      <c r="I1216" t="s">
        <v>16</v>
      </c>
    </row>
    <row r="1217" spans="1:9" x14ac:dyDescent="0.25">
      <c r="A1217" t="s">
        <v>13</v>
      </c>
      <c r="B1217">
        <v>1087973</v>
      </c>
      <c r="C1217">
        <v>1089229</v>
      </c>
      <c r="E1217" t="s">
        <v>14</v>
      </c>
      <c r="F1217" t="s">
        <v>3217</v>
      </c>
      <c r="H1217">
        <v>0</v>
      </c>
      <c r="I1217" t="s">
        <v>16</v>
      </c>
    </row>
    <row r="1218" spans="1:9" x14ac:dyDescent="0.25">
      <c r="A1218" t="s">
        <v>13</v>
      </c>
      <c r="B1218">
        <v>1089205</v>
      </c>
      <c r="C1218">
        <v>1090263</v>
      </c>
      <c r="E1218" t="s">
        <v>14</v>
      </c>
      <c r="F1218" t="s">
        <v>3220</v>
      </c>
      <c r="H1218">
        <v>0</v>
      </c>
      <c r="I1218" t="s">
        <v>16</v>
      </c>
    </row>
    <row r="1219" spans="1:9" x14ac:dyDescent="0.25">
      <c r="A1219" t="s">
        <v>13</v>
      </c>
      <c r="B1219">
        <v>1090251</v>
      </c>
      <c r="C1219">
        <v>1091270</v>
      </c>
      <c r="E1219" t="s">
        <v>14</v>
      </c>
      <c r="F1219" t="s">
        <v>3223</v>
      </c>
      <c r="H1219">
        <v>0</v>
      </c>
      <c r="I1219" t="s">
        <v>16</v>
      </c>
    </row>
    <row r="1220" spans="1:9" x14ac:dyDescent="0.25">
      <c r="A1220" t="s">
        <v>13</v>
      </c>
      <c r="B1220">
        <v>1091267</v>
      </c>
      <c r="C1220">
        <v>1092607</v>
      </c>
      <c r="E1220" t="s">
        <v>14</v>
      </c>
      <c r="F1220" t="s">
        <v>3226</v>
      </c>
      <c r="H1220">
        <v>0</v>
      </c>
      <c r="I1220" t="s">
        <v>16</v>
      </c>
    </row>
    <row r="1221" spans="1:9" x14ac:dyDescent="0.25">
      <c r="A1221" t="s">
        <v>13</v>
      </c>
      <c r="B1221">
        <v>1092612</v>
      </c>
      <c r="C1221">
        <v>1093394</v>
      </c>
      <c r="E1221" t="s">
        <v>14</v>
      </c>
      <c r="F1221" t="s">
        <v>3229</v>
      </c>
      <c r="H1221">
        <v>0</v>
      </c>
      <c r="I1221" t="s">
        <v>16</v>
      </c>
    </row>
    <row r="1222" spans="1:9" x14ac:dyDescent="0.25">
      <c r="A1222" t="s">
        <v>13</v>
      </c>
      <c r="B1222">
        <v>1093435</v>
      </c>
      <c r="C1222">
        <v>1094013</v>
      </c>
      <c r="E1222" t="s">
        <v>14</v>
      </c>
      <c r="F1222" t="s">
        <v>3232</v>
      </c>
      <c r="H1222">
        <v>0</v>
      </c>
      <c r="I1222" t="s">
        <v>16</v>
      </c>
    </row>
    <row r="1223" spans="1:9" x14ac:dyDescent="0.25">
      <c r="A1223" t="s">
        <v>13</v>
      </c>
      <c r="B1223">
        <v>1094055</v>
      </c>
      <c r="C1223">
        <v>1095251</v>
      </c>
      <c r="E1223" t="s">
        <v>14</v>
      </c>
      <c r="F1223" t="s">
        <v>3235</v>
      </c>
      <c r="H1223">
        <v>0</v>
      </c>
      <c r="I1223" t="s">
        <v>16</v>
      </c>
    </row>
    <row r="1224" spans="1:9" x14ac:dyDescent="0.25">
      <c r="A1224" t="s">
        <v>13</v>
      </c>
      <c r="B1224">
        <v>1095262</v>
      </c>
      <c r="C1224">
        <v>1096317</v>
      </c>
      <c r="E1224" t="s">
        <v>14</v>
      </c>
      <c r="F1224" t="s">
        <v>3238</v>
      </c>
      <c r="H1224">
        <v>0</v>
      </c>
      <c r="I1224" t="s">
        <v>16</v>
      </c>
    </row>
    <row r="1225" spans="1:9" x14ac:dyDescent="0.25">
      <c r="A1225" t="s">
        <v>13</v>
      </c>
      <c r="B1225">
        <v>1096324</v>
      </c>
      <c r="C1225">
        <v>1096824</v>
      </c>
      <c r="E1225" t="s">
        <v>14</v>
      </c>
      <c r="F1225" t="s">
        <v>3241</v>
      </c>
      <c r="H1225">
        <v>0</v>
      </c>
      <c r="I1225" t="s">
        <v>16</v>
      </c>
    </row>
    <row r="1226" spans="1:9" x14ac:dyDescent="0.25">
      <c r="A1226" t="s">
        <v>13</v>
      </c>
      <c r="B1226">
        <v>1096921</v>
      </c>
      <c r="C1226">
        <v>1097544</v>
      </c>
      <c r="E1226" t="s">
        <v>28</v>
      </c>
      <c r="F1226" t="s">
        <v>1571</v>
      </c>
      <c r="H1226">
        <v>0</v>
      </c>
      <c r="I1226" t="s">
        <v>16</v>
      </c>
    </row>
    <row r="1227" spans="1:9" x14ac:dyDescent="0.25">
      <c r="A1227" t="s">
        <v>13</v>
      </c>
      <c r="B1227">
        <v>1097541</v>
      </c>
      <c r="C1227">
        <v>1099220</v>
      </c>
      <c r="E1227" t="s">
        <v>28</v>
      </c>
      <c r="F1227" t="s">
        <v>1246</v>
      </c>
      <c r="H1227">
        <v>0</v>
      </c>
      <c r="I1227" t="s">
        <v>16</v>
      </c>
    </row>
    <row r="1228" spans="1:9" x14ac:dyDescent="0.25">
      <c r="A1228" t="s">
        <v>13</v>
      </c>
      <c r="B1228">
        <v>1099232</v>
      </c>
      <c r="C1228">
        <v>1100065</v>
      </c>
      <c r="E1228" t="s">
        <v>28</v>
      </c>
      <c r="F1228" t="s">
        <v>3248</v>
      </c>
      <c r="H1228">
        <v>0</v>
      </c>
      <c r="I1228" t="s">
        <v>16</v>
      </c>
    </row>
    <row r="1229" spans="1:9" x14ac:dyDescent="0.25">
      <c r="A1229" t="s">
        <v>13</v>
      </c>
      <c r="B1229">
        <v>1100204</v>
      </c>
      <c r="C1229">
        <v>1101037</v>
      </c>
      <c r="E1229" t="s">
        <v>14</v>
      </c>
      <c r="F1229" t="s">
        <v>3251</v>
      </c>
      <c r="H1229">
        <v>0</v>
      </c>
      <c r="I1229" t="s">
        <v>16</v>
      </c>
    </row>
    <row r="1230" spans="1:9" x14ac:dyDescent="0.25">
      <c r="A1230" t="s">
        <v>13</v>
      </c>
      <c r="B1230">
        <v>1101047</v>
      </c>
      <c r="C1230">
        <v>1104232</v>
      </c>
      <c r="E1230" t="s">
        <v>14</v>
      </c>
      <c r="F1230" t="s">
        <v>3254</v>
      </c>
      <c r="H1230">
        <v>0</v>
      </c>
      <c r="I1230" t="s">
        <v>16</v>
      </c>
    </row>
    <row r="1231" spans="1:9" x14ac:dyDescent="0.25">
      <c r="A1231" t="s">
        <v>13</v>
      </c>
      <c r="B1231">
        <v>1104307</v>
      </c>
      <c r="C1231">
        <v>1104744</v>
      </c>
      <c r="E1231" t="s">
        <v>14</v>
      </c>
      <c r="F1231" t="s">
        <v>41</v>
      </c>
      <c r="H1231">
        <v>0</v>
      </c>
      <c r="I1231" t="s">
        <v>16</v>
      </c>
    </row>
    <row r="1232" spans="1:9" x14ac:dyDescent="0.25">
      <c r="A1232" t="s">
        <v>13</v>
      </c>
      <c r="B1232">
        <v>1104755</v>
      </c>
      <c r="C1232">
        <v>1105198</v>
      </c>
      <c r="E1232" t="s">
        <v>14</v>
      </c>
      <c r="F1232" t="s">
        <v>41</v>
      </c>
      <c r="H1232">
        <v>0</v>
      </c>
      <c r="I1232" t="s">
        <v>16</v>
      </c>
    </row>
    <row r="1233" spans="1:9" x14ac:dyDescent="0.25">
      <c r="A1233" t="s">
        <v>13</v>
      </c>
      <c r="B1233">
        <v>1105211</v>
      </c>
      <c r="C1233">
        <v>1105765</v>
      </c>
      <c r="E1233" t="s">
        <v>14</v>
      </c>
      <c r="F1233" t="s">
        <v>41</v>
      </c>
      <c r="H1233">
        <v>0</v>
      </c>
      <c r="I1233" t="s">
        <v>16</v>
      </c>
    </row>
    <row r="1234" spans="1:9" x14ac:dyDescent="0.25">
      <c r="A1234" t="s">
        <v>13</v>
      </c>
      <c r="B1234">
        <v>1105882</v>
      </c>
      <c r="C1234">
        <v>1107087</v>
      </c>
      <c r="E1234" t="s">
        <v>14</v>
      </c>
      <c r="F1234" t="s">
        <v>41</v>
      </c>
      <c r="H1234">
        <v>0</v>
      </c>
      <c r="I1234" t="s">
        <v>16</v>
      </c>
    </row>
    <row r="1235" spans="1:9" x14ac:dyDescent="0.25">
      <c r="A1235" t="s">
        <v>13</v>
      </c>
      <c r="B1235">
        <v>1107136</v>
      </c>
      <c r="C1235">
        <v>1107999</v>
      </c>
      <c r="E1235" t="s">
        <v>28</v>
      </c>
      <c r="F1235" t="s">
        <v>3265</v>
      </c>
      <c r="H1235">
        <v>0</v>
      </c>
      <c r="I1235" t="s">
        <v>16</v>
      </c>
    </row>
    <row r="1236" spans="1:9" x14ac:dyDescent="0.25">
      <c r="A1236" t="s">
        <v>13</v>
      </c>
      <c r="B1236">
        <v>1108001</v>
      </c>
      <c r="C1236">
        <v>1108588</v>
      </c>
      <c r="E1236" t="s">
        <v>28</v>
      </c>
      <c r="F1236" t="s">
        <v>3268</v>
      </c>
      <c r="H1236">
        <v>0</v>
      </c>
      <c r="I1236" t="s">
        <v>16</v>
      </c>
    </row>
    <row r="1237" spans="1:9" x14ac:dyDescent="0.25">
      <c r="A1237" t="s">
        <v>13</v>
      </c>
      <c r="B1237">
        <v>1108585</v>
      </c>
      <c r="C1237">
        <v>1109436</v>
      </c>
      <c r="E1237" t="s">
        <v>28</v>
      </c>
      <c r="F1237" t="s">
        <v>3271</v>
      </c>
      <c r="H1237">
        <v>0</v>
      </c>
      <c r="I1237" t="s">
        <v>16</v>
      </c>
    </row>
    <row r="1238" spans="1:9" x14ac:dyDescent="0.25">
      <c r="A1238" t="s">
        <v>13</v>
      </c>
      <c r="B1238">
        <v>1109522</v>
      </c>
      <c r="C1238">
        <v>1110373</v>
      </c>
      <c r="E1238" t="s">
        <v>14</v>
      </c>
      <c r="F1238" t="s">
        <v>3274</v>
      </c>
      <c r="H1238">
        <v>0</v>
      </c>
      <c r="I1238" t="s">
        <v>16</v>
      </c>
    </row>
    <row r="1239" spans="1:9" x14ac:dyDescent="0.25">
      <c r="A1239" t="s">
        <v>13</v>
      </c>
      <c r="B1239">
        <v>1110370</v>
      </c>
      <c r="C1239">
        <v>1111623</v>
      </c>
      <c r="E1239" t="s">
        <v>14</v>
      </c>
      <c r="F1239" t="s">
        <v>3277</v>
      </c>
      <c r="H1239">
        <v>0</v>
      </c>
      <c r="I1239" t="s">
        <v>16</v>
      </c>
    </row>
    <row r="1240" spans="1:9" x14ac:dyDescent="0.25">
      <c r="A1240" t="s">
        <v>13</v>
      </c>
      <c r="B1240">
        <v>1111667</v>
      </c>
      <c r="C1240">
        <v>1111846</v>
      </c>
      <c r="E1240" t="s">
        <v>14</v>
      </c>
      <c r="F1240" t="s">
        <v>41</v>
      </c>
      <c r="H1240">
        <v>0</v>
      </c>
      <c r="I1240" t="s">
        <v>16</v>
      </c>
    </row>
    <row r="1241" spans="1:9" x14ac:dyDescent="0.25">
      <c r="A1241" t="s">
        <v>13</v>
      </c>
      <c r="B1241">
        <v>1111861</v>
      </c>
      <c r="C1241">
        <v>1113033</v>
      </c>
      <c r="E1241" t="s">
        <v>14</v>
      </c>
      <c r="F1241" t="s">
        <v>3282</v>
      </c>
      <c r="H1241">
        <v>0</v>
      </c>
      <c r="I1241" t="s">
        <v>16</v>
      </c>
    </row>
    <row r="1242" spans="1:9" x14ac:dyDescent="0.25">
      <c r="A1242" t="s">
        <v>13</v>
      </c>
      <c r="B1242">
        <v>1113030</v>
      </c>
      <c r="C1242">
        <v>1113728</v>
      </c>
      <c r="E1242" t="s">
        <v>14</v>
      </c>
      <c r="F1242" t="s">
        <v>3285</v>
      </c>
      <c r="H1242">
        <v>0</v>
      </c>
      <c r="I1242" t="s">
        <v>16</v>
      </c>
    </row>
    <row r="1243" spans="1:9" x14ac:dyDescent="0.25">
      <c r="A1243" t="s">
        <v>13</v>
      </c>
      <c r="B1243">
        <v>1113734</v>
      </c>
      <c r="C1243">
        <v>1114396</v>
      </c>
      <c r="E1243" t="s">
        <v>14</v>
      </c>
      <c r="F1243" t="s">
        <v>41</v>
      </c>
      <c r="H1243">
        <v>0</v>
      </c>
      <c r="I1243" t="s">
        <v>16</v>
      </c>
    </row>
    <row r="1244" spans="1:9" x14ac:dyDescent="0.25">
      <c r="A1244" t="s">
        <v>13</v>
      </c>
      <c r="B1244">
        <v>1114396</v>
      </c>
      <c r="C1244">
        <v>1115400</v>
      </c>
      <c r="E1244" t="s">
        <v>14</v>
      </c>
      <c r="F1244" t="s">
        <v>3290</v>
      </c>
      <c r="H1244">
        <v>0</v>
      </c>
      <c r="I1244" t="s">
        <v>16</v>
      </c>
    </row>
    <row r="1245" spans="1:9" x14ac:dyDescent="0.25">
      <c r="A1245" t="s">
        <v>13</v>
      </c>
      <c r="B1245">
        <v>1115494</v>
      </c>
      <c r="C1245">
        <v>1117062</v>
      </c>
      <c r="E1245" t="s">
        <v>14</v>
      </c>
      <c r="F1245" t="s">
        <v>3293</v>
      </c>
      <c r="H1245">
        <v>0</v>
      </c>
      <c r="I1245" t="s">
        <v>16</v>
      </c>
    </row>
    <row r="1246" spans="1:9" x14ac:dyDescent="0.25">
      <c r="A1246" t="s">
        <v>13</v>
      </c>
      <c r="B1246">
        <v>1117059</v>
      </c>
      <c r="C1246">
        <v>1118066</v>
      </c>
      <c r="E1246" t="s">
        <v>14</v>
      </c>
      <c r="F1246" t="s">
        <v>3296</v>
      </c>
      <c r="H1246">
        <v>0</v>
      </c>
      <c r="I1246" t="s">
        <v>16</v>
      </c>
    </row>
    <row r="1247" spans="1:9" x14ac:dyDescent="0.25">
      <c r="A1247" t="s">
        <v>13</v>
      </c>
      <c r="B1247">
        <v>1118081</v>
      </c>
      <c r="C1247">
        <v>1119043</v>
      </c>
      <c r="E1247" t="s">
        <v>28</v>
      </c>
      <c r="F1247" t="s">
        <v>41</v>
      </c>
      <c r="H1247">
        <v>0</v>
      </c>
      <c r="I1247" t="s">
        <v>16</v>
      </c>
    </row>
    <row r="1248" spans="1:9" x14ac:dyDescent="0.25">
      <c r="A1248" t="s">
        <v>13</v>
      </c>
      <c r="B1248">
        <v>1119210</v>
      </c>
      <c r="C1248">
        <v>1119818</v>
      </c>
      <c r="E1248" t="s">
        <v>14</v>
      </c>
      <c r="F1248" t="s">
        <v>41</v>
      </c>
      <c r="H1248">
        <v>0</v>
      </c>
      <c r="I1248" t="s">
        <v>16</v>
      </c>
    </row>
    <row r="1249" spans="1:9" x14ac:dyDescent="0.25">
      <c r="A1249" t="s">
        <v>13</v>
      </c>
      <c r="B1249">
        <v>1119870</v>
      </c>
      <c r="C1249">
        <v>1120637</v>
      </c>
      <c r="E1249" t="s">
        <v>14</v>
      </c>
      <c r="F1249" t="s">
        <v>41</v>
      </c>
      <c r="H1249">
        <v>0</v>
      </c>
      <c r="I1249" t="s">
        <v>16</v>
      </c>
    </row>
    <row r="1250" spans="1:9" x14ac:dyDescent="0.25">
      <c r="A1250" t="s">
        <v>13</v>
      </c>
      <c r="B1250">
        <v>1120622</v>
      </c>
      <c r="C1250">
        <v>1121218</v>
      </c>
      <c r="E1250" t="s">
        <v>14</v>
      </c>
      <c r="F1250" t="s">
        <v>41</v>
      </c>
      <c r="H1250">
        <v>0</v>
      </c>
      <c r="I1250" t="s">
        <v>16</v>
      </c>
    </row>
    <row r="1251" spans="1:9" x14ac:dyDescent="0.25">
      <c r="A1251" t="s">
        <v>13</v>
      </c>
      <c r="B1251">
        <v>1121224</v>
      </c>
      <c r="C1251">
        <v>1123668</v>
      </c>
      <c r="E1251" t="s">
        <v>14</v>
      </c>
      <c r="F1251" t="s">
        <v>41</v>
      </c>
      <c r="H1251">
        <v>0</v>
      </c>
      <c r="I1251" t="s">
        <v>16</v>
      </c>
    </row>
    <row r="1252" spans="1:9" x14ac:dyDescent="0.25">
      <c r="A1252" t="s">
        <v>13</v>
      </c>
      <c r="B1252">
        <v>1123767</v>
      </c>
      <c r="C1252">
        <v>1124648</v>
      </c>
      <c r="E1252" t="s">
        <v>14</v>
      </c>
      <c r="F1252" t="s">
        <v>41</v>
      </c>
      <c r="H1252">
        <v>0</v>
      </c>
      <c r="I1252" t="s">
        <v>16</v>
      </c>
    </row>
    <row r="1253" spans="1:9" x14ac:dyDescent="0.25">
      <c r="A1253" t="s">
        <v>13</v>
      </c>
      <c r="B1253">
        <v>1124645</v>
      </c>
      <c r="C1253">
        <v>1126222</v>
      </c>
      <c r="E1253" t="s">
        <v>28</v>
      </c>
      <c r="F1253" t="s">
        <v>3311</v>
      </c>
      <c r="H1253">
        <v>0</v>
      </c>
      <c r="I1253" t="s">
        <v>16</v>
      </c>
    </row>
    <row r="1254" spans="1:9" x14ac:dyDescent="0.25">
      <c r="A1254" t="s">
        <v>13</v>
      </c>
      <c r="B1254">
        <v>1126246</v>
      </c>
      <c r="C1254">
        <v>1126905</v>
      </c>
      <c r="E1254" t="s">
        <v>14</v>
      </c>
      <c r="F1254" t="s">
        <v>3314</v>
      </c>
      <c r="H1254">
        <v>0</v>
      </c>
      <c r="I1254" t="s">
        <v>16</v>
      </c>
    </row>
    <row r="1255" spans="1:9" x14ac:dyDescent="0.25">
      <c r="A1255" t="s">
        <v>13</v>
      </c>
      <c r="B1255">
        <v>1127068</v>
      </c>
      <c r="C1255">
        <v>1127859</v>
      </c>
      <c r="E1255" t="s">
        <v>28</v>
      </c>
      <c r="F1255" t="s">
        <v>41</v>
      </c>
      <c r="H1255">
        <v>0</v>
      </c>
      <c r="I1255" t="s">
        <v>16</v>
      </c>
    </row>
    <row r="1256" spans="1:9" x14ac:dyDescent="0.25">
      <c r="A1256" t="s">
        <v>13</v>
      </c>
      <c r="B1256">
        <v>1127950</v>
      </c>
      <c r="C1256">
        <v>1129125</v>
      </c>
      <c r="E1256" t="s">
        <v>28</v>
      </c>
      <c r="F1256" t="s">
        <v>3319</v>
      </c>
      <c r="H1256">
        <v>0</v>
      </c>
      <c r="I1256" t="s">
        <v>16</v>
      </c>
    </row>
    <row r="1257" spans="1:9" x14ac:dyDescent="0.25">
      <c r="A1257" t="s">
        <v>13</v>
      </c>
      <c r="B1257">
        <v>1129452</v>
      </c>
      <c r="C1257">
        <v>1130465</v>
      </c>
      <c r="E1257" t="s">
        <v>14</v>
      </c>
      <c r="F1257" t="s">
        <v>3322</v>
      </c>
      <c r="H1257">
        <v>0</v>
      </c>
      <c r="I1257" t="s">
        <v>16</v>
      </c>
    </row>
    <row r="1258" spans="1:9" x14ac:dyDescent="0.25">
      <c r="A1258" t="s">
        <v>13</v>
      </c>
      <c r="B1258">
        <v>1130462</v>
      </c>
      <c r="C1258">
        <v>1131490</v>
      </c>
      <c r="E1258" t="s">
        <v>14</v>
      </c>
      <c r="F1258" t="s">
        <v>3325</v>
      </c>
      <c r="H1258">
        <v>0</v>
      </c>
      <c r="I1258" t="s">
        <v>16</v>
      </c>
    </row>
    <row r="1259" spans="1:9" x14ac:dyDescent="0.25">
      <c r="A1259" t="s">
        <v>13</v>
      </c>
      <c r="B1259">
        <v>1131477</v>
      </c>
      <c r="C1259">
        <v>1132229</v>
      </c>
      <c r="E1259" t="s">
        <v>14</v>
      </c>
      <c r="F1259" t="s">
        <v>3328</v>
      </c>
      <c r="H1259">
        <v>0</v>
      </c>
      <c r="I1259" t="s">
        <v>16</v>
      </c>
    </row>
    <row r="1260" spans="1:9" x14ac:dyDescent="0.25">
      <c r="A1260" t="s">
        <v>13</v>
      </c>
      <c r="B1260">
        <v>1132210</v>
      </c>
      <c r="C1260">
        <v>1132539</v>
      </c>
      <c r="E1260" t="s">
        <v>14</v>
      </c>
      <c r="F1260" t="s">
        <v>41</v>
      </c>
      <c r="H1260">
        <v>0</v>
      </c>
      <c r="I1260" t="s">
        <v>16</v>
      </c>
    </row>
    <row r="1261" spans="1:9" x14ac:dyDescent="0.25">
      <c r="A1261" t="s">
        <v>13</v>
      </c>
      <c r="B1261">
        <v>1132768</v>
      </c>
      <c r="C1261">
        <v>1132974</v>
      </c>
      <c r="E1261" t="s">
        <v>14</v>
      </c>
      <c r="F1261" t="s">
        <v>41</v>
      </c>
      <c r="H1261">
        <v>0</v>
      </c>
      <c r="I1261" t="s">
        <v>16</v>
      </c>
    </row>
    <row r="1262" spans="1:9" x14ac:dyDescent="0.25">
      <c r="A1262" t="s">
        <v>13</v>
      </c>
      <c r="B1262">
        <v>1132993</v>
      </c>
      <c r="C1262">
        <v>1134159</v>
      </c>
      <c r="E1262" t="s">
        <v>14</v>
      </c>
      <c r="F1262" t="s">
        <v>3335</v>
      </c>
      <c r="H1262">
        <v>0</v>
      </c>
      <c r="I1262" t="s">
        <v>16</v>
      </c>
    </row>
    <row r="1263" spans="1:9" x14ac:dyDescent="0.25">
      <c r="A1263" t="s">
        <v>13</v>
      </c>
      <c r="B1263">
        <v>1134141</v>
      </c>
      <c r="C1263">
        <v>1135013</v>
      </c>
      <c r="E1263" t="s">
        <v>28</v>
      </c>
      <c r="F1263" t="s">
        <v>3338</v>
      </c>
      <c r="H1263">
        <v>0</v>
      </c>
      <c r="I1263" t="s">
        <v>16</v>
      </c>
    </row>
    <row r="1264" spans="1:9" x14ac:dyDescent="0.25">
      <c r="A1264" t="s">
        <v>13</v>
      </c>
      <c r="B1264">
        <v>1135031</v>
      </c>
      <c r="C1264">
        <v>1135822</v>
      </c>
      <c r="E1264" t="s">
        <v>28</v>
      </c>
      <c r="F1264" t="s">
        <v>41</v>
      </c>
      <c r="H1264">
        <v>0</v>
      </c>
      <c r="I1264" t="s">
        <v>16</v>
      </c>
    </row>
    <row r="1265" spans="1:9" x14ac:dyDescent="0.25">
      <c r="A1265" t="s">
        <v>13</v>
      </c>
      <c r="B1265">
        <v>1135949</v>
      </c>
      <c r="C1265">
        <v>1136137</v>
      </c>
      <c r="E1265" t="s">
        <v>14</v>
      </c>
      <c r="F1265" t="s">
        <v>3343</v>
      </c>
      <c r="H1265">
        <v>0</v>
      </c>
      <c r="I1265" t="s">
        <v>16</v>
      </c>
    </row>
    <row r="1266" spans="1:9" x14ac:dyDescent="0.25">
      <c r="A1266" t="s">
        <v>13</v>
      </c>
      <c r="B1266">
        <v>1136183</v>
      </c>
      <c r="C1266">
        <v>1137055</v>
      </c>
      <c r="E1266" t="s">
        <v>14</v>
      </c>
      <c r="F1266" t="s">
        <v>3346</v>
      </c>
      <c r="H1266">
        <v>0</v>
      </c>
      <c r="I1266" t="s">
        <v>16</v>
      </c>
    </row>
    <row r="1267" spans="1:9" x14ac:dyDescent="0.25">
      <c r="A1267" t="s">
        <v>13</v>
      </c>
      <c r="B1267">
        <v>1137199</v>
      </c>
      <c r="C1267">
        <v>1138041</v>
      </c>
      <c r="E1267" t="s">
        <v>28</v>
      </c>
      <c r="F1267" t="s">
        <v>3349</v>
      </c>
      <c r="H1267">
        <v>0</v>
      </c>
      <c r="I1267" t="s">
        <v>16</v>
      </c>
    </row>
    <row r="1268" spans="1:9" x14ac:dyDescent="0.25">
      <c r="A1268" t="s">
        <v>13</v>
      </c>
      <c r="B1268">
        <v>1138042</v>
      </c>
      <c r="C1268">
        <v>1138935</v>
      </c>
      <c r="E1268" t="s">
        <v>14</v>
      </c>
      <c r="F1268" t="s">
        <v>828</v>
      </c>
      <c r="H1268">
        <v>0</v>
      </c>
      <c r="I1268" t="s">
        <v>16</v>
      </c>
    </row>
    <row r="1269" spans="1:9" x14ac:dyDescent="0.25">
      <c r="A1269" t="s">
        <v>13</v>
      </c>
      <c r="B1269">
        <v>1138894</v>
      </c>
      <c r="C1269">
        <v>1139280</v>
      </c>
      <c r="E1269" t="s">
        <v>28</v>
      </c>
      <c r="F1269" t="s">
        <v>41</v>
      </c>
      <c r="H1269">
        <v>0</v>
      </c>
      <c r="I1269" t="s">
        <v>16</v>
      </c>
    </row>
    <row r="1270" spans="1:9" x14ac:dyDescent="0.25">
      <c r="A1270" t="s">
        <v>13</v>
      </c>
      <c r="B1270">
        <v>1139277</v>
      </c>
      <c r="C1270">
        <v>1139963</v>
      </c>
      <c r="E1270" t="s">
        <v>28</v>
      </c>
      <c r="F1270" t="s">
        <v>3356</v>
      </c>
      <c r="H1270">
        <v>0</v>
      </c>
      <c r="I1270" t="s">
        <v>16</v>
      </c>
    </row>
    <row r="1271" spans="1:9" x14ac:dyDescent="0.25">
      <c r="A1271" t="s">
        <v>13</v>
      </c>
      <c r="B1271">
        <v>1139966</v>
      </c>
      <c r="C1271">
        <v>1140547</v>
      </c>
      <c r="E1271" t="s">
        <v>28</v>
      </c>
      <c r="F1271" t="s">
        <v>3359</v>
      </c>
      <c r="H1271">
        <v>0</v>
      </c>
      <c r="I1271" t="s">
        <v>16</v>
      </c>
    </row>
    <row r="1272" spans="1:9" x14ac:dyDescent="0.25">
      <c r="A1272" t="s">
        <v>13</v>
      </c>
      <c r="B1272">
        <v>1140729</v>
      </c>
      <c r="C1272">
        <v>1141325</v>
      </c>
      <c r="E1272" t="s">
        <v>28</v>
      </c>
      <c r="F1272" t="s">
        <v>3362</v>
      </c>
      <c r="H1272">
        <v>0</v>
      </c>
      <c r="I1272" t="s">
        <v>16</v>
      </c>
    </row>
    <row r="1273" spans="1:9" x14ac:dyDescent="0.25">
      <c r="A1273" t="s">
        <v>13</v>
      </c>
      <c r="B1273">
        <v>1141327</v>
      </c>
      <c r="C1273">
        <v>1142379</v>
      </c>
      <c r="E1273" t="s">
        <v>28</v>
      </c>
      <c r="F1273" t="s">
        <v>3365</v>
      </c>
      <c r="H1273">
        <v>0</v>
      </c>
      <c r="I1273" t="s">
        <v>16</v>
      </c>
    </row>
    <row r="1274" spans="1:9" x14ac:dyDescent="0.25">
      <c r="A1274" t="s">
        <v>13</v>
      </c>
      <c r="B1274">
        <v>1142446</v>
      </c>
      <c r="C1274">
        <v>1143048</v>
      </c>
      <c r="E1274" t="s">
        <v>14</v>
      </c>
      <c r="F1274" t="s">
        <v>41</v>
      </c>
      <c r="H1274">
        <v>0</v>
      </c>
      <c r="I1274" t="s">
        <v>16</v>
      </c>
    </row>
    <row r="1275" spans="1:9" x14ac:dyDescent="0.25">
      <c r="A1275" t="s">
        <v>13</v>
      </c>
      <c r="B1275">
        <v>1143018</v>
      </c>
      <c r="C1275">
        <v>1143209</v>
      </c>
      <c r="E1275" t="s">
        <v>28</v>
      </c>
      <c r="F1275" t="s">
        <v>41</v>
      </c>
      <c r="H1275">
        <v>0</v>
      </c>
      <c r="I1275" t="s">
        <v>16</v>
      </c>
    </row>
    <row r="1276" spans="1:9" x14ac:dyDescent="0.25">
      <c r="A1276" t="s">
        <v>13</v>
      </c>
      <c r="B1276">
        <v>1143252</v>
      </c>
      <c r="C1276">
        <v>1145840</v>
      </c>
      <c r="E1276" t="s">
        <v>14</v>
      </c>
      <c r="F1276" t="s">
        <v>3372</v>
      </c>
      <c r="H1276">
        <v>0</v>
      </c>
      <c r="I1276" t="s">
        <v>16</v>
      </c>
    </row>
    <row r="1277" spans="1:9" x14ac:dyDescent="0.25">
      <c r="A1277" t="s">
        <v>13</v>
      </c>
      <c r="B1277">
        <v>1145824</v>
      </c>
      <c r="C1277">
        <v>1146387</v>
      </c>
      <c r="E1277" t="s">
        <v>28</v>
      </c>
      <c r="F1277" t="s">
        <v>41</v>
      </c>
      <c r="H1277">
        <v>0</v>
      </c>
      <c r="I1277" t="s">
        <v>16</v>
      </c>
    </row>
    <row r="1278" spans="1:9" x14ac:dyDescent="0.25">
      <c r="A1278" t="s">
        <v>13</v>
      </c>
      <c r="B1278">
        <v>1146359</v>
      </c>
      <c r="C1278">
        <v>1148356</v>
      </c>
      <c r="E1278" t="s">
        <v>28</v>
      </c>
      <c r="F1278" t="s">
        <v>3377</v>
      </c>
      <c r="H1278">
        <v>0</v>
      </c>
      <c r="I1278" t="s">
        <v>16</v>
      </c>
    </row>
    <row r="1279" spans="1:9" x14ac:dyDescent="0.25">
      <c r="A1279" t="s">
        <v>13</v>
      </c>
      <c r="B1279">
        <v>1148353</v>
      </c>
      <c r="C1279">
        <v>1148667</v>
      </c>
      <c r="E1279" t="s">
        <v>28</v>
      </c>
      <c r="F1279" t="s">
        <v>41</v>
      </c>
      <c r="H1279">
        <v>0</v>
      </c>
      <c r="I1279" t="s">
        <v>16</v>
      </c>
    </row>
    <row r="1280" spans="1:9" x14ac:dyDescent="0.25">
      <c r="A1280" t="s">
        <v>13</v>
      </c>
      <c r="B1280">
        <v>1148664</v>
      </c>
      <c r="C1280">
        <v>1149371</v>
      </c>
      <c r="E1280" t="s">
        <v>28</v>
      </c>
      <c r="F1280" t="s">
        <v>3382</v>
      </c>
      <c r="H1280">
        <v>0</v>
      </c>
      <c r="I1280" t="s">
        <v>16</v>
      </c>
    </row>
    <row r="1281" spans="1:9" x14ac:dyDescent="0.25">
      <c r="A1281" t="s">
        <v>13</v>
      </c>
      <c r="B1281">
        <v>1149376</v>
      </c>
      <c r="C1281">
        <v>1150140</v>
      </c>
      <c r="E1281" t="s">
        <v>28</v>
      </c>
      <c r="F1281" t="s">
        <v>3385</v>
      </c>
      <c r="H1281">
        <v>0</v>
      </c>
      <c r="I1281" t="s">
        <v>16</v>
      </c>
    </row>
    <row r="1282" spans="1:9" x14ac:dyDescent="0.25">
      <c r="A1282" t="s">
        <v>13</v>
      </c>
      <c r="B1282">
        <v>1150167</v>
      </c>
      <c r="C1282">
        <v>1151018</v>
      </c>
      <c r="E1282" t="s">
        <v>14</v>
      </c>
      <c r="F1282" t="s">
        <v>1524</v>
      </c>
      <c r="H1282">
        <v>0</v>
      </c>
      <c r="I1282" t="s">
        <v>16</v>
      </c>
    </row>
    <row r="1283" spans="1:9" x14ac:dyDescent="0.25">
      <c r="A1283" t="s">
        <v>13</v>
      </c>
      <c r="B1283">
        <v>1151370</v>
      </c>
      <c r="C1283">
        <v>1152104</v>
      </c>
      <c r="E1283" t="s">
        <v>28</v>
      </c>
      <c r="F1283" t="s">
        <v>3390</v>
      </c>
      <c r="H1283">
        <v>0</v>
      </c>
      <c r="I1283" t="s">
        <v>16</v>
      </c>
    </row>
    <row r="1284" spans="1:9" x14ac:dyDescent="0.25">
      <c r="A1284" t="s">
        <v>13</v>
      </c>
      <c r="B1284">
        <v>1152111</v>
      </c>
      <c r="C1284">
        <v>1154063</v>
      </c>
      <c r="E1284" t="s">
        <v>28</v>
      </c>
      <c r="F1284" t="s">
        <v>1644</v>
      </c>
      <c r="H1284">
        <v>0</v>
      </c>
      <c r="I1284" t="s">
        <v>16</v>
      </c>
    </row>
    <row r="1285" spans="1:9" x14ac:dyDescent="0.25">
      <c r="A1285" t="s">
        <v>13</v>
      </c>
      <c r="B1285">
        <v>1154141</v>
      </c>
      <c r="C1285">
        <v>1155091</v>
      </c>
      <c r="E1285" t="s">
        <v>28</v>
      </c>
      <c r="F1285" t="s">
        <v>1641</v>
      </c>
      <c r="H1285">
        <v>0</v>
      </c>
      <c r="I1285" t="s">
        <v>16</v>
      </c>
    </row>
    <row r="1286" spans="1:9" x14ac:dyDescent="0.25">
      <c r="A1286" t="s">
        <v>13</v>
      </c>
      <c r="B1286">
        <v>1155149</v>
      </c>
      <c r="C1286">
        <v>1155940</v>
      </c>
      <c r="E1286" t="s">
        <v>28</v>
      </c>
      <c r="F1286" t="s">
        <v>3397</v>
      </c>
      <c r="H1286">
        <v>0</v>
      </c>
      <c r="I1286" t="s">
        <v>16</v>
      </c>
    </row>
    <row r="1287" spans="1:9" x14ac:dyDescent="0.25">
      <c r="A1287" t="s">
        <v>13</v>
      </c>
      <c r="B1287">
        <v>1155990</v>
      </c>
      <c r="C1287">
        <v>1156775</v>
      </c>
      <c r="E1287" t="s">
        <v>28</v>
      </c>
      <c r="F1287" t="s">
        <v>3400</v>
      </c>
      <c r="H1287">
        <v>0</v>
      </c>
      <c r="I1287" t="s">
        <v>16</v>
      </c>
    </row>
    <row r="1288" spans="1:9" x14ac:dyDescent="0.25">
      <c r="A1288" t="s">
        <v>13</v>
      </c>
      <c r="B1288">
        <v>1156864</v>
      </c>
      <c r="C1288">
        <v>1159320</v>
      </c>
      <c r="E1288" t="s">
        <v>28</v>
      </c>
      <c r="F1288" t="s">
        <v>3403</v>
      </c>
      <c r="H1288">
        <v>0</v>
      </c>
      <c r="I1288" t="s">
        <v>16</v>
      </c>
    </row>
    <row r="1289" spans="1:9" x14ac:dyDescent="0.25">
      <c r="A1289" t="s">
        <v>13</v>
      </c>
      <c r="B1289">
        <v>1159441</v>
      </c>
      <c r="C1289">
        <v>1160913</v>
      </c>
      <c r="E1289" t="s">
        <v>28</v>
      </c>
      <c r="F1289" t="s">
        <v>3406</v>
      </c>
      <c r="H1289">
        <v>0</v>
      </c>
      <c r="I1289" t="s">
        <v>16</v>
      </c>
    </row>
    <row r="1290" spans="1:9" x14ac:dyDescent="0.25">
      <c r="A1290" t="s">
        <v>13</v>
      </c>
      <c r="B1290">
        <v>1160885</v>
      </c>
      <c r="C1290">
        <v>1162222</v>
      </c>
      <c r="E1290" t="s">
        <v>28</v>
      </c>
      <c r="F1290" t="s">
        <v>3409</v>
      </c>
      <c r="H1290">
        <v>0</v>
      </c>
      <c r="I1290" t="s">
        <v>16</v>
      </c>
    </row>
    <row r="1291" spans="1:9" x14ac:dyDescent="0.25">
      <c r="A1291" t="s">
        <v>13</v>
      </c>
      <c r="B1291">
        <v>1162235</v>
      </c>
      <c r="C1291">
        <v>1163539</v>
      </c>
      <c r="E1291" t="s">
        <v>28</v>
      </c>
      <c r="F1291" t="s">
        <v>3412</v>
      </c>
      <c r="H1291">
        <v>0</v>
      </c>
      <c r="I1291" t="s">
        <v>16</v>
      </c>
    </row>
    <row r="1292" spans="1:9" x14ac:dyDescent="0.25">
      <c r="A1292" t="s">
        <v>13</v>
      </c>
      <c r="B1292">
        <v>1163590</v>
      </c>
      <c r="C1292">
        <v>1164453</v>
      </c>
      <c r="E1292" t="s">
        <v>28</v>
      </c>
      <c r="F1292" t="s">
        <v>41</v>
      </c>
      <c r="H1292">
        <v>0</v>
      </c>
      <c r="I1292" t="s">
        <v>16</v>
      </c>
    </row>
    <row r="1293" spans="1:9" x14ac:dyDescent="0.25">
      <c r="A1293" t="s">
        <v>13</v>
      </c>
      <c r="B1293">
        <v>1164458</v>
      </c>
      <c r="C1293">
        <v>1165393</v>
      </c>
      <c r="E1293" t="s">
        <v>28</v>
      </c>
      <c r="F1293" t="s">
        <v>3417</v>
      </c>
      <c r="H1293">
        <v>0</v>
      </c>
      <c r="I1293" t="s">
        <v>16</v>
      </c>
    </row>
    <row r="1294" spans="1:9" x14ac:dyDescent="0.25">
      <c r="A1294" t="s">
        <v>13</v>
      </c>
      <c r="B1294">
        <v>1165419</v>
      </c>
      <c r="C1294">
        <v>1166162</v>
      </c>
      <c r="E1294" t="s">
        <v>28</v>
      </c>
      <c r="F1294" t="s">
        <v>41</v>
      </c>
      <c r="H1294">
        <v>0</v>
      </c>
      <c r="I1294" t="s">
        <v>16</v>
      </c>
    </row>
    <row r="1295" spans="1:9" x14ac:dyDescent="0.25">
      <c r="A1295" t="s">
        <v>13</v>
      </c>
      <c r="B1295">
        <v>1166138</v>
      </c>
      <c r="C1295">
        <v>1166908</v>
      </c>
      <c r="E1295" t="s">
        <v>28</v>
      </c>
      <c r="F1295" t="s">
        <v>3422</v>
      </c>
      <c r="H1295">
        <v>0</v>
      </c>
      <c r="I1295" t="s">
        <v>16</v>
      </c>
    </row>
    <row r="1296" spans="1:9" x14ac:dyDescent="0.25">
      <c r="A1296" t="s">
        <v>13</v>
      </c>
      <c r="B1296">
        <v>1166889</v>
      </c>
      <c r="C1296">
        <v>1167383</v>
      </c>
      <c r="E1296" t="s">
        <v>28</v>
      </c>
      <c r="F1296" t="s">
        <v>3425</v>
      </c>
      <c r="H1296">
        <v>0</v>
      </c>
      <c r="I1296" t="s">
        <v>16</v>
      </c>
    </row>
    <row r="1297" spans="1:9" x14ac:dyDescent="0.25">
      <c r="A1297" t="s">
        <v>13</v>
      </c>
      <c r="B1297">
        <v>1167393</v>
      </c>
      <c r="C1297">
        <v>1168940</v>
      </c>
      <c r="E1297" t="s">
        <v>28</v>
      </c>
      <c r="F1297" t="s">
        <v>1246</v>
      </c>
      <c r="H1297">
        <v>0</v>
      </c>
      <c r="I1297" t="s">
        <v>16</v>
      </c>
    </row>
    <row r="1298" spans="1:9" x14ac:dyDescent="0.25">
      <c r="A1298" t="s">
        <v>13</v>
      </c>
      <c r="B1298">
        <v>1168933</v>
      </c>
      <c r="C1298">
        <v>1169667</v>
      </c>
      <c r="E1298" t="s">
        <v>28</v>
      </c>
      <c r="F1298" t="s">
        <v>3430</v>
      </c>
      <c r="H1298">
        <v>0</v>
      </c>
      <c r="I1298" t="s">
        <v>16</v>
      </c>
    </row>
    <row r="1299" spans="1:9" x14ac:dyDescent="0.25">
      <c r="A1299" t="s">
        <v>13</v>
      </c>
      <c r="B1299">
        <v>1169664</v>
      </c>
      <c r="C1299">
        <v>1171892</v>
      </c>
      <c r="E1299" t="s">
        <v>28</v>
      </c>
      <c r="F1299" t="s">
        <v>3433</v>
      </c>
      <c r="H1299">
        <v>0</v>
      </c>
      <c r="I1299" t="s">
        <v>16</v>
      </c>
    </row>
    <row r="1300" spans="1:9" x14ac:dyDescent="0.25">
      <c r="A1300" t="s">
        <v>13</v>
      </c>
      <c r="B1300">
        <v>1172103</v>
      </c>
      <c r="C1300">
        <v>1172477</v>
      </c>
      <c r="E1300" t="s">
        <v>28</v>
      </c>
      <c r="F1300" t="s">
        <v>3436</v>
      </c>
      <c r="H1300">
        <v>0</v>
      </c>
      <c r="I1300" t="s">
        <v>16</v>
      </c>
    </row>
    <row r="1301" spans="1:9" x14ac:dyDescent="0.25">
      <c r="A1301" t="s">
        <v>13</v>
      </c>
      <c r="B1301">
        <v>1172527</v>
      </c>
      <c r="C1301">
        <v>1172597</v>
      </c>
      <c r="E1301" t="s">
        <v>28</v>
      </c>
      <c r="F1301" t="s">
        <v>3439</v>
      </c>
      <c r="H1301">
        <v>0</v>
      </c>
      <c r="I1301" t="s">
        <v>133</v>
      </c>
    </row>
    <row r="1302" spans="1:9" x14ac:dyDescent="0.25">
      <c r="A1302" t="s">
        <v>13</v>
      </c>
      <c r="B1302">
        <v>1172635</v>
      </c>
      <c r="C1302">
        <v>1173741</v>
      </c>
      <c r="E1302" t="s">
        <v>28</v>
      </c>
      <c r="F1302" t="s">
        <v>3441</v>
      </c>
      <c r="H1302">
        <v>0</v>
      </c>
      <c r="I1302" t="s">
        <v>16</v>
      </c>
    </row>
    <row r="1303" spans="1:9" x14ac:dyDescent="0.25">
      <c r="A1303" t="s">
        <v>13</v>
      </c>
      <c r="B1303">
        <v>1173936</v>
      </c>
      <c r="C1303">
        <v>1174595</v>
      </c>
      <c r="E1303" t="s">
        <v>14</v>
      </c>
      <c r="F1303" t="s">
        <v>3444</v>
      </c>
      <c r="H1303">
        <v>0</v>
      </c>
      <c r="I1303" t="s">
        <v>16</v>
      </c>
    </row>
    <row r="1304" spans="1:9" x14ac:dyDescent="0.25">
      <c r="A1304" t="s">
        <v>13</v>
      </c>
      <c r="B1304">
        <v>1174585</v>
      </c>
      <c r="C1304">
        <v>1175724</v>
      </c>
      <c r="E1304" t="s">
        <v>14</v>
      </c>
      <c r="F1304" t="s">
        <v>41</v>
      </c>
      <c r="H1304">
        <v>0</v>
      </c>
      <c r="I1304" t="s">
        <v>16</v>
      </c>
    </row>
    <row r="1305" spans="1:9" x14ac:dyDescent="0.25">
      <c r="A1305" t="s">
        <v>13</v>
      </c>
      <c r="B1305">
        <v>1175700</v>
      </c>
      <c r="C1305">
        <v>1176260</v>
      </c>
      <c r="E1305" t="s">
        <v>14</v>
      </c>
      <c r="F1305" t="s">
        <v>3449</v>
      </c>
      <c r="H1305">
        <v>0</v>
      </c>
      <c r="I1305" t="s">
        <v>16</v>
      </c>
    </row>
    <row r="1306" spans="1:9" x14ac:dyDescent="0.25">
      <c r="A1306" t="s">
        <v>13</v>
      </c>
      <c r="B1306">
        <v>1176257</v>
      </c>
      <c r="C1306">
        <v>1177045</v>
      </c>
      <c r="E1306" t="s">
        <v>14</v>
      </c>
      <c r="F1306" t="s">
        <v>3452</v>
      </c>
      <c r="H1306">
        <v>0</v>
      </c>
      <c r="I1306" t="s">
        <v>16</v>
      </c>
    </row>
    <row r="1307" spans="1:9" x14ac:dyDescent="0.25">
      <c r="A1307" t="s">
        <v>13</v>
      </c>
      <c r="B1307">
        <v>1177042</v>
      </c>
      <c r="C1307">
        <v>1177488</v>
      </c>
      <c r="E1307" t="s">
        <v>14</v>
      </c>
      <c r="F1307" t="s">
        <v>3455</v>
      </c>
      <c r="H1307">
        <v>0</v>
      </c>
      <c r="I1307" t="s">
        <v>16</v>
      </c>
    </row>
    <row r="1308" spans="1:9" x14ac:dyDescent="0.25">
      <c r="A1308" t="s">
        <v>13</v>
      </c>
      <c r="B1308">
        <v>1177485</v>
      </c>
      <c r="C1308">
        <v>1179215</v>
      </c>
      <c r="E1308" t="s">
        <v>14</v>
      </c>
      <c r="F1308" t="s">
        <v>3458</v>
      </c>
      <c r="H1308">
        <v>0</v>
      </c>
      <c r="I1308" t="s">
        <v>16</v>
      </c>
    </row>
    <row r="1309" spans="1:9" x14ac:dyDescent="0.25">
      <c r="A1309" t="s">
        <v>13</v>
      </c>
      <c r="B1309">
        <v>1179225</v>
      </c>
      <c r="C1309">
        <v>1179752</v>
      </c>
      <c r="E1309" t="s">
        <v>14</v>
      </c>
      <c r="F1309" t="s">
        <v>3461</v>
      </c>
      <c r="H1309">
        <v>0</v>
      </c>
      <c r="I1309" t="s">
        <v>16</v>
      </c>
    </row>
    <row r="1310" spans="1:9" x14ac:dyDescent="0.25">
      <c r="A1310" t="s">
        <v>13</v>
      </c>
      <c r="B1310">
        <v>1179742</v>
      </c>
      <c r="C1310">
        <v>1180179</v>
      </c>
      <c r="E1310" t="s">
        <v>28</v>
      </c>
      <c r="F1310" t="s">
        <v>41</v>
      </c>
      <c r="H1310">
        <v>0</v>
      </c>
      <c r="I1310" t="s">
        <v>16</v>
      </c>
    </row>
    <row r="1311" spans="1:9" x14ac:dyDescent="0.25">
      <c r="A1311" t="s">
        <v>13</v>
      </c>
      <c r="B1311">
        <v>1180176</v>
      </c>
      <c r="C1311">
        <v>1180451</v>
      </c>
      <c r="E1311" t="s">
        <v>28</v>
      </c>
      <c r="F1311" t="s">
        <v>41</v>
      </c>
      <c r="H1311">
        <v>0</v>
      </c>
      <c r="I1311" t="s">
        <v>16</v>
      </c>
    </row>
    <row r="1312" spans="1:9" x14ac:dyDescent="0.25">
      <c r="A1312" t="s">
        <v>13</v>
      </c>
      <c r="B1312">
        <v>1180566</v>
      </c>
      <c r="C1312">
        <v>1181135</v>
      </c>
      <c r="E1312" t="s">
        <v>28</v>
      </c>
      <c r="F1312" t="s">
        <v>41</v>
      </c>
      <c r="H1312">
        <v>0</v>
      </c>
      <c r="I1312" t="s">
        <v>16</v>
      </c>
    </row>
    <row r="1313" spans="1:9" x14ac:dyDescent="0.25">
      <c r="A1313" t="s">
        <v>13</v>
      </c>
      <c r="B1313">
        <v>1181200</v>
      </c>
      <c r="C1313">
        <v>1181901</v>
      </c>
      <c r="E1313" t="s">
        <v>28</v>
      </c>
      <c r="F1313" t="s">
        <v>41</v>
      </c>
      <c r="H1313">
        <v>0</v>
      </c>
      <c r="I1313" t="s">
        <v>16</v>
      </c>
    </row>
    <row r="1314" spans="1:9" x14ac:dyDescent="0.25">
      <c r="A1314" t="s">
        <v>13</v>
      </c>
      <c r="B1314">
        <v>1181938</v>
      </c>
      <c r="C1314">
        <v>1183083</v>
      </c>
      <c r="E1314" t="s">
        <v>28</v>
      </c>
      <c r="F1314" t="s">
        <v>3472</v>
      </c>
      <c r="H1314">
        <v>0</v>
      </c>
      <c r="I1314" t="s">
        <v>16</v>
      </c>
    </row>
    <row r="1315" spans="1:9" x14ac:dyDescent="0.25">
      <c r="A1315" t="s">
        <v>13</v>
      </c>
      <c r="B1315">
        <v>1183074</v>
      </c>
      <c r="C1315">
        <v>1184120</v>
      </c>
      <c r="E1315" t="s">
        <v>28</v>
      </c>
      <c r="F1315" t="s">
        <v>3475</v>
      </c>
      <c r="H1315">
        <v>0</v>
      </c>
      <c r="I1315" t="s">
        <v>16</v>
      </c>
    </row>
    <row r="1316" spans="1:9" x14ac:dyDescent="0.25">
      <c r="A1316" t="s">
        <v>13</v>
      </c>
      <c r="B1316">
        <v>1184114</v>
      </c>
      <c r="C1316">
        <v>1184635</v>
      </c>
      <c r="E1316" t="s">
        <v>28</v>
      </c>
      <c r="F1316" t="s">
        <v>615</v>
      </c>
      <c r="H1316">
        <v>0</v>
      </c>
      <c r="I1316" t="s">
        <v>16</v>
      </c>
    </row>
    <row r="1317" spans="1:9" x14ac:dyDescent="0.25">
      <c r="A1317" t="s">
        <v>13</v>
      </c>
      <c r="B1317">
        <v>1184640</v>
      </c>
      <c r="C1317">
        <v>1185545</v>
      </c>
      <c r="E1317" t="s">
        <v>28</v>
      </c>
      <c r="F1317" t="s">
        <v>3480</v>
      </c>
      <c r="H1317">
        <v>0</v>
      </c>
      <c r="I1317" t="s">
        <v>16</v>
      </c>
    </row>
    <row r="1318" spans="1:9" x14ac:dyDescent="0.25">
      <c r="A1318" t="s">
        <v>13</v>
      </c>
      <c r="B1318">
        <v>1185588</v>
      </c>
      <c r="C1318">
        <v>1186271</v>
      </c>
      <c r="E1318" t="s">
        <v>28</v>
      </c>
      <c r="F1318" t="s">
        <v>739</v>
      </c>
      <c r="H1318">
        <v>0</v>
      </c>
      <c r="I1318" t="s">
        <v>16</v>
      </c>
    </row>
    <row r="1319" spans="1:9" x14ac:dyDescent="0.25">
      <c r="A1319" t="s">
        <v>13</v>
      </c>
      <c r="B1319">
        <v>1186264</v>
      </c>
      <c r="C1319">
        <v>1186974</v>
      </c>
      <c r="E1319" t="s">
        <v>28</v>
      </c>
      <c r="F1319" t="s">
        <v>1938</v>
      </c>
      <c r="H1319">
        <v>0</v>
      </c>
      <c r="I1319" t="s">
        <v>16</v>
      </c>
    </row>
    <row r="1320" spans="1:9" x14ac:dyDescent="0.25">
      <c r="A1320" t="s">
        <v>13</v>
      </c>
      <c r="B1320">
        <v>1187267</v>
      </c>
      <c r="C1320">
        <v>1187422</v>
      </c>
      <c r="E1320" t="s">
        <v>14</v>
      </c>
      <c r="F1320" t="s">
        <v>41</v>
      </c>
      <c r="H1320">
        <v>0</v>
      </c>
      <c r="I1320" t="s">
        <v>16</v>
      </c>
    </row>
    <row r="1321" spans="1:9" x14ac:dyDescent="0.25">
      <c r="A1321" t="s">
        <v>13</v>
      </c>
      <c r="B1321">
        <v>1187537</v>
      </c>
      <c r="C1321">
        <v>1187869</v>
      </c>
      <c r="E1321" t="s">
        <v>14</v>
      </c>
      <c r="F1321" t="s">
        <v>41</v>
      </c>
      <c r="H1321">
        <v>0</v>
      </c>
      <c r="I1321" t="s">
        <v>16</v>
      </c>
    </row>
    <row r="1322" spans="1:9" x14ac:dyDescent="0.25">
      <c r="A1322" t="s">
        <v>13</v>
      </c>
      <c r="B1322">
        <v>1188474</v>
      </c>
      <c r="C1322">
        <v>1188791</v>
      </c>
      <c r="E1322" t="s">
        <v>14</v>
      </c>
      <c r="F1322" t="s">
        <v>41</v>
      </c>
      <c r="H1322">
        <v>0</v>
      </c>
      <c r="I1322" t="s">
        <v>16</v>
      </c>
    </row>
    <row r="1323" spans="1:9" x14ac:dyDescent="0.25">
      <c r="A1323" t="s">
        <v>13</v>
      </c>
      <c r="B1323">
        <v>1188795</v>
      </c>
      <c r="C1323">
        <v>1190666</v>
      </c>
      <c r="E1323" t="s">
        <v>14</v>
      </c>
      <c r="F1323" t="s">
        <v>41</v>
      </c>
      <c r="H1323">
        <v>0</v>
      </c>
      <c r="I1323" t="s">
        <v>16</v>
      </c>
    </row>
    <row r="1324" spans="1:9" x14ac:dyDescent="0.25">
      <c r="A1324" t="s">
        <v>13</v>
      </c>
      <c r="B1324">
        <v>1190663</v>
      </c>
      <c r="C1324">
        <v>1191439</v>
      </c>
      <c r="E1324" t="s">
        <v>28</v>
      </c>
      <c r="F1324" t="s">
        <v>3495</v>
      </c>
      <c r="H1324">
        <v>0</v>
      </c>
      <c r="I1324" t="s">
        <v>16</v>
      </c>
    </row>
    <row r="1325" spans="1:9" x14ac:dyDescent="0.25">
      <c r="A1325" t="s">
        <v>13</v>
      </c>
      <c r="B1325">
        <v>1191463</v>
      </c>
      <c r="C1325">
        <v>1192461</v>
      </c>
      <c r="E1325" t="s">
        <v>14</v>
      </c>
      <c r="F1325" t="s">
        <v>2207</v>
      </c>
      <c r="H1325">
        <v>0</v>
      </c>
      <c r="I1325" t="s">
        <v>16</v>
      </c>
    </row>
    <row r="1326" spans="1:9" x14ac:dyDescent="0.25">
      <c r="A1326" t="s">
        <v>13</v>
      </c>
      <c r="B1326">
        <v>1192458</v>
      </c>
      <c r="C1326">
        <v>1193234</v>
      </c>
      <c r="E1326" t="s">
        <v>14</v>
      </c>
      <c r="F1326" t="s">
        <v>3500</v>
      </c>
      <c r="H1326">
        <v>0</v>
      </c>
      <c r="I1326" t="s">
        <v>16</v>
      </c>
    </row>
    <row r="1327" spans="1:9" x14ac:dyDescent="0.25">
      <c r="A1327" t="s">
        <v>13</v>
      </c>
      <c r="B1327">
        <v>1193327</v>
      </c>
      <c r="C1327">
        <v>1193851</v>
      </c>
      <c r="E1327" t="s">
        <v>14</v>
      </c>
      <c r="F1327" t="s">
        <v>615</v>
      </c>
      <c r="H1327">
        <v>0</v>
      </c>
      <c r="I1327" t="s">
        <v>16</v>
      </c>
    </row>
    <row r="1328" spans="1:9" x14ac:dyDescent="0.25">
      <c r="A1328" t="s">
        <v>13</v>
      </c>
      <c r="B1328">
        <v>1193832</v>
      </c>
      <c r="C1328">
        <v>1195412</v>
      </c>
      <c r="E1328" t="s">
        <v>28</v>
      </c>
      <c r="F1328" t="s">
        <v>3505</v>
      </c>
      <c r="H1328">
        <v>0</v>
      </c>
      <c r="I1328" t="s">
        <v>16</v>
      </c>
    </row>
    <row r="1329" spans="1:9" x14ac:dyDescent="0.25">
      <c r="A1329" t="s">
        <v>13</v>
      </c>
      <c r="B1329">
        <v>1195406</v>
      </c>
      <c r="C1329">
        <v>1195927</v>
      </c>
      <c r="E1329" t="s">
        <v>28</v>
      </c>
      <c r="F1329" t="s">
        <v>3508</v>
      </c>
      <c r="H1329">
        <v>0</v>
      </c>
      <c r="I1329" t="s">
        <v>16</v>
      </c>
    </row>
    <row r="1330" spans="1:9" x14ac:dyDescent="0.25">
      <c r="A1330" t="s">
        <v>13</v>
      </c>
      <c r="B1330">
        <v>1195953</v>
      </c>
      <c r="C1330">
        <v>1197515</v>
      </c>
      <c r="E1330" t="s">
        <v>28</v>
      </c>
      <c r="F1330" t="s">
        <v>3511</v>
      </c>
      <c r="H1330">
        <v>0</v>
      </c>
      <c r="I1330" t="s">
        <v>16</v>
      </c>
    </row>
    <row r="1331" spans="1:9" x14ac:dyDescent="0.25">
      <c r="A1331" t="s">
        <v>13</v>
      </c>
      <c r="B1331">
        <v>1197567</v>
      </c>
      <c r="C1331">
        <v>1198580</v>
      </c>
      <c r="E1331" t="s">
        <v>28</v>
      </c>
      <c r="F1331" t="s">
        <v>3514</v>
      </c>
      <c r="H1331">
        <v>0</v>
      </c>
      <c r="I1331" t="s">
        <v>16</v>
      </c>
    </row>
    <row r="1332" spans="1:9" x14ac:dyDescent="0.25">
      <c r="A1332" t="s">
        <v>13</v>
      </c>
      <c r="B1332">
        <v>1198577</v>
      </c>
      <c r="C1332">
        <v>1199089</v>
      </c>
      <c r="E1332" t="s">
        <v>28</v>
      </c>
      <c r="F1332" t="s">
        <v>3517</v>
      </c>
      <c r="H1332">
        <v>0</v>
      </c>
      <c r="I1332" t="s">
        <v>16</v>
      </c>
    </row>
    <row r="1333" spans="1:9" x14ac:dyDescent="0.25">
      <c r="A1333" t="s">
        <v>13</v>
      </c>
      <c r="B1333">
        <v>1199086</v>
      </c>
      <c r="C1333">
        <v>1200771</v>
      </c>
      <c r="E1333" t="s">
        <v>28</v>
      </c>
      <c r="F1333" t="s">
        <v>3520</v>
      </c>
      <c r="H1333">
        <v>0</v>
      </c>
      <c r="I1333" t="s">
        <v>16</v>
      </c>
    </row>
    <row r="1334" spans="1:9" x14ac:dyDescent="0.25">
      <c r="A1334" t="s">
        <v>13</v>
      </c>
      <c r="B1334">
        <v>1200939</v>
      </c>
      <c r="C1334">
        <v>1201910</v>
      </c>
      <c r="E1334" t="s">
        <v>28</v>
      </c>
      <c r="F1334" t="s">
        <v>3523</v>
      </c>
      <c r="H1334">
        <v>0</v>
      </c>
      <c r="I1334" t="s">
        <v>16</v>
      </c>
    </row>
    <row r="1335" spans="1:9" x14ac:dyDescent="0.25">
      <c r="A1335" t="s">
        <v>13</v>
      </c>
      <c r="B1335">
        <v>1201947</v>
      </c>
      <c r="C1335">
        <v>1202417</v>
      </c>
      <c r="E1335" t="s">
        <v>14</v>
      </c>
      <c r="F1335" t="s">
        <v>3526</v>
      </c>
      <c r="H1335">
        <v>0</v>
      </c>
      <c r="I1335" t="s">
        <v>16</v>
      </c>
    </row>
    <row r="1336" spans="1:9" x14ac:dyDescent="0.25">
      <c r="A1336" t="s">
        <v>13</v>
      </c>
      <c r="B1336">
        <v>1202544</v>
      </c>
      <c r="C1336">
        <v>1203944</v>
      </c>
      <c r="E1336" t="s">
        <v>14</v>
      </c>
      <c r="F1336" t="s">
        <v>3529</v>
      </c>
      <c r="H1336">
        <v>0</v>
      </c>
      <c r="I1336" t="s">
        <v>16</v>
      </c>
    </row>
    <row r="1337" spans="1:9" x14ac:dyDescent="0.25">
      <c r="A1337" t="s">
        <v>13</v>
      </c>
      <c r="B1337">
        <v>1204034</v>
      </c>
      <c r="C1337">
        <v>1204648</v>
      </c>
      <c r="E1337" t="s">
        <v>14</v>
      </c>
      <c r="F1337" t="s">
        <v>3532</v>
      </c>
      <c r="H1337">
        <v>0</v>
      </c>
      <c r="I1337" t="s">
        <v>16</v>
      </c>
    </row>
    <row r="1338" spans="1:9" x14ac:dyDescent="0.25">
      <c r="A1338" t="s">
        <v>13</v>
      </c>
      <c r="B1338">
        <v>1204633</v>
      </c>
      <c r="C1338">
        <v>1205298</v>
      </c>
      <c r="E1338" t="s">
        <v>28</v>
      </c>
      <c r="F1338" t="s">
        <v>3535</v>
      </c>
      <c r="H1338">
        <v>0</v>
      </c>
      <c r="I1338" t="s">
        <v>16</v>
      </c>
    </row>
    <row r="1339" spans="1:9" x14ac:dyDescent="0.25">
      <c r="A1339" t="s">
        <v>13</v>
      </c>
      <c r="B1339">
        <v>1205298</v>
      </c>
      <c r="C1339">
        <v>1206956</v>
      </c>
      <c r="E1339" t="s">
        <v>28</v>
      </c>
      <c r="F1339" t="s">
        <v>41</v>
      </c>
      <c r="H1339">
        <v>0</v>
      </c>
      <c r="I1339" t="s">
        <v>16</v>
      </c>
    </row>
    <row r="1340" spans="1:9" x14ac:dyDescent="0.25">
      <c r="A1340" t="s">
        <v>13</v>
      </c>
      <c r="B1340">
        <v>1206953</v>
      </c>
      <c r="C1340">
        <v>1207423</v>
      </c>
      <c r="E1340" t="s">
        <v>28</v>
      </c>
      <c r="F1340" t="s">
        <v>3540</v>
      </c>
      <c r="H1340">
        <v>0</v>
      </c>
      <c r="I1340" t="s">
        <v>16</v>
      </c>
    </row>
    <row r="1341" spans="1:9" x14ac:dyDescent="0.25">
      <c r="A1341" t="s">
        <v>13</v>
      </c>
      <c r="B1341">
        <v>1207468</v>
      </c>
      <c r="C1341">
        <v>1207824</v>
      </c>
      <c r="E1341" t="s">
        <v>28</v>
      </c>
      <c r="F1341" t="s">
        <v>3543</v>
      </c>
      <c r="H1341">
        <v>0</v>
      </c>
      <c r="I1341" t="s">
        <v>16</v>
      </c>
    </row>
    <row r="1342" spans="1:9" x14ac:dyDescent="0.25">
      <c r="A1342" t="s">
        <v>13</v>
      </c>
      <c r="B1342">
        <v>1207836</v>
      </c>
      <c r="C1342">
        <v>1208030</v>
      </c>
      <c r="E1342" t="s">
        <v>28</v>
      </c>
      <c r="F1342" t="s">
        <v>3546</v>
      </c>
      <c r="H1342">
        <v>0</v>
      </c>
      <c r="I1342" t="s">
        <v>16</v>
      </c>
    </row>
    <row r="1343" spans="1:9" x14ac:dyDescent="0.25">
      <c r="A1343" t="s">
        <v>13</v>
      </c>
      <c r="B1343">
        <v>1208119</v>
      </c>
      <c r="C1343">
        <v>1208592</v>
      </c>
      <c r="E1343" t="s">
        <v>28</v>
      </c>
      <c r="F1343" t="s">
        <v>3549</v>
      </c>
      <c r="H1343">
        <v>0</v>
      </c>
      <c r="I1343" t="s">
        <v>16</v>
      </c>
    </row>
    <row r="1344" spans="1:9" x14ac:dyDescent="0.25">
      <c r="A1344" t="s">
        <v>13</v>
      </c>
      <c r="B1344">
        <v>1208724</v>
      </c>
      <c r="C1344">
        <v>1209485</v>
      </c>
      <c r="E1344" t="s">
        <v>14</v>
      </c>
      <c r="F1344" t="s">
        <v>423</v>
      </c>
      <c r="H1344">
        <v>0</v>
      </c>
      <c r="I1344" t="s">
        <v>16</v>
      </c>
    </row>
    <row r="1345" spans="1:9" x14ac:dyDescent="0.25">
      <c r="A1345" t="s">
        <v>13</v>
      </c>
      <c r="B1345">
        <v>1209585</v>
      </c>
      <c r="C1345">
        <v>1211234</v>
      </c>
      <c r="E1345" t="s">
        <v>14</v>
      </c>
      <c r="F1345" t="s">
        <v>3554</v>
      </c>
      <c r="H1345">
        <v>0</v>
      </c>
      <c r="I1345" t="s">
        <v>16</v>
      </c>
    </row>
    <row r="1346" spans="1:9" x14ac:dyDescent="0.25">
      <c r="A1346" t="s">
        <v>13</v>
      </c>
      <c r="B1346">
        <v>1211381</v>
      </c>
      <c r="C1346">
        <v>1211809</v>
      </c>
      <c r="E1346" t="s">
        <v>28</v>
      </c>
      <c r="F1346" t="s">
        <v>41</v>
      </c>
      <c r="H1346">
        <v>0</v>
      </c>
      <c r="I1346" t="s">
        <v>16</v>
      </c>
    </row>
    <row r="1347" spans="1:9" x14ac:dyDescent="0.25">
      <c r="A1347" t="s">
        <v>13</v>
      </c>
      <c r="B1347">
        <v>1211802</v>
      </c>
      <c r="C1347">
        <v>1212113</v>
      </c>
      <c r="E1347" t="s">
        <v>28</v>
      </c>
      <c r="F1347" t="s">
        <v>41</v>
      </c>
      <c r="H1347">
        <v>0</v>
      </c>
      <c r="I1347" t="s">
        <v>16</v>
      </c>
    </row>
    <row r="1348" spans="1:9" x14ac:dyDescent="0.25">
      <c r="A1348" t="s">
        <v>13</v>
      </c>
      <c r="B1348">
        <v>1212131</v>
      </c>
      <c r="C1348">
        <v>1212838</v>
      </c>
      <c r="E1348" t="s">
        <v>14</v>
      </c>
      <c r="F1348" t="s">
        <v>3561</v>
      </c>
      <c r="H1348">
        <v>0</v>
      </c>
      <c r="I1348" t="s">
        <v>16</v>
      </c>
    </row>
    <row r="1349" spans="1:9" x14ac:dyDescent="0.25">
      <c r="A1349" t="s">
        <v>13</v>
      </c>
      <c r="B1349">
        <v>1212825</v>
      </c>
      <c r="C1349">
        <v>1213814</v>
      </c>
      <c r="E1349" t="s">
        <v>28</v>
      </c>
      <c r="F1349" t="s">
        <v>3564</v>
      </c>
      <c r="H1349">
        <v>0</v>
      </c>
      <c r="I1349" t="s">
        <v>16</v>
      </c>
    </row>
    <row r="1350" spans="1:9" x14ac:dyDescent="0.25">
      <c r="A1350" t="s">
        <v>13</v>
      </c>
      <c r="B1350">
        <v>1213817</v>
      </c>
      <c r="C1350">
        <v>1214065</v>
      </c>
      <c r="E1350" t="s">
        <v>28</v>
      </c>
      <c r="F1350" t="s">
        <v>41</v>
      </c>
      <c r="H1350">
        <v>0</v>
      </c>
      <c r="I1350" t="s">
        <v>16</v>
      </c>
    </row>
    <row r="1351" spans="1:9" x14ac:dyDescent="0.25">
      <c r="A1351" t="s">
        <v>13</v>
      </c>
      <c r="B1351">
        <v>1214017</v>
      </c>
      <c r="C1351">
        <v>1214208</v>
      </c>
      <c r="E1351" t="s">
        <v>28</v>
      </c>
      <c r="F1351" t="s">
        <v>41</v>
      </c>
      <c r="H1351">
        <v>0</v>
      </c>
      <c r="I1351" t="s">
        <v>16</v>
      </c>
    </row>
    <row r="1352" spans="1:9" x14ac:dyDescent="0.25">
      <c r="A1352" t="s">
        <v>13</v>
      </c>
      <c r="B1352">
        <v>1214235</v>
      </c>
      <c r="C1352">
        <v>1215755</v>
      </c>
      <c r="E1352" t="s">
        <v>28</v>
      </c>
      <c r="F1352" t="s">
        <v>3571</v>
      </c>
      <c r="H1352">
        <v>0</v>
      </c>
      <c r="I1352" t="s">
        <v>16</v>
      </c>
    </row>
    <row r="1353" spans="1:9" x14ac:dyDescent="0.25">
      <c r="A1353" t="s">
        <v>13</v>
      </c>
      <c r="B1353">
        <v>1215873</v>
      </c>
      <c r="C1353">
        <v>1218077</v>
      </c>
      <c r="E1353" t="s">
        <v>14</v>
      </c>
      <c r="F1353" t="s">
        <v>3574</v>
      </c>
      <c r="H1353">
        <v>0</v>
      </c>
      <c r="I1353" t="s">
        <v>16</v>
      </c>
    </row>
    <row r="1354" spans="1:9" x14ac:dyDescent="0.25">
      <c r="A1354" t="s">
        <v>13</v>
      </c>
      <c r="B1354">
        <v>1218084</v>
      </c>
      <c r="C1354">
        <v>1219355</v>
      </c>
      <c r="E1354" t="s">
        <v>14</v>
      </c>
      <c r="F1354" t="s">
        <v>3577</v>
      </c>
      <c r="H1354">
        <v>0</v>
      </c>
      <c r="I1354" t="s">
        <v>16</v>
      </c>
    </row>
    <row r="1355" spans="1:9" x14ac:dyDescent="0.25">
      <c r="A1355" t="s">
        <v>13</v>
      </c>
      <c r="B1355">
        <v>1219352</v>
      </c>
      <c r="C1355">
        <v>1220350</v>
      </c>
      <c r="E1355" t="s">
        <v>14</v>
      </c>
      <c r="F1355" t="s">
        <v>3580</v>
      </c>
      <c r="H1355">
        <v>0</v>
      </c>
      <c r="I1355" t="s">
        <v>16</v>
      </c>
    </row>
    <row r="1356" spans="1:9" x14ac:dyDescent="0.25">
      <c r="A1356" t="s">
        <v>13</v>
      </c>
      <c r="B1356">
        <v>1220334</v>
      </c>
      <c r="C1356">
        <v>1220888</v>
      </c>
      <c r="E1356" t="s">
        <v>28</v>
      </c>
      <c r="F1356" t="s">
        <v>41</v>
      </c>
      <c r="H1356">
        <v>0</v>
      </c>
      <c r="I1356" t="s">
        <v>16</v>
      </c>
    </row>
    <row r="1357" spans="1:9" x14ac:dyDescent="0.25">
      <c r="A1357" t="s">
        <v>13</v>
      </c>
      <c r="B1357">
        <v>1220999</v>
      </c>
      <c r="C1357">
        <v>1222135</v>
      </c>
      <c r="E1357" t="s">
        <v>14</v>
      </c>
      <c r="F1357" t="s">
        <v>3585</v>
      </c>
      <c r="H1357">
        <v>0</v>
      </c>
      <c r="I1357" t="s">
        <v>16</v>
      </c>
    </row>
    <row r="1358" spans="1:9" x14ac:dyDescent="0.25">
      <c r="A1358" t="s">
        <v>13</v>
      </c>
      <c r="B1358">
        <v>1222132</v>
      </c>
      <c r="C1358">
        <v>1222998</v>
      </c>
      <c r="E1358" t="s">
        <v>14</v>
      </c>
      <c r="F1358" t="s">
        <v>3588</v>
      </c>
      <c r="H1358">
        <v>0</v>
      </c>
      <c r="I1358" t="s">
        <v>16</v>
      </c>
    </row>
    <row r="1359" spans="1:9" x14ac:dyDescent="0.25">
      <c r="A1359" t="s">
        <v>13</v>
      </c>
      <c r="B1359">
        <v>1223047</v>
      </c>
      <c r="C1359">
        <v>1224549</v>
      </c>
      <c r="E1359" t="s">
        <v>28</v>
      </c>
      <c r="F1359" t="s">
        <v>3591</v>
      </c>
      <c r="H1359">
        <v>0</v>
      </c>
      <c r="I1359" t="s">
        <v>16</v>
      </c>
    </row>
    <row r="1360" spans="1:9" x14ac:dyDescent="0.25">
      <c r="A1360" t="s">
        <v>13</v>
      </c>
      <c r="B1360">
        <v>1224602</v>
      </c>
      <c r="C1360">
        <v>1225474</v>
      </c>
      <c r="E1360" t="s">
        <v>28</v>
      </c>
      <c r="F1360" t="s">
        <v>3594</v>
      </c>
      <c r="H1360">
        <v>0</v>
      </c>
      <c r="I1360" t="s">
        <v>16</v>
      </c>
    </row>
    <row r="1361" spans="1:9" x14ac:dyDescent="0.25">
      <c r="A1361" t="s">
        <v>13</v>
      </c>
      <c r="B1361">
        <v>1225490</v>
      </c>
      <c r="C1361">
        <v>1226347</v>
      </c>
      <c r="E1361" t="s">
        <v>28</v>
      </c>
      <c r="F1361" t="s">
        <v>975</v>
      </c>
      <c r="H1361">
        <v>0</v>
      </c>
      <c r="I1361" t="s">
        <v>16</v>
      </c>
    </row>
    <row r="1362" spans="1:9" x14ac:dyDescent="0.25">
      <c r="A1362" t="s">
        <v>13</v>
      </c>
      <c r="B1362">
        <v>1226337</v>
      </c>
      <c r="C1362">
        <v>1227557</v>
      </c>
      <c r="E1362" t="s">
        <v>28</v>
      </c>
      <c r="F1362" t="s">
        <v>3599</v>
      </c>
      <c r="H1362">
        <v>0</v>
      </c>
      <c r="I1362" t="s">
        <v>16</v>
      </c>
    </row>
    <row r="1363" spans="1:9" x14ac:dyDescent="0.25">
      <c r="A1363" t="s">
        <v>13</v>
      </c>
      <c r="B1363">
        <v>1227550</v>
      </c>
      <c r="C1363">
        <v>1228725</v>
      </c>
      <c r="E1363" t="s">
        <v>28</v>
      </c>
      <c r="F1363" t="s">
        <v>3599</v>
      </c>
      <c r="H1363">
        <v>0</v>
      </c>
      <c r="I1363" t="s">
        <v>16</v>
      </c>
    </row>
    <row r="1364" spans="1:9" x14ac:dyDescent="0.25">
      <c r="A1364" t="s">
        <v>13</v>
      </c>
      <c r="B1364">
        <v>1228777</v>
      </c>
      <c r="C1364">
        <v>1231080</v>
      </c>
      <c r="E1364" t="s">
        <v>14</v>
      </c>
      <c r="F1364" t="s">
        <v>3604</v>
      </c>
      <c r="H1364">
        <v>0</v>
      </c>
      <c r="I1364" t="s">
        <v>16</v>
      </c>
    </row>
    <row r="1365" spans="1:9" x14ac:dyDescent="0.25">
      <c r="A1365" t="s">
        <v>13</v>
      </c>
      <c r="B1365">
        <v>1231086</v>
      </c>
      <c r="C1365">
        <v>1231838</v>
      </c>
      <c r="E1365" t="s">
        <v>14</v>
      </c>
      <c r="F1365" t="s">
        <v>41</v>
      </c>
      <c r="H1365">
        <v>0</v>
      </c>
      <c r="I1365" t="s">
        <v>16</v>
      </c>
    </row>
    <row r="1366" spans="1:9" x14ac:dyDescent="0.25">
      <c r="A1366" t="s">
        <v>13</v>
      </c>
      <c r="B1366">
        <v>1231822</v>
      </c>
      <c r="C1366">
        <v>1232811</v>
      </c>
      <c r="E1366" t="s">
        <v>28</v>
      </c>
      <c r="F1366" t="s">
        <v>3609</v>
      </c>
      <c r="H1366">
        <v>0</v>
      </c>
      <c r="I1366" t="s">
        <v>16</v>
      </c>
    </row>
    <row r="1367" spans="1:9" x14ac:dyDescent="0.25">
      <c r="A1367" t="s">
        <v>13</v>
      </c>
      <c r="B1367">
        <v>1234382</v>
      </c>
      <c r="C1367">
        <v>1236799</v>
      </c>
      <c r="E1367" t="s">
        <v>14</v>
      </c>
      <c r="F1367" t="s">
        <v>3612</v>
      </c>
      <c r="H1367">
        <v>0</v>
      </c>
      <c r="I1367" t="s">
        <v>16</v>
      </c>
    </row>
    <row r="1368" spans="1:9" x14ac:dyDescent="0.25">
      <c r="A1368" t="s">
        <v>13</v>
      </c>
      <c r="B1368">
        <v>1236800</v>
      </c>
      <c r="C1368">
        <v>1237204</v>
      </c>
      <c r="E1368" t="s">
        <v>14</v>
      </c>
      <c r="F1368" t="s">
        <v>3615</v>
      </c>
      <c r="H1368">
        <v>0</v>
      </c>
      <c r="I1368" t="s">
        <v>16</v>
      </c>
    </row>
    <row r="1369" spans="1:9" x14ac:dyDescent="0.25">
      <c r="A1369" t="s">
        <v>13</v>
      </c>
      <c r="B1369">
        <v>1237213</v>
      </c>
      <c r="C1369">
        <v>1237944</v>
      </c>
      <c r="E1369" t="s">
        <v>14</v>
      </c>
      <c r="F1369" t="s">
        <v>3618</v>
      </c>
      <c r="H1369">
        <v>0</v>
      </c>
      <c r="I1369" t="s">
        <v>16</v>
      </c>
    </row>
    <row r="1370" spans="1:9" x14ac:dyDescent="0.25">
      <c r="A1370" t="s">
        <v>13</v>
      </c>
      <c r="B1370">
        <v>1237946</v>
      </c>
      <c r="C1370">
        <v>1238812</v>
      </c>
      <c r="E1370" t="s">
        <v>14</v>
      </c>
      <c r="F1370" t="s">
        <v>3621</v>
      </c>
      <c r="H1370">
        <v>0</v>
      </c>
      <c r="I1370" t="s">
        <v>16</v>
      </c>
    </row>
    <row r="1371" spans="1:9" x14ac:dyDescent="0.25">
      <c r="A1371" t="s">
        <v>13</v>
      </c>
      <c r="B1371">
        <v>1238809</v>
      </c>
      <c r="C1371">
        <v>1239936</v>
      </c>
      <c r="E1371" t="s">
        <v>14</v>
      </c>
      <c r="F1371" t="s">
        <v>3624</v>
      </c>
      <c r="H1371">
        <v>0</v>
      </c>
      <c r="I1371" t="s">
        <v>16</v>
      </c>
    </row>
    <row r="1372" spans="1:9" x14ac:dyDescent="0.25">
      <c r="A1372" t="s">
        <v>13</v>
      </c>
      <c r="B1372">
        <v>1240100</v>
      </c>
      <c r="C1372">
        <v>1240384</v>
      </c>
      <c r="E1372" t="s">
        <v>14</v>
      </c>
      <c r="F1372" t="s">
        <v>41</v>
      </c>
      <c r="H1372">
        <v>0</v>
      </c>
      <c r="I1372" t="s">
        <v>16</v>
      </c>
    </row>
    <row r="1373" spans="1:9" x14ac:dyDescent="0.25">
      <c r="A1373" t="s">
        <v>13</v>
      </c>
      <c r="B1373">
        <v>1240347</v>
      </c>
      <c r="C1373">
        <v>1241297</v>
      </c>
      <c r="E1373" t="s">
        <v>14</v>
      </c>
      <c r="F1373" t="s">
        <v>41</v>
      </c>
      <c r="H1373">
        <v>0</v>
      </c>
      <c r="I1373" t="s">
        <v>16</v>
      </c>
    </row>
    <row r="1374" spans="1:9" x14ac:dyDescent="0.25">
      <c r="A1374" t="s">
        <v>13</v>
      </c>
      <c r="B1374">
        <v>1241294</v>
      </c>
      <c r="C1374">
        <v>1242007</v>
      </c>
      <c r="E1374" t="s">
        <v>14</v>
      </c>
      <c r="F1374" t="s">
        <v>41</v>
      </c>
      <c r="H1374">
        <v>0</v>
      </c>
      <c r="I1374" t="s">
        <v>16</v>
      </c>
    </row>
    <row r="1375" spans="1:9" x14ac:dyDescent="0.25">
      <c r="A1375" t="s">
        <v>13</v>
      </c>
      <c r="B1375">
        <v>1242278</v>
      </c>
      <c r="C1375">
        <v>1242541</v>
      </c>
      <c r="E1375" t="s">
        <v>14</v>
      </c>
      <c r="F1375" t="s">
        <v>41</v>
      </c>
      <c r="H1375">
        <v>0</v>
      </c>
      <c r="I1375" t="s">
        <v>16</v>
      </c>
    </row>
    <row r="1376" spans="1:9" x14ac:dyDescent="0.25">
      <c r="A1376" t="s">
        <v>13</v>
      </c>
      <c r="B1376">
        <v>1242554</v>
      </c>
      <c r="C1376">
        <v>1243939</v>
      </c>
      <c r="E1376" t="s">
        <v>14</v>
      </c>
      <c r="F1376" t="s">
        <v>295</v>
      </c>
      <c r="H1376">
        <v>0</v>
      </c>
      <c r="I1376" t="s">
        <v>16</v>
      </c>
    </row>
    <row r="1377" spans="1:9" x14ac:dyDescent="0.25">
      <c r="A1377" t="s">
        <v>13</v>
      </c>
      <c r="B1377">
        <v>1243939</v>
      </c>
      <c r="C1377">
        <v>1244682</v>
      </c>
      <c r="E1377" t="s">
        <v>14</v>
      </c>
      <c r="F1377" t="s">
        <v>2581</v>
      </c>
      <c r="H1377">
        <v>0</v>
      </c>
      <c r="I1377" t="s">
        <v>16</v>
      </c>
    </row>
    <row r="1378" spans="1:9" x14ac:dyDescent="0.25">
      <c r="A1378" t="s">
        <v>13</v>
      </c>
      <c r="B1378">
        <v>1244724</v>
      </c>
      <c r="C1378">
        <v>1247612</v>
      </c>
      <c r="E1378" t="s">
        <v>28</v>
      </c>
      <c r="F1378" t="s">
        <v>2099</v>
      </c>
      <c r="H1378">
        <v>0</v>
      </c>
      <c r="I1378" t="s">
        <v>16</v>
      </c>
    </row>
    <row r="1379" spans="1:9" x14ac:dyDescent="0.25">
      <c r="A1379" t="s">
        <v>13</v>
      </c>
      <c r="B1379">
        <v>1247587</v>
      </c>
      <c r="C1379">
        <v>1248702</v>
      </c>
      <c r="E1379" t="s">
        <v>28</v>
      </c>
      <c r="F1379" t="s">
        <v>3641</v>
      </c>
      <c r="H1379">
        <v>0</v>
      </c>
      <c r="I1379" t="s">
        <v>16</v>
      </c>
    </row>
    <row r="1380" spans="1:9" x14ac:dyDescent="0.25">
      <c r="A1380" t="s">
        <v>13</v>
      </c>
      <c r="B1380">
        <v>1248712</v>
      </c>
      <c r="C1380">
        <v>1249722</v>
      </c>
      <c r="E1380" t="s">
        <v>28</v>
      </c>
      <c r="F1380" t="s">
        <v>3644</v>
      </c>
      <c r="H1380">
        <v>0</v>
      </c>
      <c r="I1380" t="s">
        <v>16</v>
      </c>
    </row>
    <row r="1381" spans="1:9" x14ac:dyDescent="0.25">
      <c r="A1381" t="s">
        <v>13</v>
      </c>
      <c r="B1381">
        <v>1249844</v>
      </c>
      <c r="C1381">
        <v>1250257</v>
      </c>
      <c r="E1381" t="s">
        <v>14</v>
      </c>
      <c r="F1381" t="s">
        <v>3647</v>
      </c>
      <c r="H1381">
        <v>0</v>
      </c>
      <c r="I1381" t="s">
        <v>16</v>
      </c>
    </row>
    <row r="1382" spans="1:9" x14ac:dyDescent="0.25">
      <c r="A1382" t="s">
        <v>13</v>
      </c>
      <c r="B1382">
        <v>1250239</v>
      </c>
      <c r="C1382">
        <v>1250637</v>
      </c>
      <c r="E1382" t="s">
        <v>28</v>
      </c>
      <c r="F1382" t="s">
        <v>41</v>
      </c>
      <c r="H1382">
        <v>0</v>
      </c>
      <c r="I1382" t="s">
        <v>16</v>
      </c>
    </row>
    <row r="1383" spans="1:9" x14ac:dyDescent="0.25">
      <c r="A1383" t="s">
        <v>13</v>
      </c>
      <c r="B1383">
        <v>1250712</v>
      </c>
      <c r="C1383">
        <v>1253357</v>
      </c>
      <c r="E1383" t="s">
        <v>14</v>
      </c>
      <c r="F1383" t="s">
        <v>41</v>
      </c>
      <c r="H1383">
        <v>0</v>
      </c>
      <c r="I1383" t="s">
        <v>16</v>
      </c>
    </row>
    <row r="1384" spans="1:9" x14ac:dyDescent="0.25">
      <c r="A1384" t="s">
        <v>13</v>
      </c>
      <c r="B1384">
        <v>1253396</v>
      </c>
      <c r="C1384">
        <v>1254010</v>
      </c>
      <c r="E1384" t="s">
        <v>28</v>
      </c>
      <c r="F1384" t="s">
        <v>3654</v>
      </c>
      <c r="H1384">
        <v>0</v>
      </c>
      <c r="I1384" t="s">
        <v>16</v>
      </c>
    </row>
    <row r="1385" spans="1:9" x14ac:dyDescent="0.25">
      <c r="A1385" t="s">
        <v>13</v>
      </c>
      <c r="B1385">
        <v>1253991</v>
      </c>
      <c r="C1385">
        <v>1254983</v>
      </c>
      <c r="E1385" t="s">
        <v>28</v>
      </c>
      <c r="F1385" t="s">
        <v>3657</v>
      </c>
      <c r="H1385">
        <v>0</v>
      </c>
      <c r="I1385" t="s">
        <v>16</v>
      </c>
    </row>
    <row r="1386" spans="1:9" x14ac:dyDescent="0.25">
      <c r="A1386" t="s">
        <v>13</v>
      </c>
      <c r="B1386">
        <v>1254993</v>
      </c>
      <c r="C1386">
        <v>1256114</v>
      </c>
      <c r="E1386" t="s">
        <v>28</v>
      </c>
      <c r="F1386" t="s">
        <v>41</v>
      </c>
      <c r="H1386">
        <v>0</v>
      </c>
      <c r="I1386" t="s">
        <v>16</v>
      </c>
    </row>
    <row r="1387" spans="1:9" x14ac:dyDescent="0.25">
      <c r="A1387" t="s">
        <v>13</v>
      </c>
      <c r="B1387">
        <v>1256138</v>
      </c>
      <c r="C1387">
        <v>1256704</v>
      </c>
      <c r="E1387" t="s">
        <v>28</v>
      </c>
      <c r="F1387" t="s">
        <v>41</v>
      </c>
      <c r="H1387">
        <v>0</v>
      </c>
      <c r="I1387" t="s">
        <v>16</v>
      </c>
    </row>
    <row r="1388" spans="1:9" x14ac:dyDescent="0.25">
      <c r="A1388" t="s">
        <v>13</v>
      </c>
      <c r="B1388">
        <v>1256826</v>
      </c>
      <c r="C1388">
        <v>1257857</v>
      </c>
      <c r="E1388" t="s">
        <v>28</v>
      </c>
      <c r="F1388" t="s">
        <v>3664</v>
      </c>
      <c r="H1388">
        <v>0</v>
      </c>
      <c r="I1388" t="s">
        <v>16</v>
      </c>
    </row>
    <row r="1389" spans="1:9" x14ac:dyDescent="0.25">
      <c r="A1389" t="s">
        <v>13</v>
      </c>
      <c r="B1389">
        <v>1257870</v>
      </c>
      <c r="C1389">
        <v>1265864</v>
      </c>
      <c r="E1389" t="s">
        <v>28</v>
      </c>
      <c r="F1389" t="s">
        <v>41</v>
      </c>
      <c r="H1389">
        <v>0</v>
      </c>
      <c r="I1389" t="s">
        <v>16</v>
      </c>
    </row>
    <row r="1390" spans="1:9" x14ac:dyDescent="0.25">
      <c r="A1390" t="s">
        <v>13</v>
      </c>
      <c r="B1390">
        <v>1265912</v>
      </c>
      <c r="C1390">
        <v>1266178</v>
      </c>
      <c r="E1390" t="s">
        <v>14</v>
      </c>
      <c r="F1390" t="s">
        <v>3669</v>
      </c>
      <c r="H1390">
        <v>0</v>
      </c>
      <c r="I1390" t="s">
        <v>16</v>
      </c>
    </row>
    <row r="1391" spans="1:9" x14ac:dyDescent="0.25">
      <c r="A1391" t="s">
        <v>13</v>
      </c>
      <c r="B1391">
        <v>1266166</v>
      </c>
      <c r="C1391">
        <v>1267812</v>
      </c>
      <c r="E1391" t="s">
        <v>28</v>
      </c>
      <c r="F1391" t="s">
        <v>3672</v>
      </c>
      <c r="H1391">
        <v>0</v>
      </c>
      <c r="I1391" t="s">
        <v>16</v>
      </c>
    </row>
    <row r="1392" spans="1:9" x14ac:dyDescent="0.25">
      <c r="A1392" t="s">
        <v>13</v>
      </c>
      <c r="B1392">
        <v>1267830</v>
      </c>
      <c r="C1392">
        <v>1268465</v>
      </c>
      <c r="E1392" t="s">
        <v>14</v>
      </c>
      <c r="F1392" t="s">
        <v>41</v>
      </c>
      <c r="H1392">
        <v>0</v>
      </c>
      <c r="I1392" t="s">
        <v>16</v>
      </c>
    </row>
    <row r="1393" spans="1:9" x14ac:dyDescent="0.25">
      <c r="A1393" t="s">
        <v>13</v>
      </c>
      <c r="B1393">
        <v>1268377</v>
      </c>
      <c r="C1393">
        <v>1268826</v>
      </c>
      <c r="E1393" t="s">
        <v>28</v>
      </c>
      <c r="F1393" t="s">
        <v>3677</v>
      </c>
      <c r="H1393">
        <v>0</v>
      </c>
      <c r="I1393" t="s">
        <v>16</v>
      </c>
    </row>
    <row r="1394" spans="1:9" x14ac:dyDescent="0.25">
      <c r="A1394" t="s">
        <v>13</v>
      </c>
      <c r="B1394">
        <v>1268834</v>
      </c>
      <c r="C1394">
        <v>1269469</v>
      </c>
      <c r="E1394" t="s">
        <v>28</v>
      </c>
      <c r="F1394" t="s">
        <v>41</v>
      </c>
      <c r="H1394">
        <v>0</v>
      </c>
      <c r="I1394" t="s">
        <v>16</v>
      </c>
    </row>
    <row r="1395" spans="1:9" x14ac:dyDescent="0.25">
      <c r="A1395" t="s">
        <v>13</v>
      </c>
      <c r="B1395">
        <v>1269466</v>
      </c>
      <c r="C1395">
        <v>1270296</v>
      </c>
      <c r="E1395" t="s">
        <v>28</v>
      </c>
      <c r="F1395" t="s">
        <v>1697</v>
      </c>
      <c r="H1395">
        <v>0</v>
      </c>
      <c r="I1395" t="s">
        <v>16</v>
      </c>
    </row>
    <row r="1396" spans="1:9" x14ac:dyDescent="0.25">
      <c r="A1396" t="s">
        <v>13</v>
      </c>
      <c r="B1396">
        <v>1270325</v>
      </c>
      <c r="C1396">
        <v>1272802</v>
      </c>
      <c r="E1396" t="s">
        <v>14</v>
      </c>
      <c r="F1396" t="s">
        <v>3684</v>
      </c>
      <c r="H1396">
        <v>0</v>
      </c>
      <c r="I1396" t="s">
        <v>16</v>
      </c>
    </row>
    <row r="1397" spans="1:9" x14ac:dyDescent="0.25">
      <c r="A1397" t="s">
        <v>13</v>
      </c>
      <c r="B1397">
        <v>1272849</v>
      </c>
      <c r="C1397">
        <v>1273157</v>
      </c>
      <c r="E1397" t="s">
        <v>14</v>
      </c>
      <c r="F1397" t="s">
        <v>3687</v>
      </c>
      <c r="H1397">
        <v>0</v>
      </c>
      <c r="I1397" t="s">
        <v>16</v>
      </c>
    </row>
    <row r="1398" spans="1:9" x14ac:dyDescent="0.25">
      <c r="A1398" t="s">
        <v>13</v>
      </c>
      <c r="B1398">
        <v>1273279</v>
      </c>
      <c r="C1398">
        <v>1273542</v>
      </c>
      <c r="E1398" t="s">
        <v>28</v>
      </c>
      <c r="F1398" t="s">
        <v>41</v>
      </c>
      <c r="H1398">
        <v>0</v>
      </c>
      <c r="I1398" t="s">
        <v>16</v>
      </c>
    </row>
    <row r="1399" spans="1:9" x14ac:dyDescent="0.25">
      <c r="A1399" t="s">
        <v>13</v>
      </c>
      <c r="B1399">
        <v>1273559</v>
      </c>
      <c r="C1399">
        <v>1273819</v>
      </c>
      <c r="E1399" t="s">
        <v>28</v>
      </c>
      <c r="F1399" t="s">
        <v>3692</v>
      </c>
      <c r="H1399">
        <v>0</v>
      </c>
      <c r="I1399" t="s">
        <v>16</v>
      </c>
    </row>
    <row r="1400" spans="1:9" x14ac:dyDescent="0.25">
      <c r="A1400" t="s">
        <v>13</v>
      </c>
      <c r="B1400">
        <v>1273826</v>
      </c>
      <c r="C1400">
        <v>1275037</v>
      </c>
      <c r="E1400" t="s">
        <v>28</v>
      </c>
      <c r="F1400" t="s">
        <v>2189</v>
      </c>
      <c r="H1400">
        <v>0</v>
      </c>
      <c r="I1400" t="s">
        <v>16</v>
      </c>
    </row>
    <row r="1401" spans="1:9" x14ac:dyDescent="0.25">
      <c r="A1401" t="s">
        <v>13</v>
      </c>
      <c r="B1401">
        <v>1275082</v>
      </c>
      <c r="C1401">
        <v>1276593</v>
      </c>
      <c r="E1401" t="s">
        <v>14</v>
      </c>
      <c r="F1401" t="s">
        <v>41</v>
      </c>
      <c r="H1401">
        <v>0</v>
      </c>
      <c r="I1401" t="s">
        <v>16</v>
      </c>
    </row>
    <row r="1402" spans="1:9" x14ac:dyDescent="0.25">
      <c r="A1402" t="s">
        <v>13</v>
      </c>
      <c r="B1402">
        <v>1276590</v>
      </c>
      <c r="C1402">
        <v>1277033</v>
      </c>
      <c r="E1402" t="s">
        <v>14</v>
      </c>
      <c r="F1402" t="s">
        <v>3699</v>
      </c>
      <c r="H1402">
        <v>0</v>
      </c>
      <c r="I1402" t="s">
        <v>16</v>
      </c>
    </row>
    <row r="1403" spans="1:9" x14ac:dyDescent="0.25">
      <c r="A1403" t="s">
        <v>13</v>
      </c>
      <c r="B1403">
        <v>1277030</v>
      </c>
      <c r="C1403">
        <v>1277467</v>
      </c>
      <c r="E1403" t="s">
        <v>14</v>
      </c>
      <c r="F1403" t="s">
        <v>41</v>
      </c>
      <c r="H1403">
        <v>0</v>
      </c>
      <c r="I1403" t="s">
        <v>16</v>
      </c>
    </row>
    <row r="1404" spans="1:9" x14ac:dyDescent="0.25">
      <c r="A1404" t="s">
        <v>13</v>
      </c>
      <c r="B1404">
        <v>1277464</v>
      </c>
      <c r="C1404">
        <v>1278072</v>
      </c>
      <c r="E1404" t="s">
        <v>14</v>
      </c>
      <c r="F1404" t="s">
        <v>41</v>
      </c>
      <c r="H1404">
        <v>0</v>
      </c>
      <c r="I1404" t="s">
        <v>16</v>
      </c>
    </row>
    <row r="1405" spans="1:9" x14ac:dyDescent="0.25">
      <c r="A1405" t="s">
        <v>13</v>
      </c>
      <c r="B1405">
        <v>1278295</v>
      </c>
      <c r="C1405">
        <v>1278699</v>
      </c>
      <c r="E1405" t="s">
        <v>14</v>
      </c>
      <c r="F1405" t="s">
        <v>3699</v>
      </c>
      <c r="H1405">
        <v>0</v>
      </c>
      <c r="I1405" t="s">
        <v>16</v>
      </c>
    </row>
    <row r="1406" spans="1:9" x14ac:dyDescent="0.25">
      <c r="A1406" t="s">
        <v>13</v>
      </c>
      <c r="B1406">
        <v>1278968</v>
      </c>
      <c r="C1406">
        <v>1279132</v>
      </c>
      <c r="E1406" t="s">
        <v>14</v>
      </c>
      <c r="F1406" t="s">
        <v>41</v>
      </c>
      <c r="H1406">
        <v>0</v>
      </c>
      <c r="I1406" t="s">
        <v>16</v>
      </c>
    </row>
    <row r="1407" spans="1:9" x14ac:dyDescent="0.25">
      <c r="A1407" t="s">
        <v>13</v>
      </c>
      <c r="B1407">
        <v>1279341</v>
      </c>
      <c r="C1407">
        <v>1279532</v>
      </c>
      <c r="E1407" t="s">
        <v>14</v>
      </c>
      <c r="F1407" t="s">
        <v>41</v>
      </c>
      <c r="H1407">
        <v>0</v>
      </c>
      <c r="I1407" t="s">
        <v>16</v>
      </c>
    </row>
    <row r="1408" spans="1:9" x14ac:dyDescent="0.25">
      <c r="A1408" t="s">
        <v>13</v>
      </c>
      <c r="B1408">
        <v>1279583</v>
      </c>
      <c r="C1408">
        <v>1281211</v>
      </c>
      <c r="E1408" t="s">
        <v>28</v>
      </c>
      <c r="F1408" t="s">
        <v>68</v>
      </c>
      <c r="H1408">
        <v>0</v>
      </c>
      <c r="I1408" t="s">
        <v>16</v>
      </c>
    </row>
    <row r="1409" spans="1:9" x14ac:dyDescent="0.25">
      <c r="A1409" t="s">
        <v>13</v>
      </c>
      <c r="B1409">
        <v>1281512</v>
      </c>
      <c r="C1409">
        <v>1282054</v>
      </c>
      <c r="E1409" t="s">
        <v>14</v>
      </c>
      <c r="F1409" t="s">
        <v>41</v>
      </c>
      <c r="H1409">
        <v>0</v>
      </c>
      <c r="I1409" t="s">
        <v>16</v>
      </c>
    </row>
    <row r="1410" spans="1:9" x14ac:dyDescent="0.25">
      <c r="A1410" t="s">
        <v>13</v>
      </c>
      <c r="B1410">
        <v>1282085</v>
      </c>
      <c r="C1410">
        <v>1282285</v>
      </c>
      <c r="E1410" t="s">
        <v>14</v>
      </c>
      <c r="F1410" t="s">
        <v>41</v>
      </c>
      <c r="H1410">
        <v>0</v>
      </c>
      <c r="I1410" t="s">
        <v>16</v>
      </c>
    </row>
    <row r="1411" spans="1:9" x14ac:dyDescent="0.25">
      <c r="A1411" t="s">
        <v>13</v>
      </c>
      <c r="B1411">
        <v>1282321</v>
      </c>
      <c r="C1411">
        <v>1282878</v>
      </c>
      <c r="E1411" t="s">
        <v>28</v>
      </c>
      <c r="F1411" t="s">
        <v>41</v>
      </c>
      <c r="H1411">
        <v>0</v>
      </c>
      <c r="I1411" t="s">
        <v>16</v>
      </c>
    </row>
    <row r="1412" spans="1:9" x14ac:dyDescent="0.25">
      <c r="A1412" t="s">
        <v>13</v>
      </c>
      <c r="B1412">
        <v>1282911</v>
      </c>
      <c r="C1412">
        <v>1283588</v>
      </c>
      <c r="E1412" t="s">
        <v>14</v>
      </c>
      <c r="F1412" t="s">
        <v>2057</v>
      </c>
      <c r="H1412">
        <v>0</v>
      </c>
      <c r="I1412" t="s">
        <v>16</v>
      </c>
    </row>
    <row r="1413" spans="1:9" x14ac:dyDescent="0.25">
      <c r="A1413" t="s">
        <v>13</v>
      </c>
      <c r="B1413">
        <v>1283585</v>
      </c>
      <c r="C1413">
        <v>1284229</v>
      </c>
      <c r="E1413" t="s">
        <v>28</v>
      </c>
      <c r="F1413" t="s">
        <v>41</v>
      </c>
      <c r="H1413">
        <v>0</v>
      </c>
      <c r="I1413" t="s">
        <v>16</v>
      </c>
    </row>
    <row r="1414" spans="1:9" x14ac:dyDescent="0.25">
      <c r="A1414" t="s">
        <v>13</v>
      </c>
      <c r="B1414">
        <v>1284226</v>
      </c>
      <c r="C1414">
        <v>1285239</v>
      </c>
      <c r="E1414" t="s">
        <v>28</v>
      </c>
      <c r="F1414" t="s">
        <v>3724</v>
      </c>
      <c r="H1414">
        <v>0</v>
      </c>
      <c r="I1414" t="s">
        <v>16</v>
      </c>
    </row>
    <row r="1415" spans="1:9" x14ac:dyDescent="0.25">
      <c r="A1415" t="s">
        <v>13</v>
      </c>
      <c r="B1415">
        <v>1285313</v>
      </c>
      <c r="C1415">
        <v>1285396</v>
      </c>
      <c r="E1415" t="s">
        <v>28</v>
      </c>
      <c r="F1415" t="s">
        <v>686</v>
      </c>
      <c r="H1415">
        <v>0</v>
      </c>
      <c r="I1415" t="s">
        <v>133</v>
      </c>
    </row>
    <row r="1416" spans="1:9" x14ac:dyDescent="0.25">
      <c r="A1416" t="s">
        <v>13</v>
      </c>
      <c r="B1416">
        <v>1285588</v>
      </c>
      <c r="C1416">
        <v>1287000</v>
      </c>
      <c r="E1416" t="s">
        <v>14</v>
      </c>
      <c r="F1416" t="s">
        <v>3728</v>
      </c>
      <c r="H1416">
        <v>0</v>
      </c>
      <c r="I1416" t="s">
        <v>16</v>
      </c>
    </row>
    <row r="1417" spans="1:9" x14ac:dyDescent="0.25">
      <c r="A1417" t="s">
        <v>13</v>
      </c>
      <c r="B1417">
        <v>1287004</v>
      </c>
      <c r="C1417">
        <v>1287609</v>
      </c>
      <c r="E1417" t="s">
        <v>14</v>
      </c>
      <c r="F1417" t="s">
        <v>3731</v>
      </c>
      <c r="H1417">
        <v>0</v>
      </c>
      <c r="I1417" t="s">
        <v>16</v>
      </c>
    </row>
    <row r="1418" spans="1:9" x14ac:dyDescent="0.25">
      <c r="A1418" t="s">
        <v>13</v>
      </c>
      <c r="B1418">
        <v>1287606</v>
      </c>
      <c r="C1418">
        <v>1288643</v>
      </c>
      <c r="E1418" t="s">
        <v>14</v>
      </c>
      <c r="F1418" t="s">
        <v>3734</v>
      </c>
      <c r="H1418">
        <v>0</v>
      </c>
      <c r="I1418" t="s">
        <v>16</v>
      </c>
    </row>
    <row r="1419" spans="1:9" x14ac:dyDescent="0.25">
      <c r="A1419" t="s">
        <v>13</v>
      </c>
      <c r="B1419">
        <v>1288653</v>
      </c>
      <c r="C1419">
        <v>1289186</v>
      </c>
      <c r="E1419" t="s">
        <v>14</v>
      </c>
      <c r="F1419" t="s">
        <v>615</v>
      </c>
      <c r="H1419">
        <v>0</v>
      </c>
      <c r="I1419" t="s">
        <v>16</v>
      </c>
    </row>
    <row r="1420" spans="1:9" x14ac:dyDescent="0.25">
      <c r="A1420" t="s">
        <v>13</v>
      </c>
      <c r="B1420">
        <v>1289183</v>
      </c>
      <c r="C1420">
        <v>1289719</v>
      </c>
      <c r="E1420" t="s">
        <v>14</v>
      </c>
      <c r="F1420" t="s">
        <v>615</v>
      </c>
      <c r="H1420">
        <v>0</v>
      </c>
      <c r="I1420" t="s">
        <v>16</v>
      </c>
    </row>
    <row r="1421" spans="1:9" x14ac:dyDescent="0.25">
      <c r="A1421" t="s">
        <v>13</v>
      </c>
      <c r="B1421">
        <v>1289716</v>
      </c>
      <c r="C1421">
        <v>1290450</v>
      </c>
      <c r="E1421" t="s">
        <v>14</v>
      </c>
      <c r="F1421" t="s">
        <v>3741</v>
      </c>
      <c r="H1421">
        <v>0</v>
      </c>
      <c r="I1421" t="s">
        <v>16</v>
      </c>
    </row>
    <row r="1422" spans="1:9" x14ac:dyDescent="0.25">
      <c r="A1422" t="s">
        <v>13</v>
      </c>
      <c r="B1422">
        <v>1290498</v>
      </c>
      <c r="C1422">
        <v>1292150</v>
      </c>
      <c r="E1422" t="s">
        <v>14</v>
      </c>
      <c r="F1422" t="s">
        <v>3744</v>
      </c>
      <c r="H1422">
        <v>0</v>
      </c>
      <c r="I1422" t="s">
        <v>16</v>
      </c>
    </row>
    <row r="1423" spans="1:9" x14ac:dyDescent="0.25">
      <c r="A1423" t="s">
        <v>13</v>
      </c>
      <c r="B1423">
        <v>1292137</v>
      </c>
      <c r="C1423">
        <v>1292517</v>
      </c>
      <c r="E1423" t="s">
        <v>28</v>
      </c>
      <c r="F1423" t="s">
        <v>29</v>
      </c>
      <c r="H1423">
        <v>0</v>
      </c>
      <c r="I1423" t="s">
        <v>16</v>
      </c>
    </row>
    <row r="1424" spans="1:9" x14ac:dyDescent="0.25">
      <c r="A1424" t="s">
        <v>13</v>
      </c>
      <c r="B1424">
        <v>1292553</v>
      </c>
      <c r="C1424">
        <v>1293590</v>
      </c>
      <c r="E1424" t="s">
        <v>28</v>
      </c>
      <c r="F1424" t="s">
        <v>3749</v>
      </c>
      <c r="H1424">
        <v>0</v>
      </c>
      <c r="I1424" t="s">
        <v>16</v>
      </c>
    </row>
    <row r="1425" spans="1:9" x14ac:dyDescent="0.25">
      <c r="A1425" t="s">
        <v>13</v>
      </c>
      <c r="B1425">
        <v>1293587</v>
      </c>
      <c r="C1425">
        <v>1294366</v>
      </c>
      <c r="E1425" t="s">
        <v>28</v>
      </c>
      <c r="F1425" t="s">
        <v>3752</v>
      </c>
      <c r="H1425">
        <v>0</v>
      </c>
      <c r="I1425" t="s">
        <v>16</v>
      </c>
    </row>
    <row r="1426" spans="1:9" x14ac:dyDescent="0.25">
      <c r="A1426" t="s">
        <v>13</v>
      </c>
      <c r="B1426">
        <v>1294363</v>
      </c>
      <c r="C1426">
        <v>1295223</v>
      </c>
      <c r="E1426" t="s">
        <v>28</v>
      </c>
      <c r="F1426" t="s">
        <v>3755</v>
      </c>
      <c r="H1426">
        <v>0</v>
      </c>
      <c r="I1426" t="s">
        <v>16</v>
      </c>
    </row>
    <row r="1427" spans="1:9" x14ac:dyDescent="0.25">
      <c r="A1427" t="s">
        <v>13</v>
      </c>
      <c r="B1427">
        <v>1295216</v>
      </c>
      <c r="C1427">
        <v>1296283</v>
      </c>
      <c r="E1427" t="s">
        <v>28</v>
      </c>
      <c r="F1427" t="s">
        <v>3758</v>
      </c>
      <c r="H1427">
        <v>0</v>
      </c>
      <c r="I1427" t="s">
        <v>16</v>
      </c>
    </row>
    <row r="1428" spans="1:9" x14ac:dyDescent="0.25">
      <c r="A1428" t="s">
        <v>13</v>
      </c>
      <c r="B1428">
        <v>1296322</v>
      </c>
      <c r="C1428">
        <v>1297401</v>
      </c>
      <c r="E1428" t="s">
        <v>28</v>
      </c>
      <c r="F1428" t="s">
        <v>3761</v>
      </c>
      <c r="H1428">
        <v>0</v>
      </c>
      <c r="I1428" t="s">
        <v>16</v>
      </c>
    </row>
    <row r="1429" spans="1:9" x14ac:dyDescent="0.25">
      <c r="A1429" t="s">
        <v>13</v>
      </c>
      <c r="B1429">
        <v>1297401</v>
      </c>
      <c r="C1429">
        <v>1297622</v>
      </c>
      <c r="E1429" t="s">
        <v>28</v>
      </c>
      <c r="F1429" t="s">
        <v>3764</v>
      </c>
      <c r="H1429">
        <v>0</v>
      </c>
      <c r="I1429" t="s">
        <v>16</v>
      </c>
    </row>
    <row r="1430" spans="1:9" x14ac:dyDescent="0.25">
      <c r="A1430" t="s">
        <v>13</v>
      </c>
      <c r="B1430">
        <v>1297622</v>
      </c>
      <c r="C1430">
        <v>1298425</v>
      </c>
      <c r="E1430" t="s">
        <v>28</v>
      </c>
      <c r="F1430" t="s">
        <v>3767</v>
      </c>
      <c r="H1430">
        <v>0</v>
      </c>
      <c r="I1430" t="s">
        <v>16</v>
      </c>
    </row>
    <row r="1431" spans="1:9" x14ac:dyDescent="0.25">
      <c r="A1431" t="s">
        <v>13</v>
      </c>
      <c r="B1431">
        <v>1298422</v>
      </c>
      <c r="C1431">
        <v>1298727</v>
      </c>
      <c r="E1431" t="s">
        <v>28</v>
      </c>
      <c r="F1431" t="s">
        <v>2558</v>
      </c>
      <c r="H1431">
        <v>0</v>
      </c>
      <c r="I1431" t="s">
        <v>16</v>
      </c>
    </row>
    <row r="1432" spans="1:9" x14ac:dyDescent="0.25">
      <c r="A1432" t="s">
        <v>13</v>
      </c>
      <c r="B1432">
        <v>1298773</v>
      </c>
      <c r="C1432">
        <v>1298904</v>
      </c>
      <c r="E1432" t="s">
        <v>14</v>
      </c>
      <c r="F1432" t="s">
        <v>41</v>
      </c>
      <c r="H1432">
        <v>0</v>
      </c>
      <c r="I1432" t="s">
        <v>16</v>
      </c>
    </row>
    <row r="1433" spans="1:9" x14ac:dyDescent="0.25">
      <c r="A1433" t="s">
        <v>13</v>
      </c>
      <c r="B1433">
        <v>1298914</v>
      </c>
      <c r="C1433">
        <v>1300458</v>
      </c>
      <c r="E1433" t="s">
        <v>14</v>
      </c>
      <c r="F1433" t="s">
        <v>1873</v>
      </c>
      <c r="H1433">
        <v>0</v>
      </c>
      <c r="I1433" t="s">
        <v>16</v>
      </c>
    </row>
    <row r="1434" spans="1:9" x14ac:dyDescent="0.25">
      <c r="A1434" t="s">
        <v>13</v>
      </c>
      <c r="B1434">
        <v>1300461</v>
      </c>
      <c r="C1434">
        <v>1300841</v>
      </c>
      <c r="E1434" t="s">
        <v>14</v>
      </c>
      <c r="F1434" t="s">
        <v>3776</v>
      </c>
      <c r="H1434">
        <v>0</v>
      </c>
      <c r="I1434" t="s">
        <v>16</v>
      </c>
    </row>
    <row r="1435" spans="1:9" x14ac:dyDescent="0.25">
      <c r="A1435" t="s">
        <v>13</v>
      </c>
      <c r="B1435">
        <v>1300894</v>
      </c>
      <c r="C1435">
        <v>1302840</v>
      </c>
      <c r="E1435" t="s">
        <v>28</v>
      </c>
      <c r="F1435" t="s">
        <v>3779</v>
      </c>
      <c r="H1435">
        <v>0</v>
      </c>
      <c r="I1435" t="s">
        <v>16</v>
      </c>
    </row>
    <row r="1436" spans="1:9" x14ac:dyDescent="0.25">
      <c r="A1436" t="s">
        <v>13</v>
      </c>
      <c r="B1436">
        <v>1302970</v>
      </c>
      <c r="C1436">
        <v>1305504</v>
      </c>
      <c r="E1436" t="s">
        <v>14</v>
      </c>
      <c r="F1436" t="s">
        <v>3779</v>
      </c>
      <c r="H1436">
        <v>0</v>
      </c>
      <c r="I1436" t="s">
        <v>16</v>
      </c>
    </row>
    <row r="1437" spans="1:9" x14ac:dyDescent="0.25">
      <c r="A1437" t="s">
        <v>13</v>
      </c>
      <c r="B1437">
        <v>1305482</v>
      </c>
      <c r="C1437">
        <v>1307365</v>
      </c>
      <c r="E1437" t="s">
        <v>14</v>
      </c>
      <c r="F1437" t="s">
        <v>3779</v>
      </c>
      <c r="H1437">
        <v>0</v>
      </c>
      <c r="I1437" t="s">
        <v>16</v>
      </c>
    </row>
    <row r="1438" spans="1:9" x14ac:dyDescent="0.25">
      <c r="A1438" t="s">
        <v>13</v>
      </c>
      <c r="B1438">
        <v>1307561</v>
      </c>
      <c r="C1438">
        <v>1307818</v>
      </c>
      <c r="E1438" t="s">
        <v>14</v>
      </c>
      <c r="F1438" t="s">
        <v>3786</v>
      </c>
      <c r="H1438">
        <v>0</v>
      </c>
      <c r="I1438" t="s">
        <v>16</v>
      </c>
    </row>
    <row r="1439" spans="1:9" x14ac:dyDescent="0.25">
      <c r="A1439" t="s">
        <v>13</v>
      </c>
      <c r="B1439">
        <v>1307830</v>
      </c>
      <c r="C1439">
        <v>1309500</v>
      </c>
      <c r="E1439" t="s">
        <v>14</v>
      </c>
      <c r="F1439" t="s">
        <v>3789</v>
      </c>
      <c r="H1439">
        <v>0</v>
      </c>
      <c r="I1439" t="s">
        <v>16</v>
      </c>
    </row>
    <row r="1440" spans="1:9" x14ac:dyDescent="0.25">
      <c r="A1440" t="s">
        <v>13</v>
      </c>
      <c r="B1440">
        <v>1309558</v>
      </c>
      <c r="C1440">
        <v>1309917</v>
      </c>
      <c r="E1440" t="s">
        <v>14</v>
      </c>
      <c r="F1440" t="s">
        <v>41</v>
      </c>
      <c r="H1440">
        <v>0</v>
      </c>
      <c r="I1440" t="s">
        <v>16</v>
      </c>
    </row>
    <row r="1441" spans="1:9" x14ac:dyDescent="0.25">
      <c r="A1441" t="s">
        <v>13</v>
      </c>
      <c r="B1441">
        <v>1309877</v>
      </c>
      <c r="C1441">
        <v>1311619</v>
      </c>
      <c r="E1441" t="s">
        <v>14</v>
      </c>
      <c r="F1441" t="s">
        <v>3794</v>
      </c>
      <c r="H1441">
        <v>0</v>
      </c>
      <c r="I1441" t="s">
        <v>16</v>
      </c>
    </row>
    <row r="1442" spans="1:9" x14ac:dyDescent="0.25">
      <c r="A1442" t="s">
        <v>13</v>
      </c>
      <c r="B1442">
        <v>1311616</v>
      </c>
      <c r="C1442">
        <v>1311792</v>
      </c>
      <c r="E1442" t="s">
        <v>14</v>
      </c>
      <c r="F1442" t="s">
        <v>41</v>
      </c>
      <c r="H1442">
        <v>0</v>
      </c>
      <c r="I1442" t="s">
        <v>16</v>
      </c>
    </row>
    <row r="1443" spans="1:9" x14ac:dyDescent="0.25">
      <c r="A1443" t="s">
        <v>13</v>
      </c>
      <c r="B1443">
        <v>1311789</v>
      </c>
      <c r="C1443">
        <v>1314281</v>
      </c>
      <c r="E1443" t="s">
        <v>14</v>
      </c>
      <c r="F1443" t="s">
        <v>3799</v>
      </c>
      <c r="H1443">
        <v>0</v>
      </c>
      <c r="I1443" t="s">
        <v>16</v>
      </c>
    </row>
    <row r="1444" spans="1:9" x14ac:dyDescent="0.25">
      <c r="A1444" t="s">
        <v>13</v>
      </c>
      <c r="B1444">
        <v>1314259</v>
      </c>
      <c r="C1444">
        <v>1314615</v>
      </c>
      <c r="E1444" t="s">
        <v>14</v>
      </c>
      <c r="F1444" t="s">
        <v>3802</v>
      </c>
      <c r="H1444">
        <v>0</v>
      </c>
      <c r="I1444" t="s">
        <v>16</v>
      </c>
    </row>
    <row r="1445" spans="1:9" x14ac:dyDescent="0.25">
      <c r="A1445" t="s">
        <v>13</v>
      </c>
      <c r="B1445">
        <v>1314612</v>
      </c>
      <c r="C1445">
        <v>1316495</v>
      </c>
      <c r="E1445" t="s">
        <v>14</v>
      </c>
      <c r="F1445" t="s">
        <v>3805</v>
      </c>
      <c r="H1445">
        <v>0</v>
      </c>
      <c r="I1445" t="s">
        <v>16</v>
      </c>
    </row>
    <row r="1446" spans="1:9" x14ac:dyDescent="0.25">
      <c r="A1446" t="s">
        <v>13</v>
      </c>
      <c r="B1446">
        <v>1316485</v>
      </c>
      <c r="C1446">
        <v>1317738</v>
      </c>
      <c r="E1446" t="s">
        <v>28</v>
      </c>
      <c r="F1446" t="s">
        <v>3808</v>
      </c>
      <c r="H1446">
        <v>0</v>
      </c>
      <c r="I1446" t="s">
        <v>16</v>
      </c>
    </row>
    <row r="1447" spans="1:9" x14ac:dyDescent="0.25">
      <c r="A1447" t="s">
        <v>13</v>
      </c>
      <c r="B1447">
        <v>1317735</v>
      </c>
      <c r="C1447">
        <v>1318625</v>
      </c>
      <c r="E1447" t="s">
        <v>28</v>
      </c>
      <c r="F1447" t="s">
        <v>3811</v>
      </c>
      <c r="H1447">
        <v>0</v>
      </c>
      <c r="I1447" t="s">
        <v>16</v>
      </c>
    </row>
    <row r="1448" spans="1:9" x14ac:dyDescent="0.25">
      <c r="A1448" t="s">
        <v>13</v>
      </c>
      <c r="B1448">
        <v>1318626</v>
      </c>
      <c r="C1448">
        <v>1319522</v>
      </c>
      <c r="E1448" t="s">
        <v>28</v>
      </c>
      <c r="F1448" t="s">
        <v>3814</v>
      </c>
      <c r="H1448">
        <v>0</v>
      </c>
      <c r="I1448" t="s">
        <v>16</v>
      </c>
    </row>
    <row r="1449" spans="1:9" x14ac:dyDescent="0.25">
      <c r="A1449" t="s">
        <v>13</v>
      </c>
      <c r="B1449">
        <v>1319519</v>
      </c>
      <c r="C1449">
        <v>1320313</v>
      </c>
      <c r="E1449" t="s">
        <v>28</v>
      </c>
      <c r="F1449" t="s">
        <v>3817</v>
      </c>
      <c r="H1449">
        <v>0</v>
      </c>
      <c r="I1449" t="s">
        <v>16</v>
      </c>
    </row>
    <row r="1450" spans="1:9" x14ac:dyDescent="0.25">
      <c r="A1450" t="s">
        <v>13</v>
      </c>
      <c r="B1450">
        <v>1320323</v>
      </c>
      <c r="C1450">
        <v>1320856</v>
      </c>
      <c r="E1450" t="s">
        <v>28</v>
      </c>
      <c r="F1450" t="s">
        <v>3820</v>
      </c>
      <c r="H1450">
        <v>0</v>
      </c>
      <c r="I1450" t="s">
        <v>16</v>
      </c>
    </row>
    <row r="1451" spans="1:9" x14ac:dyDescent="0.25">
      <c r="A1451" t="s">
        <v>13</v>
      </c>
      <c r="B1451">
        <v>1320884</v>
      </c>
      <c r="C1451">
        <v>1321963</v>
      </c>
      <c r="E1451" t="s">
        <v>14</v>
      </c>
      <c r="F1451" t="s">
        <v>3823</v>
      </c>
      <c r="H1451">
        <v>0</v>
      </c>
      <c r="I1451" t="s">
        <v>16</v>
      </c>
    </row>
    <row r="1452" spans="1:9" x14ac:dyDescent="0.25">
      <c r="A1452" t="s">
        <v>13</v>
      </c>
      <c r="B1452">
        <v>1321972</v>
      </c>
      <c r="C1452">
        <v>1322415</v>
      </c>
      <c r="E1452" t="s">
        <v>14</v>
      </c>
      <c r="F1452" t="s">
        <v>3820</v>
      </c>
      <c r="H1452">
        <v>0</v>
      </c>
      <c r="I1452" t="s">
        <v>16</v>
      </c>
    </row>
    <row r="1453" spans="1:9" x14ac:dyDescent="0.25">
      <c r="A1453" t="s">
        <v>13</v>
      </c>
      <c r="B1453">
        <v>1322612</v>
      </c>
      <c r="C1453">
        <v>1323073</v>
      </c>
      <c r="E1453" t="s">
        <v>14</v>
      </c>
      <c r="F1453" t="s">
        <v>41</v>
      </c>
      <c r="H1453">
        <v>0</v>
      </c>
      <c r="I1453" t="s">
        <v>16</v>
      </c>
    </row>
    <row r="1454" spans="1:9" x14ac:dyDescent="0.25">
      <c r="A1454" t="s">
        <v>13</v>
      </c>
      <c r="B1454">
        <v>1323084</v>
      </c>
      <c r="C1454">
        <v>1324202</v>
      </c>
      <c r="E1454" t="s">
        <v>14</v>
      </c>
      <c r="F1454" t="s">
        <v>3830</v>
      </c>
      <c r="H1454">
        <v>0</v>
      </c>
      <c r="I1454" t="s">
        <v>16</v>
      </c>
    </row>
    <row r="1455" spans="1:9" x14ac:dyDescent="0.25">
      <c r="A1455" t="s">
        <v>13</v>
      </c>
      <c r="B1455">
        <v>1324199</v>
      </c>
      <c r="C1455">
        <v>1325011</v>
      </c>
      <c r="E1455" t="s">
        <v>14</v>
      </c>
      <c r="F1455" t="s">
        <v>3833</v>
      </c>
      <c r="H1455">
        <v>0</v>
      </c>
      <c r="I1455" t="s">
        <v>16</v>
      </c>
    </row>
    <row r="1456" spans="1:9" x14ac:dyDescent="0.25">
      <c r="A1456" t="s">
        <v>13</v>
      </c>
      <c r="B1456">
        <v>1325076</v>
      </c>
      <c r="C1456">
        <v>1325612</v>
      </c>
      <c r="E1456" t="s">
        <v>14</v>
      </c>
      <c r="F1456" t="s">
        <v>3836</v>
      </c>
      <c r="H1456">
        <v>0</v>
      </c>
      <c r="I1456" t="s">
        <v>16</v>
      </c>
    </row>
    <row r="1457" spans="1:9" x14ac:dyDescent="0.25">
      <c r="A1457" t="s">
        <v>13</v>
      </c>
      <c r="B1457">
        <v>1325609</v>
      </c>
      <c r="C1457">
        <v>1326001</v>
      </c>
      <c r="E1457" t="s">
        <v>14</v>
      </c>
      <c r="F1457" t="s">
        <v>41</v>
      </c>
      <c r="H1457">
        <v>0</v>
      </c>
      <c r="I1457" t="s">
        <v>16</v>
      </c>
    </row>
    <row r="1458" spans="1:9" x14ac:dyDescent="0.25">
      <c r="A1458" t="s">
        <v>13</v>
      </c>
      <c r="B1458">
        <v>1325998</v>
      </c>
      <c r="C1458">
        <v>1326741</v>
      </c>
      <c r="E1458" t="s">
        <v>14</v>
      </c>
      <c r="F1458" t="s">
        <v>3841</v>
      </c>
      <c r="H1458">
        <v>0</v>
      </c>
      <c r="I1458" t="s">
        <v>16</v>
      </c>
    </row>
    <row r="1459" spans="1:9" x14ac:dyDescent="0.25">
      <c r="A1459" t="s">
        <v>13</v>
      </c>
      <c r="B1459">
        <v>1326904</v>
      </c>
      <c r="C1459">
        <v>1327938</v>
      </c>
      <c r="E1459" t="s">
        <v>14</v>
      </c>
      <c r="F1459" t="s">
        <v>3844</v>
      </c>
      <c r="H1459">
        <v>0</v>
      </c>
      <c r="I1459" t="s">
        <v>16</v>
      </c>
    </row>
    <row r="1460" spans="1:9" x14ac:dyDescent="0.25">
      <c r="A1460" t="s">
        <v>13</v>
      </c>
      <c r="B1460">
        <v>1327935</v>
      </c>
      <c r="C1460">
        <v>1329014</v>
      </c>
      <c r="E1460" t="s">
        <v>14</v>
      </c>
      <c r="F1460" t="s">
        <v>3847</v>
      </c>
      <c r="H1460">
        <v>0</v>
      </c>
      <c r="I1460" t="s">
        <v>16</v>
      </c>
    </row>
    <row r="1461" spans="1:9" x14ac:dyDescent="0.25">
      <c r="A1461" t="s">
        <v>13</v>
      </c>
      <c r="B1461">
        <v>1328986</v>
      </c>
      <c r="C1461">
        <v>1329942</v>
      </c>
      <c r="E1461" t="s">
        <v>28</v>
      </c>
      <c r="F1461" t="s">
        <v>41</v>
      </c>
      <c r="H1461">
        <v>0</v>
      </c>
      <c r="I1461" t="s">
        <v>16</v>
      </c>
    </row>
    <row r="1462" spans="1:9" x14ac:dyDescent="0.25">
      <c r="A1462" t="s">
        <v>13</v>
      </c>
      <c r="B1462">
        <v>1329991</v>
      </c>
      <c r="C1462">
        <v>1331334</v>
      </c>
      <c r="E1462" t="s">
        <v>28</v>
      </c>
      <c r="F1462" t="s">
        <v>3852</v>
      </c>
      <c r="H1462">
        <v>0</v>
      </c>
      <c r="I1462" t="s">
        <v>16</v>
      </c>
    </row>
    <row r="1463" spans="1:9" x14ac:dyDescent="0.25">
      <c r="A1463" t="s">
        <v>13</v>
      </c>
      <c r="B1463">
        <v>1331491</v>
      </c>
      <c r="C1463">
        <v>1331976</v>
      </c>
      <c r="E1463" t="s">
        <v>28</v>
      </c>
      <c r="F1463" t="s">
        <v>41</v>
      </c>
      <c r="H1463">
        <v>0</v>
      </c>
      <c r="I1463" t="s">
        <v>16</v>
      </c>
    </row>
    <row r="1464" spans="1:9" x14ac:dyDescent="0.25">
      <c r="A1464" t="s">
        <v>13</v>
      </c>
      <c r="B1464">
        <v>1332027</v>
      </c>
      <c r="C1464">
        <v>1332506</v>
      </c>
      <c r="E1464" t="s">
        <v>28</v>
      </c>
      <c r="F1464" t="s">
        <v>2568</v>
      </c>
      <c r="H1464">
        <v>0</v>
      </c>
      <c r="I1464" t="s">
        <v>16</v>
      </c>
    </row>
    <row r="1465" spans="1:9" x14ac:dyDescent="0.25">
      <c r="A1465" t="s">
        <v>13</v>
      </c>
      <c r="B1465">
        <v>1332591</v>
      </c>
      <c r="C1465">
        <v>1332953</v>
      </c>
      <c r="E1465" t="s">
        <v>28</v>
      </c>
      <c r="F1465" t="s">
        <v>41</v>
      </c>
      <c r="H1465">
        <v>0</v>
      </c>
      <c r="I1465" t="s">
        <v>16</v>
      </c>
    </row>
    <row r="1466" spans="1:9" x14ac:dyDescent="0.25">
      <c r="A1466" t="s">
        <v>13</v>
      </c>
      <c r="B1466">
        <v>1332988</v>
      </c>
      <c r="C1466">
        <v>1333476</v>
      </c>
      <c r="E1466" t="s">
        <v>14</v>
      </c>
      <c r="F1466" t="s">
        <v>41</v>
      </c>
      <c r="H1466">
        <v>0</v>
      </c>
      <c r="I1466" t="s">
        <v>16</v>
      </c>
    </row>
    <row r="1467" spans="1:9" x14ac:dyDescent="0.25">
      <c r="A1467" t="s">
        <v>13</v>
      </c>
      <c r="B1467">
        <v>1333451</v>
      </c>
      <c r="C1467">
        <v>1334671</v>
      </c>
      <c r="E1467" t="s">
        <v>28</v>
      </c>
      <c r="F1467" t="s">
        <v>3863</v>
      </c>
      <c r="H1467">
        <v>0</v>
      </c>
      <c r="I1467" t="s">
        <v>16</v>
      </c>
    </row>
    <row r="1468" spans="1:9" x14ac:dyDescent="0.25">
      <c r="A1468" t="s">
        <v>13</v>
      </c>
      <c r="B1468">
        <v>1334670</v>
      </c>
      <c r="C1468">
        <v>1335260</v>
      </c>
      <c r="E1468" t="s">
        <v>14</v>
      </c>
      <c r="F1468" t="s">
        <v>3866</v>
      </c>
      <c r="H1468">
        <v>0</v>
      </c>
      <c r="I1468" t="s">
        <v>16</v>
      </c>
    </row>
    <row r="1469" spans="1:9" x14ac:dyDescent="0.25">
      <c r="A1469" t="s">
        <v>13</v>
      </c>
      <c r="B1469">
        <v>1335253</v>
      </c>
      <c r="C1469">
        <v>1335774</v>
      </c>
      <c r="E1469" t="s">
        <v>14</v>
      </c>
      <c r="F1469" t="s">
        <v>3869</v>
      </c>
      <c r="H1469">
        <v>0</v>
      </c>
      <c r="I1469" t="s">
        <v>16</v>
      </c>
    </row>
    <row r="1470" spans="1:9" x14ac:dyDescent="0.25">
      <c r="A1470" t="s">
        <v>13</v>
      </c>
      <c r="B1470">
        <v>1335721</v>
      </c>
      <c r="C1470">
        <v>1336794</v>
      </c>
      <c r="E1470" t="s">
        <v>28</v>
      </c>
      <c r="F1470" t="s">
        <v>41</v>
      </c>
      <c r="H1470">
        <v>0</v>
      </c>
      <c r="I1470" t="s">
        <v>16</v>
      </c>
    </row>
    <row r="1471" spans="1:9" x14ac:dyDescent="0.25">
      <c r="A1471" t="s">
        <v>13</v>
      </c>
      <c r="B1471">
        <v>1336832</v>
      </c>
      <c r="C1471">
        <v>1337458</v>
      </c>
      <c r="E1471" t="s">
        <v>14</v>
      </c>
      <c r="F1471" t="s">
        <v>446</v>
      </c>
      <c r="H1471">
        <v>0</v>
      </c>
      <c r="I1471" t="s">
        <v>16</v>
      </c>
    </row>
    <row r="1472" spans="1:9" x14ac:dyDescent="0.25">
      <c r="A1472" t="s">
        <v>13</v>
      </c>
      <c r="B1472">
        <v>1337468</v>
      </c>
      <c r="C1472">
        <v>1338625</v>
      </c>
      <c r="E1472" t="s">
        <v>14</v>
      </c>
      <c r="F1472" t="s">
        <v>3876</v>
      </c>
      <c r="H1472">
        <v>0</v>
      </c>
      <c r="I1472" t="s">
        <v>16</v>
      </c>
    </row>
    <row r="1473" spans="1:9" x14ac:dyDescent="0.25">
      <c r="A1473" t="s">
        <v>13</v>
      </c>
      <c r="B1473">
        <v>1338650</v>
      </c>
      <c r="C1473">
        <v>1339549</v>
      </c>
      <c r="E1473" t="s">
        <v>14</v>
      </c>
      <c r="F1473" t="s">
        <v>3879</v>
      </c>
      <c r="H1473">
        <v>0</v>
      </c>
      <c r="I1473" t="s">
        <v>16</v>
      </c>
    </row>
    <row r="1474" spans="1:9" x14ac:dyDescent="0.25">
      <c r="A1474" t="s">
        <v>13</v>
      </c>
      <c r="B1474">
        <v>1339559</v>
      </c>
      <c r="C1474">
        <v>1340953</v>
      </c>
      <c r="E1474" t="s">
        <v>14</v>
      </c>
      <c r="F1474" t="s">
        <v>3882</v>
      </c>
      <c r="H1474">
        <v>0</v>
      </c>
      <c r="I1474" t="s">
        <v>16</v>
      </c>
    </row>
    <row r="1475" spans="1:9" x14ac:dyDescent="0.25">
      <c r="A1475" t="s">
        <v>13</v>
      </c>
      <c r="B1475">
        <v>1340950</v>
      </c>
      <c r="C1475">
        <v>1342260</v>
      </c>
      <c r="E1475" t="s">
        <v>14</v>
      </c>
      <c r="F1475" t="s">
        <v>3885</v>
      </c>
      <c r="H1475">
        <v>0</v>
      </c>
      <c r="I1475" t="s">
        <v>16</v>
      </c>
    </row>
    <row r="1476" spans="1:9" x14ac:dyDescent="0.25">
      <c r="A1476" t="s">
        <v>13</v>
      </c>
      <c r="B1476">
        <v>1342257</v>
      </c>
      <c r="C1476">
        <v>1343195</v>
      </c>
      <c r="E1476" t="s">
        <v>14</v>
      </c>
      <c r="F1476" t="s">
        <v>3888</v>
      </c>
      <c r="H1476">
        <v>0</v>
      </c>
      <c r="I1476" t="s">
        <v>16</v>
      </c>
    </row>
    <row r="1477" spans="1:9" x14ac:dyDescent="0.25">
      <c r="A1477" t="s">
        <v>13</v>
      </c>
      <c r="B1477">
        <v>1343201</v>
      </c>
      <c r="C1477">
        <v>1343941</v>
      </c>
      <c r="E1477" t="s">
        <v>14</v>
      </c>
      <c r="F1477" t="s">
        <v>3891</v>
      </c>
      <c r="H1477">
        <v>0</v>
      </c>
      <c r="I1477" t="s">
        <v>16</v>
      </c>
    </row>
    <row r="1478" spans="1:9" x14ac:dyDescent="0.25">
      <c r="A1478" t="s">
        <v>13</v>
      </c>
      <c r="B1478">
        <v>1343999</v>
      </c>
      <c r="C1478">
        <v>1344130</v>
      </c>
      <c r="E1478" t="s">
        <v>14</v>
      </c>
      <c r="F1478" t="s">
        <v>41</v>
      </c>
      <c r="H1478">
        <v>0</v>
      </c>
      <c r="I1478" t="s">
        <v>16</v>
      </c>
    </row>
    <row r="1479" spans="1:9" x14ac:dyDescent="0.25">
      <c r="A1479" t="s">
        <v>13</v>
      </c>
      <c r="B1479">
        <v>1344262</v>
      </c>
      <c r="C1479">
        <v>1344807</v>
      </c>
      <c r="E1479" t="s">
        <v>14</v>
      </c>
      <c r="F1479" t="s">
        <v>3896</v>
      </c>
      <c r="H1479">
        <v>0</v>
      </c>
      <c r="I1479" t="s">
        <v>16</v>
      </c>
    </row>
    <row r="1480" spans="1:9" x14ac:dyDescent="0.25">
      <c r="A1480" t="s">
        <v>13</v>
      </c>
      <c r="B1480">
        <v>1344804</v>
      </c>
      <c r="C1480">
        <v>1345709</v>
      </c>
      <c r="E1480" t="s">
        <v>14</v>
      </c>
      <c r="F1480" t="s">
        <v>3899</v>
      </c>
      <c r="H1480">
        <v>0</v>
      </c>
      <c r="I1480" t="s">
        <v>16</v>
      </c>
    </row>
    <row r="1481" spans="1:9" x14ac:dyDescent="0.25">
      <c r="A1481" t="s">
        <v>13</v>
      </c>
      <c r="B1481">
        <v>1345706</v>
      </c>
      <c r="C1481">
        <v>1346983</v>
      </c>
      <c r="E1481" t="s">
        <v>14</v>
      </c>
      <c r="F1481" t="s">
        <v>3902</v>
      </c>
      <c r="H1481">
        <v>0</v>
      </c>
      <c r="I1481" t="s">
        <v>16</v>
      </c>
    </row>
    <row r="1482" spans="1:9" x14ac:dyDescent="0.25">
      <c r="A1482" t="s">
        <v>13</v>
      </c>
      <c r="B1482">
        <v>1346988</v>
      </c>
      <c r="C1482">
        <v>1347464</v>
      </c>
      <c r="E1482" t="s">
        <v>14</v>
      </c>
      <c r="F1482" t="s">
        <v>41</v>
      </c>
      <c r="H1482">
        <v>0</v>
      </c>
      <c r="I1482" t="s">
        <v>16</v>
      </c>
    </row>
    <row r="1483" spans="1:9" x14ac:dyDescent="0.25">
      <c r="A1483" t="s">
        <v>13</v>
      </c>
      <c r="B1483">
        <v>1347454</v>
      </c>
      <c r="C1483">
        <v>1348491</v>
      </c>
      <c r="E1483" t="s">
        <v>28</v>
      </c>
      <c r="F1483" t="s">
        <v>3907</v>
      </c>
      <c r="H1483">
        <v>0</v>
      </c>
      <c r="I1483" t="s">
        <v>16</v>
      </c>
    </row>
    <row r="1484" spans="1:9" x14ac:dyDescent="0.25">
      <c r="A1484" t="s">
        <v>13</v>
      </c>
      <c r="B1484">
        <v>1348608</v>
      </c>
      <c r="C1484">
        <v>1349036</v>
      </c>
      <c r="E1484" t="s">
        <v>14</v>
      </c>
      <c r="F1484" t="s">
        <v>41</v>
      </c>
      <c r="H1484">
        <v>0</v>
      </c>
      <c r="I1484" t="s">
        <v>16</v>
      </c>
    </row>
    <row r="1485" spans="1:9" x14ac:dyDescent="0.25">
      <c r="A1485" t="s">
        <v>13</v>
      </c>
      <c r="B1485">
        <v>1349093</v>
      </c>
      <c r="C1485">
        <v>1351477</v>
      </c>
      <c r="E1485" t="s">
        <v>14</v>
      </c>
      <c r="F1485" t="s">
        <v>2035</v>
      </c>
      <c r="H1485">
        <v>0</v>
      </c>
      <c r="I1485" t="s">
        <v>16</v>
      </c>
    </row>
    <row r="1486" spans="1:9" x14ac:dyDescent="0.25">
      <c r="A1486" t="s">
        <v>13</v>
      </c>
      <c r="B1486">
        <v>1351474</v>
      </c>
      <c r="C1486">
        <v>1352034</v>
      </c>
      <c r="E1486" t="s">
        <v>28</v>
      </c>
      <c r="F1486" t="s">
        <v>3914</v>
      </c>
      <c r="H1486">
        <v>0</v>
      </c>
      <c r="I1486" t="s">
        <v>16</v>
      </c>
    </row>
    <row r="1487" spans="1:9" x14ac:dyDescent="0.25">
      <c r="A1487" t="s">
        <v>13</v>
      </c>
      <c r="B1487">
        <v>1352039</v>
      </c>
      <c r="C1487">
        <v>1352917</v>
      </c>
      <c r="E1487" t="s">
        <v>28</v>
      </c>
      <c r="F1487" t="s">
        <v>3917</v>
      </c>
      <c r="H1487">
        <v>0</v>
      </c>
      <c r="I1487" t="s">
        <v>16</v>
      </c>
    </row>
    <row r="1488" spans="1:9" x14ac:dyDescent="0.25">
      <c r="A1488" t="s">
        <v>13</v>
      </c>
      <c r="B1488">
        <v>1352927</v>
      </c>
      <c r="C1488">
        <v>1353259</v>
      </c>
      <c r="E1488" t="s">
        <v>28</v>
      </c>
      <c r="F1488" t="s">
        <v>41</v>
      </c>
      <c r="H1488">
        <v>0</v>
      </c>
      <c r="I1488" t="s">
        <v>16</v>
      </c>
    </row>
    <row r="1489" spans="1:9" x14ac:dyDescent="0.25">
      <c r="A1489" t="s">
        <v>13</v>
      </c>
      <c r="B1489">
        <v>1353269</v>
      </c>
      <c r="C1489">
        <v>1354591</v>
      </c>
      <c r="E1489" t="s">
        <v>28</v>
      </c>
      <c r="F1489" t="s">
        <v>3922</v>
      </c>
      <c r="H1489">
        <v>0</v>
      </c>
      <c r="I1489" t="s">
        <v>16</v>
      </c>
    </row>
    <row r="1490" spans="1:9" x14ac:dyDescent="0.25">
      <c r="A1490" t="s">
        <v>13</v>
      </c>
      <c r="B1490">
        <v>1354678</v>
      </c>
      <c r="C1490">
        <v>1354751</v>
      </c>
      <c r="E1490" t="s">
        <v>28</v>
      </c>
      <c r="F1490" t="s">
        <v>906</v>
      </c>
      <c r="H1490">
        <v>0</v>
      </c>
      <c r="I1490" t="s">
        <v>133</v>
      </c>
    </row>
    <row r="1491" spans="1:9" x14ac:dyDescent="0.25">
      <c r="A1491" t="s">
        <v>13</v>
      </c>
      <c r="B1491">
        <v>1354795</v>
      </c>
      <c r="C1491">
        <v>1355076</v>
      </c>
      <c r="E1491" t="s">
        <v>28</v>
      </c>
      <c r="F1491" t="s">
        <v>41</v>
      </c>
      <c r="H1491">
        <v>0</v>
      </c>
      <c r="I1491" t="s">
        <v>16</v>
      </c>
    </row>
    <row r="1492" spans="1:9" x14ac:dyDescent="0.25">
      <c r="A1492" t="s">
        <v>13</v>
      </c>
      <c r="B1492">
        <v>1355078</v>
      </c>
      <c r="C1492">
        <v>1356190</v>
      </c>
      <c r="E1492" t="s">
        <v>28</v>
      </c>
      <c r="F1492" t="s">
        <v>3928</v>
      </c>
      <c r="H1492">
        <v>0</v>
      </c>
      <c r="I1492" t="s">
        <v>16</v>
      </c>
    </row>
    <row r="1493" spans="1:9" x14ac:dyDescent="0.25">
      <c r="A1493" t="s">
        <v>13</v>
      </c>
      <c r="B1493">
        <v>1356263</v>
      </c>
      <c r="C1493">
        <v>1357753</v>
      </c>
      <c r="E1493" t="s">
        <v>14</v>
      </c>
      <c r="F1493" t="s">
        <v>3931</v>
      </c>
      <c r="H1493">
        <v>0</v>
      </c>
      <c r="I1493" t="s">
        <v>16</v>
      </c>
    </row>
    <row r="1494" spans="1:9" x14ac:dyDescent="0.25">
      <c r="A1494" t="s">
        <v>13</v>
      </c>
      <c r="B1494">
        <v>1357818</v>
      </c>
      <c r="C1494">
        <v>1359614</v>
      </c>
      <c r="E1494" t="s">
        <v>28</v>
      </c>
      <c r="F1494" t="s">
        <v>3934</v>
      </c>
      <c r="H1494">
        <v>0</v>
      </c>
      <c r="I1494" t="s">
        <v>16</v>
      </c>
    </row>
    <row r="1495" spans="1:9" x14ac:dyDescent="0.25">
      <c r="A1495" t="s">
        <v>13</v>
      </c>
      <c r="B1495">
        <v>1359674</v>
      </c>
      <c r="C1495">
        <v>1360384</v>
      </c>
      <c r="E1495" t="s">
        <v>28</v>
      </c>
      <c r="F1495" t="s">
        <v>41</v>
      </c>
      <c r="H1495">
        <v>0</v>
      </c>
      <c r="I1495" t="s">
        <v>16</v>
      </c>
    </row>
    <row r="1496" spans="1:9" x14ac:dyDescent="0.25">
      <c r="A1496" t="s">
        <v>13</v>
      </c>
      <c r="B1496">
        <v>1360409</v>
      </c>
      <c r="C1496">
        <v>1362121</v>
      </c>
      <c r="E1496" t="s">
        <v>14</v>
      </c>
      <c r="F1496" t="s">
        <v>3939</v>
      </c>
      <c r="H1496">
        <v>0</v>
      </c>
      <c r="I1496" t="s">
        <v>16</v>
      </c>
    </row>
    <row r="1497" spans="1:9" x14ac:dyDescent="0.25">
      <c r="A1497" t="s">
        <v>13</v>
      </c>
      <c r="B1497">
        <v>1362136</v>
      </c>
      <c r="C1497">
        <v>1363182</v>
      </c>
      <c r="E1497" t="s">
        <v>14</v>
      </c>
      <c r="F1497" t="s">
        <v>3942</v>
      </c>
      <c r="H1497">
        <v>0</v>
      </c>
      <c r="I1497" t="s">
        <v>16</v>
      </c>
    </row>
    <row r="1498" spans="1:9" x14ac:dyDescent="0.25">
      <c r="A1498" t="s">
        <v>13</v>
      </c>
      <c r="B1498">
        <v>1363372</v>
      </c>
      <c r="C1498">
        <v>1364004</v>
      </c>
      <c r="E1498" t="s">
        <v>28</v>
      </c>
      <c r="F1498" t="s">
        <v>41</v>
      </c>
      <c r="H1498">
        <v>0</v>
      </c>
      <c r="I1498" t="s">
        <v>16</v>
      </c>
    </row>
    <row r="1499" spans="1:9" x14ac:dyDescent="0.25">
      <c r="A1499" t="s">
        <v>13</v>
      </c>
      <c r="B1499">
        <v>1364027</v>
      </c>
      <c r="C1499">
        <v>1364431</v>
      </c>
      <c r="E1499" t="s">
        <v>14</v>
      </c>
      <c r="F1499" t="s">
        <v>3947</v>
      </c>
      <c r="H1499">
        <v>0</v>
      </c>
      <c r="I1499" t="s">
        <v>16</v>
      </c>
    </row>
    <row r="1500" spans="1:9" x14ac:dyDescent="0.25">
      <c r="A1500" t="s">
        <v>13</v>
      </c>
      <c r="B1500">
        <v>1364414</v>
      </c>
      <c r="C1500">
        <v>1365376</v>
      </c>
      <c r="E1500" t="s">
        <v>28</v>
      </c>
      <c r="F1500" t="s">
        <v>3950</v>
      </c>
      <c r="H1500">
        <v>0</v>
      </c>
      <c r="I1500" t="s">
        <v>16</v>
      </c>
    </row>
    <row r="1501" spans="1:9" x14ac:dyDescent="0.25">
      <c r="A1501" t="s">
        <v>13</v>
      </c>
      <c r="B1501">
        <v>1365391</v>
      </c>
      <c r="C1501">
        <v>1367178</v>
      </c>
      <c r="E1501" t="s">
        <v>14</v>
      </c>
      <c r="F1501" t="s">
        <v>3953</v>
      </c>
      <c r="H1501">
        <v>0</v>
      </c>
      <c r="I1501" t="s">
        <v>16</v>
      </c>
    </row>
    <row r="1502" spans="1:9" x14ac:dyDescent="0.25">
      <c r="A1502" t="s">
        <v>13</v>
      </c>
      <c r="B1502">
        <v>1367150</v>
      </c>
      <c r="C1502">
        <v>1368187</v>
      </c>
      <c r="E1502" t="s">
        <v>28</v>
      </c>
      <c r="F1502" t="s">
        <v>2890</v>
      </c>
      <c r="H1502">
        <v>0</v>
      </c>
      <c r="I1502" t="s">
        <v>16</v>
      </c>
    </row>
    <row r="1503" spans="1:9" x14ac:dyDescent="0.25">
      <c r="A1503" t="s">
        <v>13</v>
      </c>
      <c r="B1503">
        <v>1368250</v>
      </c>
      <c r="C1503">
        <v>1370028</v>
      </c>
      <c r="E1503" t="s">
        <v>14</v>
      </c>
      <c r="F1503" t="s">
        <v>3958</v>
      </c>
      <c r="H1503">
        <v>0</v>
      </c>
      <c r="I1503" t="s">
        <v>16</v>
      </c>
    </row>
    <row r="1504" spans="1:9" x14ac:dyDescent="0.25">
      <c r="A1504" t="s">
        <v>13</v>
      </c>
      <c r="B1504">
        <v>1370033</v>
      </c>
      <c r="C1504">
        <v>1371082</v>
      </c>
      <c r="E1504" t="s">
        <v>14</v>
      </c>
      <c r="F1504" t="s">
        <v>3961</v>
      </c>
      <c r="H1504">
        <v>0</v>
      </c>
      <c r="I1504" t="s">
        <v>16</v>
      </c>
    </row>
    <row r="1505" spans="1:9" x14ac:dyDescent="0.25">
      <c r="A1505" t="s">
        <v>13</v>
      </c>
      <c r="B1505">
        <v>1371086</v>
      </c>
      <c r="C1505">
        <v>1371688</v>
      </c>
      <c r="E1505" t="s">
        <v>14</v>
      </c>
      <c r="F1505" t="s">
        <v>3964</v>
      </c>
      <c r="H1505">
        <v>0</v>
      </c>
      <c r="I1505" t="s">
        <v>16</v>
      </c>
    </row>
    <row r="1506" spans="1:9" x14ac:dyDescent="0.25">
      <c r="A1506" t="s">
        <v>13</v>
      </c>
      <c r="B1506">
        <v>1371688</v>
      </c>
      <c r="C1506">
        <v>1372296</v>
      </c>
      <c r="E1506" t="s">
        <v>14</v>
      </c>
      <c r="F1506" t="s">
        <v>3964</v>
      </c>
      <c r="H1506">
        <v>0</v>
      </c>
      <c r="I1506" t="s">
        <v>16</v>
      </c>
    </row>
    <row r="1507" spans="1:9" x14ac:dyDescent="0.25">
      <c r="A1507" t="s">
        <v>13</v>
      </c>
      <c r="B1507">
        <v>1372293</v>
      </c>
      <c r="C1507">
        <v>1373753</v>
      </c>
      <c r="E1507" t="s">
        <v>14</v>
      </c>
      <c r="F1507" t="s">
        <v>3969</v>
      </c>
      <c r="H1507">
        <v>0</v>
      </c>
      <c r="I1507" t="s">
        <v>16</v>
      </c>
    </row>
    <row r="1508" spans="1:9" x14ac:dyDescent="0.25">
      <c r="A1508" t="s">
        <v>13</v>
      </c>
      <c r="B1508">
        <v>1373707</v>
      </c>
      <c r="C1508">
        <v>1375032</v>
      </c>
      <c r="E1508" t="s">
        <v>28</v>
      </c>
      <c r="F1508" t="s">
        <v>3972</v>
      </c>
      <c r="H1508">
        <v>0</v>
      </c>
      <c r="I1508" t="s">
        <v>16</v>
      </c>
    </row>
    <row r="1509" spans="1:9" x14ac:dyDescent="0.25">
      <c r="A1509" t="s">
        <v>13</v>
      </c>
      <c r="B1509">
        <v>1375092</v>
      </c>
      <c r="C1509">
        <v>1375622</v>
      </c>
      <c r="E1509" t="s">
        <v>14</v>
      </c>
      <c r="F1509" t="s">
        <v>615</v>
      </c>
      <c r="H1509">
        <v>0</v>
      </c>
      <c r="I1509" t="s">
        <v>16</v>
      </c>
    </row>
    <row r="1510" spans="1:9" x14ac:dyDescent="0.25">
      <c r="A1510" t="s">
        <v>13</v>
      </c>
      <c r="B1510">
        <v>1375619</v>
      </c>
      <c r="C1510">
        <v>1376377</v>
      </c>
      <c r="E1510" t="s">
        <v>14</v>
      </c>
      <c r="F1510" t="s">
        <v>3977</v>
      </c>
      <c r="H1510">
        <v>0</v>
      </c>
      <c r="I1510" t="s">
        <v>16</v>
      </c>
    </row>
    <row r="1511" spans="1:9" x14ac:dyDescent="0.25">
      <c r="A1511" t="s">
        <v>13</v>
      </c>
      <c r="B1511">
        <v>1376383</v>
      </c>
      <c r="C1511">
        <v>1377012</v>
      </c>
      <c r="E1511" t="s">
        <v>14</v>
      </c>
      <c r="F1511" t="s">
        <v>3980</v>
      </c>
      <c r="H1511">
        <v>0</v>
      </c>
      <c r="I1511" t="s">
        <v>16</v>
      </c>
    </row>
    <row r="1512" spans="1:9" x14ac:dyDescent="0.25">
      <c r="A1512" t="s">
        <v>13</v>
      </c>
      <c r="B1512">
        <v>1377002</v>
      </c>
      <c r="C1512">
        <v>1377166</v>
      </c>
      <c r="E1512" t="s">
        <v>28</v>
      </c>
      <c r="F1512" t="s">
        <v>41</v>
      </c>
      <c r="H1512">
        <v>0</v>
      </c>
      <c r="I1512" t="s">
        <v>16</v>
      </c>
    </row>
    <row r="1513" spans="1:9" x14ac:dyDescent="0.25">
      <c r="A1513" t="s">
        <v>13</v>
      </c>
      <c r="B1513">
        <v>1377203</v>
      </c>
      <c r="C1513">
        <v>1378171</v>
      </c>
      <c r="E1513" t="s">
        <v>14</v>
      </c>
      <c r="F1513" t="s">
        <v>3985</v>
      </c>
      <c r="H1513">
        <v>0</v>
      </c>
      <c r="I1513" t="s">
        <v>16</v>
      </c>
    </row>
    <row r="1514" spans="1:9" x14ac:dyDescent="0.25">
      <c r="A1514" t="s">
        <v>13</v>
      </c>
      <c r="B1514">
        <v>1378258</v>
      </c>
      <c r="C1514">
        <v>1378407</v>
      </c>
      <c r="E1514" t="s">
        <v>14</v>
      </c>
      <c r="F1514" t="s">
        <v>41</v>
      </c>
      <c r="H1514">
        <v>0</v>
      </c>
      <c r="I1514" t="s">
        <v>16</v>
      </c>
    </row>
    <row r="1515" spans="1:9" x14ac:dyDescent="0.25">
      <c r="A1515" t="s">
        <v>13</v>
      </c>
      <c r="B1515">
        <v>1378404</v>
      </c>
      <c r="C1515">
        <v>1379078</v>
      </c>
      <c r="E1515" t="s">
        <v>14</v>
      </c>
      <c r="F1515" t="s">
        <v>41</v>
      </c>
      <c r="H1515">
        <v>0</v>
      </c>
      <c r="I1515" t="s">
        <v>16</v>
      </c>
    </row>
    <row r="1516" spans="1:9" x14ac:dyDescent="0.25">
      <c r="A1516" t="s">
        <v>13</v>
      </c>
      <c r="B1516">
        <v>1379049</v>
      </c>
      <c r="C1516">
        <v>1380911</v>
      </c>
      <c r="E1516" t="s">
        <v>28</v>
      </c>
      <c r="F1516" t="s">
        <v>3992</v>
      </c>
      <c r="H1516">
        <v>0</v>
      </c>
      <c r="I1516" t="s">
        <v>16</v>
      </c>
    </row>
    <row r="1517" spans="1:9" x14ac:dyDescent="0.25">
      <c r="A1517" t="s">
        <v>13</v>
      </c>
      <c r="B1517">
        <v>1380936</v>
      </c>
      <c r="C1517">
        <v>1381481</v>
      </c>
      <c r="E1517" t="s">
        <v>14</v>
      </c>
      <c r="F1517" t="s">
        <v>3995</v>
      </c>
      <c r="H1517">
        <v>0</v>
      </c>
      <c r="I1517" t="s">
        <v>16</v>
      </c>
    </row>
    <row r="1518" spans="1:9" x14ac:dyDescent="0.25">
      <c r="A1518" t="s">
        <v>13</v>
      </c>
      <c r="B1518">
        <v>1381607</v>
      </c>
      <c r="C1518">
        <v>1382248</v>
      </c>
      <c r="E1518" t="s">
        <v>28</v>
      </c>
      <c r="F1518" t="s">
        <v>41</v>
      </c>
      <c r="H1518">
        <v>0</v>
      </c>
      <c r="I1518" t="s">
        <v>16</v>
      </c>
    </row>
    <row r="1519" spans="1:9" x14ac:dyDescent="0.25">
      <c r="A1519" t="s">
        <v>13</v>
      </c>
      <c r="B1519">
        <v>1382308</v>
      </c>
      <c r="C1519">
        <v>1383294</v>
      </c>
      <c r="E1519" t="s">
        <v>28</v>
      </c>
      <c r="F1519" t="s">
        <v>4000</v>
      </c>
      <c r="H1519">
        <v>0</v>
      </c>
      <c r="I1519" t="s">
        <v>16</v>
      </c>
    </row>
    <row r="1520" spans="1:9" x14ac:dyDescent="0.25">
      <c r="A1520" t="s">
        <v>13</v>
      </c>
      <c r="B1520">
        <v>1383359</v>
      </c>
      <c r="C1520">
        <v>1384111</v>
      </c>
      <c r="E1520" t="s">
        <v>14</v>
      </c>
      <c r="F1520" t="s">
        <v>4003</v>
      </c>
      <c r="H1520">
        <v>0</v>
      </c>
      <c r="I1520" t="s">
        <v>16</v>
      </c>
    </row>
    <row r="1521" spans="1:9" x14ac:dyDescent="0.25">
      <c r="A1521" t="s">
        <v>13</v>
      </c>
      <c r="B1521">
        <v>1385040</v>
      </c>
      <c r="C1521">
        <v>1385396</v>
      </c>
      <c r="E1521" t="s">
        <v>14</v>
      </c>
      <c r="F1521" t="s">
        <v>4006</v>
      </c>
      <c r="H1521">
        <v>0</v>
      </c>
      <c r="I1521" t="s">
        <v>16</v>
      </c>
    </row>
    <row r="1522" spans="1:9" x14ac:dyDescent="0.25">
      <c r="A1522" t="s">
        <v>13</v>
      </c>
      <c r="B1522">
        <v>1385383</v>
      </c>
      <c r="C1522">
        <v>1385682</v>
      </c>
      <c r="E1522" t="s">
        <v>14</v>
      </c>
      <c r="F1522" t="s">
        <v>41</v>
      </c>
      <c r="H1522">
        <v>0</v>
      </c>
      <c r="I1522" t="s">
        <v>16</v>
      </c>
    </row>
    <row r="1523" spans="1:9" x14ac:dyDescent="0.25">
      <c r="A1523" t="s">
        <v>13</v>
      </c>
      <c r="B1523">
        <v>1385543</v>
      </c>
      <c r="C1523">
        <v>1386109</v>
      </c>
      <c r="E1523" t="s">
        <v>28</v>
      </c>
      <c r="F1523" t="s">
        <v>41</v>
      </c>
      <c r="H1523">
        <v>0</v>
      </c>
      <c r="I1523" t="s">
        <v>16</v>
      </c>
    </row>
    <row r="1524" spans="1:9" x14ac:dyDescent="0.25">
      <c r="A1524" t="s">
        <v>13</v>
      </c>
      <c r="B1524">
        <v>1385790</v>
      </c>
      <c r="C1524">
        <v>1387058</v>
      </c>
      <c r="E1524" t="s">
        <v>14</v>
      </c>
      <c r="F1524" t="s">
        <v>4013</v>
      </c>
      <c r="H1524">
        <v>0</v>
      </c>
      <c r="I1524" t="s">
        <v>16</v>
      </c>
    </row>
    <row r="1525" spans="1:9" x14ac:dyDescent="0.25">
      <c r="A1525" t="s">
        <v>13</v>
      </c>
      <c r="B1525">
        <v>1387193</v>
      </c>
      <c r="C1525">
        <v>1387891</v>
      </c>
      <c r="E1525" t="s">
        <v>28</v>
      </c>
      <c r="F1525" t="s">
        <v>4016</v>
      </c>
      <c r="H1525">
        <v>0</v>
      </c>
      <c r="I1525" t="s">
        <v>16</v>
      </c>
    </row>
    <row r="1526" spans="1:9" x14ac:dyDescent="0.25">
      <c r="A1526" t="s">
        <v>13</v>
      </c>
      <c r="B1526">
        <v>1387909</v>
      </c>
      <c r="C1526">
        <v>1389618</v>
      </c>
      <c r="E1526" t="s">
        <v>28</v>
      </c>
      <c r="F1526" t="s">
        <v>4019</v>
      </c>
      <c r="H1526">
        <v>0</v>
      </c>
      <c r="I1526" t="s">
        <v>16</v>
      </c>
    </row>
    <row r="1527" spans="1:9" x14ac:dyDescent="0.25">
      <c r="A1527" t="s">
        <v>13</v>
      </c>
      <c r="B1527">
        <v>1389645</v>
      </c>
      <c r="C1527">
        <v>1390040</v>
      </c>
      <c r="E1527" t="s">
        <v>28</v>
      </c>
      <c r="F1527" t="s">
        <v>4022</v>
      </c>
      <c r="H1527">
        <v>0</v>
      </c>
      <c r="I1527" t="s">
        <v>16</v>
      </c>
    </row>
    <row r="1528" spans="1:9" x14ac:dyDescent="0.25">
      <c r="A1528" t="s">
        <v>13</v>
      </c>
      <c r="B1528">
        <v>1390030</v>
      </c>
      <c r="C1528">
        <v>1390395</v>
      </c>
      <c r="E1528" t="s">
        <v>28</v>
      </c>
      <c r="F1528" t="s">
        <v>4025</v>
      </c>
      <c r="H1528">
        <v>0</v>
      </c>
      <c r="I1528" t="s">
        <v>16</v>
      </c>
    </row>
    <row r="1529" spans="1:9" x14ac:dyDescent="0.25">
      <c r="A1529" t="s">
        <v>13</v>
      </c>
      <c r="B1529">
        <v>1390677</v>
      </c>
      <c r="C1529">
        <v>1391111</v>
      </c>
      <c r="E1529" t="s">
        <v>14</v>
      </c>
      <c r="F1529" t="s">
        <v>4028</v>
      </c>
      <c r="H1529">
        <v>0</v>
      </c>
      <c r="I1529" t="s">
        <v>16</v>
      </c>
    </row>
    <row r="1530" spans="1:9" x14ac:dyDescent="0.25">
      <c r="A1530" t="s">
        <v>13</v>
      </c>
      <c r="B1530">
        <v>1391196</v>
      </c>
      <c r="C1530">
        <v>1392341</v>
      </c>
      <c r="E1530" t="s">
        <v>14</v>
      </c>
      <c r="F1530" t="s">
        <v>41</v>
      </c>
      <c r="H1530">
        <v>0</v>
      </c>
      <c r="I1530" t="s">
        <v>16</v>
      </c>
    </row>
    <row r="1531" spans="1:9" x14ac:dyDescent="0.25">
      <c r="A1531" t="s">
        <v>13</v>
      </c>
      <c r="B1531">
        <v>1392343</v>
      </c>
      <c r="C1531">
        <v>1393266</v>
      </c>
      <c r="E1531" t="s">
        <v>14</v>
      </c>
      <c r="F1531" t="s">
        <v>2207</v>
      </c>
      <c r="H1531">
        <v>0</v>
      </c>
      <c r="I1531" t="s">
        <v>16</v>
      </c>
    </row>
    <row r="1532" spans="1:9" x14ac:dyDescent="0.25">
      <c r="A1532" t="s">
        <v>13</v>
      </c>
      <c r="B1532">
        <v>1393256</v>
      </c>
      <c r="C1532">
        <v>1394212</v>
      </c>
      <c r="E1532" t="s">
        <v>14</v>
      </c>
      <c r="F1532" t="s">
        <v>4035</v>
      </c>
      <c r="H1532">
        <v>0</v>
      </c>
      <c r="I1532" t="s">
        <v>16</v>
      </c>
    </row>
    <row r="1533" spans="1:9" x14ac:dyDescent="0.25">
      <c r="A1533" t="s">
        <v>13</v>
      </c>
      <c r="B1533">
        <v>1394216</v>
      </c>
      <c r="C1533">
        <v>1394593</v>
      </c>
      <c r="E1533" t="s">
        <v>28</v>
      </c>
      <c r="F1533" t="s">
        <v>4038</v>
      </c>
      <c r="H1533">
        <v>0</v>
      </c>
      <c r="I1533" t="s">
        <v>16</v>
      </c>
    </row>
    <row r="1534" spans="1:9" x14ac:dyDescent="0.25">
      <c r="A1534" t="s">
        <v>13</v>
      </c>
      <c r="B1534">
        <v>1394581</v>
      </c>
      <c r="C1534">
        <v>1395207</v>
      </c>
      <c r="E1534" t="s">
        <v>28</v>
      </c>
      <c r="F1534" t="s">
        <v>4041</v>
      </c>
      <c r="H1534">
        <v>0</v>
      </c>
      <c r="I1534" t="s">
        <v>16</v>
      </c>
    </row>
    <row r="1535" spans="1:9" x14ac:dyDescent="0.25">
      <c r="A1535" t="s">
        <v>13</v>
      </c>
      <c r="B1535">
        <v>1395294</v>
      </c>
      <c r="C1535">
        <v>1396967</v>
      </c>
      <c r="E1535" t="s">
        <v>14</v>
      </c>
      <c r="F1535" t="s">
        <v>1757</v>
      </c>
      <c r="H1535">
        <v>0</v>
      </c>
      <c r="I1535" t="s">
        <v>16</v>
      </c>
    </row>
    <row r="1536" spans="1:9" x14ac:dyDescent="0.25">
      <c r="A1536" t="s">
        <v>13</v>
      </c>
      <c r="B1536">
        <v>1397022</v>
      </c>
      <c r="C1536">
        <v>1398140</v>
      </c>
      <c r="E1536" t="s">
        <v>28</v>
      </c>
      <c r="F1536" t="s">
        <v>4046</v>
      </c>
      <c r="H1536">
        <v>0</v>
      </c>
      <c r="I1536" t="s">
        <v>16</v>
      </c>
    </row>
    <row r="1537" spans="1:9" x14ac:dyDescent="0.25">
      <c r="A1537" t="s">
        <v>13</v>
      </c>
      <c r="B1537">
        <v>1398239</v>
      </c>
      <c r="C1537">
        <v>1398685</v>
      </c>
      <c r="E1537" t="s">
        <v>28</v>
      </c>
      <c r="F1537" t="s">
        <v>4049</v>
      </c>
      <c r="H1537">
        <v>0</v>
      </c>
      <c r="I1537" t="s">
        <v>16</v>
      </c>
    </row>
    <row r="1538" spans="1:9" x14ac:dyDescent="0.25">
      <c r="A1538" t="s">
        <v>13</v>
      </c>
      <c r="B1538">
        <v>1398701</v>
      </c>
      <c r="C1538">
        <v>1399507</v>
      </c>
      <c r="E1538" t="s">
        <v>28</v>
      </c>
      <c r="F1538" t="s">
        <v>4052</v>
      </c>
      <c r="H1538">
        <v>0</v>
      </c>
      <c r="I1538" t="s">
        <v>16</v>
      </c>
    </row>
    <row r="1539" spans="1:9" x14ac:dyDescent="0.25">
      <c r="A1539" t="s">
        <v>13</v>
      </c>
      <c r="B1539">
        <v>1399500</v>
      </c>
      <c r="C1539">
        <v>1400240</v>
      </c>
      <c r="E1539" t="s">
        <v>28</v>
      </c>
      <c r="F1539" t="s">
        <v>4055</v>
      </c>
      <c r="H1539">
        <v>0</v>
      </c>
      <c r="I1539" t="s">
        <v>16</v>
      </c>
    </row>
    <row r="1540" spans="1:9" x14ac:dyDescent="0.25">
      <c r="A1540" t="s">
        <v>13</v>
      </c>
      <c r="B1540">
        <v>1400325</v>
      </c>
      <c r="C1540">
        <v>1400567</v>
      </c>
      <c r="E1540" t="s">
        <v>14</v>
      </c>
      <c r="F1540" t="s">
        <v>4058</v>
      </c>
      <c r="H1540">
        <v>0</v>
      </c>
      <c r="I1540" t="s">
        <v>16</v>
      </c>
    </row>
    <row r="1541" spans="1:9" x14ac:dyDescent="0.25">
      <c r="A1541" t="s">
        <v>13</v>
      </c>
      <c r="B1541">
        <v>1400629</v>
      </c>
      <c r="C1541">
        <v>1401855</v>
      </c>
      <c r="E1541" t="s">
        <v>14</v>
      </c>
      <c r="F1541" t="s">
        <v>4061</v>
      </c>
      <c r="H1541">
        <v>0</v>
      </c>
      <c r="I1541" t="s">
        <v>16</v>
      </c>
    </row>
    <row r="1542" spans="1:9" x14ac:dyDescent="0.25">
      <c r="A1542" t="s">
        <v>13</v>
      </c>
      <c r="B1542">
        <v>1401856</v>
      </c>
      <c r="C1542">
        <v>1402983</v>
      </c>
      <c r="E1542" t="s">
        <v>14</v>
      </c>
      <c r="F1542" t="s">
        <v>4064</v>
      </c>
      <c r="H1542">
        <v>0</v>
      </c>
      <c r="I1542" t="s">
        <v>16</v>
      </c>
    </row>
    <row r="1543" spans="1:9" x14ac:dyDescent="0.25">
      <c r="A1543" t="s">
        <v>13</v>
      </c>
      <c r="B1543">
        <v>1402999</v>
      </c>
      <c r="C1543">
        <v>1404189</v>
      </c>
      <c r="E1543" t="s">
        <v>14</v>
      </c>
      <c r="F1543" t="s">
        <v>4067</v>
      </c>
      <c r="H1543">
        <v>0</v>
      </c>
      <c r="I1543" t="s">
        <v>16</v>
      </c>
    </row>
    <row r="1544" spans="1:9" x14ac:dyDescent="0.25">
      <c r="A1544" t="s">
        <v>13</v>
      </c>
      <c r="B1544">
        <v>1404442</v>
      </c>
      <c r="C1544">
        <v>1405578</v>
      </c>
      <c r="E1544" t="s">
        <v>14</v>
      </c>
      <c r="F1544" t="s">
        <v>4070</v>
      </c>
      <c r="H1544">
        <v>0</v>
      </c>
      <c r="I1544" t="s">
        <v>16</v>
      </c>
    </row>
    <row r="1545" spans="1:9" x14ac:dyDescent="0.25">
      <c r="A1545" t="s">
        <v>13</v>
      </c>
      <c r="B1545">
        <v>1405804</v>
      </c>
      <c r="C1545">
        <v>1406724</v>
      </c>
      <c r="E1545" t="s">
        <v>14</v>
      </c>
      <c r="F1545" t="s">
        <v>4073</v>
      </c>
      <c r="H1545">
        <v>0</v>
      </c>
      <c r="I1545" t="s">
        <v>16</v>
      </c>
    </row>
    <row r="1546" spans="1:9" x14ac:dyDescent="0.25">
      <c r="A1546" t="s">
        <v>13</v>
      </c>
      <c r="B1546">
        <v>1406695</v>
      </c>
      <c r="C1546">
        <v>1407291</v>
      </c>
      <c r="E1546" t="s">
        <v>28</v>
      </c>
      <c r="F1546" t="s">
        <v>4076</v>
      </c>
      <c r="H1546">
        <v>0</v>
      </c>
      <c r="I1546" t="s">
        <v>16</v>
      </c>
    </row>
    <row r="1547" spans="1:9" x14ac:dyDescent="0.25">
      <c r="A1547" t="s">
        <v>13</v>
      </c>
      <c r="B1547">
        <v>1407288</v>
      </c>
      <c r="C1547">
        <v>1407872</v>
      </c>
      <c r="E1547" t="s">
        <v>28</v>
      </c>
      <c r="F1547" t="s">
        <v>4079</v>
      </c>
      <c r="H1547">
        <v>0</v>
      </c>
      <c r="I1547" t="s">
        <v>16</v>
      </c>
    </row>
    <row r="1548" spans="1:9" x14ac:dyDescent="0.25">
      <c r="A1548" t="s">
        <v>13</v>
      </c>
      <c r="B1548">
        <v>1407865</v>
      </c>
      <c r="C1548">
        <v>1408908</v>
      </c>
      <c r="E1548" t="s">
        <v>28</v>
      </c>
      <c r="F1548" t="s">
        <v>4082</v>
      </c>
      <c r="H1548">
        <v>0</v>
      </c>
      <c r="I1548" t="s">
        <v>16</v>
      </c>
    </row>
    <row r="1549" spans="1:9" x14ac:dyDescent="0.25">
      <c r="A1549" t="s">
        <v>13</v>
      </c>
      <c r="B1549">
        <v>1408938</v>
      </c>
      <c r="C1549">
        <v>1409057</v>
      </c>
      <c r="E1549" t="s">
        <v>14</v>
      </c>
      <c r="F1549" t="s">
        <v>41</v>
      </c>
      <c r="H1549">
        <v>0</v>
      </c>
      <c r="I1549" t="s">
        <v>16</v>
      </c>
    </row>
    <row r="1550" spans="1:9" x14ac:dyDescent="0.25">
      <c r="A1550" t="s">
        <v>13</v>
      </c>
      <c r="B1550">
        <v>1409164</v>
      </c>
      <c r="C1550">
        <v>1410717</v>
      </c>
      <c r="E1550" t="s">
        <v>14</v>
      </c>
      <c r="F1550" t="s">
        <v>1453</v>
      </c>
      <c r="H1550">
        <v>0</v>
      </c>
      <c r="I1550" t="s">
        <v>16</v>
      </c>
    </row>
    <row r="1551" spans="1:9" x14ac:dyDescent="0.25">
      <c r="A1551" t="s">
        <v>13</v>
      </c>
      <c r="B1551">
        <v>1410732</v>
      </c>
      <c r="C1551">
        <v>1411175</v>
      </c>
      <c r="E1551" t="s">
        <v>14</v>
      </c>
      <c r="F1551" t="s">
        <v>4089</v>
      </c>
      <c r="H1551">
        <v>0</v>
      </c>
      <c r="I1551" t="s">
        <v>16</v>
      </c>
    </row>
    <row r="1552" spans="1:9" x14ac:dyDescent="0.25">
      <c r="A1552" t="s">
        <v>13</v>
      </c>
      <c r="B1552">
        <v>1411077</v>
      </c>
      <c r="C1552">
        <v>1412018</v>
      </c>
      <c r="E1552" t="s">
        <v>28</v>
      </c>
      <c r="F1552" t="s">
        <v>4092</v>
      </c>
      <c r="H1552">
        <v>0</v>
      </c>
      <c r="I1552" t="s">
        <v>16</v>
      </c>
    </row>
    <row r="1553" spans="1:9" x14ac:dyDescent="0.25">
      <c r="A1553" t="s">
        <v>13</v>
      </c>
      <c r="B1553">
        <v>1412046</v>
      </c>
      <c r="C1553">
        <v>1412762</v>
      </c>
      <c r="E1553" t="s">
        <v>14</v>
      </c>
      <c r="F1553" t="s">
        <v>41</v>
      </c>
      <c r="H1553">
        <v>0</v>
      </c>
      <c r="I1553" t="s">
        <v>16</v>
      </c>
    </row>
    <row r="1554" spans="1:9" x14ac:dyDescent="0.25">
      <c r="A1554" t="s">
        <v>13</v>
      </c>
      <c r="B1554">
        <v>1412750</v>
      </c>
      <c r="C1554">
        <v>1413454</v>
      </c>
      <c r="E1554" t="s">
        <v>14</v>
      </c>
      <c r="F1554" t="s">
        <v>2075</v>
      </c>
      <c r="H1554">
        <v>0</v>
      </c>
      <c r="I1554" t="s">
        <v>16</v>
      </c>
    </row>
    <row r="1555" spans="1:9" x14ac:dyDescent="0.25">
      <c r="A1555" t="s">
        <v>13</v>
      </c>
      <c r="B1555">
        <v>1413506</v>
      </c>
      <c r="C1555">
        <v>1415449</v>
      </c>
      <c r="E1555" t="s">
        <v>14</v>
      </c>
      <c r="F1555" t="s">
        <v>41</v>
      </c>
      <c r="H1555">
        <v>0</v>
      </c>
      <c r="I1555" t="s">
        <v>16</v>
      </c>
    </row>
    <row r="1556" spans="1:9" x14ac:dyDescent="0.25">
      <c r="A1556" t="s">
        <v>13</v>
      </c>
      <c r="B1556">
        <v>1415460</v>
      </c>
      <c r="C1556">
        <v>1417943</v>
      </c>
      <c r="E1556" t="s">
        <v>28</v>
      </c>
      <c r="F1556" t="s">
        <v>41</v>
      </c>
      <c r="H1556">
        <v>0</v>
      </c>
      <c r="I1556" t="s">
        <v>16</v>
      </c>
    </row>
    <row r="1557" spans="1:9" x14ac:dyDescent="0.25">
      <c r="A1557" t="s">
        <v>13</v>
      </c>
      <c r="B1557">
        <v>1417943</v>
      </c>
      <c r="C1557">
        <v>1419535</v>
      </c>
      <c r="E1557" t="s">
        <v>28</v>
      </c>
      <c r="F1557" t="s">
        <v>4103</v>
      </c>
      <c r="H1557">
        <v>0</v>
      </c>
      <c r="I1557" t="s">
        <v>16</v>
      </c>
    </row>
    <row r="1558" spans="1:9" x14ac:dyDescent="0.25">
      <c r="A1558" t="s">
        <v>13</v>
      </c>
      <c r="B1558">
        <v>1420026</v>
      </c>
      <c r="C1558">
        <v>1420238</v>
      </c>
      <c r="E1558" t="s">
        <v>14</v>
      </c>
      <c r="F1558" t="s">
        <v>41</v>
      </c>
      <c r="H1558">
        <v>0</v>
      </c>
      <c r="I1558" t="s">
        <v>16</v>
      </c>
    </row>
    <row r="1559" spans="1:9" x14ac:dyDescent="0.25">
      <c r="A1559" t="s">
        <v>13</v>
      </c>
      <c r="B1559">
        <v>1420208</v>
      </c>
      <c r="C1559">
        <v>1421290</v>
      </c>
      <c r="E1559" t="s">
        <v>14</v>
      </c>
      <c r="F1559" t="s">
        <v>4108</v>
      </c>
      <c r="H1559">
        <v>0</v>
      </c>
      <c r="I1559" t="s">
        <v>16</v>
      </c>
    </row>
    <row r="1560" spans="1:9" x14ac:dyDescent="0.25">
      <c r="A1560" t="s">
        <v>13</v>
      </c>
      <c r="B1560">
        <v>1421488</v>
      </c>
      <c r="C1560">
        <v>1421560</v>
      </c>
      <c r="E1560" t="s">
        <v>28</v>
      </c>
      <c r="F1560" t="s">
        <v>464</v>
      </c>
      <c r="H1560">
        <v>0</v>
      </c>
      <c r="I1560" t="s">
        <v>133</v>
      </c>
    </row>
    <row r="1561" spans="1:9" x14ac:dyDescent="0.25">
      <c r="A1561" t="s">
        <v>13</v>
      </c>
      <c r="B1561">
        <v>1421598</v>
      </c>
      <c r="C1561">
        <v>1421936</v>
      </c>
      <c r="E1561" t="s">
        <v>28</v>
      </c>
      <c r="F1561" t="s">
        <v>41</v>
      </c>
      <c r="H1561">
        <v>0</v>
      </c>
      <c r="I1561" t="s">
        <v>16</v>
      </c>
    </row>
    <row r="1562" spans="1:9" x14ac:dyDescent="0.25">
      <c r="A1562" t="s">
        <v>13</v>
      </c>
      <c r="B1562">
        <v>1421999</v>
      </c>
      <c r="C1562">
        <v>1422637</v>
      </c>
      <c r="E1562" t="s">
        <v>14</v>
      </c>
      <c r="F1562" t="s">
        <v>4114</v>
      </c>
      <c r="H1562">
        <v>0</v>
      </c>
      <c r="I1562" t="s">
        <v>16</v>
      </c>
    </row>
    <row r="1563" spans="1:9" x14ac:dyDescent="0.25">
      <c r="A1563" t="s">
        <v>13</v>
      </c>
      <c r="B1563">
        <v>1422634</v>
      </c>
      <c r="C1563">
        <v>1423377</v>
      </c>
      <c r="E1563" t="s">
        <v>14</v>
      </c>
      <c r="F1563" t="s">
        <v>41</v>
      </c>
      <c r="H1563">
        <v>0</v>
      </c>
      <c r="I1563" t="s">
        <v>16</v>
      </c>
    </row>
    <row r="1564" spans="1:9" x14ac:dyDescent="0.25">
      <c r="A1564" t="s">
        <v>13</v>
      </c>
      <c r="B1564">
        <v>1423370</v>
      </c>
      <c r="C1564">
        <v>1424188</v>
      </c>
      <c r="E1564" t="s">
        <v>14</v>
      </c>
      <c r="F1564" t="s">
        <v>4119</v>
      </c>
      <c r="H1564">
        <v>0</v>
      </c>
      <c r="I1564" t="s">
        <v>16</v>
      </c>
    </row>
    <row r="1565" spans="1:9" x14ac:dyDescent="0.25">
      <c r="A1565" t="s">
        <v>13</v>
      </c>
      <c r="B1565">
        <v>1424368</v>
      </c>
      <c r="C1565">
        <v>1424706</v>
      </c>
      <c r="E1565" t="s">
        <v>14</v>
      </c>
      <c r="F1565" t="s">
        <v>4122</v>
      </c>
      <c r="H1565">
        <v>0</v>
      </c>
      <c r="I1565" t="s">
        <v>16</v>
      </c>
    </row>
    <row r="1566" spans="1:9" x14ac:dyDescent="0.25">
      <c r="A1566" t="s">
        <v>13</v>
      </c>
      <c r="B1566">
        <v>1424697</v>
      </c>
      <c r="C1566">
        <v>1425242</v>
      </c>
      <c r="E1566" t="s">
        <v>14</v>
      </c>
      <c r="F1566" t="s">
        <v>4125</v>
      </c>
      <c r="H1566">
        <v>0</v>
      </c>
      <c r="I1566" t="s">
        <v>16</v>
      </c>
    </row>
    <row r="1567" spans="1:9" x14ac:dyDescent="0.25">
      <c r="A1567" t="s">
        <v>13</v>
      </c>
      <c r="B1567">
        <v>1425246</v>
      </c>
      <c r="C1567">
        <v>1425866</v>
      </c>
      <c r="E1567" t="s">
        <v>14</v>
      </c>
      <c r="F1567" t="s">
        <v>4128</v>
      </c>
      <c r="H1567">
        <v>0</v>
      </c>
      <c r="I1567" t="s">
        <v>16</v>
      </c>
    </row>
    <row r="1568" spans="1:9" x14ac:dyDescent="0.25">
      <c r="A1568" t="s">
        <v>13</v>
      </c>
      <c r="B1568">
        <v>1425863</v>
      </c>
      <c r="C1568">
        <v>1427083</v>
      </c>
      <c r="E1568" t="s">
        <v>14</v>
      </c>
      <c r="F1568" t="s">
        <v>4131</v>
      </c>
      <c r="H1568">
        <v>0</v>
      </c>
      <c r="I1568" t="s">
        <v>16</v>
      </c>
    </row>
    <row r="1569" spans="1:9" x14ac:dyDescent="0.25">
      <c r="A1569" t="s">
        <v>13</v>
      </c>
      <c r="B1569">
        <v>1427092</v>
      </c>
      <c r="C1569">
        <v>1427637</v>
      </c>
      <c r="E1569" t="s">
        <v>14</v>
      </c>
      <c r="F1569" t="s">
        <v>4134</v>
      </c>
      <c r="H1569">
        <v>0</v>
      </c>
      <c r="I1569" t="s">
        <v>16</v>
      </c>
    </row>
    <row r="1570" spans="1:9" x14ac:dyDescent="0.25">
      <c r="A1570" t="s">
        <v>13</v>
      </c>
      <c r="B1570">
        <v>1427634</v>
      </c>
      <c r="C1570">
        <v>1428947</v>
      </c>
      <c r="E1570" t="s">
        <v>14</v>
      </c>
      <c r="F1570" t="s">
        <v>2727</v>
      </c>
      <c r="H1570">
        <v>0</v>
      </c>
      <c r="I1570" t="s">
        <v>16</v>
      </c>
    </row>
    <row r="1571" spans="1:9" x14ac:dyDescent="0.25">
      <c r="A1571" t="s">
        <v>13</v>
      </c>
      <c r="B1571">
        <v>1428950</v>
      </c>
      <c r="C1571">
        <v>1431301</v>
      </c>
      <c r="E1571" t="s">
        <v>14</v>
      </c>
      <c r="F1571" t="s">
        <v>4139</v>
      </c>
      <c r="H1571">
        <v>0</v>
      </c>
      <c r="I1571" t="s">
        <v>16</v>
      </c>
    </row>
    <row r="1572" spans="1:9" x14ac:dyDescent="0.25">
      <c r="A1572" t="s">
        <v>13</v>
      </c>
      <c r="B1572">
        <v>1431298</v>
      </c>
      <c r="C1572">
        <v>1432389</v>
      </c>
      <c r="E1572" t="s">
        <v>14</v>
      </c>
      <c r="F1572" t="s">
        <v>4142</v>
      </c>
      <c r="H1572">
        <v>0</v>
      </c>
      <c r="I1572" t="s">
        <v>16</v>
      </c>
    </row>
    <row r="1573" spans="1:9" x14ac:dyDescent="0.25">
      <c r="A1573" t="s">
        <v>13</v>
      </c>
      <c r="B1573">
        <v>1432386</v>
      </c>
      <c r="C1573">
        <v>1432934</v>
      </c>
      <c r="E1573" t="s">
        <v>14</v>
      </c>
      <c r="F1573" t="s">
        <v>4145</v>
      </c>
      <c r="H1573">
        <v>0</v>
      </c>
      <c r="I1573" t="s">
        <v>16</v>
      </c>
    </row>
    <row r="1574" spans="1:9" x14ac:dyDescent="0.25">
      <c r="A1574" t="s">
        <v>13</v>
      </c>
      <c r="B1574">
        <v>1432931</v>
      </c>
      <c r="C1574">
        <v>1433464</v>
      </c>
      <c r="E1574" t="s">
        <v>14</v>
      </c>
      <c r="F1574" t="s">
        <v>4148</v>
      </c>
      <c r="H1574">
        <v>0</v>
      </c>
      <c r="I1574" t="s">
        <v>16</v>
      </c>
    </row>
    <row r="1575" spans="1:9" x14ac:dyDescent="0.25">
      <c r="A1575" t="s">
        <v>13</v>
      </c>
      <c r="B1575">
        <v>1433461</v>
      </c>
      <c r="C1575">
        <v>1433748</v>
      </c>
      <c r="E1575" t="s">
        <v>14</v>
      </c>
      <c r="F1575" t="s">
        <v>4151</v>
      </c>
      <c r="H1575">
        <v>0</v>
      </c>
      <c r="I1575" t="s">
        <v>16</v>
      </c>
    </row>
    <row r="1576" spans="1:9" x14ac:dyDescent="0.25">
      <c r="A1576" t="s">
        <v>13</v>
      </c>
      <c r="B1576">
        <v>1433750</v>
      </c>
      <c r="C1576">
        <v>1435570</v>
      </c>
      <c r="E1576" t="s">
        <v>14</v>
      </c>
      <c r="F1576" t="s">
        <v>4154</v>
      </c>
      <c r="H1576">
        <v>0</v>
      </c>
      <c r="I1576" t="s">
        <v>16</v>
      </c>
    </row>
    <row r="1577" spans="1:9" x14ac:dyDescent="0.25">
      <c r="A1577" t="s">
        <v>13</v>
      </c>
      <c r="B1577">
        <v>1435564</v>
      </c>
      <c r="C1577">
        <v>1436973</v>
      </c>
      <c r="E1577" t="s">
        <v>14</v>
      </c>
      <c r="F1577" t="s">
        <v>4157</v>
      </c>
      <c r="H1577">
        <v>0</v>
      </c>
      <c r="I1577" t="s">
        <v>16</v>
      </c>
    </row>
    <row r="1578" spans="1:9" x14ac:dyDescent="0.25">
      <c r="A1578" t="s">
        <v>13</v>
      </c>
      <c r="B1578">
        <v>1436970</v>
      </c>
      <c r="C1578">
        <v>1438250</v>
      </c>
      <c r="E1578" t="s">
        <v>14</v>
      </c>
      <c r="F1578" t="s">
        <v>4160</v>
      </c>
      <c r="H1578">
        <v>0</v>
      </c>
      <c r="I1578" t="s">
        <v>16</v>
      </c>
    </row>
    <row r="1579" spans="1:9" x14ac:dyDescent="0.25">
      <c r="A1579" t="s">
        <v>13</v>
      </c>
      <c r="B1579">
        <v>1438635</v>
      </c>
      <c r="C1579">
        <v>1440263</v>
      </c>
      <c r="E1579" t="s">
        <v>28</v>
      </c>
      <c r="F1579" t="s">
        <v>68</v>
      </c>
      <c r="H1579">
        <v>0</v>
      </c>
      <c r="I1579" t="s">
        <v>16</v>
      </c>
    </row>
    <row r="1580" spans="1:9" x14ac:dyDescent="0.25">
      <c r="A1580" t="s">
        <v>13</v>
      </c>
      <c r="B1580">
        <v>1440807</v>
      </c>
      <c r="C1580">
        <v>1443536</v>
      </c>
      <c r="E1580" t="s">
        <v>14</v>
      </c>
      <c r="F1580" t="s">
        <v>4165</v>
      </c>
      <c r="H1580">
        <v>0</v>
      </c>
      <c r="I1580" t="s">
        <v>16</v>
      </c>
    </row>
    <row r="1581" spans="1:9" x14ac:dyDescent="0.25">
      <c r="A1581" t="s">
        <v>13</v>
      </c>
      <c r="B1581">
        <v>1443597</v>
      </c>
      <c r="C1581">
        <v>1444262</v>
      </c>
      <c r="E1581" t="s">
        <v>28</v>
      </c>
      <c r="F1581" t="s">
        <v>4168</v>
      </c>
      <c r="H1581">
        <v>0</v>
      </c>
      <c r="I1581" t="s">
        <v>16</v>
      </c>
    </row>
    <row r="1582" spans="1:9" x14ac:dyDescent="0.25">
      <c r="A1582" t="s">
        <v>13</v>
      </c>
      <c r="B1582">
        <v>1444273</v>
      </c>
      <c r="C1582">
        <v>1445709</v>
      </c>
      <c r="E1582" t="s">
        <v>28</v>
      </c>
      <c r="F1582" t="s">
        <v>4171</v>
      </c>
      <c r="H1582">
        <v>0</v>
      </c>
      <c r="I1582" t="s">
        <v>16</v>
      </c>
    </row>
    <row r="1583" spans="1:9" x14ac:dyDescent="0.25">
      <c r="A1583" t="s">
        <v>13</v>
      </c>
      <c r="B1583">
        <v>1445721</v>
      </c>
      <c r="C1583">
        <v>1447457</v>
      </c>
      <c r="E1583" t="s">
        <v>28</v>
      </c>
      <c r="F1583" t="s">
        <v>4174</v>
      </c>
      <c r="H1583">
        <v>0</v>
      </c>
      <c r="I1583" t="s">
        <v>16</v>
      </c>
    </row>
    <row r="1584" spans="1:9" x14ac:dyDescent="0.25">
      <c r="A1584" t="s">
        <v>13</v>
      </c>
      <c r="B1584">
        <v>1447470</v>
      </c>
      <c r="C1584">
        <v>1447790</v>
      </c>
      <c r="E1584" t="s">
        <v>28</v>
      </c>
      <c r="F1584" t="s">
        <v>4177</v>
      </c>
      <c r="H1584">
        <v>0</v>
      </c>
      <c r="I1584" t="s">
        <v>16</v>
      </c>
    </row>
    <row r="1585" spans="1:9" x14ac:dyDescent="0.25">
      <c r="A1585" t="s">
        <v>13</v>
      </c>
      <c r="B1585">
        <v>1447787</v>
      </c>
      <c r="C1585">
        <v>1448758</v>
      </c>
      <c r="E1585" t="s">
        <v>28</v>
      </c>
      <c r="F1585" t="s">
        <v>4180</v>
      </c>
      <c r="H1585">
        <v>0</v>
      </c>
      <c r="I1585" t="s">
        <v>16</v>
      </c>
    </row>
    <row r="1586" spans="1:9" x14ac:dyDescent="0.25">
      <c r="A1586" t="s">
        <v>13</v>
      </c>
      <c r="B1586">
        <v>1448762</v>
      </c>
      <c r="C1586">
        <v>1449328</v>
      </c>
      <c r="E1586" t="s">
        <v>28</v>
      </c>
      <c r="F1586" t="s">
        <v>4183</v>
      </c>
      <c r="H1586">
        <v>0</v>
      </c>
      <c r="I1586" t="s">
        <v>16</v>
      </c>
    </row>
    <row r="1587" spans="1:9" x14ac:dyDescent="0.25">
      <c r="A1587" t="s">
        <v>13</v>
      </c>
      <c r="B1587">
        <v>1449385</v>
      </c>
      <c r="C1587">
        <v>1449684</v>
      </c>
      <c r="E1587" t="s">
        <v>28</v>
      </c>
      <c r="F1587" t="s">
        <v>4186</v>
      </c>
      <c r="H1587">
        <v>0</v>
      </c>
      <c r="I1587" t="s">
        <v>16</v>
      </c>
    </row>
    <row r="1588" spans="1:9" x14ac:dyDescent="0.25">
      <c r="A1588" t="s">
        <v>13</v>
      </c>
      <c r="B1588">
        <v>1449697</v>
      </c>
      <c r="C1588">
        <v>1451646</v>
      </c>
      <c r="E1588" t="s">
        <v>28</v>
      </c>
      <c r="F1588" t="s">
        <v>4189</v>
      </c>
      <c r="H1588">
        <v>0</v>
      </c>
      <c r="I1588" t="s">
        <v>16</v>
      </c>
    </row>
    <row r="1589" spans="1:9" x14ac:dyDescent="0.25">
      <c r="A1589" t="s">
        <v>13</v>
      </c>
      <c r="B1589">
        <v>1451643</v>
      </c>
      <c r="C1589">
        <v>1451957</v>
      </c>
      <c r="E1589" t="s">
        <v>28</v>
      </c>
      <c r="F1589" t="s">
        <v>4192</v>
      </c>
      <c r="H1589">
        <v>0</v>
      </c>
      <c r="I1589" t="s">
        <v>16</v>
      </c>
    </row>
    <row r="1590" spans="1:9" x14ac:dyDescent="0.25">
      <c r="A1590" t="s">
        <v>13</v>
      </c>
      <c r="B1590">
        <v>1452077</v>
      </c>
      <c r="C1590">
        <v>1452943</v>
      </c>
      <c r="E1590" t="s">
        <v>28</v>
      </c>
      <c r="F1590" t="s">
        <v>68</v>
      </c>
      <c r="H1590">
        <v>0</v>
      </c>
      <c r="I1590" t="s">
        <v>16</v>
      </c>
    </row>
    <row r="1591" spans="1:9" x14ac:dyDescent="0.25">
      <c r="A1591" t="s">
        <v>13</v>
      </c>
      <c r="B1591">
        <v>1453261</v>
      </c>
      <c r="C1591">
        <v>1453800</v>
      </c>
      <c r="E1591" t="s">
        <v>28</v>
      </c>
      <c r="F1591" t="s">
        <v>41</v>
      </c>
      <c r="H1591">
        <v>0</v>
      </c>
      <c r="I1591" t="s">
        <v>16</v>
      </c>
    </row>
    <row r="1592" spans="1:9" x14ac:dyDescent="0.25">
      <c r="A1592" t="s">
        <v>13</v>
      </c>
      <c r="B1592">
        <v>1454172</v>
      </c>
      <c r="C1592">
        <v>1454606</v>
      </c>
      <c r="E1592" t="s">
        <v>28</v>
      </c>
      <c r="F1592" t="s">
        <v>41</v>
      </c>
      <c r="H1592">
        <v>0</v>
      </c>
      <c r="I1592" t="s">
        <v>16</v>
      </c>
    </row>
    <row r="1593" spans="1:9" x14ac:dyDescent="0.25">
      <c r="A1593" t="s">
        <v>13</v>
      </c>
      <c r="B1593">
        <v>1454850</v>
      </c>
      <c r="C1593">
        <v>1456370</v>
      </c>
      <c r="E1593" t="s">
        <v>28</v>
      </c>
      <c r="F1593" t="s">
        <v>41</v>
      </c>
      <c r="H1593">
        <v>0</v>
      </c>
      <c r="I1593" t="s">
        <v>16</v>
      </c>
    </row>
    <row r="1594" spans="1:9" x14ac:dyDescent="0.25">
      <c r="A1594" t="s">
        <v>13</v>
      </c>
      <c r="B1594">
        <v>1456887</v>
      </c>
      <c r="C1594">
        <v>1457189</v>
      </c>
      <c r="E1594" t="s">
        <v>28</v>
      </c>
      <c r="F1594" t="s">
        <v>41</v>
      </c>
      <c r="H1594">
        <v>0</v>
      </c>
      <c r="I1594" t="s">
        <v>16</v>
      </c>
    </row>
    <row r="1595" spans="1:9" x14ac:dyDescent="0.25">
      <c r="A1595" t="s">
        <v>13</v>
      </c>
      <c r="B1595">
        <v>1457189</v>
      </c>
      <c r="C1595">
        <v>1458523</v>
      </c>
      <c r="E1595" t="s">
        <v>28</v>
      </c>
      <c r="F1595" t="s">
        <v>41</v>
      </c>
      <c r="H1595">
        <v>0</v>
      </c>
      <c r="I1595" t="s">
        <v>16</v>
      </c>
    </row>
    <row r="1596" spans="1:9" x14ac:dyDescent="0.25">
      <c r="A1596" t="s">
        <v>13</v>
      </c>
      <c r="B1596">
        <v>1458548</v>
      </c>
      <c r="C1596">
        <v>1459693</v>
      </c>
      <c r="E1596" t="s">
        <v>14</v>
      </c>
      <c r="F1596" t="s">
        <v>4207</v>
      </c>
      <c r="H1596">
        <v>0</v>
      </c>
      <c r="I1596" t="s">
        <v>16</v>
      </c>
    </row>
    <row r="1597" spans="1:9" x14ac:dyDescent="0.25">
      <c r="A1597" t="s">
        <v>13</v>
      </c>
      <c r="B1597">
        <v>1459641</v>
      </c>
      <c r="C1597">
        <v>1460219</v>
      </c>
      <c r="E1597" t="s">
        <v>28</v>
      </c>
      <c r="F1597" t="s">
        <v>41</v>
      </c>
      <c r="H1597">
        <v>0</v>
      </c>
      <c r="I1597" t="s">
        <v>16</v>
      </c>
    </row>
    <row r="1598" spans="1:9" x14ac:dyDescent="0.25">
      <c r="A1598" t="s">
        <v>13</v>
      </c>
      <c r="B1598">
        <v>1460077</v>
      </c>
      <c r="C1598">
        <v>1460286</v>
      </c>
      <c r="E1598" t="s">
        <v>14</v>
      </c>
      <c r="F1598" t="s">
        <v>41</v>
      </c>
      <c r="H1598">
        <v>0</v>
      </c>
      <c r="I1598" t="s">
        <v>16</v>
      </c>
    </row>
    <row r="1599" spans="1:9" x14ac:dyDescent="0.25">
      <c r="A1599" t="s">
        <v>13</v>
      </c>
      <c r="B1599">
        <v>1460283</v>
      </c>
      <c r="C1599">
        <v>1460648</v>
      </c>
      <c r="E1599" t="s">
        <v>14</v>
      </c>
      <c r="F1599" t="s">
        <v>41</v>
      </c>
      <c r="H1599">
        <v>0</v>
      </c>
      <c r="I1599" t="s">
        <v>16</v>
      </c>
    </row>
    <row r="1600" spans="1:9" x14ac:dyDescent="0.25">
      <c r="A1600" t="s">
        <v>13</v>
      </c>
      <c r="B1600">
        <v>1460669</v>
      </c>
      <c r="C1600">
        <v>1461343</v>
      </c>
      <c r="E1600" t="s">
        <v>14</v>
      </c>
      <c r="F1600" t="s">
        <v>4216</v>
      </c>
      <c r="H1600">
        <v>0</v>
      </c>
      <c r="I1600" t="s">
        <v>16</v>
      </c>
    </row>
    <row r="1601" spans="1:9" x14ac:dyDescent="0.25">
      <c r="A1601" t="s">
        <v>13</v>
      </c>
      <c r="B1601">
        <v>1461336</v>
      </c>
      <c r="C1601">
        <v>1462160</v>
      </c>
      <c r="E1601" t="s">
        <v>14</v>
      </c>
      <c r="F1601" t="s">
        <v>4219</v>
      </c>
      <c r="H1601">
        <v>0</v>
      </c>
      <c r="I1601" t="s">
        <v>16</v>
      </c>
    </row>
    <row r="1602" spans="1:9" x14ac:dyDescent="0.25">
      <c r="A1602" t="s">
        <v>13</v>
      </c>
      <c r="B1602">
        <v>1462163</v>
      </c>
      <c r="C1602">
        <v>1464055</v>
      </c>
      <c r="E1602" t="s">
        <v>14</v>
      </c>
      <c r="F1602" t="s">
        <v>4222</v>
      </c>
      <c r="H1602">
        <v>0</v>
      </c>
      <c r="I1602" t="s">
        <v>16</v>
      </c>
    </row>
    <row r="1603" spans="1:9" x14ac:dyDescent="0.25">
      <c r="A1603" t="s">
        <v>13</v>
      </c>
      <c r="B1603">
        <v>1464052</v>
      </c>
      <c r="C1603">
        <v>1466433</v>
      </c>
      <c r="E1603" t="s">
        <v>14</v>
      </c>
      <c r="F1603" t="s">
        <v>41</v>
      </c>
      <c r="H1603">
        <v>0</v>
      </c>
      <c r="I1603" t="s">
        <v>16</v>
      </c>
    </row>
    <row r="1604" spans="1:9" x14ac:dyDescent="0.25">
      <c r="A1604" t="s">
        <v>13</v>
      </c>
      <c r="B1604">
        <v>1466387</v>
      </c>
      <c r="C1604">
        <v>1467871</v>
      </c>
      <c r="E1604" t="s">
        <v>28</v>
      </c>
      <c r="F1604" t="s">
        <v>4227</v>
      </c>
      <c r="H1604">
        <v>0</v>
      </c>
      <c r="I1604" t="s">
        <v>16</v>
      </c>
    </row>
    <row r="1605" spans="1:9" x14ac:dyDescent="0.25">
      <c r="A1605" t="s">
        <v>13</v>
      </c>
      <c r="B1605">
        <v>1467861</v>
      </c>
      <c r="C1605">
        <v>1468919</v>
      </c>
      <c r="E1605" t="s">
        <v>28</v>
      </c>
      <c r="F1605" t="s">
        <v>41</v>
      </c>
      <c r="H1605">
        <v>0</v>
      </c>
      <c r="I1605" t="s">
        <v>16</v>
      </c>
    </row>
    <row r="1606" spans="1:9" x14ac:dyDescent="0.25">
      <c r="A1606" t="s">
        <v>13</v>
      </c>
      <c r="B1606">
        <v>1468982</v>
      </c>
      <c r="C1606">
        <v>1469067</v>
      </c>
      <c r="E1606" t="s">
        <v>28</v>
      </c>
      <c r="F1606" t="s">
        <v>686</v>
      </c>
      <c r="H1606">
        <v>0</v>
      </c>
      <c r="I1606" t="s">
        <v>133</v>
      </c>
    </row>
    <row r="1607" spans="1:9" x14ac:dyDescent="0.25">
      <c r="A1607" t="s">
        <v>13</v>
      </c>
      <c r="B1607">
        <v>1469085</v>
      </c>
      <c r="C1607">
        <v>1470236</v>
      </c>
      <c r="E1607" t="s">
        <v>28</v>
      </c>
      <c r="F1607" t="s">
        <v>599</v>
      </c>
      <c r="H1607">
        <v>0</v>
      </c>
      <c r="I1607" t="s">
        <v>16</v>
      </c>
    </row>
    <row r="1608" spans="1:9" x14ac:dyDescent="0.25">
      <c r="A1608" t="s">
        <v>13</v>
      </c>
      <c r="B1608">
        <v>1470272</v>
      </c>
      <c r="C1608">
        <v>1471684</v>
      </c>
      <c r="E1608" t="s">
        <v>28</v>
      </c>
      <c r="F1608" t="s">
        <v>41</v>
      </c>
      <c r="H1608">
        <v>0</v>
      </c>
      <c r="I1608" t="s">
        <v>16</v>
      </c>
    </row>
    <row r="1609" spans="1:9" x14ac:dyDescent="0.25">
      <c r="A1609" t="s">
        <v>13</v>
      </c>
      <c r="B1609">
        <v>1471710</v>
      </c>
      <c r="C1609">
        <v>1472507</v>
      </c>
      <c r="E1609" t="s">
        <v>28</v>
      </c>
      <c r="F1609" t="s">
        <v>3322</v>
      </c>
      <c r="H1609">
        <v>0</v>
      </c>
      <c r="I1609" t="s">
        <v>16</v>
      </c>
    </row>
    <row r="1610" spans="1:9" x14ac:dyDescent="0.25">
      <c r="A1610" t="s">
        <v>13</v>
      </c>
      <c r="B1610">
        <v>1472504</v>
      </c>
      <c r="C1610">
        <v>1473742</v>
      </c>
      <c r="E1610" t="s">
        <v>28</v>
      </c>
      <c r="F1610" t="s">
        <v>4239</v>
      </c>
      <c r="H1610">
        <v>0</v>
      </c>
      <c r="I1610" t="s">
        <v>16</v>
      </c>
    </row>
    <row r="1611" spans="1:9" x14ac:dyDescent="0.25">
      <c r="A1611" t="s">
        <v>13</v>
      </c>
      <c r="B1611">
        <v>1473750</v>
      </c>
      <c r="C1611">
        <v>1474346</v>
      </c>
      <c r="E1611" t="s">
        <v>28</v>
      </c>
      <c r="F1611" t="s">
        <v>41</v>
      </c>
      <c r="H1611">
        <v>0</v>
      </c>
      <c r="I1611" t="s">
        <v>16</v>
      </c>
    </row>
    <row r="1612" spans="1:9" x14ac:dyDescent="0.25">
      <c r="A1612" t="s">
        <v>13</v>
      </c>
      <c r="B1612">
        <v>1474351</v>
      </c>
      <c r="C1612">
        <v>1475412</v>
      </c>
      <c r="E1612" t="s">
        <v>28</v>
      </c>
      <c r="F1612" t="s">
        <v>41</v>
      </c>
      <c r="H1612">
        <v>0</v>
      </c>
      <c r="I1612" t="s">
        <v>16</v>
      </c>
    </row>
    <row r="1613" spans="1:9" x14ac:dyDescent="0.25">
      <c r="A1613" t="s">
        <v>13</v>
      </c>
      <c r="B1613">
        <v>1475491</v>
      </c>
      <c r="C1613">
        <v>1475859</v>
      </c>
      <c r="E1613" t="s">
        <v>14</v>
      </c>
      <c r="F1613" t="s">
        <v>41</v>
      </c>
      <c r="H1613">
        <v>0</v>
      </c>
      <c r="I1613" t="s">
        <v>16</v>
      </c>
    </row>
    <row r="1614" spans="1:9" x14ac:dyDescent="0.25">
      <c r="A1614" t="s">
        <v>13</v>
      </c>
      <c r="B1614">
        <v>1475964</v>
      </c>
      <c r="C1614">
        <v>1476470</v>
      </c>
      <c r="E1614" t="s">
        <v>14</v>
      </c>
      <c r="F1614" t="s">
        <v>4248</v>
      </c>
      <c r="H1614">
        <v>0</v>
      </c>
      <c r="I1614" t="s">
        <v>16</v>
      </c>
    </row>
    <row r="1615" spans="1:9" x14ac:dyDescent="0.25">
      <c r="A1615" t="s">
        <v>13</v>
      </c>
      <c r="B1615">
        <v>1476636</v>
      </c>
      <c r="C1615">
        <v>1477505</v>
      </c>
      <c r="E1615" t="s">
        <v>14</v>
      </c>
      <c r="F1615" t="s">
        <v>4251</v>
      </c>
      <c r="H1615">
        <v>0</v>
      </c>
      <c r="I1615" t="s">
        <v>16</v>
      </c>
    </row>
    <row r="1616" spans="1:9" x14ac:dyDescent="0.25">
      <c r="A1616" t="s">
        <v>13</v>
      </c>
      <c r="B1616">
        <v>1477509</v>
      </c>
      <c r="C1616">
        <v>1478183</v>
      </c>
      <c r="E1616" t="s">
        <v>14</v>
      </c>
      <c r="F1616" t="s">
        <v>4254</v>
      </c>
      <c r="H1616">
        <v>0</v>
      </c>
      <c r="I1616" t="s">
        <v>16</v>
      </c>
    </row>
    <row r="1617" spans="1:9" x14ac:dyDescent="0.25">
      <c r="A1617" t="s">
        <v>13</v>
      </c>
      <c r="B1617">
        <v>1478153</v>
      </c>
      <c r="C1617">
        <v>1479151</v>
      </c>
      <c r="E1617" t="s">
        <v>14</v>
      </c>
      <c r="F1617" t="s">
        <v>4257</v>
      </c>
      <c r="H1617">
        <v>0</v>
      </c>
      <c r="I1617" t="s">
        <v>16</v>
      </c>
    </row>
    <row r="1618" spans="1:9" x14ac:dyDescent="0.25">
      <c r="A1618" t="s">
        <v>13</v>
      </c>
      <c r="B1618">
        <v>1479619</v>
      </c>
      <c r="C1618">
        <v>1479939</v>
      </c>
      <c r="E1618" t="s">
        <v>28</v>
      </c>
      <c r="F1618" t="s">
        <v>41</v>
      </c>
      <c r="H1618">
        <v>0</v>
      </c>
      <c r="I1618" t="s">
        <v>16</v>
      </c>
    </row>
    <row r="1619" spans="1:9" x14ac:dyDescent="0.25">
      <c r="A1619" t="s">
        <v>13</v>
      </c>
      <c r="B1619">
        <v>1479986</v>
      </c>
      <c r="C1619">
        <v>1481242</v>
      </c>
      <c r="E1619" t="s">
        <v>14</v>
      </c>
      <c r="F1619" t="s">
        <v>4262</v>
      </c>
      <c r="H1619">
        <v>0</v>
      </c>
      <c r="I1619" t="s">
        <v>16</v>
      </c>
    </row>
    <row r="1620" spans="1:9" x14ac:dyDescent="0.25">
      <c r="A1620" t="s">
        <v>13</v>
      </c>
      <c r="B1620">
        <v>1481267</v>
      </c>
      <c r="C1620">
        <v>1483012</v>
      </c>
      <c r="E1620" t="s">
        <v>14</v>
      </c>
      <c r="F1620" t="s">
        <v>4265</v>
      </c>
      <c r="H1620">
        <v>0</v>
      </c>
      <c r="I1620" t="s">
        <v>16</v>
      </c>
    </row>
    <row r="1621" spans="1:9" x14ac:dyDescent="0.25">
      <c r="A1621" t="s">
        <v>13</v>
      </c>
      <c r="B1621">
        <v>1483023</v>
      </c>
      <c r="C1621">
        <v>1483898</v>
      </c>
      <c r="E1621" t="s">
        <v>14</v>
      </c>
      <c r="F1621" t="s">
        <v>4268</v>
      </c>
      <c r="H1621">
        <v>0</v>
      </c>
      <c r="I1621" t="s">
        <v>16</v>
      </c>
    </row>
    <row r="1622" spans="1:9" x14ac:dyDescent="0.25">
      <c r="A1622" t="s">
        <v>13</v>
      </c>
      <c r="B1622">
        <v>1483961</v>
      </c>
      <c r="C1622">
        <v>1484788</v>
      </c>
      <c r="E1622" t="s">
        <v>14</v>
      </c>
      <c r="F1622" t="s">
        <v>84</v>
      </c>
      <c r="H1622">
        <v>0</v>
      </c>
      <c r="I1622" t="s">
        <v>16</v>
      </c>
    </row>
    <row r="1623" spans="1:9" x14ac:dyDescent="0.25">
      <c r="A1623" t="s">
        <v>13</v>
      </c>
      <c r="B1623">
        <v>1484801</v>
      </c>
      <c r="C1623">
        <v>1486117</v>
      </c>
      <c r="E1623" t="s">
        <v>14</v>
      </c>
      <c r="F1623" t="s">
        <v>4273</v>
      </c>
      <c r="H1623">
        <v>0</v>
      </c>
      <c r="I1623" t="s">
        <v>16</v>
      </c>
    </row>
    <row r="1624" spans="1:9" x14ac:dyDescent="0.25">
      <c r="A1624" t="s">
        <v>13</v>
      </c>
      <c r="B1624">
        <v>1486432</v>
      </c>
      <c r="C1624">
        <v>1487007</v>
      </c>
      <c r="E1624" t="s">
        <v>28</v>
      </c>
      <c r="F1624" t="s">
        <v>4276</v>
      </c>
      <c r="H1624">
        <v>0</v>
      </c>
      <c r="I1624" t="s">
        <v>16</v>
      </c>
    </row>
    <row r="1625" spans="1:9" x14ac:dyDescent="0.25">
      <c r="A1625" t="s">
        <v>13</v>
      </c>
      <c r="B1625">
        <v>1487015</v>
      </c>
      <c r="C1625">
        <v>1487875</v>
      </c>
      <c r="E1625" t="s">
        <v>28</v>
      </c>
      <c r="F1625" t="s">
        <v>4279</v>
      </c>
      <c r="H1625">
        <v>0</v>
      </c>
      <c r="I1625" t="s">
        <v>16</v>
      </c>
    </row>
    <row r="1626" spans="1:9" x14ac:dyDescent="0.25">
      <c r="A1626" t="s">
        <v>13</v>
      </c>
      <c r="B1626">
        <v>1487872</v>
      </c>
      <c r="C1626">
        <v>1488387</v>
      </c>
      <c r="E1626" t="s">
        <v>28</v>
      </c>
      <c r="F1626" t="s">
        <v>41</v>
      </c>
      <c r="H1626">
        <v>0</v>
      </c>
      <c r="I1626" t="s">
        <v>16</v>
      </c>
    </row>
    <row r="1627" spans="1:9" x14ac:dyDescent="0.25">
      <c r="A1627" t="s">
        <v>13</v>
      </c>
      <c r="B1627">
        <v>1488384</v>
      </c>
      <c r="C1627">
        <v>1488917</v>
      </c>
      <c r="E1627" t="s">
        <v>28</v>
      </c>
      <c r="F1627" t="s">
        <v>41</v>
      </c>
      <c r="H1627">
        <v>0</v>
      </c>
      <c r="I1627" t="s">
        <v>16</v>
      </c>
    </row>
    <row r="1628" spans="1:9" x14ac:dyDescent="0.25">
      <c r="A1628" t="s">
        <v>13</v>
      </c>
      <c r="B1628">
        <v>1488919</v>
      </c>
      <c r="C1628">
        <v>1489542</v>
      </c>
      <c r="E1628" t="s">
        <v>28</v>
      </c>
      <c r="F1628" t="s">
        <v>4286</v>
      </c>
      <c r="H1628">
        <v>0</v>
      </c>
      <c r="I1628" t="s">
        <v>16</v>
      </c>
    </row>
    <row r="1629" spans="1:9" x14ac:dyDescent="0.25">
      <c r="A1629" t="s">
        <v>13</v>
      </c>
      <c r="B1629">
        <v>1489621</v>
      </c>
      <c r="C1629">
        <v>1490403</v>
      </c>
      <c r="E1629" t="s">
        <v>28</v>
      </c>
      <c r="F1629" t="s">
        <v>4289</v>
      </c>
      <c r="H1629">
        <v>0</v>
      </c>
      <c r="I1629" t="s">
        <v>16</v>
      </c>
    </row>
    <row r="1630" spans="1:9" x14ac:dyDescent="0.25">
      <c r="A1630" t="s">
        <v>13</v>
      </c>
      <c r="B1630">
        <v>1490556</v>
      </c>
      <c r="C1630">
        <v>1491323</v>
      </c>
      <c r="E1630" t="s">
        <v>14</v>
      </c>
      <c r="F1630" t="s">
        <v>41</v>
      </c>
      <c r="H1630">
        <v>0</v>
      </c>
      <c r="I1630" t="s">
        <v>16</v>
      </c>
    </row>
    <row r="1631" spans="1:9" x14ac:dyDescent="0.25">
      <c r="A1631" t="s">
        <v>13</v>
      </c>
      <c r="B1631">
        <v>1491241</v>
      </c>
      <c r="C1631">
        <v>1492761</v>
      </c>
      <c r="E1631" t="s">
        <v>28</v>
      </c>
      <c r="F1631" t="s">
        <v>4294</v>
      </c>
      <c r="H1631">
        <v>0</v>
      </c>
      <c r="I1631" t="s">
        <v>16</v>
      </c>
    </row>
    <row r="1632" spans="1:9" x14ac:dyDescent="0.25">
      <c r="A1632" t="s">
        <v>13</v>
      </c>
      <c r="B1632">
        <v>1492785</v>
      </c>
      <c r="C1632">
        <v>1494188</v>
      </c>
      <c r="E1632" t="s">
        <v>14</v>
      </c>
      <c r="F1632" t="s">
        <v>4297</v>
      </c>
      <c r="H1632">
        <v>0</v>
      </c>
      <c r="I1632" t="s">
        <v>16</v>
      </c>
    </row>
    <row r="1633" spans="1:9" x14ac:dyDescent="0.25">
      <c r="A1633" t="s">
        <v>13</v>
      </c>
      <c r="B1633">
        <v>1494103</v>
      </c>
      <c r="C1633">
        <v>1495368</v>
      </c>
      <c r="E1633" t="s">
        <v>28</v>
      </c>
      <c r="F1633" t="s">
        <v>41</v>
      </c>
      <c r="H1633">
        <v>0</v>
      </c>
      <c r="I1633" t="s">
        <v>16</v>
      </c>
    </row>
    <row r="1634" spans="1:9" x14ac:dyDescent="0.25">
      <c r="A1634" t="s">
        <v>13</v>
      </c>
      <c r="B1634">
        <v>1495834</v>
      </c>
      <c r="C1634">
        <v>1496547</v>
      </c>
      <c r="E1634" t="s">
        <v>28</v>
      </c>
      <c r="F1634" t="s">
        <v>4302</v>
      </c>
      <c r="H1634">
        <v>0</v>
      </c>
      <c r="I1634" t="s">
        <v>16</v>
      </c>
    </row>
    <row r="1635" spans="1:9" x14ac:dyDescent="0.25">
      <c r="A1635" t="s">
        <v>13</v>
      </c>
      <c r="B1635">
        <v>1496595</v>
      </c>
      <c r="C1635">
        <v>1497260</v>
      </c>
      <c r="E1635" t="s">
        <v>28</v>
      </c>
      <c r="F1635" t="s">
        <v>41</v>
      </c>
      <c r="H1635">
        <v>0</v>
      </c>
      <c r="I1635" t="s">
        <v>16</v>
      </c>
    </row>
    <row r="1636" spans="1:9" x14ac:dyDescent="0.25">
      <c r="A1636" t="s">
        <v>13</v>
      </c>
      <c r="B1636">
        <v>1497317</v>
      </c>
      <c r="C1636">
        <v>1498558</v>
      </c>
      <c r="E1636" t="s">
        <v>28</v>
      </c>
      <c r="F1636" t="s">
        <v>4307</v>
      </c>
      <c r="H1636">
        <v>0</v>
      </c>
      <c r="I1636" t="s">
        <v>16</v>
      </c>
    </row>
    <row r="1637" spans="1:9" x14ac:dyDescent="0.25">
      <c r="A1637" t="s">
        <v>13</v>
      </c>
      <c r="B1637">
        <v>1498566</v>
      </c>
      <c r="C1637">
        <v>1500584</v>
      </c>
      <c r="E1637" t="s">
        <v>28</v>
      </c>
      <c r="F1637" t="s">
        <v>4310</v>
      </c>
      <c r="H1637">
        <v>0</v>
      </c>
      <c r="I1637" t="s">
        <v>16</v>
      </c>
    </row>
    <row r="1638" spans="1:9" x14ac:dyDescent="0.25">
      <c r="A1638" t="s">
        <v>13</v>
      </c>
      <c r="B1638">
        <v>1500652</v>
      </c>
      <c r="C1638">
        <v>1501023</v>
      </c>
      <c r="E1638" t="s">
        <v>28</v>
      </c>
      <c r="F1638" t="s">
        <v>4313</v>
      </c>
      <c r="H1638">
        <v>0</v>
      </c>
      <c r="I1638" t="s">
        <v>16</v>
      </c>
    </row>
    <row r="1639" spans="1:9" x14ac:dyDescent="0.25">
      <c r="A1639" t="s">
        <v>13</v>
      </c>
      <c r="B1639">
        <v>1501004</v>
      </c>
      <c r="C1639">
        <v>1501885</v>
      </c>
      <c r="E1639" t="s">
        <v>28</v>
      </c>
      <c r="F1639" t="s">
        <v>4316</v>
      </c>
      <c r="H1639">
        <v>0</v>
      </c>
      <c r="I1639" t="s">
        <v>16</v>
      </c>
    </row>
    <row r="1640" spans="1:9" x14ac:dyDescent="0.25">
      <c r="A1640" t="s">
        <v>13</v>
      </c>
      <c r="B1640">
        <v>1501977</v>
      </c>
      <c r="C1640">
        <v>1503161</v>
      </c>
      <c r="E1640" t="s">
        <v>28</v>
      </c>
      <c r="F1640" t="s">
        <v>621</v>
      </c>
      <c r="H1640">
        <v>0</v>
      </c>
      <c r="I1640" t="s">
        <v>16</v>
      </c>
    </row>
    <row r="1641" spans="1:9" x14ac:dyDescent="0.25">
      <c r="A1641" t="s">
        <v>13</v>
      </c>
      <c r="B1641">
        <v>1503235</v>
      </c>
      <c r="C1641">
        <v>1504515</v>
      </c>
      <c r="E1641" t="s">
        <v>28</v>
      </c>
      <c r="F1641" t="s">
        <v>4321</v>
      </c>
      <c r="H1641">
        <v>0</v>
      </c>
      <c r="I1641" t="s">
        <v>16</v>
      </c>
    </row>
    <row r="1642" spans="1:9" x14ac:dyDescent="0.25">
      <c r="A1642" t="s">
        <v>13</v>
      </c>
      <c r="B1642">
        <v>1504512</v>
      </c>
      <c r="C1642">
        <v>1505177</v>
      </c>
      <c r="E1642" t="s">
        <v>28</v>
      </c>
      <c r="F1642" t="s">
        <v>4324</v>
      </c>
      <c r="H1642">
        <v>0</v>
      </c>
      <c r="I1642" t="s">
        <v>16</v>
      </c>
    </row>
    <row r="1643" spans="1:9" x14ac:dyDescent="0.25">
      <c r="A1643" t="s">
        <v>13</v>
      </c>
      <c r="B1643">
        <v>1505582</v>
      </c>
      <c r="C1643">
        <v>1508725</v>
      </c>
      <c r="E1643" t="s">
        <v>14</v>
      </c>
      <c r="F1643" t="s">
        <v>4327</v>
      </c>
      <c r="H1643">
        <v>0</v>
      </c>
      <c r="I1643" t="s">
        <v>16</v>
      </c>
    </row>
    <row r="1644" spans="1:9" x14ac:dyDescent="0.25">
      <c r="A1644" t="s">
        <v>13</v>
      </c>
      <c r="B1644">
        <v>1508718</v>
      </c>
      <c r="C1644">
        <v>1509272</v>
      </c>
      <c r="E1644" t="s">
        <v>14</v>
      </c>
      <c r="F1644" t="s">
        <v>41</v>
      </c>
      <c r="H1644">
        <v>0</v>
      </c>
      <c r="I1644" t="s">
        <v>16</v>
      </c>
    </row>
    <row r="1645" spans="1:9" x14ac:dyDescent="0.25">
      <c r="A1645" t="s">
        <v>13</v>
      </c>
      <c r="B1645">
        <v>1509280</v>
      </c>
      <c r="C1645">
        <v>1510317</v>
      </c>
      <c r="E1645" t="s">
        <v>14</v>
      </c>
      <c r="F1645" t="s">
        <v>4332</v>
      </c>
      <c r="H1645">
        <v>0</v>
      </c>
      <c r="I1645" t="s">
        <v>16</v>
      </c>
    </row>
    <row r="1646" spans="1:9" x14ac:dyDescent="0.25">
      <c r="A1646" t="s">
        <v>13</v>
      </c>
      <c r="B1646">
        <v>1510319</v>
      </c>
      <c r="C1646">
        <v>1510810</v>
      </c>
      <c r="E1646" t="s">
        <v>14</v>
      </c>
      <c r="F1646" t="s">
        <v>4335</v>
      </c>
      <c r="H1646">
        <v>0</v>
      </c>
      <c r="I1646" t="s">
        <v>16</v>
      </c>
    </row>
    <row r="1647" spans="1:9" x14ac:dyDescent="0.25">
      <c r="A1647" t="s">
        <v>13</v>
      </c>
      <c r="B1647">
        <v>1510810</v>
      </c>
      <c r="C1647">
        <v>1511640</v>
      </c>
      <c r="E1647" t="s">
        <v>14</v>
      </c>
      <c r="F1647" t="s">
        <v>4338</v>
      </c>
      <c r="H1647">
        <v>0</v>
      </c>
      <c r="I1647" t="s">
        <v>16</v>
      </c>
    </row>
    <row r="1648" spans="1:9" x14ac:dyDescent="0.25">
      <c r="A1648" t="s">
        <v>13</v>
      </c>
      <c r="B1648">
        <v>1511608</v>
      </c>
      <c r="C1648">
        <v>1511754</v>
      </c>
      <c r="E1648" t="s">
        <v>28</v>
      </c>
      <c r="F1648" t="s">
        <v>41</v>
      </c>
      <c r="H1648">
        <v>0</v>
      </c>
      <c r="I1648" t="s">
        <v>16</v>
      </c>
    </row>
    <row r="1649" spans="1:9" x14ac:dyDescent="0.25">
      <c r="A1649" t="s">
        <v>13</v>
      </c>
      <c r="B1649">
        <v>1511820</v>
      </c>
      <c r="C1649">
        <v>1512479</v>
      </c>
      <c r="E1649" t="s">
        <v>28</v>
      </c>
      <c r="F1649" t="s">
        <v>4343</v>
      </c>
      <c r="H1649">
        <v>0</v>
      </c>
      <c r="I1649" t="s">
        <v>16</v>
      </c>
    </row>
    <row r="1650" spans="1:9" x14ac:dyDescent="0.25">
      <c r="A1650" t="s">
        <v>13</v>
      </c>
      <c r="B1650">
        <v>1512476</v>
      </c>
      <c r="C1650">
        <v>1513081</v>
      </c>
      <c r="E1650" t="s">
        <v>28</v>
      </c>
      <c r="F1650" t="s">
        <v>4343</v>
      </c>
      <c r="H1650">
        <v>0</v>
      </c>
      <c r="I1650" t="s">
        <v>16</v>
      </c>
    </row>
    <row r="1651" spans="1:9" x14ac:dyDescent="0.25">
      <c r="A1651" t="s">
        <v>13</v>
      </c>
      <c r="B1651">
        <v>1513056</v>
      </c>
      <c r="C1651">
        <v>1515557</v>
      </c>
      <c r="E1651" t="s">
        <v>28</v>
      </c>
      <c r="F1651" t="s">
        <v>4348</v>
      </c>
      <c r="H1651">
        <v>0</v>
      </c>
      <c r="I1651" t="s">
        <v>16</v>
      </c>
    </row>
    <row r="1652" spans="1:9" x14ac:dyDescent="0.25">
      <c r="A1652" t="s">
        <v>13</v>
      </c>
      <c r="B1652">
        <v>1515573</v>
      </c>
      <c r="C1652">
        <v>1515663</v>
      </c>
      <c r="E1652" t="s">
        <v>28</v>
      </c>
      <c r="F1652" t="s">
        <v>4351</v>
      </c>
      <c r="H1652">
        <v>0</v>
      </c>
      <c r="I1652" t="s">
        <v>133</v>
      </c>
    </row>
    <row r="1653" spans="1:9" x14ac:dyDescent="0.25">
      <c r="A1653" t="s">
        <v>13</v>
      </c>
      <c r="B1653">
        <v>1515681</v>
      </c>
      <c r="C1653">
        <v>1516499</v>
      </c>
      <c r="E1653" t="s">
        <v>28</v>
      </c>
      <c r="F1653" t="s">
        <v>4353</v>
      </c>
      <c r="H1653">
        <v>0</v>
      </c>
      <c r="I1653" t="s">
        <v>16</v>
      </c>
    </row>
    <row r="1654" spans="1:9" x14ac:dyDescent="0.25">
      <c r="A1654" t="s">
        <v>13</v>
      </c>
      <c r="B1654">
        <v>1516638</v>
      </c>
      <c r="C1654">
        <v>1516711</v>
      </c>
      <c r="E1654" t="s">
        <v>28</v>
      </c>
      <c r="F1654" t="s">
        <v>2183</v>
      </c>
      <c r="H1654">
        <v>0</v>
      </c>
      <c r="I1654" t="s">
        <v>133</v>
      </c>
    </row>
    <row r="1655" spans="1:9" x14ac:dyDescent="0.25">
      <c r="A1655" t="s">
        <v>13</v>
      </c>
      <c r="B1655">
        <v>1517361</v>
      </c>
      <c r="C1655">
        <v>1517651</v>
      </c>
      <c r="E1655" t="s">
        <v>14</v>
      </c>
      <c r="F1655" t="s">
        <v>41</v>
      </c>
      <c r="H1655">
        <v>0</v>
      </c>
      <c r="I1655" t="s">
        <v>16</v>
      </c>
    </row>
    <row r="1656" spans="1:9" x14ac:dyDescent="0.25">
      <c r="A1656" t="s">
        <v>13</v>
      </c>
      <c r="B1656">
        <v>1517648</v>
      </c>
      <c r="C1656">
        <v>1517818</v>
      </c>
      <c r="E1656" t="s">
        <v>28</v>
      </c>
      <c r="F1656" t="s">
        <v>41</v>
      </c>
      <c r="H1656">
        <v>0</v>
      </c>
      <c r="I1656" t="s">
        <v>16</v>
      </c>
    </row>
    <row r="1657" spans="1:9" x14ac:dyDescent="0.25">
      <c r="A1657" t="s">
        <v>13</v>
      </c>
      <c r="B1657">
        <v>1518002</v>
      </c>
      <c r="C1657">
        <v>1519366</v>
      </c>
      <c r="E1657" t="s">
        <v>14</v>
      </c>
      <c r="F1657" t="s">
        <v>4361</v>
      </c>
      <c r="H1657">
        <v>0</v>
      </c>
      <c r="I1657" t="s">
        <v>16</v>
      </c>
    </row>
    <row r="1658" spans="1:9" x14ac:dyDescent="0.25">
      <c r="A1658" t="s">
        <v>13</v>
      </c>
      <c r="B1658">
        <v>1519843</v>
      </c>
      <c r="C1658">
        <v>1520484</v>
      </c>
      <c r="E1658" t="s">
        <v>14</v>
      </c>
      <c r="F1658" t="s">
        <v>41</v>
      </c>
      <c r="H1658">
        <v>0</v>
      </c>
      <c r="I1658" t="s">
        <v>16</v>
      </c>
    </row>
    <row r="1659" spans="1:9" x14ac:dyDescent="0.25">
      <c r="A1659" t="s">
        <v>13</v>
      </c>
      <c r="B1659">
        <v>1520493</v>
      </c>
      <c r="C1659">
        <v>1520642</v>
      </c>
      <c r="E1659" t="s">
        <v>14</v>
      </c>
      <c r="F1659" t="s">
        <v>1174</v>
      </c>
      <c r="H1659">
        <v>0</v>
      </c>
      <c r="I1659" t="s">
        <v>16</v>
      </c>
    </row>
    <row r="1660" spans="1:9" x14ac:dyDescent="0.25">
      <c r="A1660" t="s">
        <v>13</v>
      </c>
      <c r="B1660">
        <v>1520632</v>
      </c>
      <c r="C1660">
        <v>1521345</v>
      </c>
      <c r="E1660" t="s">
        <v>14</v>
      </c>
      <c r="F1660" t="s">
        <v>2139</v>
      </c>
      <c r="H1660">
        <v>0</v>
      </c>
      <c r="I1660" t="s">
        <v>16</v>
      </c>
    </row>
    <row r="1661" spans="1:9" x14ac:dyDescent="0.25">
      <c r="A1661" t="s">
        <v>13</v>
      </c>
      <c r="B1661">
        <v>1521554</v>
      </c>
      <c r="C1661">
        <v>1521799</v>
      </c>
      <c r="E1661" t="s">
        <v>14</v>
      </c>
      <c r="F1661" t="s">
        <v>41</v>
      </c>
      <c r="H1661">
        <v>0</v>
      </c>
      <c r="I1661" t="s">
        <v>16</v>
      </c>
    </row>
    <row r="1662" spans="1:9" x14ac:dyDescent="0.25">
      <c r="A1662" t="s">
        <v>13</v>
      </c>
      <c r="B1662">
        <v>1521796</v>
      </c>
      <c r="C1662">
        <v>1521933</v>
      </c>
      <c r="E1662" t="s">
        <v>14</v>
      </c>
      <c r="F1662" t="s">
        <v>41</v>
      </c>
      <c r="H1662">
        <v>0</v>
      </c>
      <c r="I1662" t="s">
        <v>16</v>
      </c>
    </row>
    <row r="1663" spans="1:9" x14ac:dyDescent="0.25">
      <c r="A1663" t="s">
        <v>13</v>
      </c>
      <c r="B1663">
        <v>1521933</v>
      </c>
      <c r="C1663">
        <v>1522850</v>
      </c>
      <c r="E1663" t="s">
        <v>14</v>
      </c>
      <c r="F1663" t="s">
        <v>2132</v>
      </c>
      <c r="H1663">
        <v>0</v>
      </c>
      <c r="I1663" t="s">
        <v>16</v>
      </c>
    </row>
    <row r="1664" spans="1:9" x14ac:dyDescent="0.25">
      <c r="A1664" t="s">
        <v>13</v>
      </c>
      <c r="B1664">
        <v>1522841</v>
      </c>
      <c r="C1664">
        <v>1523110</v>
      </c>
      <c r="E1664" t="s">
        <v>14</v>
      </c>
      <c r="F1664" t="s">
        <v>2132</v>
      </c>
      <c r="H1664">
        <v>0</v>
      </c>
      <c r="I1664" t="s">
        <v>16</v>
      </c>
    </row>
    <row r="1665" spans="1:9" x14ac:dyDescent="0.25">
      <c r="A1665" t="s">
        <v>13</v>
      </c>
      <c r="B1665">
        <v>1523190</v>
      </c>
      <c r="C1665">
        <v>1523261</v>
      </c>
      <c r="E1665" t="s">
        <v>28</v>
      </c>
      <c r="F1665" t="s">
        <v>464</v>
      </c>
      <c r="H1665">
        <v>0</v>
      </c>
      <c r="I1665" t="s">
        <v>133</v>
      </c>
    </row>
    <row r="1666" spans="1:9" x14ac:dyDescent="0.25">
      <c r="A1666" t="s">
        <v>13</v>
      </c>
      <c r="B1666">
        <v>1523426</v>
      </c>
      <c r="C1666">
        <v>1524217</v>
      </c>
      <c r="E1666" t="s">
        <v>14</v>
      </c>
      <c r="F1666" t="s">
        <v>4379</v>
      </c>
      <c r="H1666">
        <v>0</v>
      </c>
      <c r="I1666" t="s">
        <v>16</v>
      </c>
    </row>
    <row r="1667" spans="1:9" x14ac:dyDescent="0.25">
      <c r="A1667" t="s">
        <v>13</v>
      </c>
      <c r="B1667">
        <v>1524223</v>
      </c>
      <c r="C1667">
        <v>1524804</v>
      </c>
      <c r="E1667" t="s">
        <v>14</v>
      </c>
      <c r="F1667" t="s">
        <v>4382</v>
      </c>
      <c r="H1667">
        <v>0</v>
      </c>
      <c r="I1667" t="s">
        <v>16</v>
      </c>
    </row>
    <row r="1668" spans="1:9" x14ac:dyDescent="0.25">
      <c r="A1668" t="s">
        <v>13</v>
      </c>
      <c r="B1668">
        <v>1524808</v>
      </c>
      <c r="C1668">
        <v>1525560</v>
      </c>
      <c r="E1668" t="s">
        <v>14</v>
      </c>
      <c r="F1668" t="s">
        <v>4385</v>
      </c>
      <c r="H1668">
        <v>0</v>
      </c>
      <c r="I1668" t="s">
        <v>16</v>
      </c>
    </row>
    <row r="1669" spans="1:9" x14ac:dyDescent="0.25">
      <c r="A1669" t="s">
        <v>13</v>
      </c>
      <c r="B1669">
        <v>1525574</v>
      </c>
      <c r="C1669">
        <v>1526131</v>
      </c>
      <c r="E1669" t="s">
        <v>14</v>
      </c>
      <c r="F1669" t="s">
        <v>4388</v>
      </c>
      <c r="H1669">
        <v>0</v>
      </c>
      <c r="I1669" t="s">
        <v>16</v>
      </c>
    </row>
    <row r="1670" spans="1:9" x14ac:dyDescent="0.25">
      <c r="A1670" t="s">
        <v>13</v>
      </c>
      <c r="B1670">
        <v>1526168</v>
      </c>
      <c r="C1670">
        <v>1526992</v>
      </c>
      <c r="E1670" t="s">
        <v>14</v>
      </c>
      <c r="F1670" t="s">
        <v>4391</v>
      </c>
      <c r="H1670">
        <v>0</v>
      </c>
      <c r="I1670" t="s">
        <v>16</v>
      </c>
    </row>
    <row r="1671" spans="1:9" x14ac:dyDescent="0.25">
      <c r="A1671" t="s">
        <v>13</v>
      </c>
      <c r="B1671">
        <v>1526989</v>
      </c>
      <c r="C1671">
        <v>1528092</v>
      </c>
      <c r="E1671" t="s">
        <v>14</v>
      </c>
      <c r="F1671" t="s">
        <v>4394</v>
      </c>
      <c r="H1671">
        <v>0</v>
      </c>
      <c r="I1671" t="s">
        <v>16</v>
      </c>
    </row>
    <row r="1672" spans="1:9" x14ac:dyDescent="0.25">
      <c r="A1672" t="s">
        <v>13</v>
      </c>
      <c r="B1672">
        <v>1528089</v>
      </c>
      <c r="C1672">
        <v>1529099</v>
      </c>
      <c r="E1672" t="s">
        <v>14</v>
      </c>
      <c r="F1672" t="s">
        <v>4397</v>
      </c>
      <c r="H1672">
        <v>0</v>
      </c>
      <c r="I1672" t="s">
        <v>16</v>
      </c>
    </row>
    <row r="1673" spans="1:9" x14ac:dyDescent="0.25">
      <c r="A1673" t="s">
        <v>13</v>
      </c>
      <c r="B1673">
        <v>1529099</v>
      </c>
      <c r="C1673">
        <v>1529725</v>
      </c>
      <c r="E1673" t="s">
        <v>14</v>
      </c>
      <c r="F1673" t="s">
        <v>4400</v>
      </c>
      <c r="H1673">
        <v>0</v>
      </c>
      <c r="I1673" t="s">
        <v>16</v>
      </c>
    </row>
    <row r="1674" spans="1:9" x14ac:dyDescent="0.25">
      <c r="A1674" t="s">
        <v>13</v>
      </c>
      <c r="B1674">
        <v>1529712</v>
      </c>
      <c r="C1674">
        <v>1530236</v>
      </c>
      <c r="E1674" t="s">
        <v>28</v>
      </c>
      <c r="F1674" t="s">
        <v>41</v>
      </c>
      <c r="H1674">
        <v>0</v>
      </c>
      <c r="I1674" t="s">
        <v>16</v>
      </c>
    </row>
    <row r="1675" spans="1:9" x14ac:dyDescent="0.25">
      <c r="A1675" t="s">
        <v>13</v>
      </c>
      <c r="B1675">
        <v>1530337</v>
      </c>
      <c r="C1675">
        <v>1531122</v>
      </c>
      <c r="E1675" t="s">
        <v>28</v>
      </c>
      <c r="F1675" t="s">
        <v>4405</v>
      </c>
      <c r="H1675">
        <v>0</v>
      </c>
      <c r="I1675" t="s">
        <v>16</v>
      </c>
    </row>
    <row r="1676" spans="1:9" x14ac:dyDescent="0.25">
      <c r="A1676" t="s">
        <v>13</v>
      </c>
      <c r="B1676">
        <v>1531119</v>
      </c>
      <c r="C1676">
        <v>1532315</v>
      </c>
      <c r="E1676" t="s">
        <v>28</v>
      </c>
      <c r="F1676" t="s">
        <v>4408</v>
      </c>
      <c r="H1676">
        <v>0</v>
      </c>
      <c r="I1676" t="s">
        <v>16</v>
      </c>
    </row>
    <row r="1677" spans="1:9" x14ac:dyDescent="0.25">
      <c r="A1677" t="s">
        <v>13</v>
      </c>
      <c r="B1677">
        <v>1532312</v>
      </c>
      <c r="C1677">
        <v>1532584</v>
      </c>
      <c r="E1677" t="s">
        <v>28</v>
      </c>
      <c r="F1677" t="s">
        <v>4411</v>
      </c>
      <c r="H1677">
        <v>0</v>
      </c>
      <c r="I1677" t="s">
        <v>16</v>
      </c>
    </row>
    <row r="1678" spans="1:9" x14ac:dyDescent="0.25">
      <c r="A1678" t="s">
        <v>13</v>
      </c>
      <c r="B1678">
        <v>1532676</v>
      </c>
      <c r="C1678">
        <v>1533113</v>
      </c>
      <c r="E1678" t="s">
        <v>28</v>
      </c>
      <c r="F1678" t="s">
        <v>41</v>
      </c>
      <c r="H1678">
        <v>0</v>
      </c>
      <c r="I1678" t="s">
        <v>16</v>
      </c>
    </row>
    <row r="1679" spans="1:9" x14ac:dyDescent="0.25">
      <c r="A1679" t="s">
        <v>13</v>
      </c>
      <c r="B1679">
        <v>1533123</v>
      </c>
      <c r="C1679">
        <v>1533551</v>
      </c>
      <c r="E1679" t="s">
        <v>28</v>
      </c>
      <c r="F1679" t="s">
        <v>4416</v>
      </c>
      <c r="H1679">
        <v>0</v>
      </c>
      <c r="I1679" t="s">
        <v>16</v>
      </c>
    </row>
    <row r="1680" spans="1:9" x14ac:dyDescent="0.25">
      <c r="A1680" t="s">
        <v>13</v>
      </c>
      <c r="B1680">
        <v>1533575</v>
      </c>
      <c r="C1680">
        <v>1534258</v>
      </c>
      <c r="E1680" t="s">
        <v>14</v>
      </c>
      <c r="F1680" t="s">
        <v>4419</v>
      </c>
      <c r="H1680">
        <v>0</v>
      </c>
      <c r="I1680" t="s">
        <v>16</v>
      </c>
    </row>
    <row r="1681" spans="1:9" x14ac:dyDescent="0.25">
      <c r="A1681" t="s">
        <v>13</v>
      </c>
      <c r="B1681">
        <v>1534263</v>
      </c>
      <c r="C1681">
        <v>1534811</v>
      </c>
      <c r="E1681" t="s">
        <v>14</v>
      </c>
      <c r="F1681" t="s">
        <v>4422</v>
      </c>
      <c r="H1681">
        <v>0</v>
      </c>
      <c r="I1681" t="s">
        <v>16</v>
      </c>
    </row>
    <row r="1682" spans="1:9" x14ac:dyDescent="0.25">
      <c r="A1682" t="s">
        <v>13</v>
      </c>
      <c r="B1682">
        <v>1534888</v>
      </c>
      <c r="C1682">
        <v>1536900</v>
      </c>
      <c r="E1682" t="s">
        <v>14</v>
      </c>
      <c r="F1682" t="s">
        <v>4425</v>
      </c>
      <c r="H1682">
        <v>0</v>
      </c>
      <c r="I1682" t="s">
        <v>16</v>
      </c>
    </row>
    <row r="1683" spans="1:9" x14ac:dyDescent="0.25">
      <c r="A1683" t="s">
        <v>13</v>
      </c>
      <c r="B1683">
        <v>1536897</v>
      </c>
      <c r="C1683">
        <v>1537940</v>
      </c>
      <c r="E1683" t="s">
        <v>14</v>
      </c>
      <c r="F1683" t="s">
        <v>2072</v>
      </c>
      <c r="H1683">
        <v>0</v>
      </c>
      <c r="I1683" t="s">
        <v>16</v>
      </c>
    </row>
    <row r="1684" spans="1:9" x14ac:dyDescent="0.25">
      <c r="A1684" t="s">
        <v>13</v>
      </c>
      <c r="B1684">
        <v>1537942</v>
      </c>
      <c r="C1684">
        <v>1539315</v>
      </c>
      <c r="E1684" t="s">
        <v>14</v>
      </c>
      <c r="F1684" t="s">
        <v>4430</v>
      </c>
      <c r="H1684">
        <v>0</v>
      </c>
      <c r="I1684" t="s">
        <v>16</v>
      </c>
    </row>
    <row r="1685" spans="1:9" x14ac:dyDescent="0.25">
      <c r="A1685" t="s">
        <v>13</v>
      </c>
      <c r="B1685">
        <v>1539312</v>
      </c>
      <c r="C1685">
        <v>1540103</v>
      </c>
      <c r="E1685" t="s">
        <v>28</v>
      </c>
      <c r="F1685" t="s">
        <v>730</v>
      </c>
      <c r="H1685">
        <v>0</v>
      </c>
      <c r="I1685" t="s">
        <v>16</v>
      </c>
    </row>
    <row r="1686" spans="1:9" x14ac:dyDescent="0.25">
      <c r="A1686" t="s">
        <v>13</v>
      </c>
      <c r="B1686">
        <v>1540103</v>
      </c>
      <c r="C1686">
        <v>1540477</v>
      </c>
      <c r="E1686" t="s">
        <v>28</v>
      </c>
      <c r="F1686" t="s">
        <v>4435</v>
      </c>
      <c r="H1686">
        <v>0</v>
      </c>
      <c r="I1686" t="s">
        <v>16</v>
      </c>
    </row>
    <row r="1687" spans="1:9" x14ac:dyDescent="0.25">
      <c r="A1687" t="s">
        <v>13</v>
      </c>
      <c r="B1687">
        <v>1540479</v>
      </c>
      <c r="C1687">
        <v>1541168</v>
      </c>
      <c r="E1687" t="s">
        <v>28</v>
      </c>
      <c r="F1687" t="s">
        <v>4438</v>
      </c>
      <c r="H1687">
        <v>0</v>
      </c>
      <c r="I1687" t="s">
        <v>16</v>
      </c>
    </row>
    <row r="1688" spans="1:9" x14ac:dyDescent="0.25">
      <c r="A1688" t="s">
        <v>13</v>
      </c>
      <c r="B1688">
        <v>1541211</v>
      </c>
      <c r="C1688">
        <v>1541336</v>
      </c>
      <c r="E1688" t="s">
        <v>28</v>
      </c>
      <c r="F1688" t="s">
        <v>41</v>
      </c>
      <c r="H1688">
        <v>0</v>
      </c>
      <c r="I1688" t="s">
        <v>16</v>
      </c>
    </row>
    <row r="1689" spans="1:9" x14ac:dyDescent="0.25">
      <c r="A1689" t="s">
        <v>13</v>
      </c>
      <c r="B1689">
        <v>1541361</v>
      </c>
      <c r="C1689">
        <v>1542797</v>
      </c>
      <c r="E1689" t="s">
        <v>14</v>
      </c>
      <c r="F1689" t="s">
        <v>4443</v>
      </c>
      <c r="H1689">
        <v>0</v>
      </c>
      <c r="I1689" t="s">
        <v>16</v>
      </c>
    </row>
    <row r="1690" spans="1:9" x14ac:dyDescent="0.25">
      <c r="A1690" t="s">
        <v>13</v>
      </c>
      <c r="B1690">
        <v>1542801</v>
      </c>
      <c r="C1690">
        <v>1543460</v>
      </c>
      <c r="E1690" t="s">
        <v>14</v>
      </c>
      <c r="F1690" t="s">
        <v>1386</v>
      </c>
      <c r="H1690">
        <v>0</v>
      </c>
      <c r="I1690" t="s">
        <v>16</v>
      </c>
    </row>
    <row r="1691" spans="1:9" x14ac:dyDescent="0.25">
      <c r="A1691" t="s">
        <v>13</v>
      </c>
      <c r="B1691">
        <v>1543457</v>
      </c>
      <c r="C1691">
        <v>1544200</v>
      </c>
      <c r="E1691" t="s">
        <v>14</v>
      </c>
      <c r="F1691" t="s">
        <v>41</v>
      </c>
      <c r="H1691">
        <v>0</v>
      </c>
      <c r="I1691" t="s">
        <v>16</v>
      </c>
    </row>
    <row r="1692" spans="1:9" x14ac:dyDescent="0.25">
      <c r="A1692" t="s">
        <v>13</v>
      </c>
      <c r="B1692">
        <v>1544265</v>
      </c>
      <c r="C1692">
        <v>1545113</v>
      </c>
      <c r="E1692" t="s">
        <v>14</v>
      </c>
      <c r="F1692" t="s">
        <v>41</v>
      </c>
      <c r="H1692">
        <v>0</v>
      </c>
      <c r="I1692" t="s">
        <v>16</v>
      </c>
    </row>
    <row r="1693" spans="1:9" x14ac:dyDescent="0.25">
      <c r="A1693" t="s">
        <v>13</v>
      </c>
      <c r="B1693">
        <v>1545171</v>
      </c>
      <c r="C1693">
        <v>1545299</v>
      </c>
      <c r="E1693" t="s">
        <v>28</v>
      </c>
      <c r="F1693" t="s">
        <v>41</v>
      </c>
      <c r="H1693">
        <v>0</v>
      </c>
      <c r="I1693" t="s">
        <v>16</v>
      </c>
    </row>
    <row r="1694" spans="1:9" x14ac:dyDescent="0.25">
      <c r="A1694" t="s">
        <v>13</v>
      </c>
      <c r="B1694">
        <v>1545264</v>
      </c>
      <c r="C1694">
        <v>1546427</v>
      </c>
      <c r="E1694" t="s">
        <v>14</v>
      </c>
      <c r="F1694" t="s">
        <v>4454</v>
      </c>
      <c r="H1694">
        <v>0</v>
      </c>
      <c r="I1694" t="s">
        <v>16</v>
      </c>
    </row>
    <row r="1695" spans="1:9" x14ac:dyDescent="0.25">
      <c r="A1695" t="s">
        <v>13</v>
      </c>
      <c r="B1695">
        <v>1546424</v>
      </c>
      <c r="C1695">
        <v>1547383</v>
      </c>
      <c r="E1695" t="s">
        <v>14</v>
      </c>
      <c r="F1695" t="s">
        <v>4457</v>
      </c>
      <c r="H1695">
        <v>0</v>
      </c>
      <c r="I1695" t="s">
        <v>16</v>
      </c>
    </row>
    <row r="1696" spans="1:9" x14ac:dyDescent="0.25">
      <c r="A1696" t="s">
        <v>13</v>
      </c>
      <c r="B1696">
        <v>1547365</v>
      </c>
      <c r="C1696">
        <v>1548720</v>
      </c>
      <c r="E1696" t="s">
        <v>14</v>
      </c>
      <c r="F1696" t="s">
        <v>4460</v>
      </c>
      <c r="H1696">
        <v>0</v>
      </c>
      <c r="I1696" t="s">
        <v>16</v>
      </c>
    </row>
    <row r="1697" spans="1:9" x14ac:dyDescent="0.25">
      <c r="A1697" t="s">
        <v>13</v>
      </c>
      <c r="B1697">
        <v>1548854</v>
      </c>
      <c r="C1697">
        <v>1551097</v>
      </c>
      <c r="E1697" t="s">
        <v>14</v>
      </c>
      <c r="F1697" t="s">
        <v>41</v>
      </c>
      <c r="H1697">
        <v>0</v>
      </c>
      <c r="I1697" t="s">
        <v>16</v>
      </c>
    </row>
    <row r="1698" spans="1:9" x14ac:dyDescent="0.25">
      <c r="A1698" t="s">
        <v>13</v>
      </c>
      <c r="B1698">
        <v>1551448</v>
      </c>
      <c r="C1698">
        <v>1551804</v>
      </c>
      <c r="E1698" t="s">
        <v>14</v>
      </c>
      <c r="F1698" t="s">
        <v>41</v>
      </c>
      <c r="H1698">
        <v>0</v>
      </c>
      <c r="I1698" t="s">
        <v>16</v>
      </c>
    </row>
    <row r="1699" spans="1:9" x14ac:dyDescent="0.25">
      <c r="A1699" t="s">
        <v>13</v>
      </c>
      <c r="B1699">
        <v>1551846</v>
      </c>
      <c r="C1699">
        <v>1554419</v>
      </c>
      <c r="E1699" t="s">
        <v>14</v>
      </c>
      <c r="F1699" t="s">
        <v>4467</v>
      </c>
      <c r="H1699">
        <v>0</v>
      </c>
      <c r="I1699" t="s">
        <v>16</v>
      </c>
    </row>
    <row r="1700" spans="1:9" x14ac:dyDescent="0.25">
      <c r="A1700" t="s">
        <v>13</v>
      </c>
      <c r="B1700">
        <v>1554432</v>
      </c>
      <c r="C1700">
        <v>1557368</v>
      </c>
      <c r="E1700" t="s">
        <v>14</v>
      </c>
      <c r="F1700" t="s">
        <v>4470</v>
      </c>
      <c r="H1700">
        <v>0</v>
      </c>
      <c r="I1700" t="s">
        <v>16</v>
      </c>
    </row>
    <row r="1701" spans="1:9" x14ac:dyDescent="0.25">
      <c r="A1701" t="s">
        <v>13</v>
      </c>
      <c r="B1701">
        <v>1557425</v>
      </c>
      <c r="C1701">
        <v>1558432</v>
      </c>
      <c r="E1701" t="s">
        <v>14</v>
      </c>
      <c r="F1701" t="s">
        <v>4473</v>
      </c>
      <c r="H1701">
        <v>0</v>
      </c>
      <c r="I1701" t="s">
        <v>16</v>
      </c>
    </row>
    <row r="1702" spans="1:9" x14ac:dyDescent="0.25">
      <c r="A1702" t="s">
        <v>13</v>
      </c>
      <c r="B1702">
        <v>1558482</v>
      </c>
      <c r="C1702">
        <v>1560002</v>
      </c>
      <c r="E1702" t="s">
        <v>28</v>
      </c>
      <c r="F1702" t="s">
        <v>4476</v>
      </c>
      <c r="H1702">
        <v>0</v>
      </c>
      <c r="I1702" t="s">
        <v>16</v>
      </c>
    </row>
    <row r="1703" spans="1:9" x14ac:dyDescent="0.25">
      <c r="A1703" t="s">
        <v>13</v>
      </c>
      <c r="B1703">
        <v>1560098</v>
      </c>
      <c r="C1703">
        <v>1561084</v>
      </c>
      <c r="E1703" t="s">
        <v>28</v>
      </c>
      <c r="F1703" t="s">
        <v>4479</v>
      </c>
      <c r="H1703">
        <v>0</v>
      </c>
      <c r="I1703" t="s">
        <v>16</v>
      </c>
    </row>
    <row r="1704" spans="1:9" x14ac:dyDescent="0.25">
      <c r="A1704" t="s">
        <v>13</v>
      </c>
      <c r="B1704">
        <v>1561130</v>
      </c>
      <c r="C1704">
        <v>1562191</v>
      </c>
      <c r="E1704" t="s">
        <v>14</v>
      </c>
      <c r="F1704" t="s">
        <v>41</v>
      </c>
      <c r="H1704">
        <v>0</v>
      </c>
      <c r="I1704" t="s">
        <v>16</v>
      </c>
    </row>
    <row r="1705" spans="1:9" x14ac:dyDescent="0.25">
      <c r="A1705" t="s">
        <v>13</v>
      </c>
      <c r="B1705">
        <v>1562188</v>
      </c>
      <c r="C1705">
        <v>1563273</v>
      </c>
      <c r="E1705" t="s">
        <v>14</v>
      </c>
      <c r="F1705" t="s">
        <v>4484</v>
      </c>
      <c r="H1705">
        <v>0</v>
      </c>
      <c r="I1705" t="s">
        <v>16</v>
      </c>
    </row>
    <row r="1706" spans="1:9" x14ac:dyDescent="0.25">
      <c r="A1706" t="s">
        <v>13</v>
      </c>
      <c r="B1706">
        <v>1563313</v>
      </c>
      <c r="C1706">
        <v>1563798</v>
      </c>
      <c r="E1706" t="s">
        <v>14</v>
      </c>
      <c r="F1706" t="s">
        <v>4487</v>
      </c>
      <c r="H1706">
        <v>0</v>
      </c>
      <c r="I1706" t="s">
        <v>16</v>
      </c>
    </row>
    <row r="1707" spans="1:9" x14ac:dyDescent="0.25">
      <c r="A1707" t="s">
        <v>13</v>
      </c>
      <c r="B1707">
        <v>1563833</v>
      </c>
      <c r="C1707">
        <v>1564687</v>
      </c>
      <c r="E1707" t="s">
        <v>14</v>
      </c>
      <c r="F1707" t="s">
        <v>4490</v>
      </c>
      <c r="H1707">
        <v>0</v>
      </c>
      <c r="I1707" t="s">
        <v>16</v>
      </c>
    </row>
    <row r="1708" spans="1:9" x14ac:dyDescent="0.25">
      <c r="A1708" t="s">
        <v>13</v>
      </c>
      <c r="B1708">
        <v>1564689</v>
      </c>
      <c r="C1708">
        <v>1565969</v>
      </c>
      <c r="E1708" t="s">
        <v>14</v>
      </c>
      <c r="F1708" t="s">
        <v>41</v>
      </c>
      <c r="H1708">
        <v>0</v>
      </c>
      <c r="I1708" t="s">
        <v>16</v>
      </c>
    </row>
    <row r="1709" spans="1:9" x14ac:dyDescent="0.25">
      <c r="A1709" t="s">
        <v>13</v>
      </c>
      <c r="B1709">
        <v>1566017</v>
      </c>
      <c r="C1709">
        <v>1566577</v>
      </c>
      <c r="E1709" t="s">
        <v>28</v>
      </c>
      <c r="F1709" t="s">
        <v>4495</v>
      </c>
      <c r="H1709">
        <v>0</v>
      </c>
      <c r="I1709" t="s">
        <v>16</v>
      </c>
    </row>
    <row r="1710" spans="1:9" x14ac:dyDescent="0.25">
      <c r="A1710" t="s">
        <v>13</v>
      </c>
      <c r="B1710">
        <v>1566574</v>
      </c>
      <c r="C1710">
        <v>1567302</v>
      </c>
      <c r="E1710" t="s">
        <v>28</v>
      </c>
      <c r="F1710" t="s">
        <v>4498</v>
      </c>
      <c r="H1710">
        <v>0</v>
      </c>
      <c r="I1710" t="s">
        <v>16</v>
      </c>
    </row>
    <row r="1711" spans="1:9" x14ac:dyDescent="0.25">
      <c r="A1711" t="s">
        <v>13</v>
      </c>
      <c r="B1711">
        <v>1567363</v>
      </c>
      <c r="C1711">
        <v>1568694</v>
      </c>
      <c r="E1711" t="s">
        <v>14</v>
      </c>
      <c r="F1711" t="s">
        <v>4501</v>
      </c>
      <c r="H1711">
        <v>0</v>
      </c>
      <c r="I1711" t="s">
        <v>16</v>
      </c>
    </row>
    <row r="1712" spans="1:9" x14ac:dyDescent="0.25">
      <c r="A1712" t="s">
        <v>13</v>
      </c>
      <c r="B1712">
        <v>1568744</v>
      </c>
      <c r="C1712">
        <v>1569613</v>
      </c>
      <c r="E1712" t="s">
        <v>28</v>
      </c>
      <c r="F1712" t="s">
        <v>41</v>
      </c>
      <c r="H1712">
        <v>0</v>
      </c>
      <c r="I1712" t="s">
        <v>16</v>
      </c>
    </row>
    <row r="1713" spans="1:9" x14ac:dyDescent="0.25">
      <c r="A1713" t="s">
        <v>13</v>
      </c>
      <c r="B1713">
        <v>1569714</v>
      </c>
      <c r="C1713">
        <v>1571573</v>
      </c>
      <c r="E1713" t="s">
        <v>28</v>
      </c>
      <c r="F1713" t="s">
        <v>4506</v>
      </c>
      <c r="H1713">
        <v>0</v>
      </c>
      <c r="I1713" t="s">
        <v>16</v>
      </c>
    </row>
    <row r="1714" spans="1:9" x14ac:dyDescent="0.25">
      <c r="A1714" t="s">
        <v>13</v>
      </c>
      <c r="B1714">
        <v>1571849</v>
      </c>
      <c r="C1714">
        <v>1572202</v>
      </c>
      <c r="E1714" t="s">
        <v>28</v>
      </c>
      <c r="F1714" t="s">
        <v>41</v>
      </c>
      <c r="H1714">
        <v>0</v>
      </c>
      <c r="I1714" t="s">
        <v>16</v>
      </c>
    </row>
    <row r="1715" spans="1:9" x14ac:dyDescent="0.25">
      <c r="A1715" t="s">
        <v>13</v>
      </c>
      <c r="B1715">
        <v>1572211</v>
      </c>
      <c r="C1715">
        <v>1572429</v>
      </c>
      <c r="E1715" t="s">
        <v>28</v>
      </c>
      <c r="F1715" t="s">
        <v>41</v>
      </c>
      <c r="H1715">
        <v>0</v>
      </c>
      <c r="I1715" t="s">
        <v>16</v>
      </c>
    </row>
    <row r="1716" spans="1:9" x14ac:dyDescent="0.25">
      <c r="A1716" t="s">
        <v>13</v>
      </c>
      <c r="B1716">
        <v>1572497</v>
      </c>
      <c r="C1716">
        <v>1572817</v>
      </c>
      <c r="E1716" t="s">
        <v>14</v>
      </c>
      <c r="F1716" t="s">
        <v>41</v>
      </c>
      <c r="H1716">
        <v>0</v>
      </c>
      <c r="I1716" t="s">
        <v>16</v>
      </c>
    </row>
    <row r="1717" spans="1:9" x14ac:dyDescent="0.25">
      <c r="A1717" t="s">
        <v>13</v>
      </c>
      <c r="B1717">
        <v>1572814</v>
      </c>
      <c r="C1717">
        <v>1573032</v>
      </c>
      <c r="E1717" t="s">
        <v>14</v>
      </c>
      <c r="F1717" t="s">
        <v>41</v>
      </c>
      <c r="H1717">
        <v>0</v>
      </c>
      <c r="I1717" t="s">
        <v>16</v>
      </c>
    </row>
    <row r="1718" spans="1:9" x14ac:dyDescent="0.25">
      <c r="A1718" t="s">
        <v>13</v>
      </c>
      <c r="B1718">
        <v>1573140</v>
      </c>
      <c r="C1718">
        <v>1573823</v>
      </c>
      <c r="E1718" t="s">
        <v>28</v>
      </c>
      <c r="F1718" t="s">
        <v>4517</v>
      </c>
      <c r="H1718">
        <v>0</v>
      </c>
      <c r="I1718" t="s">
        <v>16</v>
      </c>
    </row>
    <row r="1719" spans="1:9" x14ac:dyDescent="0.25">
      <c r="A1719" t="s">
        <v>13</v>
      </c>
      <c r="B1719">
        <v>1573823</v>
      </c>
      <c r="C1719">
        <v>1574287</v>
      </c>
      <c r="E1719" t="s">
        <v>28</v>
      </c>
      <c r="F1719" t="s">
        <v>4520</v>
      </c>
      <c r="H1719">
        <v>0</v>
      </c>
      <c r="I1719" t="s">
        <v>16</v>
      </c>
    </row>
    <row r="1720" spans="1:9" x14ac:dyDescent="0.25">
      <c r="A1720" t="s">
        <v>13</v>
      </c>
      <c r="B1720">
        <v>1574296</v>
      </c>
      <c r="C1720">
        <v>1574781</v>
      </c>
      <c r="E1720" t="s">
        <v>28</v>
      </c>
      <c r="F1720" t="s">
        <v>4523</v>
      </c>
      <c r="H1720">
        <v>0</v>
      </c>
      <c r="I1720" t="s">
        <v>16</v>
      </c>
    </row>
    <row r="1721" spans="1:9" x14ac:dyDescent="0.25">
      <c r="A1721" t="s">
        <v>13</v>
      </c>
      <c r="B1721">
        <v>1574831</v>
      </c>
      <c r="C1721">
        <v>1575967</v>
      </c>
      <c r="E1721" t="s">
        <v>14</v>
      </c>
      <c r="F1721" t="s">
        <v>4526</v>
      </c>
      <c r="H1721">
        <v>0</v>
      </c>
      <c r="I1721" t="s">
        <v>16</v>
      </c>
    </row>
    <row r="1722" spans="1:9" x14ac:dyDescent="0.25">
      <c r="A1722" t="s">
        <v>13</v>
      </c>
      <c r="B1722">
        <v>1576054</v>
      </c>
      <c r="C1722">
        <v>1576833</v>
      </c>
      <c r="E1722" t="s">
        <v>28</v>
      </c>
      <c r="F1722" t="s">
        <v>4529</v>
      </c>
      <c r="H1722">
        <v>0</v>
      </c>
      <c r="I1722" t="s">
        <v>16</v>
      </c>
    </row>
    <row r="1723" spans="1:9" x14ac:dyDescent="0.25">
      <c r="A1723" t="s">
        <v>13</v>
      </c>
      <c r="B1723">
        <v>1576830</v>
      </c>
      <c r="C1723">
        <v>1578047</v>
      </c>
      <c r="E1723" t="s">
        <v>28</v>
      </c>
      <c r="F1723" t="s">
        <v>4532</v>
      </c>
      <c r="H1723">
        <v>0</v>
      </c>
      <c r="I1723" t="s">
        <v>16</v>
      </c>
    </row>
    <row r="1724" spans="1:9" x14ac:dyDescent="0.25">
      <c r="A1724" t="s">
        <v>13</v>
      </c>
      <c r="B1724">
        <v>1578226</v>
      </c>
      <c r="C1724">
        <v>1579029</v>
      </c>
      <c r="E1724" t="s">
        <v>14</v>
      </c>
      <c r="F1724" t="s">
        <v>4535</v>
      </c>
      <c r="H1724">
        <v>0</v>
      </c>
      <c r="I1724" t="s">
        <v>16</v>
      </c>
    </row>
    <row r="1725" spans="1:9" x14ac:dyDescent="0.25">
      <c r="A1725" t="s">
        <v>13</v>
      </c>
      <c r="B1725">
        <v>1579019</v>
      </c>
      <c r="C1725">
        <v>1581043</v>
      </c>
      <c r="E1725" t="s">
        <v>28</v>
      </c>
      <c r="F1725" t="s">
        <v>4538</v>
      </c>
      <c r="H1725">
        <v>0</v>
      </c>
      <c r="I1725" t="s">
        <v>16</v>
      </c>
    </row>
    <row r="1726" spans="1:9" x14ac:dyDescent="0.25">
      <c r="A1726" t="s">
        <v>13</v>
      </c>
      <c r="B1726">
        <v>1581602</v>
      </c>
      <c r="C1726">
        <v>1582243</v>
      </c>
      <c r="E1726" t="s">
        <v>14</v>
      </c>
      <c r="F1726" t="s">
        <v>41</v>
      </c>
      <c r="H1726">
        <v>0</v>
      </c>
      <c r="I1726" t="s">
        <v>16</v>
      </c>
    </row>
    <row r="1727" spans="1:9" x14ac:dyDescent="0.25">
      <c r="A1727" t="s">
        <v>13</v>
      </c>
      <c r="B1727">
        <v>1582303</v>
      </c>
      <c r="C1727">
        <v>1582905</v>
      </c>
      <c r="E1727" t="s">
        <v>28</v>
      </c>
      <c r="F1727" t="s">
        <v>4543</v>
      </c>
      <c r="H1727">
        <v>0</v>
      </c>
      <c r="I1727" t="s">
        <v>16</v>
      </c>
    </row>
    <row r="1728" spans="1:9" x14ac:dyDescent="0.25">
      <c r="A1728" t="s">
        <v>13</v>
      </c>
      <c r="B1728">
        <v>1582950</v>
      </c>
      <c r="C1728">
        <v>1583894</v>
      </c>
      <c r="E1728" t="s">
        <v>28</v>
      </c>
      <c r="F1728" t="s">
        <v>4546</v>
      </c>
      <c r="H1728">
        <v>0</v>
      </c>
      <c r="I1728" t="s">
        <v>16</v>
      </c>
    </row>
    <row r="1729" spans="1:9" x14ac:dyDescent="0.25">
      <c r="A1729" t="s">
        <v>13</v>
      </c>
      <c r="B1729">
        <v>1583897</v>
      </c>
      <c r="C1729">
        <v>1584286</v>
      </c>
      <c r="E1729" t="s">
        <v>28</v>
      </c>
      <c r="F1729" t="s">
        <v>4028</v>
      </c>
      <c r="H1729">
        <v>0</v>
      </c>
      <c r="I1729" t="s">
        <v>16</v>
      </c>
    </row>
    <row r="1730" spans="1:9" x14ac:dyDescent="0.25">
      <c r="A1730" t="s">
        <v>13</v>
      </c>
      <c r="B1730">
        <v>1584315</v>
      </c>
      <c r="C1730">
        <v>1586903</v>
      </c>
      <c r="E1730" t="s">
        <v>28</v>
      </c>
      <c r="F1730" t="s">
        <v>4551</v>
      </c>
      <c r="H1730">
        <v>0</v>
      </c>
      <c r="I1730" t="s">
        <v>16</v>
      </c>
    </row>
    <row r="1731" spans="1:9" x14ac:dyDescent="0.25">
      <c r="A1731" t="s">
        <v>13</v>
      </c>
      <c r="B1731">
        <v>1586963</v>
      </c>
      <c r="C1731">
        <v>1587454</v>
      </c>
      <c r="E1731" t="s">
        <v>28</v>
      </c>
      <c r="F1731" t="s">
        <v>4554</v>
      </c>
      <c r="H1731">
        <v>0</v>
      </c>
      <c r="I1731" t="s">
        <v>16</v>
      </c>
    </row>
    <row r="1732" spans="1:9" x14ac:dyDescent="0.25">
      <c r="A1732" t="s">
        <v>13</v>
      </c>
      <c r="B1732">
        <v>1587553</v>
      </c>
      <c r="C1732">
        <v>1587993</v>
      </c>
      <c r="E1732" t="s">
        <v>14</v>
      </c>
      <c r="F1732" t="s">
        <v>41</v>
      </c>
      <c r="H1732">
        <v>0</v>
      </c>
      <c r="I1732" t="s">
        <v>16</v>
      </c>
    </row>
    <row r="1733" spans="1:9" x14ac:dyDescent="0.25">
      <c r="A1733" t="s">
        <v>13</v>
      </c>
      <c r="B1733">
        <v>1588081</v>
      </c>
      <c r="C1733">
        <v>1588713</v>
      </c>
      <c r="E1733" t="s">
        <v>14</v>
      </c>
      <c r="F1733" t="s">
        <v>4559</v>
      </c>
      <c r="H1733">
        <v>0</v>
      </c>
      <c r="I1733" t="s">
        <v>16</v>
      </c>
    </row>
    <row r="1734" spans="1:9" x14ac:dyDescent="0.25">
      <c r="A1734" t="s">
        <v>13</v>
      </c>
      <c r="B1734">
        <v>1588710</v>
      </c>
      <c r="C1734">
        <v>1589531</v>
      </c>
      <c r="E1734" t="s">
        <v>28</v>
      </c>
      <c r="F1734" t="s">
        <v>4562</v>
      </c>
      <c r="H1734">
        <v>0</v>
      </c>
      <c r="I1734" t="s">
        <v>16</v>
      </c>
    </row>
    <row r="1735" spans="1:9" x14ac:dyDescent="0.25">
      <c r="A1735" t="s">
        <v>13</v>
      </c>
      <c r="B1735">
        <v>1589585</v>
      </c>
      <c r="C1735">
        <v>1590334</v>
      </c>
      <c r="E1735" t="s">
        <v>14</v>
      </c>
      <c r="F1735" t="s">
        <v>2568</v>
      </c>
      <c r="H1735">
        <v>0</v>
      </c>
      <c r="I1735" t="s">
        <v>16</v>
      </c>
    </row>
    <row r="1736" spans="1:9" x14ac:dyDescent="0.25">
      <c r="A1736" t="s">
        <v>13</v>
      </c>
      <c r="B1736">
        <v>1590338</v>
      </c>
      <c r="C1736">
        <v>1591360</v>
      </c>
      <c r="E1736" t="s">
        <v>14</v>
      </c>
      <c r="F1736" t="s">
        <v>4567</v>
      </c>
      <c r="H1736">
        <v>0</v>
      </c>
      <c r="I1736" t="s">
        <v>16</v>
      </c>
    </row>
    <row r="1737" spans="1:9" x14ac:dyDescent="0.25">
      <c r="A1737" t="s">
        <v>13</v>
      </c>
      <c r="B1737">
        <v>1591389</v>
      </c>
      <c r="C1737">
        <v>1591955</v>
      </c>
      <c r="E1737" t="s">
        <v>14</v>
      </c>
      <c r="F1737" t="s">
        <v>41</v>
      </c>
      <c r="H1737">
        <v>0</v>
      </c>
      <c r="I1737" t="s">
        <v>16</v>
      </c>
    </row>
    <row r="1738" spans="1:9" x14ac:dyDescent="0.25">
      <c r="A1738" t="s">
        <v>13</v>
      </c>
      <c r="B1738">
        <v>1591952</v>
      </c>
      <c r="C1738">
        <v>1592809</v>
      </c>
      <c r="E1738" t="s">
        <v>14</v>
      </c>
      <c r="F1738" t="s">
        <v>41</v>
      </c>
      <c r="H1738">
        <v>0</v>
      </c>
      <c r="I1738" t="s">
        <v>16</v>
      </c>
    </row>
    <row r="1739" spans="1:9" x14ac:dyDescent="0.25">
      <c r="A1739" t="s">
        <v>13</v>
      </c>
      <c r="B1739">
        <v>1592809</v>
      </c>
      <c r="C1739">
        <v>1593726</v>
      </c>
      <c r="E1739" t="s">
        <v>14</v>
      </c>
      <c r="F1739" t="s">
        <v>41</v>
      </c>
      <c r="H1739">
        <v>0</v>
      </c>
      <c r="I1739" t="s">
        <v>16</v>
      </c>
    </row>
    <row r="1740" spans="1:9" x14ac:dyDescent="0.25">
      <c r="A1740" t="s">
        <v>13</v>
      </c>
      <c r="B1740">
        <v>1593824</v>
      </c>
      <c r="C1740">
        <v>1595314</v>
      </c>
      <c r="E1740" t="s">
        <v>28</v>
      </c>
      <c r="F1740" t="s">
        <v>4576</v>
      </c>
      <c r="H1740">
        <v>0</v>
      </c>
      <c r="I1740" t="s">
        <v>16</v>
      </c>
    </row>
    <row r="1741" spans="1:9" x14ac:dyDescent="0.25">
      <c r="A1741" t="s">
        <v>13</v>
      </c>
      <c r="B1741">
        <v>1595371</v>
      </c>
      <c r="C1741">
        <v>1596495</v>
      </c>
      <c r="E1741" t="s">
        <v>28</v>
      </c>
      <c r="F1741" t="s">
        <v>4579</v>
      </c>
      <c r="H1741">
        <v>0</v>
      </c>
      <c r="I1741" t="s">
        <v>16</v>
      </c>
    </row>
    <row r="1742" spans="1:9" x14ac:dyDescent="0.25">
      <c r="A1742" t="s">
        <v>13</v>
      </c>
      <c r="B1742">
        <v>1596547</v>
      </c>
      <c r="C1742">
        <v>1596726</v>
      </c>
      <c r="E1742" t="s">
        <v>28</v>
      </c>
      <c r="F1742" t="s">
        <v>41</v>
      </c>
      <c r="H1742">
        <v>0</v>
      </c>
      <c r="I1742" t="s">
        <v>16</v>
      </c>
    </row>
    <row r="1743" spans="1:9" x14ac:dyDescent="0.25">
      <c r="A1743" t="s">
        <v>13</v>
      </c>
      <c r="B1743">
        <v>1597249</v>
      </c>
      <c r="C1743">
        <v>1598784</v>
      </c>
      <c r="E1743" t="s">
        <v>14</v>
      </c>
      <c r="F1743" t="s">
        <v>4584</v>
      </c>
      <c r="H1743">
        <v>0</v>
      </c>
      <c r="I1743" t="s">
        <v>16</v>
      </c>
    </row>
    <row r="1744" spans="1:9" x14ac:dyDescent="0.25">
      <c r="A1744" t="s">
        <v>13</v>
      </c>
      <c r="B1744">
        <v>1598771</v>
      </c>
      <c r="C1744">
        <v>1599505</v>
      </c>
      <c r="E1744" t="s">
        <v>14</v>
      </c>
      <c r="F1744" t="s">
        <v>41</v>
      </c>
      <c r="H1744">
        <v>0</v>
      </c>
      <c r="I1744" t="s">
        <v>16</v>
      </c>
    </row>
    <row r="1745" spans="1:9" x14ac:dyDescent="0.25">
      <c r="A1745" t="s">
        <v>13</v>
      </c>
      <c r="B1745">
        <v>1599649</v>
      </c>
      <c r="C1745">
        <v>1602642</v>
      </c>
      <c r="E1745" t="s">
        <v>28</v>
      </c>
      <c r="F1745" t="s">
        <v>4589</v>
      </c>
      <c r="H1745">
        <v>0</v>
      </c>
      <c r="I1745" t="s">
        <v>16</v>
      </c>
    </row>
    <row r="1746" spans="1:9" x14ac:dyDescent="0.25">
      <c r="A1746" t="s">
        <v>13</v>
      </c>
      <c r="B1746">
        <v>1602681</v>
      </c>
      <c r="C1746">
        <v>1603649</v>
      </c>
      <c r="E1746" t="s">
        <v>28</v>
      </c>
      <c r="F1746" t="s">
        <v>4592</v>
      </c>
      <c r="H1746">
        <v>0</v>
      </c>
      <c r="I1746" t="s">
        <v>16</v>
      </c>
    </row>
    <row r="1747" spans="1:9" x14ac:dyDescent="0.25">
      <c r="A1747" t="s">
        <v>13</v>
      </c>
      <c r="B1747">
        <v>1603700</v>
      </c>
      <c r="C1747">
        <v>1605010</v>
      </c>
      <c r="E1747" t="s">
        <v>14</v>
      </c>
      <c r="F1747" t="s">
        <v>41</v>
      </c>
      <c r="H1747">
        <v>0</v>
      </c>
      <c r="I1747" t="s">
        <v>16</v>
      </c>
    </row>
    <row r="1748" spans="1:9" x14ac:dyDescent="0.25">
      <c r="A1748" t="s">
        <v>13</v>
      </c>
      <c r="B1748">
        <v>1605018</v>
      </c>
      <c r="C1748">
        <v>1605443</v>
      </c>
      <c r="E1748" t="s">
        <v>14</v>
      </c>
      <c r="F1748" t="s">
        <v>4597</v>
      </c>
      <c r="H1748">
        <v>0</v>
      </c>
      <c r="I1748" t="s">
        <v>16</v>
      </c>
    </row>
    <row r="1749" spans="1:9" x14ac:dyDescent="0.25">
      <c r="A1749" t="s">
        <v>13</v>
      </c>
      <c r="B1749">
        <v>1605448</v>
      </c>
      <c r="C1749">
        <v>1605657</v>
      </c>
      <c r="E1749" t="s">
        <v>14</v>
      </c>
      <c r="F1749" t="s">
        <v>41</v>
      </c>
      <c r="H1749">
        <v>0</v>
      </c>
      <c r="I1749" t="s">
        <v>16</v>
      </c>
    </row>
    <row r="1750" spans="1:9" x14ac:dyDescent="0.25">
      <c r="A1750" t="s">
        <v>13</v>
      </c>
      <c r="B1750">
        <v>1605658</v>
      </c>
      <c r="C1750">
        <v>1607859</v>
      </c>
      <c r="E1750" t="s">
        <v>14</v>
      </c>
      <c r="F1750" t="s">
        <v>4602</v>
      </c>
      <c r="H1750">
        <v>0</v>
      </c>
      <c r="I1750" t="s">
        <v>16</v>
      </c>
    </row>
    <row r="1751" spans="1:9" x14ac:dyDescent="0.25">
      <c r="A1751" t="s">
        <v>13</v>
      </c>
      <c r="B1751">
        <v>1607869</v>
      </c>
      <c r="C1751">
        <v>1608279</v>
      </c>
      <c r="E1751" t="s">
        <v>14</v>
      </c>
      <c r="F1751" t="s">
        <v>41</v>
      </c>
      <c r="H1751">
        <v>0</v>
      </c>
      <c r="I1751" t="s">
        <v>16</v>
      </c>
    </row>
    <row r="1752" spans="1:9" x14ac:dyDescent="0.25">
      <c r="A1752" t="s">
        <v>13</v>
      </c>
      <c r="B1752">
        <v>1608329</v>
      </c>
      <c r="C1752">
        <v>1610866</v>
      </c>
      <c r="E1752" t="s">
        <v>14</v>
      </c>
      <c r="F1752" t="s">
        <v>2481</v>
      </c>
      <c r="H1752">
        <v>0</v>
      </c>
      <c r="I1752" t="s">
        <v>16</v>
      </c>
    </row>
    <row r="1753" spans="1:9" x14ac:dyDescent="0.25">
      <c r="A1753" t="s">
        <v>13</v>
      </c>
      <c r="B1753">
        <v>1610845</v>
      </c>
      <c r="C1753">
        <v>1612578</v>
      </c>
      <c r="E1753" t="s">
        <v>14</v>
      </c>
      <c r="F1753" t="s">
        <v>483</v>
      </c>
      <c r="H1753">
        <v>0</v>
      </c>
      <c r="I1753" t="s">
        <v>16</v>
      </c>
    </row>
    <row r="1754" spans="1:9" x14ac:dyDescent="0.25">
      <c r="A1754" t="s">
        <v>13</v>
      </c>
      <c r="B1754">
        <v>1612619</v>
      </c>
      <c r="C1754">
        <v>1613602</v>
      </c>
      <c r="E1754" t="s">
        <v>14</v>
      </c>
      <c r="F1754" t="s">
        <v>4611</v>
      </c>
      <c r="H1754">
        <v>0</v>
      </c>
      <c r="I1754" t="s">
        <v>16</v>
      </c>
    </row>
    <row r="1755" spans="1:9" x14ac:dyDescent="0.25">
      <c r="A1755" t="s">
        <v>13</v>
      </c>
      <c r="B1755">
        <v>1614025</v>
      </c>
      <c r="C1755">
        <v>1615242</v>
      </c>
      <c r="E1755" t="s">
        <v>28</v>
      </c>
      <c r="F1755" t="s">
        <v>4614</v>
      </c>
      <c r="H1755">
        <v>0</v>
      </c>
      <c r="I1755" t="s">
        <v>16</v>
      </c>
    </row>
    <row r="1756" spans="1:9" x14ac:dyDescent="0.25">
      <c r="A1756" t="s">
        <v>13</v>
      </c>
      <c r="B1756">
        <v>1615199</v>
      </c>
      <c r="C1756">
        <v>1615282</v>
      </c>
      <c r="E1756" t="s">
        <v>28</v>
      </c>
      <c r="F1756" t="s">
        <v>41</v>
      </c>
      <c r="H1756">
        <v>0</v>
      </c>
      <c r="I1756" t="s">
        <v>16</v>
      </c>
    </row>
    <row r="1757" spans="1:9" x14ac:dyDescent="0.25">
      <c r="A1757" t="s">
        <v>13</v>
      </c>
      <c r="B1757">
        <v>1615330</v>
      </c>
      <c r="C1757">
        <v>1616454</v>
      </c>
      <c r="E1757" t="s">
        <v>14</v>
      </c>
      <c r="F1757" t="s">
        <v>4619</v>
      </c>
      <c r="H1757">
        <v>0</v>
      </c>
      <c r="I1757" t="s">
        <v>16</v>
      </c>
    </row>
    <row r="1758" spans="1:9" x14ac:dyDescent="0.25">
      <c r="A1758" t="s">
        <v>13</v>
      </c>
      <c r="B1758">
        <v>1616451</v>
      </c>
      <c r="C1758">
        <v>1617770</v>
      </c>
      <c r="E1758" t="s">
        <v>14</v>
      </c>
      <c r="F1758" t="s">
        <v>4622</v>
      </c>
      <c r="H1758">
        <v>0</v>
      </c>
      <c r="I1758" t="s">
        <v>16</v>
      </c>
    </row>
    <row r="1759" spans="1:9" x14ac:dyDescent="0.25">
      <c r="A1759" t="s">
        <v>13</v>
      </c>
      <c r="B1759">
        <v>1617867</v>
      </c>
      <c r="C1759">
        <v>1618361</v>
      </c>
      <c r="E1759" t="s">
        <v>28</v>
      </c>
      <c r="F1759" t="s">
        <v>41</v>
      </c>
      <c r="H1759">
        <v>0</v>
      </c>
      <c r="I1759" t="s">
        <v>16</v>
      </c>
    </row>
    <row r="1760" spans="1:9" x14ac:dyDescent="0.25">
      <c r="A1760" t="s">
        <v>13</v>
      </c>
      <c r="B1760">
        <v>1618379</v>
      </c>
      <c r="C1760">
        <v>1619752</v>
      </c>
      <c r="E1760" t="s">
        <v>28</v>
      </c>
      <c r="F1760" t="s">
        <v>4627</v>
      </c>
      <c r="H1760">
        <v>0</v>
      </c>
      <c r="I1760" t="s">
        <v>16</v>
      </c>
    </row>
    <row r="1761" spans="1:9" x14ac:dyDescent="0.25">
      <c r="A1761" t="s">
        <v>13</v>
      </c>
      <c r="B1761">
        <v>1619862</v>
      </c>
      <c r="C1761">
        <v>1620350</v>
      </c>
      <c r="E1761" t="s">
        <v>14</v>
      </c>
      <c r="F1761" t="s">
        <v>2222</v>
      </c>
      <c r="H1761">
        <v>0</v>
      </c>
      <c r="I1761" t="s">
        <v>16</v>
      </c>
    </row>
    <row r="1762" spans="1:9" x14ac:dyDescent="0.25">
      <c r="A1762" t="s">
        <v>13</v>
      </c>
      <c r="B1762">
        <v>1620328</v>
      </c>
      <c r="C1762">
        <v>1621212</v>
      </c>
      <c r="E1762" t="s">
        <v>14</v>
      </c>
      <c r="F1762" t="s">
        <v>4632</v>
      </c>
      <c r="H1762">
        <v>0</v>
      </c>
      <c r="I1762" t="s">
        <v>16</v>
      </c>
    </row>
    <row r="1763" spans="1:9" x14ac:dyDescent="0.25">
      <c r="A1763" t="s">
        <v>13</v>
      </c>
      <c r="B1763">
        <v>1621209</v>
      </c>
      <c r="C1763">
        <v>1622633</v>
      </c>
      <c r="E1763" t="s">
        <v>28</v>
      </c>
      <c r="F1763" t="s">
        <v>4635</v>
      </c>
      <c r="H1763">
        <v>0</v>
      </c>
      <c r="I1763" t="s">
        <v>16</v>
      </c>
    </row>
    <row r="1764" spans="1:9" x14ac:dyDescent="0.25">
      <c r="A1764" t="s">
        <v>13</v>
      </c>
      <c r="B1764">
        <v>1622630</v>
      </c>
      <c r="C1764">
        <v>1623943</v>
      </c>
      <c r="E1764" t="s">
        <v>28</v>
      </c>
      <c r="F1764" t="s">
        <v>4638</v>
      </c>
      <c r="H1764">
        <v>0</v>
      </c>
      <c r="I1764" t="s">
        <v>16</v>
      </c>
    </row>
    <row r="1765" spans="1:9" x14ac:dyDescent="0.25">
      <c r="A1765" t="s">
        <v>13</v>
      </c>
      <c r="B1765">
        <v>1624054</v>
      </c>
      <c r="C1765">
        <v>1624437</v>
      </c>
      <c r="E1765" t="s">
        <v>28</v>
      </c>
      <c r="F1765" t="s">
        <v>4641</v>
      </c>
      <c r="H1765">
        <v>0</v>
      </c>
      <c r="I1765" t="s">
        <v>16</v>
      </c>
    </row>
    <row r="1766" spans="1:9" x14ac:dyDescent="0.25">
      <c r="A1766" t="s">
        <v>13</v>
      </c>
      <c r="B1766">
        <v>1624456</v>
      </c>
      <c r="C1766">
        <v>1625505</v>
      </c>
      <c r="E1766" t="s">
        <v>28</v>
      </c>
      <c r="F1766" t="s">
        <v>4644</v>
      </c>
      <c r="H1766">
        <v>0</v>
      </c>
      <c r="I1766" t="s">
        <v>16</v>
      </c>
    </row>
    <row r="1767" spans="1:9" x14ac:dyDescent="0.25">
      <c r="A1767" t="s">
        <v>13</v>
      </c>
      <c r="B1767">
        <v>1625665</v>
      </c>
      <c r="C1767">
        <v>1627389</v>
      </c>
      <c r="E1767" t="s">
        <v>28</v>
      </c>
      <c r="F1767" t="s">
        <v>4647</v>
      </c>
      <c r="H1767">
        <v>0</v>
      </c>
      <c r="I1767" t="s">
        <v>16</v>
      </c>
    </row>
    <row r="1768" spans="1:9" x14ac:dyDescent="0.25">
      <c r="A1768" t="s">
        <v>13</v>
      </c>
      <c r="B1768">
        <v>1627389</v>
      </c>
      <c r="C1768">
        <v>1628273</v>
      </c>
      <c r="E1768" t="s">
        <v>28</v>
      </c>
      <c r="F1768" t="s">
        <v>4650</v>
      </c>
      <c r="H1768">
        <v>0</v>
      </c>
      <c r="I1768" t="s">
        <v>16</v>
      </c>
    </row>
    <row r="1769" spans="1:9" x14ac:dyDescent="0.25">
      <c r="A1769" t="s">
        <v>13</v>
      </c>
      <c r="B1769">
        <v>1628278</v>
      </c>
      <c r="C1769">
        <v>1630008</v>
      </c>
      <c r="E1769" t="s">
        <v>28</v>
      </c>
      <c r="F1769" t="s">
        <v>4653</v>
      </c>
      <c r="H1769">
        <v>0</v>
      </c>
      <c r="I1769" t="s">
        <v>16</v>
      </c>
    </row>
    <row r="1770" spans="1:9" x14ac:dyDescent="0.25">
      <c r="A1770" t="s">
        <v>13</v>
      </c>
      <c r="B1770">
        <v>1630059</v>
      </c>
      <c r="C1770">
        <v>1630409</v>
      </c>
      <c r="E1770" t="s">
        <v>28</v>
      </c>
      <c r="F1770" t="s">
        <v>4656</v>
      </c>
      <c r="H1770">
        <v>0</v>
      </c>
      <c r="I1770" t="s">
        <v>16</v>
      </c>
    </row>
    <row r="1771" spans="1:9" x14ac:dyDescent="0.25">
      <c r="A1771" t="s">
        <v>13</v>
      </c>
      <c r="B1771">
        <v>1630569</v>
      </c>
      <c r="C1771">
        <v>1631264</v>
      </c>
      <c r="E1771" t="s">
        <v>14</v>
      </c>
      <c r="F1771" t="s">
        <v>4659</v>
      </c>
      <c r="H1771">
        <v>0</v>
      </c>
      <c r="I1771" t="s">
        <v>16</v>
      </c>
    </row>
    <row r="1772" spans="1:9" x14ac:dyDescent="0.25">
      <c r="A1772" t="s">
        <v>13</v>
      </c>
      <c r="B1772">
        <v>1631363</v>
      </c>
      <c r="C1772">
        <v>1631665</v>
      </c>
      <c r="E1772" t="s">
        <v>28</v>
      </c>
      <c r="F1772" t="s">
        <v>41</v>
      </c>
      <c r="H1772">
        <v>0</v>
      </c>
      <c r="I1772" t="s">
        <v>16</v>
      </c>
    </row>
    <row r="1773" spans="1:9" x14ac:dyDescent="0.25">
      <c r="A1773" t="s">
        <v>13</v>
      </c>
      <c r="B1773">
        <v>1631669</v>
      </c>
      <c r="C1773">
        <v>1632625</v>
      </c>
      <c r="E1773" t="s">
        <v>28</v>
      </c>
      <c r="F1773" t="s">
        <v>4664</v>
      </c>
      <c r="H1773">
        <v>0</v>
      </c>
      <c r="I1773" t="s">
        <v>16</v>
      </c>
    </row>
    <row r="1774" spans="1:9" x14ac:dyDescent="0.25">
      <c r="A1774" t="s">
        <v>13</v>
      </c>
      <c r="B1774">
        <v>1632697</v>
      </c>
      <c r="C1774">
        <v>1633167</v>
      </c>
      <c r="E1774" t="s">
        <v>14</v>
      </c>
      <c r="F1774" t="s">
        <v>4667</v>
      </c>
      <c r="H1774">
        <v>0</v>
      </c>
      <c r="I1774" t="s">
        <v>16</v>
      </c>
    </row>
    <row r="1775" spans="1:9" x14ac:dyDescent="0.25">
      <c r="A1775" t="s">
        <v>13</v>
      </c>
      <c r="B1775">
        <v>1633164</v>
      </c>
      <c r="C1775">
        <v>1634270</v>
      </c>
      <c r="E1775" t="s">
        <v>14</v>
      </c>
      <c r="F1775" t="s">
        <v>4670</v>
      </c>
      <c r="H1775">
        <v>0</v>
      </c>
      <c r="I1775" t="s">
        <v>16</v>
      </c>
    </row>
    <row r="1776" spans="1:9" x14ac:dyDescent="0.25">
      <c r="A1776" t="s">
        <v>13</v>
      </c>
      <c r="B1776">
        <v>1634271</v>
      </c>
      <c r="C1776">
        <v>1635425</v>
      </c>
      <c r="E1776" t="s">
        <v>14</v>
      </c>
      <c r="F1776" t="s">
        <v>41</v>
      </c>
      <c r="H1776">
        <v>0</v>
      </c>
      <c r="I1776" t="s">
        <v>16</v>
      </c>
    </row>
    <row r="1777" spans="1:9" x14ac:dyDescent="0.25">
      <c r="A1777" t="s">
        <v>13</v>
      </c>
      <c r="B1777">
        <v>1635415</v>
      </c>
      <c r="C1777">
        <v>1636338</v>
      </c>
      <c r="E1777" t="s">
        <v>28</v>
      </c>
      <c r="F1777" t="s">
        <v>4675</v>
      </c>
      <c r="H1777">
        <v>0</v>
      </c>
      <c r="I1777" t="s">
        <v>16</v>
      </c>
    </row>
    <row r="1778" spans="1:9" x14ac:dyDescent="0.25">
      <c r="A1778" t="s">
        <v>13</v>
      </c>
      <c r="B1778">
        <v>1636383</v>
      </c>
      <c r="C1778">
        <v>1637165</v>
      </c>
      <c r="E1778" t="s">
        <v>28</v>
      </c>
      <c r="F1778" t="s">
        <v>4678</v>
      </c>
      <c r="H1778">
        <v>0</v>
      </c>
      <c r="I1778" t="s">
        <v>16</v>
      </c>
    </row>
    <row r="1779" spans="1:9" x14ac:dyDescent="0.25">
      <c r="A1779" t="s">
        <v>13</v>
      </c>
      <c r="B1779">
        <v>1637196</v>
      </c>
      <c r="C1779">
        <v>1638167</v>
      </c>
      <c r="E1779" t="s">
        <v>14</v>
      </c>
      <c r="F1779" t="s">
        <v>4681</v>
      </c>
      <c r="H1779">
        <v>0</v>
      </c>
      <c r="I1779" t="s">
        <v>16</v>
      </c>
    </row>
    <row r="1780" spans="1:9" x14ac:dyDescent="0.25">
      <c r="A1780" t="s">
        <v>13</v>
      </c>
      <c r="B1780">
        <v>1638164</v>
      </c>
      <c r="C1780">
        <v>1639201</v>
      </c>
      <c r="E1780" t="s">
        <v>14</v>
      </c>
      <c r="F1780" t="s">
        <v>41</v>
      </c>
      <c r="H1780">
        <v>0</v>
      </c>
      <c r="I1780" t="s">
        <v>16</v>
      </c>
    </row>
    <row r="1781" spans="1:9" x14ac:dyDescent="0.25">
      <c r="A1781" t="s">
        <v>13</v>
      </c>
      <c r="B1781">
        <v>1639246</v>
      </c>
      <c r="C1781">
        <v>1640601</v>
      </c>
      <c r="E1781" t="s">
        <v>28</v>
      </c>
      <c r="F1781" t="s">
        <v>41</v>
      </c>
      <c r="H1781">
        <v>0</v>
      </c>
      <c r="I1781" t="s">
        <v>16</v>
      </c>
    </row>
    <row r="1782" spans="1:9" x14ac:dyDescent="0.25">
      <c r="A1782" t="s">
        <v>13</v>
      </c>
      <c r="B1782">
        <v>1640673</v>
      </c>
      <c r="C1782">
        <v>1642520</v>
      </c>
      <c r="E1782" t="s">
        <v>14</v>
      </c>
      <c r="F1782" t="s">
        <v>4688</v>
      </c>
      <c r="H1782">
        <v>0</v>
      </c>
      <c r="I1782" t="s">
        <v>16</v>
      </c>
    </row>
    <row r="1783" spans="1:9" x14ac:dyDescent="0.25">
      <c r="A1783" t="s">
        <v>13</v>
      </c>
      <c r="B1783">
        <v>1642602</v>
      </c>
      <c r="C1783">
        <v>1644134</v>
      </c>
      <c r="E1783" t="s">
        <v>28</v>
      </c>
      <c r="F1783" t="s">
        <v>4691</v>
      </c>
      <c r="H1783">
        <v>0</v>
      </c>
      <c r="I1783" t="s">
        <v>16</v>
      </c>
    </row>
    <row r="1784" spans="1:9" x14ac:dyDescent="0.25">
      <c r="A1784" t="s">
        <v>13</v>
      </c>
      <c r="B1784">
        <v>1644134</v>
      </c>
      <c r="C1784">
        <v>1645621</v>
      </c>
      <c r="E1784" t="s">
        <v>28</v>
      </c>
      <c r="F1784" t="s">
        <v>4694</v>
      </c>
      <c r="H1784">
        <v>0</v>
      </c>
      <c r="I1784" t="s">
        <v>16</v>
      </c>
    </row>
    <row r="1785" spans="1:9" x14ac:dyDescent="0.25">
      <c r="A1785" t="s">
        <v>13</v>
      </c>
      <c r="B1785">
        <v>1645618</v>
      </c>
      <c r="C1785">
        <v>1646664</v>
      </c>
      <c r="E1785" t="s">
        <v>28</v>
      </c>
      <c r="F1785" t="s">
        <v>4697</v>
      </c>
      <c r="H1785">
        <v>0</v>
      </c>
      <c r="I1785" t="s">
        <v>16</v>
      </c>
    </row>
    <row r="1786" spans="1:9" x14ac:dyDescent="0.25">
      <c r="A1786" t="s">
        <v>13</v>
      </c>
      <c r="B1786">
        <v>1646648</v>
      </c>
      <c r="C1786">
        <v>1646812</v>
      </c>
      <c r="E1786" t="s">
        <v>28</v>
      </c>
      <c r="F1786" t="s">
        <v>41</v>
      </c>
      <c r="H1786">
        <v>0</v>
      </c>
      <c r="I1786" t="s">
        <v>16</v>
      </c>
    </row>
    <row r="1787" spans="1:9" x14ac:dyDescent="0.25">
      <c r="A1787" t="s">
        <v>13</v>
      </c>
      <c r="B1787">
        <v>1646821</v>
      </c>
      <c r="C1787">
        <v>1647009</v>
      </c>
      <c r="E1787" t="s">
        <v>28</v>
      </c>
      <c r="F1787" t="s">
        <v>4702</v>
      </c>
      <c r="H1787">
        <v>0</v>
      </c>
      <c r="I1787" t="s">
        <v>16</v>
      </c>
    </row>
    <row r="1788" spans="1:9" x14ac:dyDescent="0.25">
      <c r="A1788" t="s">
        <v>13</v>
      </c>
      <c r="B1788">
        <v>1647031</v>
      </c>
      <c r="C1788">
        <v>1647996</v>
      </c>
      <c r="E1788" t="s">
        <v>28</v>
      </c>
      <c r="F1788" t="s">
        <v>4705</v>
      </c>
      <c r="H1788">
        <v>0</v>
      </c>
      <c r="I1788" t="s">
        <v>16</v>
      </c>
    </row>
    <row r="1789" spans="1:9" x14ac:dyDescent="0.25">
      <c r="A1789" t="s">
        <v>13</v>
      </c>
      <c r="B1789">
        <v>1648006</v>
      </c>
      <c r="C1789">
        <v>1648560</v>
      </c>
      <c r="E1789" t="s">
        <v>28</v>
      </c>
      <c r="F1789" t="s">
        <v>4708</v>
      </c>
      <c r="H1789">
        <v>0</v>
      </c>
      <c r="I1789" t="s">
        <v>16</v>
      </c>
    </row>
    <row r="1790" spans="1:9" x14ac:dyDescent="0.25">
      <c r="A1790" t="s">
        <v>13</v>
      </c>
      <c r="B1790">
        <v>1648622</v>
      </c>
      <c r="C1790">
        <v>1649239</v>
      </c>
      <c r="E1790" t="s">
        <v>28</v>
      </c>
      <c r="F1790" t="s">
        <v>4711</v>
      </c>
      <c r="H1790">
        <v>0</v>
      </c>
      <c r="I1790" t="s">
        <v>16</v>
      </c>
    </row>
    <row r="1791" spans="1:9" x14ac:dyDescent="0.25">
      <c r="A1791" t="s">
        <v>13</v>
      </c>
      <c r="B1791">
        <v>1649292</v>
      </c>
      <c r="C1791">
        <v>1650215</v>
      </c>
      <c r="E1791" t="s">
        <v>28</v>
      </c>
      <c r="F1791" t="s">
        <v>4714</v>
      </c>
      <c r="H1791">
        <v>0</v>
      </c>
      <c r="I1791" t="s">
        <v>16</v>
      </c>
    </row>
    <row r="1792" spans="1:9" x14ac:dyDescent="0.25">
      <c r="A1792" t="s">
        <v>13</v>
      </c>
      <c r="B1792">
        <v>1650219</v>
      </c>
      <c r="C1792">
        <v>1650896</v>
      </c>
      <c r="E1792" t="s">
        <v>28</v>
      </c>
      <c r="F1792" t="s">
        <v>4714</v>
      </c>
      <c r="H1792">
        <v>0</v>
      </c>
      <c r="I1792" t="s">
        <v>16</v>
      </c>
    </row>
    <row r="1793" spans="1:9" x14ac:dyDescent="0.25">
      <c r="A1793" t="s">
        <v>13</v>
      </c>
      <c r="B1793">
        <v>1650893</v>
      </c>
      <c r="C1793">
        <v>1651351</v>
      </c>
      <c r="E1793" t="s">
        <v>28</v>
      </c>
      <c r="F1793" t="s">
        <v>4719</v>
      </c>
      <c r="H1793">
        <v>0</v>
      </c>
      <c r="I1793" t="s">
        <v>16</v>
      </c>
    </row>
    <row r="1794" spans="1:9" x14ac:dyDescent="0.25">
      <c r="A1794" t="s">
        <v>13</v>
      </c>
      <c r="B1794">
        <v>1651382</v>
      </c>
      <c r="C1794">
        <v>1652893</v>
      </c>
      <c r="E1794" t="s">
        <v>14</v>
      </c>
      <c r="F1794" t="s">
        <v>4722</v>
      </c>
      <c r="H1794">
        <v>0</v>
      </c>
      <c r="I1794" t="s">
        <v>16</v>
      </c>
    </row>
    <row r="1795" spans="1:9" x14ac:dyDescent="0.25">
      <c r="A1795" t="s">
        <v>13</v>
      </c>
      <c r="B1795">
        <v>1652893</v>
      </c>
      <c r="C1795">
        <v>1653462</v>
      </c>
      <c r="E1795" t="s">
        <v>14</v>
      </c>
      <c r="F1795" t="s">
        <v>41</v>
      </c>
      <c r="H1795">
        <v>0</v>
      </c>
      <c r="I1795" t="s">
        <v>16</v>
      </c>
    </row>
    <row r="1796" spans="1:9" x14ac:dyDescent="0.25">
      <c r="A1796" t="s">
        <v>13</v>
      </c>
      <c r="B1796">
        <v>1653488</v>
      </c>
      <c r="C1796">
        <v>1653775</v>
      </c>
      <c r="E1796" t="s">
        <v>14</v>
      </c>
      <c r="F1796" t="s">
        <v>41</v>
      </c>
      <c r="H1796">
        <v>0</v>
      </c>
      <c r="I1796" t="s">
        <v>16</v>
      </c>
    </row>
    <row r="1797" spans="1:9" x14ac:dyDescent="0.25">
      <c r="A1797" t="s">
        <v>13</v>
      </c>
      <c r="B1797">
        <v>1653775</v>
      </c>
      <c r="C1797">
        <v>1654152</v>
      </c>
      <c r="E1797" t="s">
        <v>14</v>
      </c>
      <c r="F1797" t="s">
        <v>3841</v>
      </c>
      <c r="H1797">
        <v>0</v>
      </c>
      <c r="I1797" t="s">
        <v>16</v>
      </c>
    </row>
    <row r="1798" spans="1:9" x14ac:dyDescent="0.25">
      <c r="A1798" t="s">
        <v>13</v>
      </c>
      <c r="B1798">
        <v>1654140</v>
      </c>
      <c r="C1798">
        <v>1655636</v>
      </c>
      <c r="E1798" t="s">
        <v>14</v>
      </c>
      <c r="F1798" t="s">
        <v>4731</v>
      </c>
      <c r="H1798">
        <v>0</v>
      </c>
      <c r="I1798" t="s">
        <v>16</v>
      </c>
    </row>
    <row r="1799" spans="1:9" x14ac:dyDescent="0.25">
      <c r="A1799" t="s">
        <v>13</v>
      </c>
      <c r="B1799">
        <v>1655633</v>
      </c>
      <c r="C1799">
        <v>1655785</v>
      </c>
      <c r="E1799" t="s">
        <v>14</v>
      </c>
      <c r="F1799" t="s">
        <v>41</v>
      </c>
      <c r="H1799">
        <v>0</v>
      </c>
      <c r="I1799" t="s">
        <v>16</v>
      </c>
    </row>
    <row r="1800" spans="1:9" x14ac:dyDescent="0.25">
      <c r="A1800" t="s">
        <v>13</v>
      </c>
      <c r="B1800">
        <v>1655958</v>
      </c>
      <c r="C1800">
        <v>1657334</v>
      </c>
      <c r="E1800" t="s">
        <v>14</v>
      </c>
      <c r="F1800" t="s">
        <v>4736</v>
      </c>
      <c r="H1800">
        <v>0</v>
      </c>
      <c r="I1800" t="s">
        <v>16</v>
      </c>
    </row>
    <row r="1801" spans="1:9" x14ac:dyDescent="0.25">
      <c r="A1801" t="s">
        <v>13</v>
      </c>
      <c r="B1801">
        <v>1657541</v>
      </c>
      <c r="C1801">
        <v>1658299</v>
      </c>
      <c r="E1801" t="s">
        <v>14</v>
      </c>
      <c r="F1801" t="s">
        <v>41</v>
      </c>
      <c r="H1801">
        <v>0</v>
      </c>
      <c r="I1801" t="s">
        <v>16</v>
      </c>
    </row>
    <row r="1802" spans="1:9" x14ac:dyDescent="0.25">
      <c r="A1802" t="s">
        <v>13</v>
      </c>
      <c r="B1802">
        <v>1658299</v>
      </c>
      <c r="C1802">
        <v>1659201</v>
      </c>
      <c r="E1802" t="s">
        <v>14</v>
      </c>
      <c r="F1802" t="s">
        <v>2207</v>
      </c>
      <c r="H1802">
        <v>0</v>
      </c>
      <c r="I1802" t="s">
        <v>16</v>
      </c>
    </row>
    <row r="1803" spans="1:9" x14ac:dyDescent="0.25">
      <c r="A1803" t="s">
        <v>13</v>
      </c>
      <c r="B1803">
        <v>1659211</v>
      </c>
      <c r="C1803">
        <v>1659696</v>
      </c>
      <c r="E1803" t="s">
        <v>14</v>
      </c>
      <c r="F1803" t="s">
        <v>4743</v>
      </c>
      <c r="H1803">
        <v>0</v>
      </c>
      <c r="I1803" t="s">
        <v>16</v>
      </c>
    </row>
    <row r="1804" spans="1:9" x14ac:dyDescent="0.25">
      <c r="A1804" t="s">
        <v>13</v>
      </c>
      <c r="B1804">
        <v>1659748</v>
      </c>
      <c r="C1804">
        <v>1661400</v>
      </c>
      <c r="E1804" t="s">
        <v>14</v>
      </c>
      <c r="F1804" t="s">
        <v>4746</v>
      </c>
      <c r="H1804">
        <v>0</v>
      </c>
      <c r="I1804" t="s">
        <v>16</v>
      </c>
    </row>
    <row r="1805" spans="1:9" x14ac:dyDescent="0.25">
      <c r="A1805" t="s">
        <v>13</v>
      </c>
      <c r="B1805">
        <v>1661433</v>
      </c>
      <c r="C1805">
        <v>1662290</v>
      </c>
      <c r="E1805" t="s">
        <v>14</v>
      </c>
      <c r="F1805" t="s">
        <v>4749</v>
      </c>
      <c r="H1805">
        <v>0</v>
      </c>
      <c r="I1805" t="s">
        <v>16</v>
      </c>
    </row>
    <row r="1806" spans="1:9" x14ac:dyDescent="0.25">
      <c r="A1806" t="s">
        <v>13</v>
      </c>
      <c r="B1806">
        <v>1662287</v>
      </c>
      <c r="C1806">
        <v>1662682</v>
      </c>
      <c r="E1806" t="s">
        <v>28</v>
      </c>
      <c r="F1806" t="s">
        <v>41</v>
      </c>
      <c r="H1806">
        <v>0</v>
      </c>
      <c r="I1806" t="s">
        <v>16</v>
      </c>
    </row>
    <row r="1807" spans="1:9" x14ac:dyDescent="0.25">
      <c r="A1807" t="s">
        <v>13</v>
      </c>
      <c r="B1807">
        <v>1662692</v>
      </c>
      <c r="C1807">
        <v>1663180</v>
      </c>
      <c r="E1807" t="s">
        <v>28</v>
      </c>
      <c r="F1807" t="s">
        <v>41</v>
      </c>
      <c r="H1807">
        <v>0</v>
      </c>
      <c r="I1807" t="s">
        <v>16</v>
      </c>
    </row>
    <row r="1808" spans="1:9" x14ac:dyDescent="0.25">
      <c r="A1808" t="s">
        <v>13</v>
      </c>
      <c r="B1808">
        <v>1663204</v>
      </c>
      <c r="C1808">
        <v>1663380</v>
      </c>
      <c r="E1808" t="s">
        <v>14</v>
      </c>
      <c r="F1808" t="s">
        <v>41</v>
      </c>
      <c r="H1808">
        <v>0</v>
      </c>
      <c r="I1808" t="s">
        <v>16</v>
      </c>
    </row>
    <row r="1809" spans="1:9" x14ac:dyDescent="0.25">
      <c r="A1809" t="s">
        <v>13</v>
      </c>
      <c r="B1809">
        <v>1663377</v>
      </c>
      <c r="C1809">
        <v>1663982</v>
      </c>
      <c r="E1809" t="s">
        <v>14</v>
      </c>
      <c r="F1809" t="s">
        <v>41</v>
      </c>
      <c r="H1809">
        <v>0</v>
      </c>
      <c r="I1809" t="s">
        <v>16</v>
      </c>
    </row>
    <row r="1810" spans="1:9" x14ac:dyDescent="0.25">
      <c r="A1810" t="s">
        <v>13</v>
      </c>
      <c r="B1810">
        <v>1664075</v>
      </c>
      <c r="C1810">
        <v>1664428</v>
      </c>
      <c r="E1810" t="s">
        <v>28</v>
      </c>
      <c r="F1810" t="s">
        <v>41</v>
      </c>
      <c r="H1810">
        <v>0</v>
      </c>
      <c r="I1810" t="s">
        <v>16</v>
      </c>
    </row>
    <row r="1811" spans="1:9" x14ac:dyDescent="0.25">
      <c r="A1811" t="s">
        <v>13</v>
      </c>
      <c r="B1811">
        <v>1664503</v>
      </c>
      <c r="C1811">
        <v>1664591</v>
      </c>
      <c r="E1811" t="s">
        <v>28</v>
      </c>
      <c r="F1811" t="s">
        <v>4351</v>
      </c>
      <c r="H1811">
        <v>0</v>
      </c>
      <c r="I1811" t="s">
        <v>133</v>
      </c>
    </row>
    <row r="1812" spans="1:9" x14ac:dyDescent="0.25">
      <c r="A1812" t="s">
        <v>13</v>
      </c>
      <c r="B1812">
        <v>1664570</v>
      </c>
      <c r="C1812">
        <v>1666099</v>
      </c>
      <c r="E1812" t="s">
        <v>28</v>
      </c>
      <c r="F1812" t="s">
        <v>4763</v>
      </c>
      <c r="H1812">
        <v>0</v>
      </c>
      <c r="I1812" t="s">
        <v>16</v>
      </c>
    </row>
    <row r="1813" spans="1:9" x14ac:dyDescent="0.25">
      <c r="A1813" t="s">
        <v>13</v>
      </c>
      <c r="B1813">
        <v>1666086</v>
      </c>
      <c r="C1813">
        <v>1666484</v>
      </c>
      <c r="E1813" t="s">
        <v>28</v>
      </c>
      <c r="F1813" t="s">
        <v>41</v>
      </c>
      <c r="H1813">
        <v>0</v>
      </c>
      <c r="I1813" t="s">
        <v>16</v>
      </c>
    </row>
    <row r="1814" spans="1:9" x14ac:dyDescent="0.25">
      <c r="A1814" t="s">
        <v>13</v>
      </c>
      <c r="B1814">
        <v>1666526</v>
      </c>
      <c r="C1814">
        <v>1667902</v>
      </c>
      <c r="E1814" t="s">
        <v>14</v>
      </c>
      <c r="F1814" t="s">
        <v>3852</v>
      </c>
      <c r="H1814">
        <v>0</v>
      </c>
      <c r="I1814" t="s">
        <v>16</v>
      </c>
    </row>
    <row r="1815" spans="1:9" x14ac:dyDescent="0.25">
      <c r="A1815" t="s">
        <v>13</v>
      </c>
      <c r="B1815">
        <v>1667895</v>
      </c>
      <c r="C1815">
        <v>1668950</v>
      </c>
      <c r="E1815" t="s">
        <v>14</v>
      </c>
      <c r="F1815" t="s">
        <v>4770</v>
      </c>
      <c r="H1815">
        <v>0</v>
      </c>
      <c r="I1815" t="s">
        <v>16</v>
      </c>
    </row>
    <row r="1816" spans="1:9" x14ac:dyDescent="0.25">
      <c r="A1816" t="s">
        <v>13</v>
      </c>
      <c r="B1816">
        <v>1668955</v>
      </c>
      <c r="C1816">
        <v>1670211</v>
      </c>
      <c r="E1816" t="s">
        <v>14</v>
      </c>
      <c r="F1816" t="s">
        <v>4773</v>
      </c>
      <c r="H1816">
        <v>0</v>
      </c>
      <c r="I1816" t="s">
        <v>16</v>
      </c>
    </row>
    <row r="1817" spans="1:9" x14ac:dyDescent="0.25">
      <c r="A1817" t="s">
        <v>13</v>
      </c>
      <c r="B1817">
        <v>1670358</v>
      </c>
      <c r="C1817">
        <v>1670552</v>
      </c>
      <c r="E1817" t="s">
        <v>14</v>
      </c>
      <c r="F1817" t="s">
        <v>41</v>
      </c>
      <c r="H1817">
        <v>0</v>
      </c>
      <c r="I1817" t="s">
        <v>16</v>
      </c>
    </row>
    <row r="1818" spans="1:9" x14ac:dyDescent="0.25">
      <c r="A1818" t="s">
        <v>13</v>
      </c>
      <c r="B1818">
        <v>1670549</v>
      </c>
      <c r="C1818">
        <v>1671778</v>
      </c>
      <c r="E1818" t="s">
        <v>14</v>
      </c>
      <c r="F1818" t="s">
        <v>41</v>
      </c>
      <c r="H1818">
        <v>0</v>
      </c>
      <c r="I1818" t="s">
        <v>16</v>
      </c>
    </row>
    <row r="1819" spans="1:9" x14ac:dyDescent="0.25">
      <c r="A1819" t="s">
        <v>13</v>
      </c>
      <c r="B1819">
        <v>1671866</v>
      </c>
      <c r="C1819">
        <v>1672126</v>
      </c>
      <c r="E1819" t="s">
        <v>14</v>
      </c>
      <c r="F1819" t="s">
        <v>41</v>
      </c>
      <c r="H1819">
        <v>0</v>
      </c>
      <c r="I1819" t="s">
        <v>16</v>
      </c>
    </row>
    <row r="1820" spans="1:9" x14ac:dyDescent="0.25">
      <c r="A1820" t="s">
        <v>13</v>
      </c>
      <c r="B1820">
        <v>1672126</v>
      </c>
      <c r="C1820">
        <v>1672518</v>
      </c>
      <c r="E1820" t="s">
        <v>14</v>
      </c>
      <c r="F1820" t="s">
        <v>41</v>
      </c>
      <c r="H1820">
        <v>0</v>
      </c>
      <c r="I1820" t="s">
        <v>16</v>
      </c>
    </row>
    <row r="1821" spans="1:9" x14ac:dyDescent="0.25">
      <c r="A1821" t="s">
        <v>13</v>
      </c>
      <c r="B1821">
        <v>1672503</v>
      </c>
      <c r="C1821">
        <v>1673723</v>
      </c>
      <c r="E1821" t="s">
        <v>14</v>
      </c>
      <c r="F1821" t="s">
        <v>4784</v>
      </c>
      <c r="H1821">
        <v>0</v>
      </c>
      <c r="I1821" t="s">
        <v>16</v>
      </c>
    </row>
    <row r="1822" spans="1:9" x14ac:dyDescent="0.25">
      <c r="A1822" t="s">
        <v>13</v>
      </c>
      <c r="B1822">
        <v>1673747</v>
      </c>
      <c r="C1822">
        <v>1674853</v>
      </c>
      <c r="E1822" t="s">
        <v>14</v>
      </c>
      <c r="F1822" t="s">
        <v>1668</v>
      </c>
      <c r="H1822">
        <v>0</v>
      </c>
      <c r="I1822" t="s">
        <v>16</v>
      </c>
    </row>
    <row r="1823" spans="1:9" x14ac:dyDescent="0.25">
      <c r="A1823" t="s">
        <v>13</v>
      </c>
      <c r="B1823">
        <v>1674917</v>
      </c>
      <c r="C1823">
        <v>1675306</v>
      </c>
      <c r="E1823" t="s">
        <v>28</v>
      </c>
      <c r="F1823" t="s">
        <v>4789</v>
      </c>
      <c r="H1823">
        <v>0</v>
      </c>
      <c r="I1823" t="s">
        <v>16</v>
      </c>
    </row>
    <row r="1824" spans="1:9" x14ac:dyDescent="0.25">
      <c r="A1824" t="s">
        <v>13</v>
      </c>
      <c r="B1824">
        <v>1675356</v>
      </c>
      <c r="C1824">
        <v>1675429</v>
      </c>
      <c r="E1824" t="s">
        <v>28</v>
      </c>
      <c r="F1824" t="s">
        <v>4792</v>
      </c>
      <c r="H1824">
        <v>0</v>
      </c>
      <c r="I1824" t="s">
        <v>133</v>
      </c>
    </row>
    <row r="1825" spans="1:9" x14ac:dyDescent="0.25">
      <c r="A1825" t="s">
        <v>13</v>
      </c>
      <c r="B1825">
        <v>1675441</v>
      </c>
      <c r="C1825">
        <v>1675512</v>
      </c>
      <c r="E1825" t="s">
        <v>28</v>
      </c>
      <c r="F1825" t="s">
        <v>4794</v>
      </c>
      <c r="H1825">
        <v>0</v>
      </c>
      <c r="I1825" t="s">
        <v>133</v>
      </c>
    </row>
    <row r="1826" spans="1:9" x14ac:dyDescent="0.25">
      <c r="A1826" t="s">
        <v>13</v>
      </c>
      <c r="B1826">
        <v>1675596</v>
      </c>
      <c r="C1826">
        <v>1677023</v>
      </c>
      <c r="E1826" t="s">
        <v>14</v>
      </c>
      <c r="F1826" t="s">
        <v>2893</v>
      </c>
      <c r="H1826">
        <v>0</v>
      </c>
      <c r="I1826" t="s">
        <v>16</v>
      </c>
    </row>
    <row r="1827" spans="1:9" x14ac:dyDescent="0.25">
      <c r="A1827" t="s">
        <v>13</v>
      </c>
      <c r="B1827">
        <v>1677016</v>
      </c>
      <c r="C1827">
        <v>1677354</v>
      </c>
      <c r="E1827" t="s">
        <v>14</v>
      </c>
      <c r="F1827" t="s">
        <v>41</v>
      </c>
      <c r="H1827">
        <v>0</v>
      </c>
      <c r="I1827" t="s">
        <v>16</v>
      </c>
    </row>
    <row r="1828" spans="1:9" x14ac:dyDescent="0.25">
      <c r="A1828" t="s">
        <v>13</v>
      </c>
      <c r="B1828">
        <v>1677327</v>
      </c>
      <c r="C1828">
        <v>1677623</v>
      </c>
      <c r="E1828" t="s">
        <v>28</v>
      </c>
      <c r="F1828" t="s">
        <v>41</v>
      </c>
      <c r="H1828">
        <v>0</v>
      </c>
      <c r="I1828" t="s">
        <v>16</v>
      </c>
    </row>
    <row r="1829" spans="1:9" x14ac:dyDescent="0.25">
      <c r="A1829" t="s">
        <v>13</v>
      </c>
      <c r="B1829">
        <v>1677623</v>
      </c>
      <c r="C1829">
        <v>1677934</v>
      </c>
      <c r="E1829" t="s">
        <v>28</v>
      </c>
      <c r="F1829" t="s">
        <v>41</v>
      </c>
      <c r="H1829">
        <v>0</v>
      </c>
      <c r="I1829" t="s">
        <v>16</v>
      </c>
    </row>
    <row r="1830" spans="1:9" x14ac:dyDescent="0.25">
      <c r="A1830" t="s">
        <v>13</v>
      </c>
      <c r="B1830">
        <v>1678029</v>
      </c>
      <c r="C1830">
        <v>1679084</v>
      </c>
      <c r="E1830" t="s">
        <v>28</v>
      </c>
      <c r="F1830" t="s">
        <v>4804</v>
      </c>
      <c r="H1830">
        <v>0</v>
      </c>
      <c r="I1830" t="s">
        <v>16</v>
      </c>
    </row>
    <row r="1831" spans="1:9" x14ac:dyDescent="0.25">
      <c r="A1831" t="s">
        <v>13</v>
      </c>
      <c r="B1831">
        <v>1679116</v>
      </c>
      <c r="C1831">
        <v>1679679</v>
      </c>
      <c r="E1831" t="s">
        <v>28</v>
      </c>
      <c r="F1831" t="s">
        <v>777</v>
      </c>
      <c r="H1831">
        <v>0</v>
      </c>
      <c r="I1831" t="s">
        <v>16</v>
      </c>
    </row>
    <row r="1832" spans="1:9" x14ac:dyDescent="0.25">
      <c r="A1832" t="s">
        <v>13</v>
      </c>
      <c r="B1832">
        <v>1679684</v>
      </c>
      <c r="C1832">
        <v>1680682</v>
      </c>
      <c r="E1832" t="s">
        <v>28</v>
      </c>
      <c r="F1832" t="s">
        <v>4809</v>
      </c>
      <c r="H1832">
        <v>0</v>
      </c>
      <c r="I1832" t="s">
        <v>16</v>
      </c>
    </row>
    <row r="1833" spans="1:9" x14ac:dyDescent="0.25">
      <c r="A1833" t="s">
        <v>13</v>
      </c>
      <c r="B1833">
        <v>1680863</v>
      </c>
      <c r="C1833">
        <v>1682089</v>
      </c>
      <c r="E1833" t="s">
        <v>14</v>
      </c>
      <c r="F1833" t="s">
        <v>4812</v>
      </c>
      <c r="H1833">
        <v>0</v>
      </c>
      <c r="I1833" t="s">
        <v>16</v>
      </c>
    </row>
    <row r="1834" spans="1:9" x14ac:dyDescent="0.25">
      <c r="A1834" t="s">
        <v>13</v>
      </c>
      <c r="B1834">
        <v>1681910</v>
      </c>
      <c r="C1834">
        <v>1682614</v>
      </c>
      <c r="E1834" t="s">
        <v>28</v>
      </c>
      <c r="F1834" t="s">
        <v>4815</v>
      </c>
      <c r="H1834">
        <v>0</v>
      </c>
      <c r="I1834" t="s">
        <v>16</v>
      </c>
    </row>
    <row r="1835" spans="1:9" x14ac:dyDescent="0.25">
      <c r="A1835" t="s">
        <v>13</v>
      </c>
      <c r="B1835">
        <v>1682683</v>
      </c>
      <c r="C1835">
        <v>1684014</v>
      </c>
      <c r="E1835" t="s">
        <v>14</v>
      </c>
      <c r="F1835" t="s">
        <v>4818</v>
      </c>
      <c r="H1835">
        <v>0</v>
      </c>
      <c r="I1835" t="s">
        <v>16</v>
      </c>
    </row>
    <row r="1836" spans="1:9" x14ac:dyDescent="0.25">
      <c r="A1836" t="s">
        <v>13</v>
      </c>
      <c r="B1836">
        <v>1683993</v>
      </c>
      <c r="C1836">
        <v>1684076</v>
      </c>
      <c r="E1836" t="s">
        <v>28</v>
      </c>
      <c r="F1836" t="s">
        <v>686</v>
      </c>
      <c r="H1836">
        <v>0</v>
      </c>
      <c r="I1836" t="s">
        <v>133</v>
      </c>
    </row>
    <row r="1837" spans="1:9" x14ac:dyDescent="0.25">
      <c r="A1837" t="s">
        <v>13</v>
      </c>
      <c r="B1837">
        <v>1684100</v>
      </c>
      <c r="C1837">
        <v>1684843</v>
      </c>
      <c r="E1837" t="s">
        <v>28</v>
      </c>
      <c r="F1837" t="s">
        <v>4822</v>
      </c>
      <c r="H1837">
        <v>0</v>
      </c>
      <c r="I1837" t="s">
        <v>16</v>
      </c>
    </row>
    <row r="1838" spans="1:9" x14ac:dyDescent="0.25">
      <c r="A1838" t="s">
        <v>13</v>
      </c>
      <c r="B1838">
        <v>1684840</v>
      </c>
      <c r="C1838">
        <v>1685478</v>
      </c>
      <c r="E1838" t="s">
        <v>28</v>
      </c>
      <c r="F1838" t="s">
        <v>4825</v>
      </c>
      <c r="H1838">
        <v>0</v>
      </c>
      <c r="I1838" t="s">
        <v>16</v>
      </c>
    </row>
    <row r="1839" spans="1:9" x14ac:dyDescent="0.25">
      <c r="A1839" t="s">
        <v>13</v>
      </c>
      <c r="B1839">
        <v>1685484</v>
      </c>
      <c r="C1839">
        <v>1687070</v>
      </c>
      <c r="E1839" t="s">
        <v>28</v>
      </c>
      <c r="F1839" t="s">
        <v>1154</v>
      </c>
      <c r="H1839">
        <v>0</v>
      </c>
      <c r="I1839" t="s">
        <v>16</v>
      </c>
    </row>
    <row r="1840" spans="1:9" x14ac:dyDescent="0.25">
      <c r="A1840" t="s">
        <v>13</v>
      </c>
      <c r="B1840">
        <v>1687214</v>
      </c>
      <c r="C1840">
        <v>1687438</v>
      </c>
      <c r="E1840" t="s">
        <v>28</v>
      </c>
      <c r="F1840" t="s">
        <v>41</v>
      </c>
      <c r="H1840">
        <v>0</v>
      </c>
      <c r="I1840" t="s">
        <v>16</v>
      </c>
    </row>
    <row r="1841" spans="1:9" x14ac:dyDescent="0.25">
      <c r="A1841" t="s">
        <v>13</v>
      </c>
      <c r="B1841">
        <v>1687428</v>
      </c>
      <c r="C1841">
        <v>1688393</v>
      </c>
      <c r="E1841" t="s">
        <v>28</v>
      </c>
      <c r="F1841" t="s">
        <v>4832</v>
      </c>
      <c r="H1841">
        <v>0</v>
      </c>
      <c r="I1841" t="s">
        <v>16</v>
      </c>
    </row>
    <row r="1842" spans="1:9" x14ac:dyDescent="0.25">
      <c r="A1842" t="s">
        <v>13</v>
      </c>
      <c r="B1842">
        <v>1688394</v>
      </c>
      <c r="C1842">
        <v>1688591</v>
      </c>
      <c r="E1842" t="s">
        <v>28</v>
      </c>
      <c r="F1842" t="s">
        <v>4835</v>
      </c>
      <c r="H1842">
        <v>0</v>
      </c>
      <c r="I1842" t="s">
        <v>16</v>
      </c>
    </row>
    <row r="1843" spans="1:9" x14ac:dyDescent="0.25">
      <c r="A1843" t="s">
        <v>13</v>
      </c>
      <c r="B1843">
        <v>1688596</v>
      </c>
      <c r="C1843">
        <v>1689720</v>
      </c>
      <c r="E1843" t="s">
        <v>28</v>
      </c>
      <c r="F1843" t="s">
        <v>4838</v>
      </c>
      <c r="H1843">
        <v>0</v>
      </c>
      <c r="I1843" t="s">
        <v>16</v>
      </c>
    </row>
    <row r="1844" spans="1:9" x14ac:dyDescent="0.25">
      <c r="A1844" t="s">
        <v>13</v>
      </c>
      <c r="B1844">
        <v>1689717</v>
      </c>
      <c r="C1844">
        <v>1690343</v>
      </c>
      <c r="E1844" t="s">
        <v>28</v>
      </c>
      <c r="F1844" t="s">
        <v>141</v>
      </c>
      <c r="H1844">
        <v>0</v>
      </c>
      <c r="I1844" t="s">
        <v>16</v>
      </c>
    </row>
    <row r="1845" spans="1:9" x14ac:dyDescent="0.25">
      <c r="A1845" t="s">
        <v>13</v>
      </c>
      <c r="B1845">
        <v>1690403</v>
      </c>
      <c r="C1845">
        <v>1691386</v>
      </c>
      <c r="E1845" t="s">
        <v>28</v>
      </c>
      <c r="F1845" t="s">
        <v>4843</v>
      </c>
      <c r="H1845">
        <v>0</v>
      </c>
      <c r="I1845" t="s">
        <v>16</v>
      </c>
    </row>
    <row r="1846" spans="1:9" x14ac:dyDescent="0.25">
      <c r="A1846" t="s">
        <v>13</v>
      </c>
      <c r="B1846">
        <v>1691383</v>
      </c>
      <c r="C1846">
        <v>1692402</v>
      </c>
      <c r="E1846" t="s">
        <v>28</v>
      </c>
      <c r="F1846" t="s">
        <v>4846</v>
      </c>
      <c r="H1846">
        <v>0</v>
      </c>
      <c r="I1846" t="s">
        <v>16</v>
      </c>
    </row>
    <row r="1847" spans="1:9" x14ac:dyDescent="0.25">
      <c r="A1847" t="s">
        <v>13</v>
      </c>
      <c r="B1847">
        <v>1692475</v>
      </c>
      <c r="C1847">
        <v>1693827</v>
      </c>
      <c r="E1847" t="s">
        <v>28</v>
      </c>
      <c r="F1847" t="s">
        <v>4849</v>
      </c>
      <c r="H1847">
        <v>0</v>
      </c>
      <c r="I1847" t="s">
        <v>16</v>
      </c>
    </row>
    <row r="1848" spans="1:9" x14ac:dyDescent="0.25">
      <c r="A1848" t="s">
        <v>13</v>
      </c>
      <c r="B1848">
        <v>1693838</v>
      </c>
      <c r="C1848">
        <v>1694821</v>
      </c>
      <c r="E1848" t="s">
        <v>28</v>
      </c>
      <c r="F1848" t="s">
        <v>4852</v>
      </c>
      <c r="H1848">
        <v>0</v>
      </c>
      <c r="I1848" t="s">
        <v>16</v>
      </c>
    </row>
    <row r="1849" spans="1:9" x14ac:dyDescent="0.25">
      <c r="A1849" t="s">
        <v>13</v>
      </c>
      <c r="B1849">
        <v>1694873</v>
      </c>
      <c r="C1849">
        <v>1696621</v>
      </c>
      <c r="E1849" t="s">
        <v>28</v>
      </c>
      <c r="F1849" t="s">
        <v>1596</v>
      </c>
      <c r="H1849">
        <v>0</v>
      </c>
      <c r="I1849" t="s">
        <v>16</v>
      </c>
    </row>
    <row r="1850" spans="1:9" x14ac:dyDescent="0.25">
      <c r="A1850" t="s">
        <v>13</v>
      </c>
      <c r="B1850">
        <v>1696843</v>
      </c>
      <c r="C1850">
        <v>1697874</v>
      </c>
      <c r="E1850" t="s">
        <v>14</v>
      </c>
      <c r="F1850" t="s">
        <v>4857</v>
      </c>
      <c r="H1850">
        <v>0</v>
      </c>
      <c r="I1850" t="s">
        <v>16</v>
      </c>
    </row>
    <row r="1851" spans="1:9" x14ac:dyDescent="0.25">
      <c r="A1851" t="s">
        <v>13</v>
      </c>
      <c r="B1851">
        <v>1698067</v>
      </c>
      <c r="C1851">
        <v>1699074</v>
      </c>
      <c r="E1851" t="s">
        <v>14</v>
      </c>
      <c r="F1851" t="s">
        <v>3523</v>
      </c>
      <c r="H1851">
        <v>0</v>
      </c>
      <c r="I1851" t="s">
        <v>16</v>
      </c>
    </row>
    <row r="1852" spans="1:9" x14ac:dyDescent="0.25">
      <c r="A1852" t="s">
        <v>13</v>
      </c>
      <c r="B1852">
        <v>1699133</v>
      </c>
      <c r="C1852">
        <v>1699675</v>
      </c>
      <c r="E1852" t="s">
        <v>14</v>
      </c>
      <c r="F1852" t="s">
        <v>41</v>
      </c>
      <c r="H1852">
        <v>0</v>
      </c>
      <c r="I1852" t="s">
        <v>16</v>
      </c>
    </row>
    <row r="1853" spans="1:9" x14ac:dyDescent="0.25">
      <c r="A1853" t="s">
        <v>13</v>
      </c>
      <c r="B1853">
        <v>1699679</v>
      </c>
      <c r="C1853">
        <v>1700695</v>
      </c>
      <c r="E1853" t="s">
        <v>14</v>
      </c>
      <c r="F1853" t="s">
        <v>41</v>
      </c>
      <c r="H1853">
        <v>0</v>
      </c>
      <c r="I1853" t="s">
        <v>16</v>
      </c>
    </row>
    <row r="1854" spans="1:9" x14ac:dyDescent="0.25">
      <c r="A1854" t="s">
        <v>13</v>
      </c>
      <c r="B1854">
        <v>1700692</v>
      </c>
      <c r="C1854">
        <v>1701216</v>
      </c>
      <c r="E1854" t="s">
        <v>28</v>
      </c>
      <c r="F1854" t="s">
        <v>4866</v>
      </c>
      <c r="H1854">
        <v>0</v>
      </c>
      <c r="I1854" t="s">
        <v>16</v>
      </c>
    </row>
    <row r="1855" spans="1:9" x14ac:dyDescent="0.25">
      <c r="A1855" t="s">
        <v>13</v>
      </c>
      <c r="B1855">
        <v>1701213</v>
      </c>
      <c r="C1855">
        <v>1701404</v>
      </c>
      <c r="E1855" t="s">
        <v>28</v>
      </c>
      <c r="F1855" t="s">
        <v>4523</v>
      </c>
      <c r="H1855">
        <v>0</v>
      </c>
      <c r="I1855" t="s">
        <v>16</v>
      </c>
    </row>
    <row r="1856" spans="1:9" x14ac:dyDescent="0.25">
      <c r="A1856" t="s">
        <v>13</v>
      </c>
      <c r="B1856">
        <v>1701468</v>
      </c>
      <c r="C1856">
        <v>1701541</v>
      </c>
      <c r="E1856" t="s">
        <v>28</v>
      </c>
      <c r="F1856" t="s">
        <v>906</v>
      </c>
      <c r="H1856">
        <v>0</v>
      </c>
      <c r="I1856" t="s">
        <v>133</v>
      </c>
    </row>
    <row r="1857" spans="1:9" x14ac:dyDescent="0.25">
      <c r="A1857" t="s">
        <v>13</v>
      </c>
      <c r="B1857">
        <v>1701587</v>
      </c>
      <c r="C1857">
        <v>1701916</v>
      </c>
      <c r="E1857" t="s">
        <v>14</v>
      </c>
      <c r="F1857" t="s">
        <v>4872</v>
      </c>
      <c r="H1857">
        <v>0</v>
      </c>
      <c r="I1857" t="s">
        <v>16</v>
      </c>
    </row>
    <row r="1858" spans="1:9" x14ac:dyDescent="0.25">
      <c r="A1858" t="s">
        <v>13</v>
      </c>
      <c r="B1858">
        <v>1701923</v>
      </c>
      <c r="C1858">
        <v>1702954</v>
      </c>
      <c r="E1858" t="s">
        <v>28</v>
      </c>
      <c r="F1858" t="s">
        <v>4875</v>
      </c>
      <c r="H1858">
        <v>0</v>
      </c>
      <c r="I1858" t="s">
        <v>16</v>
      </c>
    </row>
    <row r="1859" spans="1:9" x14ac:dyDescent="0.25">
      <c r="A1859" t="s">
        <v>13</v>
      </c>
      <c r="B1859">
        <v>1702985</v>
      </c>
      <c r="C1859">
        <v>1703218</v>
      </c>
      <c r="E1859" t="s">
        <v>14</v>
      </c>
      <c r="F1859" t="s">
        <v>41</v>
      </c>
      <c r="H1859">
        <v>0</v>
      </c>
      <c r="I1859" t="s">
        <v>16</v>
      </c>
    </row>
    <row r="1860" spans="1:9" x14ac:dyDescent="0.25">
      <c r="A1860" t="s">
        <v>13</v>
      </c>
      <c r="B1860">
        <v>1703200</v>
      </c>
      <c r="C1860">
        <v>1703598</v>
      </c>
      <c r="E1860" t="s">
        <v>14</v>
      </c>
      <c r="F1860" t="s">
        <v>4880</v>
      </c>
      <c r="H1860">
        <v>0</v>
      </c>
      <c r="I1860" t="s">
        <v>16</v>
      </c>
    </row>
    <row r="1861" spans="1:9" x14ac:dyDescent="0.25">
      <c r="A1861" t="s">
        <v>13</v>
      </c>
      <c r="B1861">
        <v>1703639</v>
      </c>
      <c r="C1861">
        <v>1706497</v>
      </c>
      <c r="E1861" t="s">
        <v>14</v>
      </c>
      <c r="F1861" t="s">
        <v>4883</v>
      </c>
      <c r="H1861">
        <v>0</v>
      </c>
      <c r="I1861" t="s">
        <v>16</v>
      </c>
    </row>
    <row r="1862" spans="1:9" x14ac:dyDescent="0.25">
      <c r="A1862" t="s">
        <v>13</v>
      </c>
      <c r="B1862">
        <v>1706600</v>
      </c>
      <c r="C1862">
        <v>1707193</v>
      </c>
      <c r="E1862" t="s">
        <v>28</v>
      </c>
      <c r="F1862" t="s">
        <v>672</v>
      </c>
      <c r="H1862">
        <v>0</v>
      </c>
      <c r="I1862" t="s">
        <v>16</v>
      </c>
    </row>
    <row r="1863" spans="1:9" x14ac:dyDescent="0.25">
      <c r="A1863" t="s">
        <v>13</v>
      </c>
      <c r="B1863">
        <v>1707219</v>
      </c>
      <c r="C1863">
        <v>1707713</v>
      </c>
      <c r="E1863" t="s">
        <v>28</v>
      </c>
      <c r="F1863" t="s">
        <v>41</v>
      </c>
      <c r="H1863">
        <v>0</v>
      </c>
      <c r="I1863" t="s">
        <v>16</v>
      </c>
    </row>
    <row r="1864" spans="1:9" x14ac:dyDescent="0.25">
      <c r="A1864" t="s">
        <v>13</v>
      </c>
      <c r="B1864">
        <v>1707725</v>
      </c>
      <c r="C1864">
        <v>1709434</v>
      </c>
      <c r="E1864" t="s">
        <v>28</v>
      </c>
      <c r="F1864" t="s">
        <v>3644</v>
      </c>
      <c r="H1864">
        <v>0</v>
      </c>
      <c r="I1864" t="s">
        <v>16</v>
      </c>
    </row>
    <row r="1865" spans="1:9" x14ac:dyDescent="0.25">
      <c r="A1865" t="s">
        <v>13</v>
      </c>
      <c r="B1865">
        <v>1709454</v>
      </c>
      <c r="C1865">
        <v>1710308</v>
      </c>
      <c r="E1865" t="s">
        <v>28</v>
      </c>
      <c r="F1865" t="s">
        <v>4892</v>
      </c>
      <c r="H1865">
        <v>0</v>
      </c>
      <c r="I1865" t="s">
        <v>16</v>
      </c>
    </row>
    <row r="1866" spans="1:9" x14ac:dyDescent="0.25">
      <c r="A1866" t="s">
        <v>13</v>
      </c>
      <c r="B1866">
        <v>1710359</v>
      </c>
      <c r="C1866">
        <v>1710502</v>
      </c>
      <c r="E1866" t="s">
        <v>14</v>
      </c>
      <c r="F1866" t="s">
        <v>41</v>
      </c>
      <c r="H1866">
        <v>0</v>
      </c>
      <c r="I1866" t="s">
        <v>16</v>
      </c>
    </row>
    <row r="1867" spans="1:9" x14ac:dyDescent="0.25">
      <c r="A1867" t="s">
        <v>13</v>
      </c>
      <c r="B1867">
        <v>1710549</v>
      </c>
      <c r="C1867">
        <v>1711952</v>
      </c>
      <c r="E1867" t="s">
        <v>28</v>
      </c>
      <c r="F1867" t="s">
        <v>4897</v>
      </c>
      <c r="H1867">
        <v>0</v>
      </c>
      <c r="I1867" t="s">
        <v>16</v>
      </c>
    </row>
    <row r="1868" spans="1:9" x14ac:dyDescent="0.25">
      <c r="A1868" t="s">
        <v>13</v>
      </c>
      <c r="B1868">
        <v>1711940</v>
      </c>
      <c r="C1868">
        <v>1713088</v>
      </c>
      <c r="E1868" t="s">
        <v>28</v>
      </c>
      <c r="F1868" t="s">
        <v>41</v>
      </c>
      <c r="H1868">
        <v>0</v>
      </c>
      <c r="I1868" t="s">
        <v>16</v>
      </c>
    </row>
    <row r="1869" spans="1:9" x14ac:dyDescent="0.25">
      <c r="A1869" t="s">
        <v>13</v>
      </c>
      <c r="B1869">
        <v>1713072</v>
      </c>
      <c r="C1869">
        <v>1713431</v>
      </c>
      <c r="E1869" t="s">
        <v>28</v>
      </c>
      <c r="F1869" t="s">
        <v>4902</v>
      </c>
      <c r="H1869">
        <v>0</v>
      </c>
      <c r="I1869" t="s">
        <v>16</v>
      </c>
    </row>
    <row r="1870" spans="1:9" x14ac:dyDescent="0.25">
      <c r="A1870" t="s">
        <v>13</v>
      </c>
      <c r="B1870">
        <v>1713484</v>
      </c>
      <c r="C1870">
        <v>1715652</v>
      </c>
      <c r="E1870" t="s">
        <v>28</v>
      </c>
      <c r="F1870" t="s">
        <v>4905</v>
      </c>
      <c r="H1870">
        <v>0</v>
      </c>
      <c r="I1870" t="s">
        <v>16</v>
      </c>
    </row>
    <row r="1871" spans="1:9" x14ac:dyDescent="0.25">
      <c r="A1871" t="s">
        <v>13</v>
      </c>
      <c r="B1871">
        <v>1715691</v>
      </c>
      <c r="C1871">
        <v>1716008</v>
      </c>
      <c r="E1871" t="s">
        <v>28</v>
      </c>
      <c r="F1871" t="s">
        <v>2378</v>
      </c>
      <c r="H1871">
        <v>0</v>
      </c>
      <c r="I1871" t="s">
        <v>16</v>
      </c>
    </row>
    <row r="1872" spans="1:9" x14ac:dyDescent="0.25">
      <c r="A1872" t="s">
        <v>13</v>
      </c>
      <c r="B1872">
        <v>1716065</v>
      </c>
      <c r="C1872">
        <v>1716138</v>
      </c>
      <c r="E1872" t="s">
        <v>28</v>
      </c>
      <c r="F1872" t="s">
        <v>2128</v>
      </c>
      <c r="H1872">
        <v>0</v>
      </c>
      <c r="I1872" t="s">
        <v>133</v>
      </c>
    </row>
    <row r="1873" spans="1:9" x14ac:dyDescent="0.25">
      <c r="A1873" t="s">
        <v>13</v>
      </c>
      <c r="B1873">
        <v>1716184</v>
      </c>
      <c r="C1873">
        <v>1716852</v>
      </c>
      <c r="E1873" t="s">
        <v>28</v>
      </c>
      <c r="F1873" t="s">
        <v>4911</v>
      </c>
      <c r="H1873">
        <v>0</v>
      </c>
      <c r="I1873" t="s">
        <v>16</v>
      </c>
    </row>
    <row r="1874" spans="1:9" x14ac:dyDescent="0.25">
      <c r="A1874" t="s">
        <v>13</v>
      </c>
      <c r="B1874">
        <v>1716860</v>
      </c>
      <c r="C1874">
        <v>1717294</v>
      </c>
      <c r="E1874" t="s">
        <v>28</v>
      </c>
      <c r="F1874" t="s">
        <v>41</v>
      </c>
      <c r="H1874">
        <v>0</v>
      </c>
      <c r="I1874" t="s">
        <v>16</v>
      </c>
    </row>
    <row r="1875" spans="1:9" x14ac:dyDescent="0.25">
      <c r="A1875" t="s">
        <v>13</v>
      </c>
      <c r="B1875">
        <v>1717349</v>
      </c>
      <c r="C1875">
        <v>1719307</v>
      </c>
      <c r="E1875" t="s">
        <v>28</v>
      </c>
      <c r="F1875" t="s">
        <v>4916</v>
      </c>
      <c r="H1875">
        <v>0</v>
      </c>
      <c r="I1875" t="s">
        <v>16</v>
      </c>
    </row>
    <row r="1876" spans="1:9" x14ac:dyDescent="0.25">
      <c r="A1876" t="s">
        <v>13</v>
      </c>
      <c r="B1876">
        <v>1719462</v>
      </c>
      <c r="C1876">
        <v>1719535</v>
      </c>
      <c r="E1876" t="s">
        <v>28</v>
      </c>
      <c r="F1876" t="s">
        <v>132</v>
      </c>
      <c r="H1876">
        <v>0</v>
      </c>
      <c r="I1876" t="s">
        <v>133</v>
      </c>
    </row>
    <row r="1877" spans="1:9" x14ac:dyDescent="0.25">
      <c r="A1877" t="s">
        <v>13</v>
      </c>
      <c r="B1877">
        <v>1719620</v>
      </c>
      <c r="C1877">
        <v>1719841</v>
      </c>
      <c r="E1877" t="s">
        <v>14</v>
      </c>
      <c r="F1877" t="s">
        <v>41</v>
      </c>
      <c r="H1877">
        <v>0</v>
      </c>
      <c r="I1877" t="s">
        <v>16</v>
      </c>
    </row>
    <row r="1878" spans="1:9" x14ac:dyDescent="0.25">
      <c r="A1878" t="s">
        <v>13</v>
      </c>
      <c r="B1878">
        <v>1719838</v>
      </c>
      <c r="C1878">
        <v>1721379</v>
      </c>
      <c r="E1878" t="s">
        <v>28</v>
      </c>
      <c r="F1878" t="s">
        <v>4922</v>
      </c>
      <c r="H1878">
        <v>0</v>
      </c>
      <c r="I1878" t="s">
        <v>16</v>
      </c>
    </row>
    <row r="1879" spans="1:9" x14ac:dyDescent="0.25">
      <c r="A1879" t="s">
        <v>13</v>
      </c>
      <c r="B1879">
        <v>1721453</v>
      </c>
      <c r="C1879">
        <v>1722667</v>
      </c>
      <c r="E1879" t="s">
        <v>28</v>
      </c>
      <c r="F1879" t="s">
        <v>4925</v>
      </c>
      <c r="H1879">
        <v>0</v>
      </c>
      <c r="I1879" t="s">
        <v>16</v>
      </c>
    </row>
    <row r="1880" spans="1:9" x14ac:dyDescent="0.25">
      <c r="A1880" t="s">
        <v>13</v>
      </c>
      <c r="B1880">
        <v>1722673</v>
      </c>
      <c r="C1880">
        <v>1723806</v>
      </c>
      <c r="E1880" t="s">
        <v>28</v>
      </c>
      <c r="F1880" t="s">
        <v>327</v>
      </c>
      <c r="H1880">
        <v>0</v>
      </c>
      <c r="I1880" t="s">
        <v>16</v>
      </c>
    </row>
    <row r="1881" spans="1:9" x14ac:dyDescent="0.25">
      <c r="A1881" t="s">
        <v>13</v>
      </c>
      <c r="B1881">
        <v>1723904</v>
      </c>
      <c r="C1881">
        <v>1724557</v>
      </c>
      <c r="E1881" t="s">
        <v>28</v>
      </c>
      <c r="F1881" t="s">
        <v>4930</v>
      </c>
      <c r="H1881">
        <v>0</v>
      </c>
      <c r="I1881" t="s">
        <v>16</v>
      </c>
    </row>
    <row r="1882" spans="1:9" x14ac:dyDescent="0.25">
      <c r="A1882" t="s">
        <v>13</v>
      </c>
      <c r="B1882">
        <v>1724581</v>
      </c>
      <c r="C1882">
        <v>1724952</v>
      </c>
      <c r="E1882" t="s">
        <v>14</v>
      </c>
      <c r="F1882" t="s">
        <v>41</v>
      </c>
      <c r="H1882">
        <v>0</v>
      </c>
      <c r="I1882" t="s">
        <v>16</v>
      </c>
    </row>
    <row r="1883" spans="1:9" x14ac:dyDescent="0.25">
      <c r="A1883" t="s">
        <v>13</v>
      </c>
      <c r="B1883">
        <v>1724949</v>
      </c>
      <c r="C1883">
        <v>1726679</v>
      </c>
      <c r="E1883" t="s">
        <v>28</v>
      </c>
      <c r="F1883" t="s">
        <v>809</v>
      </c>
      <c r="H1883">
        <v>0</v>
      </c>
      <c r="I1883" t="s">
        <v>16</v>
      </c>
    </row>
    <row r="1884" spans="1:9" x14ac:dyDescent="0.25">
      <c r="A1884" t="s">
        <v>13</v>
      </c>
      <c r="B1884">
        <v>1726839</v>
      </c>
      <c r="C1884">
        <v>1727057</v>
      </c>
      <c r="E1884" t="s">
        <v>14</v>
      </c>
      <c r="F1884" t="s">
        <v>41</v>
      </c>
      <c r="H1884">
        <v>0</v>
      </c>
      <c r="I1884" t="s">
        <v>16</v>
      </c>
    </row>
    <row r="1885" spans="1:9" x14ac:dyDescent="0.25">
      <c r="A1885" t="s">
        <v>13</v>
      </c>
      <c r="B1885">
        <v>1727545</v>
      </c>
      <c r="C1885">
        <v>1728978</v>
      </c>
      <c r="E1885" t="s">
        <v>28</v>
      </c>
      <c r="F1885" t="s">
        <v>4939</v>
      </c>
      <c r="H1885">
        <v>0</v>
      </c>
      <c r="I1885" t="s">
        <v>16</v>
      </c>
    </row>
    <row r="1886" spans="1:9" x14ac:dyDescent="0.25">
      <c r="A1886" t="s">
        <v>13</v>
      </c>
      <c r="B1886">
        <v>1729011</v>
      </c>
      <c r="C1886">
        <v>1730231</v>
      </c>
      <c r="E1886" t="s">
        <v>14</v>
      </c>
      <c r="F1886" t="s">
        <v>4942</v>
      </c>
      <c r="H1886">
        <v>0</v>
      </c>
      <c r="I1886" t="s">
        <v>16</v>
      </c>
    </row>
    <row r="1887" spans="1:9" x14ac:dyDescent="0.25">
      <c r="A1887" t="s">
        <v>13</v>
      </c>
      <c r="B1887">
        <v>1730244</v>
      </c>
      <c r="C1887">
        <v>1730795</v>
      </c>
      <c r="E1887" t="s">
        <v>14</v>
      </c>
      <c r="F1887" t="s">
        <v>41</v>
      </c>
      <c r="H1887">
        <v>0</v>
      </c>
      <c r="I1887" t="s">
        <v>16</v>
      </c>
    </row>
    <row r="1888" spans="1:9" x14ac:dyDescent="0.25">
      <c r="A1888" t="s">
        <v>13</v>
      </c>
      <c r="B1888">
        <v>1730773</v>
      </c>
      <c r="C1888">
        <v>1731750</v>
      </c>
      <c r="E1888" t="s">
        <v>28</v>
      </c>
      <c r="F1888" t="s">
        <v>4947</v>
      </c>
      <c r="H1888">
        <v>0</v>
      </c>
      <c r="I1888" t="s">
        <v>16</v>
      </c>
    </row>
    <row r="1889" spans="1:9" x14ac:dyDescent="0.25">
      <c r="A1889" t="s">
        <v>13</v>
      </c>
      <c r="B1889">
        <v>1733119</v>
      </c>
      <c r="C1889">
        <v>1734252</v>
      </c>
      <c r="E1889" t="s">
        <v>14</v>
      </c>
      <c r="F1889" t="s">
        <v>4950</v>
      </c>
      <c r="H1889">
        <v>0</v>
      </c>
      <c r="I1889" t="s">
        <v>16</v>
      </c>
    </row>
    <row r="1890" spans="1:9" x14ac:dyDescent="0.25">
      <c r="A1890" t="s">
        <v>13</v>
      </c>
      <c r="B1890">
        <v>1734254</v>
      </c>
      <c r="C1890">
        <v>1735318</v>
      </c>
      <c r="E1890" t="s">
        <v>28</v>
      </c>
      <c r="F1890" t="s">
        <v>4953</v>
      </c>
      <c r="H1890">
        <v>0</v>
      </c>
      <c r="I1890" t="s">
        <v>16</v>
      </c>
    </row>
    <row r="1891" spans="1:9" x14ac:dyDescent="0.25">
      <c r="A1891" t="s">
        <v>13</v>
      </c>
      <c r="B1891">
        <v>1735320</v>
      </c>
      <c r="C1891">
        <v>1735664</v>
      </c>
      <c r="E1891" t="s">
        <v>28</v>
      </c>
      <c r="F1891" t="s">
        <v>4956</v>
      </c>
      <c r="H1891">
        <v>0</v>
      </c>
      <c r="I1891" t="s">
        <v>16</v>
      </c>
    </row>
    <row r="1892" spans="1:9" x14ac:dyDescent="0.25">
      <c r="A1892" t="s">
        <v>13</v>
      </c>
      <c r="B1892">
        <v>1735661</v>
      </c>
      <c r="C1892">
        <v>1736521</v>
      </c>
      <c r="E1892" t="s">
        <v>28</v>
      </c>
      <c r="F1892" t="s">
        <v>4959</v>
      </c>
      <c r="H1892">
        <v>0</v>
      </c>
      <c r="I1892" t="s">
        <v>16</v>
      </c>
    </row>
    <row r="1893" spans="1:9" x14ac:dyDescent="0.25">
      <c r="A1893" t="s">
        <v>13</v>
      </c>
      <c r="B1893">
        <v>1736535</v>
      </c>
      <c r="C1893">
        <v>1737731</v>
      </c>
      <c r="E1893" t="s">
        <v>28</v>
      </c>
      <c r="F1893" t="s">
        <v>4962</v>
      </c>
      <c r="H1893">
        <v>0</v>
      </c>
      <c r="I1893" t="s">
        <v>16</v>
      </c>
    </row>
    <row r="1894" spans="1:9" x14ac:dyDescent="0.25">
      <c r="A1894" t="s">
        <v>13</v>
      </c>
      <c r="B1894">
        <v>1737728</v>
      </c>
      <c r="C1894">
        <v>1738834</v>
      </c>
      <c r="E1894" t="s">
        <v>28</v>
      </c>
      <c r="F1894" t="s">
        <v>4965</v>
      </c>
      <c r="H1894">
        <v>0</v>
      </c>
      <c r="I1894" t="s">
        <v>16</v>
      </c>
    </row>
    <row r="1895" spans="1:9" x14ac:dyDescent="0.25">
      <c r="A1895" t="s">
        <v>13</v>
      </c>
      <c r="B1895">
        <v>1738824</v>
      </c>
      <c r="C1895">
        <v>1740578</v>
      </c>
      <c r="E1895" t="s">
        <v>28</v>
      </c>
      <c r="F1895" t="s">
        <v>4968</v>
      </c>
      <c r="H1895">
        <v>0</v>
      </c>
      <c r="I1895" t="s">
        <v>16</v>
      </c>
    </row>
    <row r="1896" spans="1:9" x14ac:dyDescent="0.25">
      <c r="A1896" t="s">
        <v>13</v>
      </c>
      <c r="B1896">
        <v>1740630</v>
      </c>
      <c r="C1896">
        <v>1742513</v>
      </c>
      <c r="E1896" t="s">
        <v>28</v>
      </c>
      <c r="F1896" t="s">
        <v>41</v>
      </c>
      <c r="H1896">
        <v>0</v>
      </c>
      <c r="I1896" t="s">
        <v>16</v>
      </c>
    </row>
    <row r="1897" spans="1:9" x14ac:dyDescent="0.25">
      <c r="A1897" t="s">
        <v>13</v>
      </c>
      <c r="B1897">
        <v>1742690</v>
      </c>
      <c r="C1897">
        <v>1742827</v>
      </c>
      <c r="E1897" t="s">
        <v>14</v>
      </c>
      <c r="F1897" t="s">
        <v>41</v>
      </c>
      <c r="H1897">
        <v>0</v>
      </c>
      <c r="I1897" t="s">
        <v>16</v>
      </c>
    </row>
    <row r="1898" spans="1:9" x14ac:dyDescent="0.25">
      <c r="A1898" t="s">
        <v>13</v>
      </c>
      <c r="B1898">
        <v>1743775</v>
      </c>
      <c r="C1898">
        <v>1743984</v>
      </c>
      <c r="E1898" t="s">
        <v>28</v>
      </c>
      <c r="F1898" t="s">
        <v>41</v>
      </c>
      <c r="H1898">
        <v>0</v>
      </c>
      <c r="I1898" t="s">
        <v>16</v>
      </c>
    </row>
    <row r="1899" spans="1:9" x14ac:dyDescent="0.25">
      <c r="A1899" t="s">
        <v>13</v>
      </c>
      <c r="B1899">
        <v>1744208</v>
      </c>
      <c r="C1899">
        <v>1744447</v>
      </c>
      <c r="E1899" t="s">
        <v>28</v>
      </c>
      <c r="F1899" t="s">
        <v>68</v>
      </c>
      <c r="H1899">
        <v>0</v>
      </c>
      <c r="I1899" t="s">
        <v>16</v>
      </c>
    </row>
    <row r="1900" spans="1:9" x14ac:dyDescent="0.25">
      <c r="A1900" t="s">
        <v>13</v>
      </c>
      <c r="B1900">
        <v>1744437</v>
      </c>
      <c r="C1900">
        <v>1744616</v>
      </c>
      <c r="E1900" t="s">
        <v>28</v>
      </c>
      <c r="F1900" t="s">
        <v>68</v>
      </c>
      <c r="H1900">
        <v>0</v>
      </c>
      <c r="I1900" t="s">
        <v>16</v>
      </c>
    </row>
    <row r="1901" spans="1:9" x14ac:dyDescent="0.25">
      <c r="A1901" t="s">
        <v>13</v>
      </c>
      <c r="B1901">
        <v>1744690</v>
      </c>
      <c r="C1901">
        <v>1744929</v>
      </c>
      <c r="E1901" t="s">
        <v>28</v>
      </c>
      <c r="F1901" t="s">
        <v>4981</v>
      </c>
      <c r="H1901">
        <v>0</v>
      </c>
      <c r="I1901" t="s">
        <v>16</v>
      </c>
    </row>
    <row r="1902" spans="1:9" x14ac:dyDescent="0.25">
      <c r="A1902" t="s">
        <v>13</v>
      </c>
      <c r="B1902">
        <v>1744916</v>
      </c>
      <c r="C1902">
        <v>1745746</v>
      </c>
      <c r="E1902" t="s">
        <v>28</v>
      </c>
      <c r="F1902" t="s">
        <v>4984</v>
      </c>
      <c r="H1902">
        <v>0</v>
      </c>
      <c r="I1902" t="s">
        <v>16</v>
      </c>
    </row>
    <row r="1903" spans="1:9" x14ac:dyDescent="0.25">
      <c r="A1903" t="s">
        <v>13</v>
      </c>
      <c r="B1903">
        <v>1745750</v>
      </c>
      <c r="C1903">
        <v>1746289</v>
      </c>
      <c r="E1903" t="s">
        <v>28</v>
      </c>
      <c r="F1903" t="s">
        <v>4987</v>
      </c>
      <c r="H1903">
        <v>0</v>
      </c>
      <c r="I1903" t="s">
        <v>16</v>
      </c>
    </row>
    <row r="1904" spans="1:9" x14ac:dyDescent="0.25">
      <c r="A1904" t="s">
        <v>13</v>
      </c>
      <c r="B1904">
        <v>1746348</v>
      </c>
      <c r="C1904">
        <v>1748222</v>
      </c>
      <c r="E1904" t="s">
        <v>28</v>
      </c>
      <c r="F1904" t="s">
        <v>4990</v>
      </c>
      <c r="H1904">
        <v>0</v>
      </c>
      <c r="I1904" t="s">
        <v>16</v>
      </c>
    </row>
    <row r="1905" spans="1:9" x14ac:dyDescent="0.25">
      <c r="A1905" t="s">
        <v>13</v>
      </c>
      <c r="B1905">
        <v>1748324</v>
      </c>
      <c r="C1905">
        <v>1750198</v>
      </c>
      <c r="E1905" t="s">
        <v>14</v>
      </c>
      <c r="F1905" t="s">
        <v>4688</v>
      </c>
      <c r="H1905">
        <v>0</v>
      </c>
      <c r="I1905" t="s">
        <v>16</v>
      </c>
    </row>
    <row r="1906" spans="1:9" x14ac:dyDescent="0.25">
      <c r="A1906" t="s">
        <v>13</v>
      </c>
      <c r="B1906">
        <v>1750242</v>
      </c>
      <c r="C1906">
        <v>1750535</v>
      </c>
      <c r="E1906" t="s">
        <v>28</v>
      </c>
      <c r="F1906" t="s">
        <v>4995</v>
      </c>
      <c r="H1906">
        <v>0</v>
      </c>
      <c r="I1906" t="s">
        <v>16</v>
      </c>
    </row>
    <row r="1907" spans="1:9" x14ac:dyDescent="0.25">
      <c r="A1907" t="s">
        <v>13</v>
      </c>
      <c r="B1907">
        <v>1750658</v>
      </c>
      <c r="C1907">
        <v>1751287</v>
      </c>
      <c r="E1907" t="s">
        <v>28</v>
      </c>
      <c r="F1907" t="s">
        <v>4998</v>
      </c>
      <c r="H1907">
        <v>0</v>
      </c>
      <c r="I1907" t="s">
        <v>16</v>
      </c>
    </row>
    <row r="1908" spans="1:9" x14ac:dyDescent="0.25">
      <c r="A1908" t="s">
        <v>13</v>
      </c>
      <c r="B1908">
        <v>1751293</v>
      </c>
      <c r="C1908">
        <v>1751973</v>
      </c>
      <c r="E1908" t="s">
        <v>28</v>
      </c>
      <c r="F1908" t="s">
        <v>5001</v>
      </c>
      <c r="H1908">
        <v>0</v>
      </c>
      <c r="I1908" t="s">
        <v>16</v>
      </c>
    </row>
    <row r="1909" spans="1:9" x14ac:dyDescent="0.25">
      <c r="A1909" t="s">
        <v>13</v>
      </c>
      <c r="B1909">
        <v>1751974</v>
      </c>
      <c r="C1909">
        <v>1752846</v>
      </c>
      <c r="E1909" t="s">
        <v>28</v>
      </c>
      <c r="F1909" t="s">
        <v>41</v>
      </c>
      <c r="H1909">
        <v>0</v>
      </c>
      <c r="I1909" t="s">
        <v>16</v>
      </c>
    </row>
    <row r="1910" spans="1:9" x14ac:dyDescent="0.25">
      <c r="A1910" t="s">
        <v>13</v>
      </c>
      <c r="B1910">
        <v>1752845</v>
      </c>
      <c r="C1910">
        <v>1753651</v>
      </c>
      <c r="E1910" t="s">
        <v>14</v>
      </c>
      <c r="F1910" t="s">
        <v>2378</v>
      </c>
      <c r="H1910">
        <v>0</v>
      </c>
      <c r="I1910" t="s">
        <v>16</v>
      </c>
    </row>
    <row r="1911" spans="1:9" x14ac:dyDescent="0.25">
      <c r="A1911" t="s">
        <v>13</v>
      </c>
      <c r="B1911">
        <v>1753657</v>
      </c>
      <c r="C1911">
        <v>1754946</v>
      </c>
      <c r="E1911" t="s">
        <v>14</v>
      </c>
      <c r="F1911" t="s">
        <v>5008</v>
      </c>
      <c r="H1911">
        <v>0</v>
      </c>
      <c r="I1911" t="s">
        <v>16</v>
      </c>
    </row>
    <row r="1912" spans="1:9" x14ac:dyDescent="0.25">
      <c r="A1912" t="s">
        <v>13</v>
      </c>
      <c r="B1912">
        <v>1754931</v>
      </c>
      <c r="C1912">
        <v>1755557</v>
      </c>
      <c r="E1912" t="s">
        <v>14</v>
      </c>
      <c r="F1912" t="s">
        <v>5011</v>
      </c>
      <c r="H1912">
        <v>0</v>
      </c>
      <c r="I1912" t="s">
        <v>16</v>
      </c>
    </row>
    <row r="1913" spans="1:9" x14ac:dyDescent="0.25">
      <c r="A1913" t="s">
        <v>13</v>
      </c>
      <c r="B1913">
        <v>1755560</v>
      </c>
      <c r="C1913">
        <v>1756342</v>
      </c>
      <c r="E1913" t="s">
        <v>14</v>
      </c>
      <c r="F1913" t="s">
        <v>41</v>
      </c>
      <c r="H1913">
        <v>0</v>
      </c>
      <c r="I1913" t="s">
        <v>16</v>
      </c>
    </row>
    <row r="1914" spans="1:9" x14ac:dyDescent="0.25">
      <c r="A1914" t="s">
        <v>13</v>
      </c>
      <c r="B1914">
        <v>1756342</v>
      </c>
      <c r="C1914">
        <v>1756707</v>
      </c>
      <c r="E1914" t="s">
        <v>14</v>
      </c>
      <c r="F1914" t="s">
        <v>5016</v>
      </c>
      <c r="H1914">
        <v>0</v>
      </c>
      <c r="I1914" t="s">
        <v>16</v>
      </c>
    </row>
    <row r="1915" spans="1:9" x14ac:dyDescent="0.25">
      <c r="A1915" t="s">
        <v>13</v>
      </c>
      <c r="B1915">
        <v>1756719</v>
      </c>
      <c r="C1915">
        <v>1757408</v>
      </c>
      <c r="E1915" t="s">
        <v>14</v>
      </c>
      <c r="F1915" t="s">
        <v>1770</v>
      </c>
      <c r="H1915">
        <v>0</v>
      </c>
      <c r="I1915" t="s">
        <v>16</v>
      </c>
    </row>
    <row r="1916" spans="1:9" x14ac:dyDescent="0.25">
      <c r="A1916" t="s">
        <v>13</v>
      </c>
      <c r="B1916">
        <v>1757451</v>
      </c>
      <c r="C1916">
        <v>1757882</v>
      </c>
      <c r="E1916" t="s">
        <v>28</v>
      </c>
      <c r="F1916" t="s">
        <v>41</v>
      </c>
      <c r="H1916">
        <v>0</v>
      </c>
      <c r="I1916" t="s">
        <v>16</v>
      </c>
    </row>
    <row r="1917" spans="1:9" x14ac:dyDescent="0.25">
      <c r="A1917" t="s">
        <v>13</v>
      </c>
      <c r="B1917">
        <v>1757921</v>
      </c>
      <c r="C1917">
        <v>1758475</v>
      </c>
      <c r="E1917" t="s">
        <v>28</v>
      </c>
      <c r="F1917" t="s">
        <v>2568</v>
      </c>
      <c r="H1917">
        <v>0</v>
      </c>
      <c r="I1917" t="s">
        <v>16</v>
      </c>
    </row>
    <row r="1918" spans="1:9" x14ac:dyDescent="0.25">
      <c r="A1918" t="s">
        <v>13</v>
      </c>
      <c r="B1918">
        <v>1758573</v>
      </c>
      <c r="C1918">
        <v>1758782</v>
      </c>
      <c r="E1918" t="s">
        <v>28</v>
      </c>
      <c r="F1918" t="s">
        <v>5025</v>
      </c>
      <c r="H1918">
        <v>0</v>
      </c>
      <c r="I1918" t="s">
        <v>16</v>
      </c>
    </row>
    <row r="1919" spans="1:9" x14ac:dyDescent="0.25">
      <c r="A1919" t="s">
        <v>13</v>
      </c>
      <c r="B1919">
        <v>1759006</v>
      </c>
      <c r="C1919">
        <v>1759245</v>
      </c>
      <c r="E1919" t="s">
        <v>28</v>
      </c>
      <c r="F1919" t="s">
        <v>68</v>
      </c>
      <c r="H1919">
        <v>0</v>
      </c>
      <c r="I1919" t="s">
        <v>16</v>
      </c>
    </row>
    <row r="1920" spans="1:9" x14ac:dyDescent="0.25">
      <c r="A1920" t="s">
        <v>13</v>
      </c>
      <c r="B1920">
        <v>1759235</v>
      </c>
      <c r="C1920">
        <v>1759414</v>
      </c>
      <c r="E1920" t="s">
        <v>28</v>
      </c>
      <c r="F1920" t="s">
        <v>68</v>
      </c>
      <c r="H1920">
        <v>0</v>
      </c>
      <c r="I1920" t="s">
        <v>16</v>
      </c>
    </row>
    <row r="1921" spans="1:9" x14ac:dyDescent="0.25">
      <c r="A1921" t="s">
        <v>13</v>
      </c>
      <c r="B1921">
        <v>1759700</v>
      </c>
      <c r="C1921">
        <v>1762264</v>
      </c>
      <c r="E1921" t="s">
        <v>14</v>
      </c>
      <c r="F1921" t="s">
        <v>5032</v>
      </c>
      <c r="H1921">
        <v>0</v>
      </c>
      <c r="I1921" t="s">
        <v>16</v>
      </c>
    </row>
    <row r="1922" spans="1:9" x14ac:dyDescent="0.25">
      <c r="A1922" t="s">
        <v>13</v>
      </c>
      <c r="B1922">
        <v>1762274</v>
      </c>
      <c r="C1922">
        <v>1762663</v>
      </c>
      <c r="E1922" t="s">
        <v>14</v>
      </c>
      <c r="F1922" t="s">
        <v>5035</v>
      </c>
      <c r="H1922">
        <v>0</v>
      </c>
      <c r="I1922" t="s">
        <v>16</v>
      </c>
    </row>
    <row r="1923" spans="1:9" x14ac:dyDescent="0.25">
      <c r="A1923" t="s">
        <v>13</v>
      </c>
      <c r="B1923">
        <v>1762660</v>
      </c>
      <c r="C1923">
        <v>1763844</v>
      </c>
      <c r="E1923" t="s">
        <v>14</v>
      </c>
      <c r="F1923" t="s">
        <v>41</v>
      </c>
      <c r="H1923">
        <v>0</v>
      </c>
      <c r="I1923" t="s">
        <v>16</v>
      </c>
    </row>
    <row r="1924" spans="1:9" x14ac:dyDescent="0.25">
      <c r="A1924" t="s">
        <v>13</v>
      </c>
      <c r="B1924">
        <v>1763859</v>
      </c>
      <c r="C1924">
        <v>1764272</v>
      </c>
      <c r="E1924" t="s">
        <v>14</v>
      </c>
      <c r="F1924" t="s">
        <v>5040</v>
      </c>
      <c r="H1924">
        <v>0</v>
      </c>
      <c r="I1924" t="s">
        <v>16</v>
      </c>
    </row>
    <row r="1925" spans="1:9" x14ac:dyDescent="0.25">
      <c r="A1925" t="s">
        <v>13</v>
      </c>
      <c r="B1925">
        <v>1764285</v>
      </c>
      <c r="C1925">
        <v>1764971</v>
      </c>
      <c r="E1925" t="s">
        <v>14</v>
      </c>
      <c r="F1925" t="s">
        <v>5035</v>
      </c>
      <c r="H1925">
        <v>0</v>
      </c>
      <c r="I1925" t="s">
        <v>16</v>
      </c>
    </row>
    <row r="1926" spans="1:9" x14ac:dyDescent="0.25">
      <c r="A1926" t="s">
        <v>13</v>
      </c>
      <c r="B1926">
        <v>1765093</v>
      </c>
      <c r="C1926">
        <v>1765512</v>
      </c>
      <c r="E1926" t="s">
        <v>14</v>
      </c>
      <c r="F1926" t="s">
        <v>730</v>
      </c>
      <c r="H1926">
        <v>0</v>
      </c>
      <c r="I1926" t="s">
        <v>16</v>
      </c>
    </row>
    <row r="1927" spans="1:9" x14ac:dyDescent="0.25">
      <c r="A1927" t="s">
        <v>13</v>
      </c>
      <c r="B1927">
        <v>1765525</v>
      </c>
      <c r="C1927">
        <v>1765938</v>
      </c>
      <c r="E1927" t="s">
        <v>14</v>
      </c>
      <c r="F1927" t="s">
        <v>5040</v>
      </c>
      <c r="H1927">
        <v>0</v>
      </c>
      <c r="I1927" t="s">
        <v>16</v>
      </c>
    </row>
    <row r="1928" spans="1:9" x14ac:dyDescent="0.25">
      <c r="A1928" t="s">
        <v>13</v>
      </c>
      <c r="B1928">
        <v>1766128</v>
      </c>
      <c r="C1928">
        <v>1766574</v>
      </c>
      <c r="E1928" t="s">
        <v>14</v>
      </c>
      <c r="F1928" t="s">
        <v>41</v>
      </c>
      <c r="H1928">
        <v>0</v>
      </c>
      <c r="I1928" t="s">
        <v>16</v>
      </c>
    </row>
    <row r="1929" spans="1:9" x14ac:dyDescent="0.25">
      <c r="A1929" t="s">
        <v>13</v>
      </c>
      <c r="B1929">
        <v>1766576</v>
      </c>
      <c r="C1929">
        <v>1766995</v>
      </c>
      <c r="E1929" t="s">
        <v>14</v>
      </c>
      <c r="F1929" t="s">
        <v>41</v>
      </c>
      <c r="H1929">
        <v>0</v>
      </c>
      <c r="I1929" t="s">
        <v>16</v>
      </c>
    </row>
    <row r="1930" spans="1:9" x14ac:dyDescent="0.25">
      <c r="A1930" t="s">
        <v>13</v>
      </c>
      <c r="B1930">
        <v>1766992</v>
      </c>
      <c r="C1930">
        <v>1767465</v>
      </c>
      <c r="E1930" t="s">
        <v>14</v>
      </c>
      <c r="F1930" t="s">
        <v>41</v>
      </c>
      <c r="H1930">
        <v>0</v>
      </c>
      <c r="I1930" t="s">
        <v>16</v>
      </c>
    </row>
    <row r="1931" spans="1:9" x14ac:dyDescent="0.25">
      <c r="A1931" t="s">
        <v>13</v>
      </c>
      <c r="B1931">
        <v>1767465</v>
      </c>
      <c r="C1931">
        <v>1768598</v>
      </c>
      <c r="E1931" t="s">
        <v>14</v>
      </c>
      <c r="F1931" t="s">
        <v>5055</v>
      </c>
      <c r="H1931">
        <v>0</v>
      </c>
      <c r="I1931" t="s">
        <v>16</v>
      </c>
    </row>
    <row r="1932" spans="1:9" x14ac:dyDescent="0.25">
      <c r="A1932" t="s">
        <v>13</v>
      </c>
      <c r="B1932">
        <v>1768646</v>
      </c>
      <c r="C1932">
        <v>1769482</v>
      </c>
      <c r="E1932" t="s">
        <v>14</v>
      </c>
      <c r="F1932" t="s">
        <v>5058</v>
      </c>
      <c r="H1932">
        <v>0</v>
      </c>
      <c r="I1932" t="s">
        <v>16</v>
      </c>
    </row>
    <row r="1933" spans="1:9" x14ac:dyDescent="0.25">
      <c r="A1933" t="s">
        <v>13</v>
      </c>
      <c r="B1933">
        <v>1769483</v>
      </c>
      <c r="C1933">
        <v>1770115</v>
      </c>
      <c r="E1933" t="s">
        <v>14</v>
      </c>
      <c r="F1933" t="s">
        <v>5061</v>
      </c>
      <c r="H1933">
        <v>0</v>
      </c>
      <c r="I1933" t="s">
        <v>16</v>
      </c>
    </row>
    <row r="1934" spans="1:9" x14ac:dyDescent="0.25">
      <c r="A1934" t="s">
        <v>13</v>
      </c>
      <c r="B1934">
        <v>1770144</v>
      </c>
      <c r="C1934">
        <v>1770578</v>
      </c>
      <c r="E1934" t="s">
        <v>14</v>
      </c>
      <c r="F1934" t="s">
        <v>5064</v>
      </c>
      <c r="H1934">
        <v>0</v>
      </c>
      <c r="I1934" t="s">
        <v>16</v>
      </c>
    </row>
    <row r="1935" spans="1:9" x14ac:dyDescent="0.25">
      <c r="A1935" t="s">
        <v>13</v>
      </c>
      <c r="B1935">
        <v>1770578</v>
      </c>
      <c r="C1935">
        <v>1771732</v>
      </c>
      <c r="E1935" t="s">
        <v>14</v>
      </c>
      <c r="F1935" t="s">
        <v>5067</v>
      </c>
      <c r="H1935">
        <v>0</v>
      </c>
      <c r="I1935" t="s">
        <v>16</v>
      </c>
    </row>
    <row r="1936" spans="1:9" x14ac:dyDescent="0.25">
      <c r="A1936" t="s">
        <v>13</v>
      </c>
      <c r="B1936">
        <v>1771722</v>
      </c>
      <c r="C1936">
        <v>1773326</v>
      </c>
      <c r="E1936" t="s">
        <v>28</v>
      </c>
      <c r="F1936" t="s">
        <v>41</v>
      </c>
      <c r="H1936">
        <v>0</v>
      </c>
      <c r="I1936" t="s">
        <v>16</v>
      </c>
    </row>
    <row r="1937" spans="1:9" x14ac:dyDescent="0.25">
      <c r="A1937" t="s">
        <v>13</v>
      </c>
      <c r="B1937">
        <v>1773460</v>
      </c>
      <c r="C1937">
        <v>1774794</v>
      </c>
      <c r="E1937" t="s">
        <v>14</v>
      </c>
      <c r="F1937" t="s">
        <v>5072</v>
      </c>
      <c r="H1937">
        <v>0</v>
      </c>
      <c r="I1937" t="s">
        <v>16</v>
      </c>
    </row>
    <row r="1938" spans="1:9" x14ac:dyDescent="0.25">
      <c r="A1938" t="s">
        <v>13</v>
      </c>
      <c r="B1938">
        <v>1774791</v>
      </c>
      <c r="C1938">
        <v>1775339</v>
      </c>
      <c r="E1938" t="s">
        <v>28</v>
      </c>
      <c r="F1938" t="s">
        <v>5075</v>
      </c>
      <c r="H1938">
        <v>0</v>
      </c>
      <c r="I1938" t="s">
        <v>16</v>
      </c>
    </row>
    <row r="1939" spans="1:9" x14ac:dyDescent="0.25">
      <c r="A1939" t="s">
        <v>13</v>
      </c>
      <c r="B1939">
        <v>1775387</v>
      </c>
      <c r="C1939">
        <v>1779865</v>
      </c>
      <c r="E1939" t="s">
        <v>28</v>
      </c>
      <c r="F1939" t="s">
        <v>5078</v>
      </c>
      <c r="H1939">
        <v>0</v>
      </c>
      <c r="I1939" t="s">
        <v>16</v>
      </c>
    </row>
    <row r="1940" spans="1:9" x14ac:dyDescent="0.25">
      <c r="A1940" t="s">
        <v>13</v>
      </c>
      <c r="B1940">
        <v>1780022</v>
      </c>
      <c r="C1940">
        <v>1780483</v>
      </c>
      <c r="E1940" t="s">
        <v>28</v>
      </c>
      <c r="F1940" t="s">
        <v>41</v>
      </c>
      <c r="H1940">
        <v>0</v>
      </c>
      <c r="I1940" t="s">
        <v>16</v>
      </c>
    </row>
    <row r="1941" spans="1:9" x14ac:dyDescent="0.25">
      <c r="A1941" t="s">
        <v>13</v>
      </c>
      <c r="B1941">
        <v>1780523</v>
      </c>
      <c r="C1941">
        <v>1780753</v>
      </c>
      <c r="E1941" t="s">
        <v>14</v>
      </c>
      <c r="F1941" t="s">
        <v>41</v>
      </c>
      <c r="H1941">
        <v>0</v>
      </c>
      <c r="I1941" t="s">
        <v>16</v>
      </c>
    </row>
    <row r="1942" spans="1:9" x14ac:dyDescent="0.25">
      <c r="A1942" t="s">
        <v>13</v>
      </c>
      <c r="B1942">
        <v>1780850</v>
      </c>
      <c r="C1942">
        <v>1782334</v>
      </c>
      <c r="E1942" t="s">
        <v>28</v>
      </c>
      <c r="F1942" t="s">
        <v>141</v>
      </c>
      <c r="H1942">
        <v>0</v>
      </c>
      <c r="I1942" t="s">
        <v>16</v>
      </c>
    </row>
    <row r="1943" spans="1:9" x14ac:dyDescent="0.25">
      <c r="A1943" t="s">
        <v>13</v>
      </c>
      <c r="B1943">
        <v>1782780</v>
      </c>
      <c r="C1943">
        <v>1782851</v>
      </c>
      <c r="E1943" t="s">
        <v>28</v>
      </c>
      <c r="F1943" t="s">
        <v>4792</v>
      </c>
      <c r="H1943">
        <v>0</v>
      </c>
      <c r="I1943" t="s">
        <v>133</v>
      </c>
    </row>
    <row r="1944" spans="1:9" x14ac:dyDescent="0.25">
      <c r="A1944" t="s">
        <v>13</v>
      </c>
      <c r="B1944">
        <v>1782942</v>
      </c>
      <c r="C1944">
        <v>1783613</v>
      </c>
      <c r="E1944" t="s">
        <v>14</v>
      </c>
      <c r="F1944" t="s">
        <v>4902</v>
      </c>
      <c r="H1944">
        <v>0</v>
      </c>
      <c r="I1944" t="s">
        <v>16</v>
      </c>
    </row>
    <row r="1945" spans="1:9" x14ac:dyDescent="0.25">
      <c r="A1945" t="s">
        <v>13</v>
      </c>
      <c r="B1945">
        <v>1783610</v>
      </c>
      <c r="C1945">
        <v>1784500</v>
      </c>
      <c r="E1945" t="s">
        <v>14</v>
      </c>
      <c r="F1945" t="s">
        <v>5090</v>
      </c>
      <c r="H1945">
        <v>0</v>
      </c>
      <c r="I1945" t="s">
        <v>16</v>
      </c>
    </row>
    <row r="1946" spans="1:9" x14ac:dyDescent="0.25">
      <c r="A1946" t="s">
        <v>13</v>
      </c>
      <c r="B1946">
        <v>1784515</v>
      </c>
      <c r="C1946">
        <v>1785177</v>
      </c>
      <c r="E1946" t="s">
        <v>14</v>
      </c>
      <c r="F1946" t="s">
        <v>5093</v>
      </c>
      <c r="H1946">
        <v>0</v>
      </c>
      <c r="I1946" t="s">
        <v>16</v>
      </c>
    </row>
    <row r="1947" spans="1:9" x14ac:dyDescent="0.25">
      <c r="A1947" t="s">
        <v>13</v>
      </c>
      <c r="B1947">
        <v>1785333</v>
      </c>
      <c r="C1947">
        <v>1785539</v>
      </c>
      <c r="E1947" t="s">
        <v>14</v>
      </c>
      <c r="F1947" t="s">
        <v>41</v>
      </c>
      <c r="H1947">
        <v>0</v>
      </c>
      <c r="I1947" t="s">
        <v>16</v>
      </c>
    </row>
    <row r="1948" spans="1:9" x14ac:dyDescent="0.25">
      <c r="A1948" t="s">
        <v>13</v>
      </c>
      <c r="B1948">
        <v>1785541</v>
      </c>
      <c r="C1948">
        <v>1786677</v>
      </c>
      <c r="E1948" t="s">
        <v>28</v>
      </c>
      <c r="F1948" t="s">
        <v>5098</v>
      </c>
      <c r="H1948">
        <v>0</v>
      </c>
      <c r="I1948" t="s">
        <v>16</v>
      </c>
    </row>
    <row r="1949" spans="1:9" x14ac:dyDescent="0.25">
      <c r="A1949" t="s">
        <v>13</v>
      </c>
      <c r="B1949">
        <v>1786722</v>
      </c>
      <c r="C1949">
        <v>1787168</v>
      </c>
      <c r="E1949" t="s">
        <v>14</v>
      </c>
      <c r="F1949" t="s">
        <v>41</v>
      </c>
      <c r="H1949">
        <v>0</v>
      </c>
      <c r="I1949" t="s">
        <v>16</v>
      </c>
    </row>
    <row r="1950" spans="1:9" x14ac:dyDescent="0.25">
      <c r="A1950" t="s">
        <v>13</v>
      </c>
      <c r="B1950">
        <v>1787366</v>
      </c>
      <c r="C1950">
        <v>1787605</v>
      </c>
      <c r="E1950" t="s">
        <v>14</v>
      </c>
      <c r="F1950" t="s">
        <v>68</v>
      </c>
      <c r="H1950">
        <v>0</v>
      </c>
      <c r="I1950" t="s">
        <v>16</v>
      </c>
    </row>
    <row r="1951" spans="1:9" x14ac:dyDescent="0.25">
      <c r="A1951" t="s">
        <v>13</v>
      </c>
      <c r="B1951">
        <v>1787680</v>
      </c>
      <c r="C1951">
        <v>1788039</v>
      </c>
      <c r="E1951" t="s">
        <v>14</v>
      </c>
      <c r="F1951" t="s">
        <v>68</v>
      </c>
      <c r="H1951">
        <v>0</v>
      </c>
      <c r="I1951" t="s">
        <v>16</v>
      </c>
    </row>
    <row r="1952" spans="1:9" x14ac:dyDescent="0.25">
      <c r="A1952" t="s">
        <v>13</v>
      </c>
      <c r="B1952">
        <v>1788584</v>
      </c>
      <c r="C1952">
        <v>1789108</v>
      </c>
      <c r="E1952" t="s">
        <v>14</v>
      </c>
      <c r="F1952" t="s">
        <v>41</v>
      </c>
      <c r="H1952">
        <v>0</v>
      </c>
      <c r="I1952" t="s">
        <v>16</v>
      </c>
    </row>
    <row r="1953" spans="1:9" x14ac:dyDescent="0.25">
      <c r="A1953" t="s">
        <v>13</v>
      </c>
      <c r="B1953">
        <v>1789193</v>
      </c>
      <c r="C1953">
        <v>1790161</v>
      </c>
      <c r="E1953" t="s">
        <v>14</v>
      </c>
      <c r="F1953" t="s">
        <v>5109</v>
      </c>
      <c r="H1953">
        <v>0</v>
      </c>
      <c r="I1953" t="s">
        <v>16</v>
      </c>
    </row>
    <row r="1954" spans="1:9" x14ac:dyDescent="0.25">
      <c r="A1954" t="s">
        <v>13</v>
      </c>
      <c r="B1954">
        <v>1790044</v>
      </c>
      <c r="C1954">
        <v>1790835</v>
      </c>
      <c r="E1954" t="s">
        <v>28</v>
      </c>
      <c r="F1954" t="s">
        <v>2132</v>
      </c>
      <c r="H1954">
        <v>0</v>
      </c>
      <c r="I1954" t="s">
        <v>16</v>
      </c>
    </row>
    <row r="1955" spans="1:9" x14ac:dyDescent="0.25">
      <c r="A1955" t="s">
        <v>13</v>
      </c>
      <c r="B1955">
        <v>1791643</v>
      </c>
      <c r="C1955">
        <v>1792941</v>
      </c>
      <c r="E1955" t="s">
        <v>28</v>
      </c>
      <c r="F1955" t="s">
        <v>5114</v>
      </c>
      <c r="H1955">
        <v>0</v>
      </c>
      <c r="I1955" t="s">
        <v>16</v>
      </c>
    </row>
    <row r="1956" spans="1:9" x14ac:dyDescent="0.25">
      <c r="A1956" t="s">
        <v>13</v>
      </c>
      <c r="B1956">
        <v>1793029</v>
      </c>
      <c r="C1956">
        <v>1793244</v>
      </c>
      <c r="E1956" t="s">
        <v>14</v>
      </c>
      <c r="F1956" t="s">
        <v>41</v>
      </c>
      <c r="H1956">
        <v>0</v>
      </c>
      <c r="I1956" t="s">
        <v>16</v>
      </c>
    </row>
    <row r="1957" spans="1:9" x14ac:dyDescent="0.25">
      <c r="A1957" t="s">
        <v>13</v>
      </c>
      <c r="B1957">
        <v>1793246</v>
      </c>
      <c r="C1957">
        <v>1795063</v>
      </c>
      <c r="E1957" t="s">
        <v>14</v>
      </c>
      <c r="F1957" t="s">
        <v>1334</v>
      </c>
      <c r="H1957">
        <v>0</v>
      </c>
      <c r="I1957" t="s">
        <v>16</v>
      </c>
    </row>
    <row r="1958" spans="1:9" x14ac:dyDescent="0.25">
      <c r="A1958" t="s">
        <v>13</v>
      </c>
      <c r="B1958">
        <v>1795068</v>
      </c>
      <c r="C1958">
        <v>1795442</v>
      </c>
      <c r="E1958" t="s">
        <v>14</v>
      </c>
      <c r="F1958" t="s">
        <v>5121</v>
      </c>
      <c r="H1958">
        <v>0</v>
      </c>
      <c r="I1958" t="s">
        <v>16</v>
      </c>
    </row>
    <row r="1959" spans="1:9" x14ac:dyDescent="0.25">
      <c r="A1959" t="s">
        <v>13</v>
      </c>
      <c r="B1959">
        <v>1795475</v>
      </c>
      <c r="C1959">
        <v>1796416</v>
      </c>
      <c r="E1959" t="s">
        <v>14</v>
      </c>
      <c r="F1959" t="s">
        <v>5124</v>
      </c>
      <c r="H1959">
        <v>0</v>
      </c>
      <c r="I1959" t="s">
        <v>16</v>
      </c>
    </row>
    <row r="1960" spans="1:9" x14ac:dyDescent="0.25">
      <c r="A1960" t="s">
        <v>13</v>
      </c>
      <c r="B1960">
        <v>1796396</v>
      </c>
      <c r="C1960">
        <v>1796830</v>
      </c>
      <c r="E1960" t="s">
        <v>28</v>
      </c>
      <c r="F1960" t="s">
        <v>5127</v>
      </c>
      <c r="H1960">
        <v>0</v>
      </c>
      <c r="I1960" t="s">
        <v>16</v>
      </c>
    </row>
    <row r="1961" spans="1:9" x14ac:dyDescent="0.25">
      <c r="A1961" t="s">
        <v>13</v>
      </c>
      <c r="B1961">
        <v>1796941</v>
      </c>
      <c r="C1961">
        <v>1798459</v>
      </c>
      <c r="E1961" t="s">
        <v>28</v>
      </c>
      <c r="F1961" t="s">
        <v>742</v>
      </c>
      <c r="H1961">
        <v>0</v>
      </c>
      <c r="I1961" t="s">
        <v>147</v>
      </c>
    </row>
    <row r="1962" spans="1:9" x14ac:dyDescent="0.25">
      <c r="A1962" t="s">
        <v>13</v>
      </c>
      <c r="B1962">
        <v>1798559</v>
      </c>
      <c r="C1962">
        <v>1799035</v>
      </c>
      <c r="E1962" t="s">
        <v>28</v>
      </c>
      <c r="F1962" t="s">
        <v>5131</v>
      </c>
      <c r="H1962">
        <v>0</v>
      </c>
      <c r="I1962" t="s">
        <v>16</v>
      </c>
    </row>
    <row r="1963" spans="1:9" x14ac:dyDescent="0.25">
      <c r="A1963" t="s">
        <v>13</v>
      </c>
      <c r="B1963">
        <v>1799032</v>
      </c>
      <c r="C1963">
        <v>1799739</v>
      </c>
      <c r="E1963" t="s">
        <v>28</v>
      </c>
      <c r="F1963" t="s">
        <v>5134</v>
      </c>
      <c r="H1963">
        <v>0</v>
      </c>
      <c r="I1963" t="s">
        <v>16</v>
      </c>
    </row>
    <row r="1964" spans="1:9" x14ac:dyDescent="0.25">
      <c r="A1964" t="s">
        <v>13</v>
      </c>
      <c r="B1964">
        <v>1799768</v>
      </c>
      <c r="C1964">
        <v>1800247</v>
      </c>
      <c r="E1964" t="s">
        <v>14</v>
      </c>
      <c r="F1964" t="s">
        <v>5137</v>
      </c>
      <c r="H1964">
        <v>0</v>
      </c>
      <c r="I1964" t="s">
        <v>16</v>
      </c>
    </row>
    <row r="1965" spans="1:9" x14ac:dyDescent="0.25">
      <c r="A1965" t="s">
        <v>13</v>
      </c>
      <c r="B1965">
        <v>1800244</v>
      </c>
      <c r="C1965">
        <v>1800672</v>
      </c>
      <c r="E1965" t="s">
        <v>28</v>
      </c>
      <c r="F1965" t="s">
        <v>5140</v>
      </c>
      <c r="H1965">
        <v>0</v>
      </c>
      <c r="I1965" t="s">
        <v>16</v>
      </c>
    </row>
    <row r="1966" spans="1:9" x14ac:dyDescent="0.25">
      <c r="A1966" t="s">
        <v>13</v>
      </c>
      <c r="B1966">
        <v>1800699</v>
      </c>
      <c r="C1966">
        <v>1801532</v>
      </c>
      <c r="E1966" t="s">
        <v>28</v>
      </c>
      <c r="F1966" t="s">
        <v>41</v>
      </c>
      <c r="H1966">
        <v>0</v>
      </c>
      <c r="I1966" t="s">
        <v>16</v>
      </c>
    </row>
    <row r="1967" spans="1:9" x14ac:dyDescent="0.25">
      <c r="A1967" t="s">
        <v>13</v>
      </c>
      <c r="B1967">
        <v>1801566</v>
      </c>
      <c r="C1967">
        <v>1802108</v>
      </c>
      <c r="E1967" t="s">
        <v>14</v>
      </c>
      <c r="F1967" t="s">
        <v>5145</v>
      </c>
      <c r="H1967">
        <v>0</v>
      </c>
      <c r="I1967" t="s">
        <v>16</v>
      </c>
    </row>
    <row r="1968" spans="1:9" x14ac:dyDescent="0.25">
      <c r="A1968" t="s">
        <v>13</v>
      </c>
      <c r="B1968">
        <v>1802112</v>
      </c>
      <c r="C1968">
        <v>1802711</v>
      </c>
      <c r="E1968" t="s">
        <v>14</v>
      </c>
      <c r="F1968" t="s">
        <v>5148</v>
      </c>
      <c r="H1968">
        <v>0</v>
      </c>
      <c r="I1968" t="s">
        <v>16</v>
      </c>
    </row>
    <row r="1969" spans="1:9" x14ac:dyDescent="0.25">
      <c r="A1969" t="s">
        <v>13</v>
      </c>
      <c r="B1969">
        <v>1802715</v>
      </c>
      <c r="C1969">
        <v>1803794</v>
      </c>
      <c r="E1969" t="s">
        <v>14</v>
      </c>
      <c r="F1969" t="s">
        <v>5151</v>
      </c>
      <c r="H1969">
        <v>0</v>
      </c>
      <c r="I1969" t="s">
        <v>16</v>
      </c>
    </row>
    <row r="1970" spans="1:9" x14ac:dyDescent="0.25">
      <c r="A1970" t="s">
        <v>13</v>
      </c>
      <c r="B1970">
        <v>1803791</v>
      </c>
      <c r="C1970">
        <v>1804402</v>
      </c>
      <c r="E1970" t="s">
        <v>14</v>
      </c>
      <c r="F1970" t="s">
        <v>5154</v>
      </c>
      <c r="H1970">
        <v>0</v>
      </c>
      <c r="I1970" t="s">
        <v>16</v>
      </c>
    </row>
    <row r="1971" spans="1:9" x14ac:dyDescent="0.25">
      <c r="A1971" t="s">
        <v>13</v>
      </c>
      <c r="B1971">
        <v>1804399</v>
      </c>
      <c r="C1971">
        <v>1804983</v>
      </c>
      <c r="E1971" t="s">
        <v>14</v>
      </c>
      <c r="F1971" t="s">
        <v>5157</v>
      </c>
      <c r="H1971">
        <v>0</v>
      </c>
      <c r="I1971" t="s">
        <v>16</v>
      </c>
    </row>
    <row r="1972" spans="1:9" x14ac:dyDescent="0.25">
      <c r="A1972" t="s">
        <v>13</v>
      </c>
      <c r="B1972">
        <v>1804973</v>
      </c>
      <c r="C1972">
        <v>1805212</v>
      </c>
      <c r="E1972" t="s">
        <v>28</v>
      </c>
      <c r="F1972" t="s">
        <v>41</v>
      </c>
      <c r="H1972">
        <v>0</v>
      </c>
      <c r="I1972" t="s">
        <v>16</v>
      </c>
    </row>
    <row r="1973" spans="1:9" x14ac:dyDescent="0.25">
      <c r="A1973" t="s">
        <v>13</v>
      </c>
      <c r="B1973">
        <v>1805214</v>
      </c>
      <c r="C1973">
        <v>1805387</v>
      </c>
      <c r="E1973" t="s">
        <v>28</v>
      </c>
      <c r="F1973" t="s">
        <v>41</v>
      </c>
      <c r="H1973">
        <v>0</v>
      </c>
      <c r="I1973" t="s">
        <v>16</v>
      </c>
    </row>
    <row r="1974" spans="1:9" x14ac:dyDescent="0.25">
      <c r="A1974" t="s">
        <v>13</v>
      </c>
      <c r="B1974">
        <v>1805392</v>
      </c>
      <c r="C1974">
        <v>1806348</v>
      </c>
      <c r="E1974" t="s">
        <v>28</v>
      </c>
      <c r="F1974" t="s">
        <v>5164</v>
      </c>
      <c r="H1974">
        <v>0</v>
      </c>
      <c r="I1974" t="s">
        <v>16</v>
      </c>
    </row>
    <row r="1975" spans="1:9" x14ac:dyDescent="0.25">
      <c r="A1975" t="s">
        <v>13</v>
      </c>
      <c r="B1975">
        <v>1806380</v>
      </c>
      <c r="C1975">
        <v>1807288</v>
      </c>
      <c r="E1975" t="s">
        <v>28</v>
      </c>
      <c r="F1975" t="s">
        <v>5167</v>
      </c>
      <c r="H1975">
        <v>0</v>
      </c>
      <c r="I1975" t="s">
        <v>16</v>
      </c>
    </row>
    <row r="1976" spans="1:9" x14ac:dyDescent="0.25">
      <c r="A1976" t="s">
        <v>13</v>
      </c>
      <c r="B1976">
        <v>1807401</v>
      </c>
      <c r="C1976">
        <v>1808309</v>
      </c>
      <c r="E1976" t="s">
        <v>14</v>
      </c>
      <c r="F1976" t="s">
        <v>5170</v>
      </c>
      <c r="H1976">
        <v>0</v>
      </c>
      <c r="I1976" t="s">
        <v>16</v>
      </c>
    </row>
    <row r="1977" spans="1:9" x14ac:dyDescent="0.25">
      <c r="A1977" t="s">
        <v>13</v>
      </c>
      <c r="B1977">
        <v>1808367</v>
      </c>
      <c r="C1977">
        <v>1809368</v>
      </c>
      <c r="E1977" t="s">
        <v>28</v>
      </c>
      <c r="F1977" t="s">
        <v>5173</v>
      </c>
      <c r="H1977">
        <v>0</v>
      </c>
      <c r="I1977" t="s">
        <v>16</v>
      </c>
    </row>
    <row r="1978" spans="1:9" x14ac:dyDescent="0.25">
      <c r="A1978" t="s">
        <v>13</v>
      </c>
      <c r="B1978">
        <v>1809450</v>
      </c>
      <c r="C1978">
        <v>1810355</v>
      </c>
      <c r="E1978" t="s">
        <v>14</v>
      </c>
      <c r="F1978" t="s">
        <v>5176</v>
      </c>
      <c r="H1978">
        <v>0</v>
      </c>
      <c r="I1978" t="s">
        <v>16</v>
      </c>
    </row>
    <row r="1979" spans="1:9" x14ac:dyDescent="0.25">
      <c r="A1979" t="s">
        <v>13</v>
      </c>
      <c r="B1979">
        <v>1810399</v>
      </c>
      <c r="C1979">
        <v>1811280</v>
      </c>
      <c r="E1979" t="s">
        <v>14</v>
      </c>
      <c r="F1979" t="s">
        <v>5179</v>
      </c>
      <c r="H1979">
        <v>0</v>
      </c>
      <c r="I1979" t="s">
        <v>16</v>
      </c>
    </row>
    <row r="1980" spans="1:9" x14ac:dyDescent="0.25">
      <c r="A1980" t="s">
        <v>13</v>
      </c>
      <c r="B1980">
        <v>1811281</v>
      </c>
      <c r="C1980">
        <v>1812090</v>
      </c>
      <c r="E1980" t="s">
        <v>14</v>
      </c>
      <c r="F1980" t="s">
        <v>5182</v>
      </c>
      <c r="H1980">
        <v>0</v>
      </c>
      <c r="I1980" t="s">
        <v>16</v>
      </c>
    </row>
    <row r="1981" spans="1:9" x14ac:dyDescent="0.25">
      <c r="A1981" t="s">
        <v>13</v>
      </c>
      <c r="B1981">
        <v>1812223</v>
      </c>
      <c r="C1981">
        <v>1813356</v>
      </c>
      <c r="E1981" t="s">
        <v>28</v>
      </c>
      <c r="F1981" t="s">
        <v>5185</v>
      </c>
      <c r="H1981">
        <v>0</v>
      </c>
      <c r="I1981" t="s">
        <v>16</v>
      </c>
    </row>
    <row r="1982" spans="1:9" x14ac:dyDescent="0.25">
      <c r="A1982" t="s">
        <v>13</v>
      </c>
      <c r="B1982">
        <v>1813484</v>
      </c>
      <c r="C1982">
        <v>1814629</v>
      </c>
      <c r="E1982" t="s">
        <v>28</v>
      </c>
      <c r="F1982" t="s">
        <v>4207</v>
      </c>
      <c r="H1982">
        <v>0</v>
      </c>
      <c r="I1982" t="s">
        <v>16</v>
      </c>
    </row>
    <row r="1983" spans="1:9" x14ac:dyDescent="0.25">
      <c r="A1983" t="s">
        <v>13</v>
      </c>
      <c r="B1983">
        <v>1814663</v>
      </c>
      <c r="C1983">
        <v>1815598</v>
      </c>
      <c r="E1983" t="s">
        <v>14</v>
      </c>
      <c r="F1983" t="s">
        <v>5190</v>
      </c>
      <c r="H1983">
        <v>0</v>
      </c>
      <c r="I1983" t="s">
        <v>16</v>
      </c>
    </row>
    <row r="1984" spans="1:9" x14ac:dyDescent="0.25">
      <c r="A1984" t="s">
        <v>13</v>
      </c>
      <c r="B1984">
        <v>1815595</v>
      </c>
      <c r="C1984">
        <v>1815999</v>
      </c>
      <c r="E1984" t="s">
        <v>14</v>
      </c>
      <c r="F1984" t="s">
        <v>41</v>
      </c>
      <c r="H1984">
        <v>0</v>
      </c>
      <c r="I1984" t="s">
        <v>16</v>
      </c>
    </row>
    <row r="1985" spans="1:9" x14ac:dyDescent="0.25">
      <c r="A1985" t="s">
        <v>13</v>
      </c>
      <c r="B1985">
        <v>1816034</v>
      </c>
      <c r="C1985">
        <v>1817212</v>
      </c>
      <c r="E1985" t="s">
        <v>28</v>
      </c>
      <c r="F1985" t="s">
        <v>5195</v>
      </c>
      <c r="H1985">
        <v>0</v>
      </c>
      <c r="I1985" t="s">
        <v>16</v>
      </c>
    </row>
    <row r="1986" spans="1:9" x14ac:dyDescent="0.25">
      <c r="A1986" t="s">
        <v>13</v>
      </c>
      <c r="B1986">
        <v>1817427</v>
      </c>
      <c r="C1986">
        <v>1817500</v>
      </c>
      <c r="E1986" t="s">
        <v>28</v>
      </c>
      <c r="F1986" t="s">
        <v>2183</v>
      </c>
      <c r="H1986">
        <v>0</v>
      </c>
      <c r="I1986" t="s">
        <v>133</v>
      </c>
    </row>
    <row r="1987" spans="1:9" x14ac:dyDescent="0.25">
      <c r="A1987" t="s">
        <v>13</v>
      </c>
      <c r="B1987">
        <v>1817839</v>
      </c>
      <c r="C1987">
        <v>1820754</v>
      </c>
      <c r="E1987" t="s">
        <v>28</v>
      </c>
      <c r="F1987" t="s">
        <v>146</v>
      </c>
      <c r="H1987">
        <v>0</v>
      </c>
      <c r="I1987" t="s">
        <v>147</v>
      </c>
    </row>
    <row r="1988" spans="1:9" x14ac:dyDescent="0.25">
      <c r="A1988" t="s">
        <v>13</v>
      </c>
      <c r="B1988">
        <v>1820829</v>
      </c>
      <c r="C1988">
        <v>1820951</v>
      </c>
      <c r="E1988" t="s">
        <v>28</v>
      </c>
      <c r="F1988" t="s">
        <v>149</v>
      </c>
      <c r="H1988">
        <v>0</v>
      </c>
      <c r="I1988" t="s">
        <v>147</v>
      </c>
    </row>
    <row r="1989" spans="1:9" x14ac:dyDescent="0.25">
      <c r="A1989" t="s">
        <v>13</v>
      </c>
      <c r="B1989">
        <v>1820961</v>
      </c>
      <c r="C1989">
        <v>1821033</v>
      </c>
      <c r="E1989" t="s">
        <v>28</v>
      </c>
      <c r="F1989" t="s">
        <v>151</v>
      </c>
      <c r="H1989">
        <v>0</v>
      </c>
      <c r="I1989" t="s">
        <v>133</v>
      </c>
    </row>
    <row r="1990" spans="1:9" x14ac:dyDescent="0.25">
      <c r="A1990" t="s">
        <v>13</v>
      </c>
      <c r="B1990">
        <v>1821115</v>
      </c>
      <c r="C1990">
        <v>1821387</v>
      </c>
      <c r="E1990" t="s">
        <v>28</v>
      </c>
      <c r="F1990" t="s">
        <v>68</v>
      </c>
      <c r="H1990">
        <v>0</v>
      </c>
      <c r="I1990" t="s">
        <v>16</v>
      </c>
    </row>
    <row r="1991" spans="1:9" x14ac:dyDescent="0.25">
      <c r="A1991" t="s">
        <v>13</v>
      </c>
      <c r="B1991">
        <v>1821472</v>
      </c>
      <c r="C1991">
        <v>1823037</v>
      </c>
      <c r="E1991" t="s">
        <v>28</v>
      </c>
      <c r="F1991" t="s">
        <v>41</v>
      </c>
      <c r="H1991">
        <v>0</v>
      </c>
      <c r="I1991" t="s">
        <v>16</v>
      </c>
    </row>
    <row r="1992" spans="1:9" x14ac:dyDescent="0.25">
      <c r="A1992" t="s">
        <v>13</v>
      </c>
      <c r="B1992">
        <v>1823030</v>
      </c>
      <c r="C1992">
        <v>1823371</v>
      </c>
      <c r="E1992" t="s">
        <v>28</v>
      </c>
      <c r="F1992" t="s">
        <v>5206</v>
      </c>
      <c r="H1992">
        <v>0</v>
      </c>
      <c r="I1992" t="s">
        <v>16</v>
      </c>
    </row>
    <row r="1993" spans="1:9" x14ac:dyDescent="0.25">
      <c r="A1993" t="s">
        <v>13</v>
      </c>
      <c r="B1993">
        <v>1823373</v>
      </c>
      <c r="C1993">
        <v>1824482</v>
      </c>
      <c r="E1993" t="s">
        <v>28</v>
      </c>
      <c r="F1993" t="s">
        <v>5209</v>
      </c>
      <c r="H1993">
        <v>0</v>
      </c>
      <c r="I1993" t="s">
        <v>16</v>
      </c>
    </row>
    <row r="1994" spans="1:9" x14ac:dyDescent="0.25">
      <c r="A1994" t="s">
        <v>13</v>
      </c>
      <c r="B1994">
        <v>1824485</v>
      </c>
      <c r="C1994">
        <v>1825423</v>
      </c>
      <c r="E1994" t="s">
        <v>28</v>
      </c>
      <c r="F1994" t="s">
        <v>5212</v>
      </c>
      <c r="H1994">
        <v>0</v>
      </c>
      <c r="I1994" t="s">
        <v>16</v>
      </c>
    </row>
    <row r="1995" spans="1:9" x14ac:dyDescent="0.25">
      <c r="A1995" t="s">
        <v>13</v>
      </c>
      <c r="B1995">
        <v>1825460</v>
      </c>
      <c r="C1995">
        <v>1826248</v>
      </c>
      <c r="E1995" t="s">
        <v>14</v>
      </c>
      <c r="F1995" t="s">
        <v>5215</v>
      </c>
      <c r="H1995">
        <v>0</v>
      </c>
      <c r="I1995" t="s">
        <v>16</v>
      </c>
    </row>
    <row r="1996" spans="1:9" x14ac:dyDescent="0.25">
      <c r="A1996" t="s">
        <v>13</v>
      </c>
      <c r="B1996">
        <v>1826245</v>
      </c>
      <c r="C1996">
        <v>1826952</v>
      </c>
      <c r="E1996" t="s">
        <v>14</v>
      </c>
      <c r="F1996" t="s">
        <v>5218</v>
      </c>
      <c r="H1996">
        <v>0</v>
      </c>
      <c r="I1996" t="s">
        <v>16</v>
      </c>
    </row>
    <row r="1997" spans="1:9" x14ac:dyDescent="0.25">
      <c r="A1997" t="s">
        <v>13</v>
      </c>
      <c r="B1997">
        <v>1826949</v>
      </c>
      <c r="C1997">
        <v>1827494</v>
      </c>
      <c r="E1997" t="s">
        <v>14</v>
      </c>
      <c r="F1997" t="s">
        <v>5221</v>
      </c>
      <c r="H1997">
        <v>0</v>
      </c>
      <c r="I1997" t="s">
        <v>16</v>
      </c>
    </row>
    <row r="1998" spans="1:9" x14ac:dyDescent="0.25">
      <c r="A1998" t="s">
        <v>13</v>
      </c>
      <c r="B1998">
        <v>1827491</v>
      </c>
      <c r="C1998">
        <v>1828159</v>
      </c>
      <c r="E1998" t="s">
        <v>14</v>
      </c>
      <c r="F1998" t="s">
        <v>5224</v>
      </c>
      <c r="H1998">
        <v>0</v>
      </c>
      <c r="I1998" t="s">
        <v>16</v>
      </c>
    </row>
    <row r="1999" spans="1:9" x14ac:dyDescent="0.25">
      <c r="A1999" t="s">
        <v>13</v>
      </c>
      <c r="B1999">
        <v>1828156</v>
      </c>
      <c r="C1999">
        <v>1829040</v>
      </c>
      <c r="E1999" t="s">
        <v>14</v>
      </c>
      <c r="F1999" t="s">
        <v>5227</v>
      </c>
      <c r="H1999">
        <v>0</v>
      </c>
      <c r="I1999" t="s">
        <v>16</v>
      </c>
    </row>
    <row r="2000" spans="1:9" x14ac:dyDescent="0.25">
      <c r="A2000" t="s">
        <v>13</v>
      </c>
      <c r="B2000">
        <v>1829105</v>
      </c>
      <c r="C2000">
        <v>1830277</v>
      </c>
      <c r="E2000" t="s">
        <v>14</v>
      </c>
      <c r="F2000" t="s">
        <v>5230</v>
      </c>
      <c r="H2000">
        <v>0</v>
      </c>
      <c r="I2000" t="s">
        <v>16</v>
      </c>
    </row>
    <row r="2001" spans="1:9" x14ac:dyDescent="0.25">
      <c r="A2001" t="s">
        <v>13</v>
      </c>
      <c r="B2001">
        <v>1830287</v>
      </c>
      <c r="C2001">
        <v>1830838</v>
      </c>
      <c r="E2001" t="s">
        <v>14</v>
      </c>
      <c r="F2001" t="s">
        <v>41</v>
      </c>
      <c r="H2001">
        <v>0</v>
      </c>
      <c r="I2001" t="s">
        <v>16</v>
      </c>
    </row>
    <row r="2002" spans="1:9" x14ac:dyDescent="0.25">
      <c r="A2002" t="s">
        <v>13</v>
      </c>
      <c r="B2002">
        <v>1830835</v>
      </c>
      <c r="C2002">
        <v>1831824</v>
      </c>
      <c r="E2002" t="s">
        <v>28</v>
      </c>
      <c r="F2002" t="s">
        <v>5235</v>
      </c>
      <c r="H2002">
        <v>0</v>
      </c>
      <c r="I2002" t="s">
        <v>16</v>
      </c>
    </row>
    <row r="2003" spans="1:9" x14ac:dyDescent="0.25">
      <c r="A2003" t="s">
        <v>13</v>
      </c>
      <c r="B2003">
        <v>1831812</v>
      </c>
      <c r="C2003">
        <v>1832393</v>
      </c>
      <c r="E2003" t="s">
        <v>28</v>
      </c>
      <c r="F2003" t="s">
        <v>5238</v>
      </c>
      <c r="H2003">
        <v>0</v>
      </c>
      <c r="I2003" t="s">
        <v>16</v>
      </c>
    </row>
    <row r="2004" spans="1:9" x14ac:dyDescent="0.25">
      <c r="A2004" t="s">
        <v>13</v>
      </c>
      <c r="B2004">
        <v>1832449</v>
      </c>
      <c r="C2004">
        <v>1833837</v>
      </c>
      <c r="E2004" t="s">
        <v>28</v>
      </c>
      <c r="F2004" t="s">
        <v>5241</v>
      </c>
      <c r="H2004">
        <v>0</v>
      </c>
      <c r="I2004" t="s">
        <v>16</v>
      </c>
    </row>
    <row r="2005" spans="1:9" x14ac:dyDescent="0.25">
      <c r="A2005" t="s">
        <v>13</v>
      </c>
      <c r="B2005">
        <v>1834072</v>
      </c>
      <c r="C2005">
        <v>1835622</v>
      </c>
      <c r="E2005" t="s">
        <v>28</v>
      </c>
      <c r="F2005" t="s">
        <v>5244</v>
      </c>
      <c r="H2005">
        <v>0</v>
      </c>
      <c r="I2005" t="s">
        <v>16</v>
      </c>
    </row>
    <row r="2006" spans="1:9" x14ac:dyDescent="0.25">
      <c r="A2006" t="s">
        <v>13</v>
      </c>
      <c r="B2006">
        <v>1835633</v>
      </c>
      <c r="C2006">
        <v>1836556</v>
      </c>
      <c r="E2006" t="s">
        <v>28</v>
      </c>
      <c r="F2006" t="s">
        <v>5247</v>
      </c>
      <c r="H2006">
        <v>0</v>
      </c>
      <c r="I2006" t="s">
        <v>16</v>
      </c>
    </row>
    <row r="2007" spans="1:9" x14ac:dyDescent="0.25">
      <c r="A2007" t="s">
        <v>13</v>
      </c>
      <c r="B2007">
        <v>1836553</v>
      </c>
      <c r="C2007">
        <v>1837212</v>
      </c>
      <c r="E2007" t="s">
        <v>28</v>
      </c>
      <c r="F2007" t="s">
        <v>5250</v>
      </c>
      <c r="H2007">
        <v>0</v>
      </c>
      <c r="I2007" t="s">
        <v>16</v>
      </c>
    </row>
    <row r="2008" spans="1:9" x14ac:dyDescent="0.25">
      <c r="A2008" t="s">
        <v>13</v>
      </c>
      <c r="B2008">
        <v>1837450</v>
      </c>
      <c r="C2008">
        <v>1837956</v>
      </c>
      <c r="E2008" t="s">
        <v>14</v>
      </c>
      <c r="F2008" t="s">
        <v>68</v>
      </c>
      <c r="H2008">
        <v>0</v>
      </c>
      <c r="I2008" t="s">
        <v>16</v>
      </c>
    </row>
    <row r="2009" spans="1:9" x14ac:dyDescent="0.25">
      <c r="A2009" t="s">
        <v>13</v>
      </c>
      <c r="B2009">
        <v>1840640</v>
      </c>
      <c r="C2009">
        <v>1841530</v>
      </c>
      <c r="E2009" t="s">
        <v>28</v>
      </c>
      <c r="F2009" t="s">
        <v>3823</v>
      </c>
      <c r="H2009">
        <v>0</v>
      </c>
      <c r="I2009" t="s">
        <v>16</v>
      </c>
    </row>
    <row r="2010" spans="1:9" x14ac:dyDescent="0.25">
      <c r="A2010" t="s">
        <v>13</v>
      </c>
      <c r="B2010">
        <v>1841643</v>
      </c>
      <c r="C2010">
        <v>1842824</v>
      </c>
      <c r="E2010" t="s">
        <v>14</v>
      </c>
      <c r="F2010" t="s">
        <v>5257</v>
      </c>
      <c r="H2010">
        <v>0</v>
      </c>
      <c r="I2010" t="s">
        <v>16</v>
      </c>
    </row>
    <row r="2011" spans="1:9" x14ac:dyDescent="0.25">
      <c r="A2011" t="s">
        <v>13</v>
      </c>
      <c r="B2011">
        <v>1842825</v>
      </c>
      <c r="C2011">
        <v>1844090</v>
      </c>
      <c r="E2011" t="s">
        <v>14</v>
      </c>
      <c r="F2011" t="s">
        <v>5260</v>
      </c>
      <c r="H2011">
        <v>0</v>
      </c>
      <c r="I2011" t="s">
        <v>16</v>
      </c>
    </row>
    <row r="2012" spans="1:9" x14ac:dyDescent="0.25">
      <c r="A2012" t="s">
        <v>13</v>
      </c>
      <c r="B2012">
        <v>1844828</v>
      </c>
      <c r="C2012">
        <v>1845214</v>
      </c>
      <c r="E2012" t="s">
        <v>28</v>
      </c>
      <c r="F2012" t="s">
        <v>41</v>
      </c>
      <c r="H2012">
        <v>0</v>
      </c>
      <c r="I2012" t="s">
        <v>16</v>
      </c>
    </row>
    <row r="2013" spans="1:9" x14ac:dyDescent="0.25">
      <c r="A2013" t="s">
        <v>13</v>
      </c>
      <c r="B2013">
        <v>1845322</v>
      </c>
      <c r="C2013">
        <v>1847247</v>
      </c>
      <c r="E2013" t="s">
        <v>14</v>
      </c>
      <c r="F2013" t="s">
        <v>5265</v>
      </c>
      <c r="H2013">
        <v>0</v>
      </c>
      <c r="I2013" t="s">
        <v>16</v>
      </c>
    </row>
    <row r="2014" spans="1:9" x14ac:dyDescent="0.25">
      <c r="A2014" t="s">
        <v>13</v>
      </c>
      <c r="B2014">
        <v>1847247</v>
      </c>
      <c r="C2014">
        <v>1849508</v>
      </c>
      <c r="E2014" t="s">
        <v>14</v>
      </c>
      <c r="F2014" t="s">
        <v>5268</v>
      </c>
      <c r="H2014">
        <v>0</v>
      </c>
      <c r="I2014" t="s">
        <v>16</v>
      </c>
    </row>
    <row r="2015" spans="1:9" x14ac:dyDescent="0.25">
      <c r="A2015" t="s">
        <v>13</v>
      </c>
      <c r="B2015">
        <v>1849505</v>
      </c>
      <c r="C2015">
        <v>1849933</v>
      </c>
      <c r="E2015" t="s">
        <v>28</v>
      </c>
      <c r="F2015" t="s">
        <v>41</v>
      </c>
      <c r="H2015">
        <v>0</v>
      </c>
      <c r="I2015" t="s">
        <v>16</v>
      </c>
    </row>
    <row r="2016" spans="1:9" x14ac:dyDescent="0.25">
      <c r="A2016" t="s">
        <v>13</v>
      </c>
      <c r="B2016">
        <v>1849983</v>
      </c>
      <c r="C2016">
        <v>1850375</v>
      </c>
      <c r="E2016" t="s">
        <v>14</v>
      </c>
      <c r="F2016" t="s">
        <v>41</v>
      </c>
      <c r="H2016">
        <v>0</v>
      </c>
      <c r="I2016" t="s">
        <v>16</v>
      </c>
    </row>
    <row r="2017" spans="1:9" x14ac:dyDescent="0.25">
      <c r="A2017" t="s">
        <v>13</v>
      </c>
      <c r="B2017">
        <v>1850372</v>
      </c>
      <c r="C2017">
        <v>1851406</v>
      </c>
      <c r="E2017" t="s">
        <v>14</v>
      </c>
      <c r="F2017" t="s">
        <v>5275</v>
      </c>
      <c r="H2017">
        <v>0</v>
      </c>
      <c r="I2017" t="s">
        <v>16</v>
      </c>
    </row>
    <row r="2018" spans="1:9" x14ac:dyDescent="0.25">
      <c r="A2018" t="s">
        <v>13</v>
      </c>
      <c r="B2018">
        <v>1851714</v>
      </c>
      <c r="C2018">
        <v>1852127</v>
      </c>
      <c r="E2018" t="s">
        <v>14</v>
      </c>
      <c r="F2018" t="s">
        <v>41</v>
      </c>
      <c r="H2018">
        <v>0</v>
      </c>
      <c r="I2018" t="s">
        <v>16</v>
      </c>
    </row>
    <row r="2019" spans="1:9" x14ac:dyDescent="0.25">
      <c r="A2019" t="s">
        <v>13</v>
      </c>
      <c r="B2019">
        <v>1852164</v>
      </c>
      <c r="C2019">
        <v>1853174</v>
      </c>
      <c r="E2019" t="s">
        <v>14</v>
      </c>
      <c r="F2019" t="s">
        <v>41</v>
      </c>
      <c r="H2019">
        <v>0</v>
      </c>
      <c r="I2019" t="s">
        <v>16</v>
      </c>
    </row>
    <row r="2020" spans="1:9" x14ac:dyDescent="0.25">
      <c r="A2020" t="s">
        <v>13</v>
      </c>
      <c r="B2020">
        <v>1853171</v>
      </c>
      <c r="C2020">
        <v>1854214</v>
      </c>
      <c r="E2020" t="s">
        <v>14</v>
      </c>
      <c r="F2020" t="s">
        <v>41</v>
      </c>
      <c r="H2020">
        <v>0</v>
      </c>
      <c r="I2020" t="s">
        <v>16</v>
      </c>
    </row>
    <row r="2021" spans="1:9" x14ac:dyDescent="0.25">
      <c r="A2021" t="s">
        <v>13</v>
      </c>
      <c r="B2021">
        <v>1854211</v>
      </c>
      <c r="C2021">
        <v>1856682</v>
      </c>
      <c r="E2021" t="s">
        <v>14</v>
      </c>
      <c r="F2021" t="s">
        <v>41</v>
      </c>
      <c r="H2021">
        <v>0</v>
      </c>
      <c r="I2021" t="s">
        <v>16</v>
      </c>
    </row>
    <row r="2022" spans="1:9" x14ac:dyDescent="0.25">
      <c r="A2022" t="s">
        <v>13</v>
      </c>
      <c r="B2022">
        <v>1856679</v>
      </c>
      <c r="C2022">
        <v>1857653</v>
      </c>
      <c r="E2022" t="s">
        <v>14</v>
      </c>
      <c r="F2022" t="s">
        <v>3820</v>
      </c>
      <c r="H2022">
        <v>0</v>
      </c>
      <c r="I2022" t="s">
        <v>16</v>
      </c>
    </row>
    <row r="2023" spans="1:9" x14ac:dyDescent="0.25">
      <c r="A2023" t="s">
        <v>13</v>
      </c>
      <c r="B2023">
        <v>1857658</v>
      </c>
      <c r="C2023">
        <v>1858341</v>
      </c>
      <c r="E2023" t="s">
        <v>14</v>
      </c>
      <c r="F2023" t="s">
        <v>1932</v>
      </c>
      <c r="H2023">
        <v>0</v>
      </c>
      <c r="I2023" t="s">
        <v>16</v>
      </c>
    </row>
    <row r="2024" spans="1:9" x14ac:dyDescent="0.25">
      <c r="A2024" t="s">
        <v>13</v>
      </c>
      <c r="B2024">
        <v>1858295</v>
      </c>
      <c r="C2024">
        <v>1858651</v>
      </c>
      <c r="E2024" t="s">
        <v>28</v>
      </c>
      <c r="F2024" t="s">
        <v>41</v>
      </c>
      <c r="H2024">
        <v>0</v>
      </c>
      <c r="I2024" t="s">
        <v>16</v>
      </c>
    </row>
    <row r="2025" spans="1:9" x14ac:dyDescent="0.25">
      <c r="A2025" t="s">
        <v>13</v>
      </c>
      <c r="B2025">
        <v>1858701</v>
      </c>
      <c r="C2025">
        <v>1859093</v>
      </c>
      <c r="E2025" t="s">
        <v>28</v>
      </c>
      <c r="F2025" t="s">
        <v>5292</v>
      </c>
      <c r="H2025">
        <v>0</v>
      </c>
      <c r="I2025" t="s">
        <v>16</v>
      </c>
    </row>
    <row r="2026" spans="1:9" x14ac:dyDescent="0.25">
      <c r="A2026" t="s">
        <v>13</v>
      </c>
      <c r="B2026">
        <v>1859098</v>
      </c>
      <c r="C2026">
        <v>1860720</v>
      </c>
      <c r="E2026" t="s">
        <v>28</v>
      </c>
      <c r="F2026" t="s">
        <v>5295</v>
      </c>
      <c r="H2026">
        <v>0</v>
      </c>
      <c r="I2026" t="s">
        <v>16</v>
      </c>
    </row>
    <row r="2027" spans="1:9" x14ac:dyDescent="0.25">
      <c r="A2027" t="s">
        <v>13</v>
      </c>
      <c r="B2027">
        <v>1860763</v>
      </c>
      <c r="C2027">
        <v>1861704</v>
      </c>
      <c r="E2027" t="s">
        <v>28</v>
      </c>
      <c r="F2027" t="s">
        <v>642</v>
      </c>
      <c r="H2027">
        <v>0</v>
      </c>
      <c r="I2027" t="s">
        <v>16</v>
      </c>
    </row>
    <row r="2028" spans="1:9" x14ac:dyDescent="0.25">
      <c r="A2028" t="s">
        <v>13</v>
      </c>
      <c r="B2028">
        <v>1861710</v>
      </c>
      <c r="C2028">
        <v>1862789</v>
      </c>
      <c r="E2028" t="s">
        <v>28</v>
      </c>
      <c r="F2028" t="s">
        <v>5300</v>
      </c>
      <c r="H2028">
        <v>0</v>
      </c>
      <c r="I2028" t="s">
        <v>16</v>
      </c>
    </row>
    <row r="2029" spans="1:9" x14ac:dyDescent="0.25">
      <c r="A2029" t="s">
        <v>13</v>
      </c>
      <c r="B2029">
        <v>1862823</v>
      </c>
      <c r="C2029">
        <v>1863566</v>
      </c>
      <c r="E2029" t="s">
        <v>28</v>
      </c>
      <c r="F2029" t="s">
        <v>5303</v>
      </c>
      <c r="H2029">
        <v>0</v>
      </c>
      <c r="I2029" t="s">
        <v>16</v>
      </c>
    </row>
    <row r="2030" spans="1:9" x14ac:dyDescent="0.25">
      <c r="A2030" t="s">
        <v>13</v>
      </c>
      <c r="B2030">
        <v>1863563</v>
      </c>
      <c r="C2030">
        <v>1863769</v>
      </c>
      <c r="E2030" t="s">
        <v>28</v>
      </c>
      <c r="F2030" t="s">
        <v>2125</v>
      </c>
      <c r="H2030">
        <v>0</v>
      </c>
      <c r="I2030" t="s">
        <v>16</v>
      </c>
    </row>
    <row r="2031" spans="1:9" x14ac:dyDescent="0.25">
      <c r="A2031" t="s">
        <v>13</v>
      </c>
      <c r="B2031">
        <v>1863827</v>
      </c>
      <c r="C2031">
        <v>1865188</v>
      </c>
      <c r="E2031" t="s">
        <v>28</v>
      </c>
      <c r="F2031" t="s">
        <v>5308</v>
      </c>
      <c r="H2031">
        <v>0</v>
      </c>
      <c r="I2031" t="s">
        <v>16</v>
      </c>
    </row>
    <row r="2032" spans="1:9" x14ac:dyDescent="0.25">
      <c r="A2032" t="s">
        <v>13</v>
      </c>
      <c r="B2032">
        <v>1865198</v>
      </c>
      <c r="C2032">
        <v>1866040</v>
      </c>
      <c r="E2032" t="s">
        <v>28</v>
      </c>
      <c r="F2032" t="s">
        <v>5311</v>
      </c>
      <c r="H2032">
        <v>0</v>
      </c>
      <c r="I2032" t="s">
        <v>16</v>
      </c>
    </row>
    <row r="2033" spans="1:9" x14ac:dyDescent="0.25">
      <c r="A2033" t="s">
        <v>13</v>
      </c>
      <c r="B2033">
        <v>1866037</v>
      </c>
      <c r="C2033">
        <v>1866276</v>
      </c>
      <c r="E2033" t="s">
        <v>28</v>
      </c>
      <c r="F2033" t="s">
        <v>41</v>
      </c>
      <c r="H2033">
        <v>0</v>
      </c>
      <c r="I2033" t="s">
        <v>16</v>
      </c>
    </row>
    <row r="2034" spans="1:9" x14ac:dyDescent="0.25">
      <c r="A2034" t="s">
        <v>13</v>
      </c>
      <c r="B2034">
        <v>1866287</v>
      </c>
      <c r="C2034">
        <v>1866766</v>
      </c>
      <c r="E2034" t="s">
        <v>28</v>
      </c>
      <c r="F2034" t="s">
        <v>5316</v>
      </c>
      <c r="H2034">
        <v>0</v>
      </c>
      <c r="I2034" t="s">
        <v>16</v>
      </c>
    </row>
    <row r="2035" spans="1:9" x14ac:dyDescent="0.25">
      <c r="A2035" t="s">
        <v>13</v>
      </c>
      <c r="B2035">
        <v>1866853</v>
      </c>
      <c r="C2035">
        <v>1867914</v>
      </c>
      <c r="E2035" t="s">
        <v>14</v>
      </c>
      <c r="F2035" t="s">
        <v>5209</v>
      </c>
      <c r="H2035">
        <v>0</v>
      </c>
      <c r="I2035" t="s">
        <v>16</v>
      </c>
    </row>
    <row r="2036" spans="1:9" x14ac:dyDescent="0.25">
      <c r="A2036" t="s">
        <v>13</v>
      </c>
      <c r="B2036">
        <v>1867911</v>
      </c>
      <c r="C2036">
        <v>1869233</v>
      </c>
      <c r="E2036" t="s">
        <v>14</v>
      </c>
      <c r="F2036" t="s">
        <v>5321</v>
      </c>
      <c r="H2036">
        <v>0</v>
      </c>
      <c r="I2036" t="s">
        <v>16</v>
      </c>
    </row>
    <row r="2037" spans="1:9" x14ac:dyDescent="0.25">
      <c r="A2037" t="s">
        <v>13</v>
      </c>
      <c r="B2037">
        <v>1869267</v>
      </c>
      <c r="C2037">
        <v>1871768</v>
      </c>
      <c r="E2037" t="s">
        <v>14</v>
      </c>
      <c r="F2037" t="s">
        <v>5324</v>
      </c>
      <c r="H2037">
        <v>0</v>
      </c>
      <c r="I2037" t="s">
        <v>16</v>
      </c>
    </row>
    <row r="2038" spans="1:9" x14ac:dyDescent="0.25">
      <c r="A2038" t="s">
        <v>13</v>
      </c>
      <c r="B2038">
        <v>1871909</v>
      </c>
      <c r="C2038">
        <v>1873087</v>
      </c>
      <c r="E2038" t="s">
        <v>28</v>
      </c>
      <c r="F2038" t="s">
        <v>5327</v>
      </c>
      <c r="H2038">
        <v>0</v>
      </c>
      <c r="I2038" t="s">
        <v>16</v>
      </c>
    </row>
    <row r="2039" spans="1:9" x14ac:dyDescent="0.25">
      <c r="A2039" t="s">
        <v>13</v>
      </c>
      <c r="B2039">
        <v>1873132</v>
      </c>
      <c r="C2039">
        <v>1873842</v>
      </c>
      <c r="E2039" t="s">
        <v>28</v>
      </c>
      <c r="F2039" t="s">
        <v>5330</v>
      </c>
      <c r="H2039">
        <v>0</v>
      </c>
      <c r="I2039" t="s">
        <v>16</v>
      </c>
    </row>
    <row r="2040" spans="1:9" x14ac:dyDescent="0.25">
      <c r="A2040" t="s">
        <v>13</v>
      </c>
      <c r="B2040">
        <v>1873839</v>
      </c>
      <c r="C2040">
        <v>1874168</v>
      </c>
      <c r="E2040" t="s">
        <v>28</v>
      </c>
      <c r="F2040" t="s">
        <v>41</v>
      </c>
      <c r="H2040">
        <v>0</v>
      </c>
      <c r="I2040" t="s">
        <v>16</v>
      </c>
    </row>
    <row r="2041" spans="1:9" x14ac:dyDescent="0.25">
      <c r="A2041" t="s">
        <v>13</v>
      </c>
      <c r="B2041">
        <v>1874158</v>
      </c>
      <c r="C2041">
        <v>1874325</v>
      </c>
      <c r="E2041" t="s">
        <v>28</v>
      </c>
      <c r="F2041" t="s">
        <v>41</v>
      </c>
      <c r="H2041">
        <v>0</v>
      </c>
      <c r="I2041" t="s">
        <v>16</v>
      </c>
    </row>
    <row r="2042" spans="1:9" x14ac:dyDescent="0.25">
      <c r="A2042" t="s">
        <v>13</v>
      </c>
      <c r="B2042">
        <v>1874347</v>
      </c>
      <c r="C2042">
        <v>1875474</v>
      </c>
      <c r="E2042" t="s">
        <v>14</v>
      </c>
      <c r="F2042" t="s">
        <v>5337</v>
      </c>
      <c r="H2042">
        <v>0</v>
      </c>
      <c r="I2042" t="s">
        <v>16</v>
      </c>
    </row>
    <row r="2043" spans="1:9" x14ac:dyDescent="0.25">
      <c r="A2043" t="s">
        <v>13</v>
      </c>
      <c r="B2043">
        <v>1875479</v>
      </c>
      <c r="C2043">
        <v>1876249</v>
      </c>
      <c r="E2043" t="s">
        <v>14</v>
      </c>
      <c r="F2043" t="s">
        <v>5340</v>
      </c>
      <c r="H2043">
        <v>0</v>
      </c>
      <c r="I2043" t="s">
        <v>16</v>
      </c>
    </row>
    <row r="2044" spans="1:9" x14ac:dyDescent="0.25">
      <c r="A2044" t="s">
        <v>13</v>
      </c>
      <c r="B2044">
        <v>1876347</v>
      </c>
      <c r="C2044">
        <v>1876880</v>
      </c>
      <c r="E2044" t="s">
        <v>28</v>
      </c>
      <c r="F2044" t="s">
        <v>3523</v>
      </c>
      <c r="H2044">
        <v>0</v>
      </c>
      <c r="I2044" t="s">
        <v>16</v>
      </c>
    </row>
    <row r="2045" spans="1:9" x14ac:dyDescent="0.25">
      <c r="A2045" t="s">
        <v>13</v>
      </c>
      <c r="B2045">
        <v>1876939</v>
      </c>
      <c r="C2045">
        <v>1878255</v>
      </c>
      <c r="E2045" t="s">
        <v>14</v>
      </c>
      <c r="F2045" t="s">
        <v>1334</v>
      </c>
      <c r="H2045">
        <v>0</v>
      </c>
      <c r="I2045" t="s">
        <v>16</v>
      </c>
    </row>
    <row r="2046" spans="1:9" x14ac:dyDescent="0.25">
      <c r="A2046" t="s">
        <v>13</v>
      </c>
      <c r="B2046">
        <v>1878243</v>
      </c>
      <c r="C2046">
        <v>1878581</v>
      </c>
      <c r="E2046" t="s">
        <v>14</v>
      </c>
      <c r="F2046" t="s">
        <v>5347</v>
      </c>
      <c r="H2046">
        <v>0</v>
      </c>
      <c r="I2046" t="s">
        <v>16</v>
      </c>
    </row>
    <row r="2047" spans="1:9" x14ac:dyDescent="0.25">
      <c r="A2047" t="s">
        <v>13</v>
      </c>
      <c r="B2047">
        <v>1878626</v>
      </c>
      <c r="C2047">
        <v>1880413</v>
      </c>
      <c r="E2047" t="s">
        <v>14</v>
      </c>
      <c r="F2047" t="s">
        <v>5350</v>
      </c>
      <c r="H2047">
        <v>0</v>
      </c>
      <c r="I2047" t="s">
        <v>16</v>
      </c>
    </row>
    <row r="2048" spans="1:9" x14ac:dyDescent="0.25">
      <c r="A2048" t="s">
        <v>13</v>
      </c>
      <c r="B2048">
        <v>1880512</v>
      </c>
      <c r="C2048">
        <v>1881459</v>
      </c>
      <c r="E2048" t="s">
        <v>28</v>
      </c>
      <c r="F2048" t="s">
        <v>951</v>
      </c>
      <c r="H2048">
        <v>0</v>
      </c>
      <c r="I2048" t="s">
        <v>16</v>
      </c>
    </row>
    <row r="2049" spans="1:9" x14ac:dyDescent="0.25">
      <c r="A2049" t="s">
        <v>13</v>
      </c>
      <c r="B2049">
        <v>1881463</v>
      </c>
      <c r="C2049">
        <v>1882014</v>
      </c>
      <c r="E2049" t="s">
        <v>28</v>
      </c>
      <c r="F2049" t="s">
        <v>41</v>
      </c>
      <c r="H2049">
        <v>0</v>
      </c>
      <c r="I2049" t="s">
        <v>16</v>
      </c>
    </row>
    <row r="2050" spans="1:9" x14ac:dyDescent="0.25">
      <c r="A2050" t="s">
        <v>13</v>
      </c>
      <c r="B2050">
        <v>1882086</v>
      </c>
      <c r="C2050">
        <v>1883021</v>
      </c>
      <c r="E2050" t="s">
        <v>14</v>
      </c>
      <c r="F2050" t="s">
        <v>5357</v>
      </c>
      <c r="H2050">
        <v>0</v>
      </c>
      <c r="I2050" t="s">
        <v>16</v>
      </c>
    </row>
    <row r="2051" spans="1:9" x14ac:dyDescent="0.25">
      <c r="A2051" t="s">
        <v>13</v>
      </c>
      <c r="B2051">
        <v>1883066</v>
      </c>
      <c r="C2051">
        <v>1884136</v>
      </c>
      <c r="E2051" t="s">
        <v>14</v>
      </c>
      <c r="F2051" t="s">
        <v>2884</v>
      </c>
      <c r="H2051">
        <v>0</v>
      </c>
      <c r="I2051" t="s">
        <v>16</v>
      </c>
    </row>
    <row r="2052" spans="1:9" x14ac:dyDescent="0.25">
      <c r="A2052" t="s">
        <v>13</v>
      </c>
      <c r="B2052">
        <v>1884295</v>
      </c>
      <c r="C2052">
        <v>1884759</v>
      </c>
      <c r="E2052" t="s">
        <v>28</v>
      </c>
      <c r="F2052" t="s">
        <v>5040</v>
      </c>
      <c r="H2052">
        <v>0</v>
      </c>
      <c r="I2052" t="s">
        <v>16</v>
      </c>
    </row>
    <row r="2053" spans="1:9" x14ac:dyDescent="0.25">
      <c r="A2053" t="s">
        <v>13</v>
      </c>
      <c r="B2053">
        <v>1884858</v>
      </c>
      <c r="C2053">
        <v>1885550</v>
      </c>
      <c r="E2053" t="s">
        <v>14</v>
      </c>
      <c r="F2053" t="s">
        <v>2925</v>
      </c>
      <c r="H2053">
        <v>0</v>
      </c>
      <c r="I2053" t="s">
        <v>16</v>
      </c>
    </row>
    <row r="2054" spans="1:9" x14ac:dyDescent="0.25">
      <c r="A2054" t="s">
        <v>13</v>
      </c>
      <c r="B2054">
        <v>1885547</v>
      </c>
      <c r="C2054">
        <v>1886170</v>
      </c>
      <c r="E2054" t="s">
        <v>14</v>
      </c>
      <c r="F2054" t="s">
        <v>5366</v>
      </c>
      <c r="H2054">
        <v>0</v>
      </c>
      <c r="I2054" t="s">
        <v>16</v>
      </c>
    </row>
    <row r="2055" spans="1:9" x14ac:dyDescent="0.25">
      <c r="A2055" t="s">
        <v>13</v>
      </c>
      <c r="B2055">
        <v>1886158</v>
      </c>
      <c r="C2055">
        <v>1886889</v>
      </c>
      <c r="E2055" t="s">
        <v>14</v>
      </c>
      <c r="F2055" t="s">
        <v>5369</v>
      </c>
      <c r="H2055">
        <v>0</v>
      </c>
      <c r="I2055" t="s">
        <v>16</v>
      </c>
    </row>
    <row r="2056" spans="1:9" x14ac:dyDescent="0.25">
      <c r="A2056" t="s">
        <v>13</v>
      </c>
      <c r="B2056">
        <v>1886886</v>
      </c>
      <c r="C2056">
        <v>1887314</v>
      </c>
      <c r="E2056" t="s">
        <v>28</v>
      </c>
      <c r="F2056" t="s">
        <v>5372</v>
      </c>
      <c r="H2056">
        <v>0</v>
      </c>
      <c r="I2056" t="s">
        <v>16</v>
      </c>
    </row>
    <row r="2057" spans="1:9" x14ac:dyDescent="0.25">
      <c r="A2057" t="s">
        <v>13</v>
      </c>
      <c r="B2057">
        <v>1887393</v>
      </c>
      <c r="C2057">
        <v>1888169</v>
      </c>
      <c r="E2057" t="s">
        <v>14</v>
      </c>
      <c r="F2057" t="s">
        <v>5375</v>
      </c>
      <c r="H2057">
        <v>0</v>
      </c>
      <c r="I2057" t="s">
        <v>16</v>
      </c>
    </row>
    <row r="2058" spans="1:9" x14ac:dyDescent="0.25">
      <c r="A2058" t="s">
        <v>13</v>
      </c>
      <c r="B2058">
        <v>1888253</v>
      </c>
      <c r="C2058">
        <v>1889248</v>
      </c>
      <c r="E2058" t="s">
        <v>14</v>
      </c>
      <c r="F2058" t="s">
        <v>5378</v>
      </c>
      <c r="H2058">
        <v>0</v>
      </c>
      <c r="I2058" t="s">
        <v>16</v>
      </c>
    </row>
    <row r="2059" spans="1:9" x14ac:dyDescent="0.25">
      <c r="A2059" t="s">
        <v>13</v>
      </c>
      <c r="B2059">
        <v>1889245</v>
      </c>
      <c r="C2059">
        <v>1890792</v>
      </c>
      <c r="E2059" t="s">
        <v>14</v>
      </c>
      <c r="F2059" t="s">
        <v>5381</v>
      </c>
      <c r="H2059">
        <v>0</v>
      </c>
      <c r="I2059" t="s">
        <v>16</v>
      </c>
    </row>
    <row r="2060" spans="1:9" x14ac:dyDescent="0.25">
      <c r="A2060" t="s">
        <v>13</v>
      </c>
      <c r="B2060">
        <v>1890771</v>
      </c>
      <c r="C2060">
        <v>1891808</v>
      </c>
      <c r="E2060" t="s">
        <v>14</v>
      </c>
      <c r="F2060" t="s">
        <v>5384</v>
      </c>
      <c r="H2060">
        <v>0</v>
      </c>
      <c r="I2060" t="s">
        <v>16</v>
      </c>
    </row>
    <row r="2061" spans="1:9" x14ac:dyDescent="0.25">
      <c r="A2061" t="s">
        <v>13</v>
      </c>
      <c r="B2061">
        <v>1891921</v>
      </c>
      <c r="C2061">
        <v>1892700</v>
      </c>
      <c r="E2061" t="s">
        <v>14</v>
      </c>
      <c r="F2061" t="s">
        <v>5387</v>
      </c>
      <c r="H2061">
        <v>0</v>
      </c>
      <c r="I2061" t="s">
        <v>16</v>
      </c>
    </row>
    <row r="2062" spans="1:9" x14ac:dyDescent="0.25">
      <c r="A2062" t="s">
        <v>13</v>
      </c>
      <c r="B2062">
        <v>1892697</v>
      </c>
      <c r="C2062">
        <v>1893887</v>
      </c>
      <c r="E2062" t="s">
        <v>28</v>
      </c>
      <c r="F2062" t="s">
        <v>1590</v>
      </c>
      <c r="H2062">
        <v>0</v>
      </c>
      <c r="I2062" t="s">
        <v>16</v>
      </c>
    </row>
    <row r="2063" spans="1:9" x14ac:dyDescent="0.25">
      <c r="A2063" t="s">
        <v>13</v>
      </c>
      <c r="B2063">
        <v>1893898</v>
      </c>
      <c r="C2063">
        <v>1894908</v>
      </c>
      <c r="E2063" t="s">
        <v>28</v>
      </c>
      <c r="F2063" t="s">
        <v>1593</v>
      </c>
      <c r="H2063">
        <v>0</v>
      </c>
      <c r="I2063" t="s">
        <v>16</v>
      </c>
    </row>
    <row r="2064" spans="1:9" x14ac:dyDescent="0.25">
      <c r="A2064" t="s">
        <v>13</v>
      </c>
      <c r="B2064">
        <v>1894978</v>
      </c>
      <c r="C2064">
        <v>1896825</v>
      </c>
      <c r="E2064" t="s">
        <v>28</v>
      </c>
      <c r="F2064" t="s">
        <v>5394</v>
      </c>
      <c r="H2064">
        <v>0</v>
      </c>
      <c r="I2064" t="s">
        <v>16</v>
      </c>
    </row>
    <row r="2065" spans="1:9" x14ac:dyDescent="0.25">
      <c r="A2065" t="s">
        <v>13</v>
      </c>
      <c r="B2065">
        <v>1896942</v>
      </c>
      <c r="C2065">
        <v>1897322</v>
      </c>
      <c r="E2065" t="s">
        <v>28</v>
      </c>
      <c r="F2065" t="s">
        <v>5397</v>
      </c>
      <c r="H2065">
        <v>0</v>
      </c>
      <c r="I2065" t="s">
        <v>16</v>
      </c>
    </row>
    <row r="2066" spans="1:9" x14ac:dyDescent="0.25">
      <c r="A2066" t="s">
        <v>13</v>
      </c>
      <c r="B2066">
        <v>1897403</v>
      </c>
      <c r="C2066">
        <v>1898533</v>
      </c>
      <c r="E2066" t="s">
        <v>14</v>
      </c>
      <c r="F2066" t="s">
        <v>4332</v>
      </c>
      <c r="H2066">
        <v>0</v>
      </c>
      <c r="I2066" t="s">
        <v>16</v>
      </c>
    </row>
    <row r="2067" spans="1:9" x14ac:dyDescent="0.25">
      <c r="A2067" t="s">
        <v>13</v>
      </c>
      <c r="B2067">
        <v>1898590</v>
      </c>
      <c r="C2067">
        <v>1899522</v>
      </c>
      <c r="E2067" t="s">
        <v>14</v>
      </c>
      <c r="F2067" t="s">
        <v>4714</v>
      </c>
      <c r="H2067">
        <v>0</v>
      </c>
      <c r="I2067" t="s">
        <v>16</v>
      </c>
    </row>
    <row r="2068" spans="1:9" x14ac:dyDescent="0.25">
      <c r="A2068" t="s">
        <v>13</v>
      </c>
      <c r="B2068">
        <v>1899539</v>
      </c>
      <c r="C2068">
        <v>1900219</v>
      </c>
      <c r="E2068" t="s">
        <v>14</v>
      </c>
      <c r="F2068" t="s">
        <v>41</v>
      </c>
      <c r="H2068">
        <v>0</v>
      </c>
      <c r="I2068" t="s">
        <v>16</v>
      </c>
    </row>
    <row r="2069" spans="1:9" x14ac:dyDescent="0.25">
      <c r="A2069" t="s">
        <v>13</v>
      </c>
      <c r="B2069">
        <v>1900210</v>
      </c>
      <c r="C2069">
        <v>1900797</v>
      </c>
      <c r="E2069" t="s">
        <v>14</v>
      </c>
      <c r="F2069" t="s">
        <v>41</v>
      </c>
      <c r="H2069">
        <v>0</v>
      </c>
      <c r="I2069" t="s">
        <v>16</v>
      </c>
    </row>
    <row r="2070" spans="1:9" x14ac:dyDescent="0.25">
      <c r="A2070" t="s">
        <v>13</v>
      </c>
      <c r="B2070">
        <v>1900814</v>
      </c>
      <c r="C2070">
        <v>1902706</v>
      </c>
      <c r="E2070" t="s">
        <v>14</v>
      </c>
      <c r="F2070" t="s">
        <v>5408</v>
      </c>
      <c r="H2070">
        <v>0</v>
      </c>
      <c r="I2070" t="s">
        <v>16</v>
      </c>
    </row>
    <row r="2071" spans="1:9" x14ac:dyDescent="0.25">
      <c r="A2071" t="s">
        <v>13</v>
      </c>
      <c r="B2071">
        <v>1902946</v>
      </c>
      <c r="C2071">
        <v>1905330</v>
      </c>
      <c r="E2071" t="s">
        <v>14</v>
      </c>
      <c r="F2071" t="s">
        <v>41</v>
      </c>
      <c r="H2071">
        <v>0</v>
      </c>
      <c r="I2071" t="s">
        <v>16</v>
      </c>
    </row>
    <row r="2072" spans="1:9" x14ac:dyDescent="0.25">
      <c r="A2072" t="s">
        <v>13</v>
      </c>
      <c r="B2072">
        <v>1905541</v>
      </c>
      <c r="C2072">
        <v>1906719</v>
      </c>
      <c r="E2072" t="s">
        <v>28</v>
      </c>
      <c r="F2072" t="s">
        <v>5413</v>
      </c>
      <c r="H2072">
        <v>0</v>
      </c>
      <c r="I2072" t="s">
        <v>16</v>
      </c>
    </row>
    <row r="2073" spans="1:9" x14ac:dyDescent="0.25">
      <c r="A2073" t="s">
        <v>13</v>
      </c>
      <c r="B2073">
        <v>1906807</v>
      </c>
      <c r="C2073">
        <v>1907580</v>
      </c>
      <c r="E2073" t="s">
        <v>14</v>
      </c>
      <c r="F2073" t="s">
        <v>5416</v>
      </c>
      <c r="H2073">
        <v>0</v>
      </c>
      <c r="I2073" t="s">
        <v>16</v>
      </c>
    </row>
    <row r="2074" spans="1:9" x14ac:dyDescent="0.25">
      <c r="A2074" t="s">
        <v>13</v>
      </c>
      <c r="B2074">
        <v>1907772</v>
      </c>
      <c r="C2074">
        <v>1908065</v>
      </c>
      <c r="E2074" t="s">
        <v>14</v>
      </c>
      <c r="F2074" t="s">
        <v>41</v>
      </c>
      <c r="H2074">
        <v>0</v>
      </c>
      <c r="I2074" t="s">
        <v>16</v>
      </c>
    </row>
    <row r="2075" spans="1:9" x14ac:dyDescent="0.25">
      <c r="A2075" t="s">
        <v>13</v>
      </c>
      <c r="B2075">
        <v>1908071</v>
      </c>
      <c r="C2075">
        <v>1908682</v>
      </c>
      <c r="E2075" t="s">
        <v>14</v>
      </c>
      <c r="F2075" t="s">
        <v>5421</v>
      </c>
      <c r="H2075">
        <v>0</v>
      </c>
      <c r="I2075" t="s">
        <v>16</v>
      </c>
    </row>
    <row r="2076" spans="1:9" x14ac:dyDescent="0.25">
      <c r="A2076" t="s">
        <v>13</v>
      </c>
      <c r="B2076">
        <v>1908679</v>
      </c>
      <c r="C2076">
        <v>1909710</v>
      </c>
      <c r="E2076" t="s">
        <v>14</v>
      </c>
      <c r="F2076" t="s">
        <v>41</v>
      </c>
      <c r="H2076">
        <v>0</v>
      </c>
      <c r="I2076" t="s">
        <v>16</v>
      </c>
    </row>
    <row r="2077" spans="1:9" x14ac:dyDescent="0.25">
      <c r="A2077" t="s">
        <v>13</v>
      </c>
      <c r="B2077">
        <v>1909805</v>
      </c>
      <c r="C2077">
        <v>1911001</v>
      </c>
      <c r="E2077" t="s">
        <v>14</v>
      </c>
      <c r="F2077" t="s">
        <v>113</v>
      </c>
      <c r="H2077">
        <v>0</v>
      </c>
      <c r="I2077" t="s">
        <v>16</v>
      </c>
    </row>
    <row r="2078" spans="1:9" x14ac:dyDescent="0.25">
      <c r="A2078" t="s">
        <v>13</v>
      </c>
      <c r="B2078">
        <v>1911060</v>
      </c>
      <c r="C2078">
        <v>1912388</v>
      </c>
      <c r="E2078" t="s">
        <v>14</v>
      </c>
      <c r="F2078" t="s">
        <v>116</v>
      </c>
      <c r="H2078">
        <v>0</v>
      </c>
      <c r="I2078" t="s">
        <v>16</v>
      </c>
    </row>
    <row r="2079" spans="1:9" x14ac:dyDescent="0.25">
      <c r="A2079" t="s">
        <v>13</v>
      </c>
      <c r="B2079">
        <v>1912389</v>
      </c>
      <c r="C2079">
        <v>1913708</v>
      </c>
      <c r="E2079" t="s">
        <v>14</v>
      </c>
      <c r="F2079" t="s">
        <v>119</v>
      </c>
      <c r="H2079">
        <v>0</v>
      </c>
      <c r="I2079" t="s">
        <v>16</v>
      </c>
    </row>
    <row r="2080" spans="1:9" x14ac:dyDescent="0.25">
      <c r="A2080" t="s">
        <v>13</v>
      </c>
      <c r="B2080">
        <v>1913705</v>
      </c>
      <c r="C2080">
        <v>1915414</v>
      </c>
      <c r="E2080" t="s">
        <v>14</v>
      </c>
      <c r="F2080" t="s">
        <v>1154</v>
      </c>
      <c r="H2080">
        <v>0</v>
      </c>
      <c r="I2080" t="s">
        <v>16</v>
      </c>
    </row>
    <row r="2081" spans="1:9" x14ac:dyDescent="0.25">
      <c r="A2081" t="s">
        <v>13</v>
      </c>
      <c r="B2081">
        <v>1915422</v>
      </c>
      <c r="C2081">
        <v>1915715</v>
      </c>
      <c r="E2081" t="s">
        <v>14</v>
      </c>
      <c r="F2081" t="s">
        <v>41</v>
      </c>
      <c r="H2081">
        <v>0</v>
      </c>
      <c r="I2081" t="s">
        <v>16</v>
      </c>
    </row>
    <row r="2082" spans="1:9" x14ac:dyDescent="0.25">
      <c r="A2082" t="s">
        <v>13</v>
      </c>
      <c r="B2082">
        <v>1915738</v>
      </c>
      <c r="C2082">
        <v>1917996</v>
      </c>
      <c r="E2082" t="s">
        <v>14</v>
      </c>
      <c r="F2082" t="s">
        <v>5436</v>
      </c>
      <c r="H2082">
        <v>0</v>
      </c>
      <c r="I2082" t="s">
        <v>16</v>
      </c>
    </row>
    <row r="2083" spans="1:9" x14ac:dyDescent="0.25">
      <c r="A2083" t="s">
        <v>13</v>
      </c>
      <c r="B2083">
        <v>1917980</v>
      </c>
      <c r="C2083">
        <v>1918447</v>
      </c>
      <c r="E2083" t="s">
        <v>28</v>
      </c>
      <c r="F2083" t="s">
        <v>2057</v>
      </c>
      <c r="H2083">
        <v>0</v>
      </c>
      <c r="I2083" t="s">
        <v>16</v>
      </c>
    </row>
    <row r="2084" spans="1:9" x14ac:dyDescent="0.25">
      <c r="A2084" t="s">
        <v>13</v>
      </c>
      <c r="B2084">
        <v>1918480</v>
      </c>
      <c r="C2084">
        <v>1918899</v>
      </c>
      <c r="E2084" t="s">
        <v>28</v>
      </c>
      <c r="F2084" t="s">
        <v>5441</v>
      </c>
      <c r="H2084">
        <v>0</v>
      </c>
      <c r="I2084" t="s">
        <v>16</v>
      </c>
    </row>
    <row r="2085" spans="1:9" x14ac:dyDescent="0.25">
      <c r="A2085" t="s">
        <v>13</v>
      </c>
      <c r="B2085">
        <v>1918939</v>
      </c>
      <c r="C2085">
        <v>1920633</v>
      </c>
      <c r="E2085" t="s">
        <v>14</v>
      </c>
      <c r="F2085" t="s">
        <v>3939</v>
      </c>
      <c r="H2085">
        <v>0</v>
      </c>
      <c r="I2085" t="s">
        <v>16</v>
      </c>
    </row>
    <row r="2086" spans="1:9" x14ac:dyDescent="0.25">
      <c r="A2086" t="s">
        <v>13</v>
      </c>
      <c r="B2086">
        <v>1920815</v>
      </c>
      <c r="C2086">
        <v>1921267</v>
      </c>
      <c r="E2086" t="s">
        <v>14</v>
      </c>
      <c r="F2086" t="s">
        <v>5446</v>
      </c>
      <c r="H2086">
        <v>0</v>
      </c>
      <c r="I2086" t="s">
        <v>16</v>
      </c>
    </row>
    <row r="2087" spans="1:9" x14ac:dyDescent="0.25">
      <c r="A2087" t="s">
        <v>13</v>
      </c>
      <c r="B2087">
        <v>1921262</v>
      </c>
      <c r="C2087">
        <v>1921963</v>
      </c>
      <c r="E2087" t="s">
        <v>28</v>
      </c>
      <c r="F2087" t="s">
        <v>5449</v>
      </c>
      <c r="H2087">
        <v>0</v>
      </c>
      <c r="I2087" t="s">
        <v>16</v>
      </c>
    </row>
    <row r="2088" spans="1:9" x14ac:dyDescent="0.25">
      <c r="A2088" t="s">
        <v>13</v>
      </c>
      <c r="B2088">
        <v>1922008</v>
      </c>
      <c r="C2088">
        <v>1923837</v>
      </c>
      <c r="E2088" t="s">
        <v>14</v>
      </c>
      <c r="F2088" t="s">
        <v>812</v>
      </c>
      <c r="H2088">
        <v>0</v>
      </c>
      <c r="I2088" t="s">
        <v>16</v>
      </c>
    </row>
    <row r="2089" spans="1:9" x14ac:dyDescent="0.25">
      <c r="A2089" t="s">
        <v>13</v>
      </c>
      <c r="B2089">
        <v>1923834</v>
      </c>
      <c r="C2089">
        <v>1924745</v>
      </c>
      <c r="E2089" t="s">
        <v>14</v>
      </c>
      <c r="F2089" t="s">
        <v>5454</v>
      </c>
      <c r="H2089">
        <v>0</v>
      </c>
      <c r="I2089" t="s">
        <v>16</v>
      </c>
    </row>
    <row r="2090" spans="1:9" x14ac:dyDescent="0.25">
      <c r="A2090" t="s">
        <v>13</v>
      </c>
      <c r="B2090">
        <v>1924733</v>
      </c>
      <c r="C2090">
        <v>1924993</v>
      </c>
      <c r="E2090" t="s">
        <v>28</v>
      </c>
      <c r="F2090" t="s">
        <v>41</v>
      </c>
      <c r="H2090">
        <v>0</v>
      </c>
      <c r="I2090" t="s">
        <v>16</v>
      </c>
    </row>
    <row r="2091" spans="1:9" x14ac:dyDescent="0.25">
      <c r="A2091" t="s">
        <v>13</v>
      </c>
      <c r="B2091">
        <v>1924990</v>
      </c>
      <c r="C2091">
        <v>1925526</v>
      </c>
      <c r="E2091" t="s">
        <v>28</v>
      </c>
      <c r="F2091" t="s">
        <v>41</v>
      </c>
      <c r="H2091">
        <v>0</v>
      </c>
      <c r="I2091" t="s">
        <v>16</v>
      </c>
    </row>
    <row r="2092" spans="1:9" x14ac:dyDescent="0.25">
      <c r="A2092" t="s">
        <v>13</v>
      </c>
      <c r="B2092">
        <v>1925523</v>
      </c>
      <c r="C2092">
        <v>1926290</v>
      </c>
      <c r="E2092" t="s">
        <v>28</v>
      </c>
      <c r="F2092" t="s">
        <v>5461</v>
      </c>
      <c r="H2092">
        <v>0</v>
      </c>
      <c r="I2092" t="s">
        <v>16</v>
      </c>
    </row>
    <row r="2093" spans="1:9" x14ac:dyDescent="0.25">
      <c r="A2093" t="s">
        <v>13</v>
      </c>
      <c r="B2093">
        <v>1926287</v>
      </c>
      <c r="C2093">
        <v>1927096</v>
      </c>
      <c r="E2093" t="s">
        <v>28</v>
      </c>
      <c r="F2093" t="s">
        <v>5464</v>
      </c>
      <c r="H2093">
        <v>0</v>
      </c>
      <c r="I2093" t="s">
        <v>16</v>
      </c>
    </row>
    <row r="2094" spans="1:9" x14ac:dyDescent="0.25">
      <c r="A2094" t="s">
        <v>13</v>
      </c>
      <c r="B2094">
        <v>1927063</v>
      </c>
      <c r="C2094">
        <v>1927785</v>
      </c>
      <c r="E2094" t="s">
        <v>28</v>
      </c>
      <c r="F2094" t="s">
        <v>5467</v>
      </c>
      <c r="H2094">
        <v>0</v>
      </c>
      <c r="I2094" t="s">
        <v>16</v>
      </c>
    </row>
    <row r="2095" spans="1:9" x14ac:dyDescent="0.25">
      <c r="A2095" t="s">
        <v>13</v>
      </c>
      <c r="B2095">
        <v>1927809</v>
      </c>
      <c r="C2095">
        <v>1928432</v>
      </c>
      <c r="E2095" t="s">
        <v>14</v>
      </c>
      <c r="F2095" t="s">
        <v>41</v>
      </c>
      <c r="H2095">
        <v>0</v>
      </c>
      <c r="I2095" t="s">
        <v>16</v>
      </c>
    </row>
    <row r="2096" spans="1:9" x14ac:dyDescent="0.25">
      <c r="A2096" t="s">
        <v>13</v>
      </c>
      <c r="B2096">
        <v>1928444</v>
      </c>
      <c r="C2096">
        <v>1928644</v>
      </c>
      <c r="E2096" t="s">
        <v>14</v>
      </c>
      <c r="F2096" t="s">
        <v>41</v>
      </c>
      <c r="H2096">
        <v>0</v>
      </c>
      <c r="I2096" t="s">
        <v>16</v>
      </c>
    </row>
    <row r="2097" spans="1:9" x14ac:dyDescent="0.25">
      <c r="A2097" t="s">
        <v>13</v>
      </c>
      <c r="B2097">
        <v>1928641</v>
      </c>
      <c r="C2097">
        <v>1929063</v>
      </c>
      <c r="E2097" t="s">
        <v>28</v>
      </c>
      <c r="F2097" t="s">
        <v>41</v>
      </c>
      <c r="H2097">
        <v>0</v>
      </c>
      <c r="I2097" t="s">
        <v>16</v>
      </c>
    </row>
    <row r="2098" spans="1:9" x14ac:dyDescent="0.25">
      <c r="A2098" t="s">
        <v>13</v>
      </c>
      <c r="B2098">
        <v>1929087</v>
      </c>
      <c r="C2098">
        <v>1930046</v>
      </c>
      <c r="E2098" t="s">
        <v>28</v>
      </c>
      <c r="F2098" t="s">
        <v>41</v>
      </c>
      <c r="H2098">
        <v>0</v>
      </c>
      <c r="I2098" t="s">
        <v>16</v>
      </c>
    </row>
    <row r="2099" spans="1:9" x14ac:dyDescent="0.25">
      <c r="A2099" t="s">
        <v>13</v>
      </c>
      <c r="B2099">
        <v>1930021</v>
      </c>
      <c r="C2099">
        <v>1931244</v>
      </c>
      <c r="E2099" t="s">
        <v>14</v>
      </c>
      <c r="F2099" t="s">
        <v>5478</v>
      </c>
      <c r="H2099">
        <v>0</v>
      </c>
      <c r="I2099" t="s">
        <v>16</v>
      </c>
    </row>
    <row r="2100" spans="1:9" x14ac:dyDescent="0.25">
      <c r="A2100" t="s">
        <v>13</v>
      </c>
      <c r="B2100">
        <v>1931285</v>
      </c>
      <c r="C2100">
        <v>1931458</v>
      </c>
      <c r="E2100" t="s">
        <v>28</v>
      </c>
      <c r="F2100" t="s">
        <v>41</v>
      </c>
      <c r="H2100">
        <v>0</v>
      </c>
      <c r="I2100" t="s">
        <v>16</v>
      </c>
    </row>
    <row r="2101" spans="1:9" x14ac:dyDescent="0.25">
      <c r="A2101" t="s">
        <v>13</v>
      </c>
      <c r="B2101">
        <v>1931597</v>
      </c>
      <c r="C2101">
        <v>1931728</v>
      </c>
      <c r="E2101" t="s">
        <v>28</v>
      </c>
      <c r="F2101" t="s">
        <v>41</v>
      </c>
      <c r="H2101">
        <v>0</v>
      </c>
      <c r="I2101" t="s">
        <v>16</v>
      </c>
    </row>
    <row r="2102" spans="1:9" x14ac:dyDescent="0.25">
      <c r="A2102" t="s">
        <v>13</v>
      </c>
      <c r="B2102">
        <v>1931738</v>
      </c>
      <c r="C2102">
        <v>1932001</v>
      </c>
      <c r="E2102" t="s">
        <v>28</v>
      </c>
      <c r="F2102" t="s">
        <v>41</v>
      </c>
      <c r="H2102">
        <v>0</v>
      </c>
      <c r="I2102" t="s">
        <v>16</v>
      </c>
    </row>
    <row r="2103" spans="1:9" x14ac:dyDescent="0.25">
      <c r="A2103" t="s">
        <v>13</v>
      </c>
      <c r="B2103">
        <v>1932071</v>
      </c>
      <c r="C2103">
        <v>1932229</v>
      </c>
      <c r="E2103" t="s">
        <v>28</v>
      </c>
      <c r="F2103" t="s">
        <v>41</v>
      </c>
      <c r="H2103">
        <v>0</v>
      </c>
      <c r="I2103" t="s">
        <v>16</v>
      </c>
    </row>
    <row r="2104" spans="1:9" x14ac:dyDescent="0.25">
      <c r="A2104" t="s">
        <v>13</v>
      </c>
      <c r="B2104">
        <v>1932421</v>
      </c>
      <c r="C2104">
        <v>1932576</v>
      </c>
      <c r="E2104" t="s">
        <v>14</v>
      </c>
      <c r="F2104" t="s">
        <v>41</v>
      </c>
      <c r="H2104">
        <v>0</v>
      </c>
      <c r="I2104" t="s">
        <v>16</v>
      </c>
    </row>
    <row r="2105" spans="1:9" x14ac:dyDescent="0.25">
      <c r="A2105" t="s">
        <v>13</v>
      </c>
      <c r="B2105">
        <v>1932573</v>
      </c>
      <c r="C2105">
        <v>1933553</v>
      </c>
      <c r="E2105" t="s">
        <v>28</v>
      </c>
      <c r="F2105" t="s">
        <v>5491</v>
      </c>
      <c r="H2105">
        <v>0</v>
      </c>
      <c r="I2105" t="s">
        <v>16</v>
      </c>
    </row>
    <row r="2106" spans="1:9" x14ac:dyDescent="0.25">
      <c r="A2106" t="s">
        <v>13</v>
      </c>
      <c r="B2106">
        <v>1933550</v>
      </c>
      <c r="C2106">
        <v>1933822</v>
      </c>
      <c r="E2106" t="s">
        <v>28</v>
      </c>
      <c r="F2106" t="s">
        <v>41</v>
      </c>
      <c r="H2106">
        <v>0</v>
      </c>
      <c r="I2106" t="s">
        <v>16</v>
      </c>
    </row>
    <row r="2107" spans="1:9" x14ac:dyDescent="0.25">
      <c r="A2107" t="s">
        <v>13</v>
      </c>
      <c r="B2107">
        <v>1933875</v>
      </c>
      <c r="C2107">
        <v>1934537</v>
      </c>
      <c r="E2107" t="s">
        <v>14</v>
      </c>
      <c r="F2107" t="s">
        <v>5496</v>
      </c>
      <c r="H2107">
        <v>0</v>
      </c>
      <c r="I2107" t="s">
        <v>16</v>
      </c>
    </row>
    <row r="2108" spans="1:9" x14ac:dyDescent="0.25">
      <c r="A2108" t="s">
        <v>13</v>
      </c>
      <c r="B2108">
        <v>1934668</v>
      </c>
      <c r="C2108">
        <v>1935225</v>
      </c>
      <c r="E2108" t="s">
        <v>28</v>
      </c>
      <c r="F2108" t="s">
        <v>5499</v>
      </c>
      <c r="H2108">
        <v>0</v>
      </c>
      <c r="I2108" t="s">
        <v>16</v>
      </c>
    </row>
    <row r="2109" spans="1:9" x14ac:dyDescent="0.25">
      <c r="A2109" t="s">
        <v>13</v>
      </c>
      <c r="B2109">
        <v>1935233</v>
      </c>
      <c r="C2109">
        <v>1937056</v>
      </c>
      <c r="E2109" t="s">
        <v>28</v>
      </c>
      <c r="F2109" t="s">
        <v>2702</v>
      </c>
      <c r="H2109">
        <v>0</v>
      </c>
      <c r="I2109" t="s">
        <v>16</v>
      </c>
    </row>
    <row r="2110" spans="1:9" x14ac:dyDescent="0.25">
      <c r="A2110" t="s">
        <v>13</v>
      </c>
      <c r="B2110">
        <v>1937161</v>
      </c>
      <c r="C2110">
        <v>1938063</v>
      </c>
      <c r="E2110" t="s">
        <v>14</v>
      </c>
      <c r="F2110" t="s">
        <v>2568</v>
      </c>
      <c r="H2110">
        <v>0</v>
      </c>
      <c r="I2110" t="s">
        <v>16</v>
      </c>
    </row>
    <row r="2111" spans="1:9" x14ac:dyDescent="0.25">
      <c r="A2111" t="s">
        <v>13</v>
      </c>
      <c r="B2111">
        <v>1938052</v>
      </c>
      <c r="C2111">
        <v>1938996</v>
      </c>
      <c r="E2111" t="s">
        <v>28</v>
      </c>
      <c r="F2111" t="s">
        <v>5506</v>
      </c>
      <c r="H2111">
        <v>0</v>
      </c>
      <c r="I2111" t="s">
        <v>16</v>
      </c>
    </row>
    <row r="2112" spans="1:9" x14ac:dyDescent="0.25">
      <c r="A2112" t="s">
        <v>13</v>
      </c>
      <c r="B2112">
        <v>1939099</v>
      </c>
      <c r="C2112">
        <v>1939518</v>
      </c>
      <c r="E2112" t="s">
        <v>14</v>
      </c>
      <c r="F2112" t="s">
        <v>41</v>
      </c>
      <c r="H2112">
        <v>0</v>
      </c>
      <c r="I2112" t="s">
        <v>16</v>
      </c>
    </row>
    <row r="2113" spans="1:9" x14ac:dyDescent="0.25">
      <c r="A2113" t="s">
        <v>13</v>
      </c>
      <c r="B2113">
        <v>1939515</v>
      </c>
      <c r="C2113">
        <v>1940066</v>
      </c>
      <c r="E2113" t="s">
        <v>14</v>
      </c>
      <c r="F2113" t="s">
        <v>3820</v>
      </c>
      <c r="H2113">
        <v>0</v>
      </c>
      <c r="I2113" t="s">
        <v>16</v>
      </c>
    </row>
    <row r="2114" spans="1:9" x14ac:dyDescent="0.25">
      <c r="A2114" t="s">
        <v>13</v>
      </c>
      <c r="B2114">
        <v>1940048</v>
      </c>
      <c r="C2114">
        <v>1940338</v>
      </c>
      <c r="E2114" t="s">
        <v>14</v>
      </c>
      <c r="F2114" t="s">
        <v>5513</v>
      </c>
      <c r="H2114">
        <v>0</v>
      </c>
      <c r="I2114" t="s">
        <v>16</v>
      </c>
    </row>
    <row r="2115" spans="1:9" x14ac:dyDescent="0.25">
      <c r="A2115" t="s">
        <v>13</v>
      </c>
      <c r="B2115">
        <v>1940367</v>
      </c>
      <c r="C2115">
        <v>1941416</v>
      </c>
      <c r="E2115" t="s">
        <v>28</v>
      </c>
      <c r="F2115" t="s">
        <v>5516</v>
      </c>
      <c r="H2115">
        <v>0</v>
      </c>
      <c r="I2115" t="s">
        <v>16</v>
      </c>
    </row>
    <row r="2116" spans="1:9" x14ac:dyDescent="0.25">
      <c r="A2116" t="s">
        <v>13</v>
      </c>
      <c r="B2116">
        <v>1941504</v>
      </c>
      <c r="C2116">
        <v>1944437</v>
      </c>
      <c r="E2116" t="s">
        <v>14</v>
      </c>
      <c r="F2116" t="s">
        <v>5519</v>
      </c>
      <c r="H2116">
        <v>0</v>
      </c>
      <c r="I2116" t="s">
        <v>16</v>
      </c>
    </row>
    <row r="2117" spans="1:9" x14ac:dyDescent="0.25">
      <c r="A2117" t="s">
        <v>13</v>
      </c>
      <c r="B2117">
        <v>1944492</v>
      </c>
      <c r="C2117">
        <v>1945157</v>
      </c>
      <c r="E2117" t="s">
        <v>14</v>
      </c>
      <c r="F2117" t="s">
        <v>41</v>
      </c>
      <c r="H2117">
        <v>0</v>
      </c>
      <c r="I2117" t="s">
        <v>16</v>
      </c>
    </row>
    <row r="2118" spans="1:9" x14ac:dyDescent="0.25">
      <c r="A2118" t="s">
        <v>13</v>
      </c>
      <c r="B2118">
        <v>1945154</v>
      </c>
      <c r="C2118">
        <v>1945624</v>
      </c>
      <c r="E2118" t="s">
        <v>28</v>
      </c>
      <c r="F2118" t="s">
        <v>5524</v>
      </c>
      <c r="H2118">
        <v>0</v>
      </c>
      <c r="I2118" t="s">
        <v>16</v>
      </c>
    </row>
    <row r="2119" spans="1:9" x14ac:dyDescent="0.25">
      <c r="A2119" t="s">
        <v>13</v>
      </c>
      <c r="B2119">
        <v>1945621</v>
      </c>
      <c r="C2119">
        <v>1946685</v>
      </c>
      <c r="E2119" t="s">
        <v>28</v>
      </c>
      <c r="F2119" t="s">
        <v>5527</v>
      </c>
      <c r="H2119">
        <v>0</v>
      </c>
      <c r="I2119" t="s">
        <v>16</v>
      </c>
    </row>
    <row r="2120" spans="1:9" x14ac:dyDescent="0.25">
      <c r="A2120" t="s">
        <v>13</v>
      </c>
      <c r="B2120">
        <v>1946751</v>
      </c>
      <c r="C2120">
        <v>1947548</v>
      </c>
      <c r="E2120" t="s">
        <v>14</v>
      </c>
      <c r="F2120" t="s">
        <v>5530</v>
      </c>
      <c r="H2120">
        <v>0</v>
      </c>
      <c r="I2120" t="s">
        <v>16</v>
      </c>
    </row>
    <row r="2121" spans="1:9" x14ac:dyDescent="0.25">
      <c r="A2121" t="s">
        <v>13</v>
      </c>
      <c r="B2121">
        <v>1947614</v>
      </c>
      <c r="C2121">
        <v>1947940</v>
      </c>
      <c r="E2121" t="s">
        <v>28</v>
      </c>
      <c r="F2121" t="s">
        <v>41</v>
      </c>
      <c r="H2121">
        <v>0</v>
      </c>
      <c r="I2121" t="s">
        <v>16</v>
      </c>
    </row>
    <row r="2122" spans="1:9" x14ac:dyDescent="0.25">
      <c r="A2122" t="s">
        <v>13</v>
      </c>
      <c r="B2122">
        <v>1947953</v>
      </c>
      <c r="C2122">
        <v>1948555</v>
      </c>
      <c r="E2122" t="s">
        <v>28</v>
      </c>
      <c r="F2122" t="s">
        <v>5535</v>
      </c>
      <c r="H2122">
        <v>0</v>
      </c>
      <c r="I2122" t="s">
        <v>16</v>
      </c>
    </row>
    <row r="2123" spans="1:9" x14ac:dyDescent="0.25">
      <c r="A2123" t="s">
        <v>13</v>
      </c>
      <c r="B2123">
        <v>1948552</v>
      </c>
      <c r="C2123">
        <v>1948971</v>
      </c>
      <c r="E2123" t="s">
        <v>28</v>
      </c>
      <c r="F2123" t="s">
        <v>5538</v>
      </c>
      <c r="H2123">
        <v>0</v>
      </c>
      <c r="I2123" t="s">
        <v>16</v>
      </c>
    </row>
    <row r="2124" spans="1:9" x14ac:dyDescent="0.25">
      <c r="A2124" t="s">
        <v>13</v>
      </c>
      <c r="B2124">
        <v>1949062</v>
      </c>
      <c r="C2124">
        <v>1950261</v>
      </c>
      <c r="E2124" t="s">
        <v>14</v>
      </c>
      <c r="F2124" t="s">
        <v>5541</v>
      </c>
      <c r="H2124">
        <v>0</v>
      </c>
      <c r="I2124" t="s">
        <v>16</v>
      </c>
    </row>
    <row r="2125" spans="1:9" x14ac:dyDescent="0.25">
      <c r="A2125" t="s">
        <v>13</v>
      </c>
      <c r="B2125">
        <v>1950213</v>
      </c>
      <c r="C2125">
        <v>1950893</v>
      </c>
      <c r="E2125" t="s">
        <v>14</v>
      </c>
      <c r="F2125" t="s">
        <v>5384</v>
      </c>
      <c r="H2125">
        <v>0</v>
      </c>
      <c r="I2125" t="s">
        <v>16</v>
      </c>
    </row>
    <row r="2126" spans="1:9" x14ac:dyDescent="0.25">
      <c r="A2126" t="s">
        <v>13</v>
      </c>
      <c r="B2126">
        <v>1950874</v>
      </c>
      <c r="C2126">
        <v>1951578</v>
      </c>
      <c r="E2126" t="s">
        <v>14</v>
      </c>
      <c r="F2126" t="s">
        <v>41</v>
      </c>
      <c r="H2126">
        <v>0</v>
      </c>
      <c r="I2126" t="s">
        <v>16</v>
      </c>
    </row>
    <row r="2127" spans="1:9" x14ac:dyDescent="0.25">
      <c r="A2127" t="s">
        <v>13</v>
      </c>
      <c r="B2127">
        <v>1951694</v>
      </c>
      <c r="C2127">
        <v>1952032</v>
      </c>
      <c r="E2127" t="s">
        <v>14</v>
      </c>
      <c r="F2127" t="s">
        <v>41</v>
      </c>
      <c r="H2127">
        <v>0</v>
      </c>
      <c r="I2127" t="s">
        <v>16</v>
      </c>
    </row>
    <row r="2128" spans="1:9" x14ac:dyDescent="0.25">
      <c r="A2128" t="s">
        <v>13</v>
      </c>
      <c r="B2128">
        <v>1952096</v>
      </c>
      <c r="C2128">
        <v>1952602</v>
      </c>
      <c r="E2128" t="s">
        <v>14</v>
      </c>
      <c r="F2128" t="s">
        <v>41</v>
      </c>
      <c r="H2128">
        <v>0</v>
      </c>
      <c r="I2128" t="s">
        <v>16</v>
      </c>
    </row>
    <row r="2129" spans="1:9" x14ac:dyDescent="0.25">
      <c r="A2129" t="s">
        <v>13</v>
      </c>
      <c r="B2129">
        <v>1952599</v>
      </c>
      <c r="C2129">
        <v>1953348</v>
      </c>
      <c r="E2129" t="s">
        <v>14</v>
      </c>
      <c r="F2129" t="s">
        <v>41</v>
      </c>
      <c r="H2129">
        <v>0</v>
      </c>
      <c r="I2129" t="s">
        <v>16</v>
      </c>
    </row>
    <row r="2130" spans="1:9" x14ac:dyDescent="0.25">
      <c r="A2130" t="s">
        <v>13</v>
      </c>
      <c r="B2130">
        <v>1953358</v>
      </c>
      <c r="C2130">
        <v>1953804</v>
      </c>
      <c r="E2130" t="s">
        <v>14</v>
      </c>
      <c r="F2130" t="s">
        <v>41</v>
      </c>
      <c r="H2130">
        <v>0</v>
      </c>
      <c r="I2130" t="s">
        <v>16</v>
      </c>
    </row>
    <row r="2131" spans="1:9" x14ac:dyDescent="0.25">
      <c r="A2131" t="s">
        <v>13</v>
      </c>
      <c r="B2131">
        <v>1953779</v>
      </c>
      <c r="C2131">
        <v>1954372</v>
      </c>
      <c r="E2131" t="s">
        <v>14</v>
      </c>
      <c r="F2131" t="s">
        <v>5556</v>
      </c>
      <c r="H2131">
        <v>0</v>
      </c>
      <c r="I2131" t="s">
        <v>16</v>
      </c>
    </row>
    <row r="2132" spans="1:9" x14ac:dyDescent="0.25">
      <c r="A2132" t="s">
        <v>13</v>
      </c>
      <c r="B2132">
        <v>1954402</v>
      </c>
      <c r="C2132">
        <v>1954872</v>
      </c>
      <c r="E2132" t="s">
        <v>14</v>
      </c>
      <c r="F2132" t="s">
        <v>5559</v>
      </c>
      <c r="H2132">
        <v>0</v>
      </c>
      <c r="I2132" t="s">
        <v>16</v>
      </c>
    </row>
    <row r="2133" spans="1:9" x14ac:dyDescent="0.25">
      <c r="A2133" t="s">
        <v>13</v>
      </c>
      <c r="B2133">
        <v>1954835</v>
      </c>
      <c r="C2133">
        <v>1955002</v>
      </c>
      <c r="E2133" t="s">
        <v>14</v>
      </c>
      <c r="F2133" t="s">
        <v>5562</v>
      </c>
      <c r="H2133">
        <v>0</v>
      </c>
      <c r="I2133" t="s">
        <v>16</v>
      </c>
    </row>
    <row r="2134" spans="1:9" x14ac:dyDescent="0.25">
      <c r="A2134" t="s">
        <v>13</v>
      </c>
      <c r="B2134">
        <v>1954989</v>
      </c>
      <c r="C2134">
        <v>1955738</v>
      </c>
      <c r="E2134" t="s">
        <v>28</v>
      </c>
      <c r="F2134" t="s">
        <v>5565</v>
      </c>
      <c r="H2134">
        <v>0</v>
      </c>
      <c r="I2134" t="s">
        <v>16</v>
      </c>
    </row>
    <row r="2135" spans="1:9" x14ac:dyDescent="0.25">
      <c r="A2135" t="s">
        <v>13</v>
      </c>
      <c r="B2135">
        <v>1955731</v>
      </c>
      <c r="C2135">
        <v>1956219</v>
      </c>
      <c r="E2135" t="s">
        <v>28</v>
      </c>
      <c r="F2135" t="s">
        <v>41</v>
      </c>
      <c r="H2135">
        <v>0</v>
      </c>
      <c r="I2135" t="s">
        <v>16</v>
      </c>
    </row>
    <row r="2136" spans="1:9" x14ac:dyDescent="0.25">
      <c r="A2136" t="s">
        <v>13</v>
      </c>
      <c r="B2136">
        <v>1956240</v>
      </c>
      <c r="C2136">
        <v>1957871</v>
      </c>
      <c r="E2136" t="s">
        <v>14</v>
      </c>
      <c r="F2136" t="s">
        <v>5570</v>
      </c>
      <c r="H2136">
        <v>0</v>
      </c>
      <c r="I2136" t="s">
        <v>16</v>
      </c>
    </row>
    <row r="2137" spans="1:9" x14ac:dyDescent="0.25">
      <c r="A2137" t="s">
        <v>13</v>
      </c>
      <c r="B2137">
        <v>1957868</v>
      </c>
      <c r="C2137">
        <v>1958149</v>
      </c>
      <c r="E2137" t="s">
        <v>14</v>
      </c>
      <c r="F2137" t="s">
        <v>41</v>
      </c>
      <c r="H2137">
        <v>0</v>
      </c>
      <c r="I2137" t="s">
        <v>16</v>
      </c>
    </row>
    <row r="2138" spans="1:9" x14ac:dyDescent="0.25">
      <c r="A2138" t="s">
        <v>13</v>
      </c>
      <c r="B2138">
        <v>1958150</v>
      </c>
      <c r="C2138">
        <v>1958614</v>
      </c>
      <c r="E2138" t="s">
        <v>14</v>
      </c>
      <c r="F2138" t="s">
        <v>41</v>
      </c>
      <c r="H2138">
        <v>0</v>
      </c>
      <c r="I2138" t="s">
        <v>16</v>
      </c>
    </row>
    <row r="2139" spans="1:9" x14ac:dyDescent="0.25">
      <c r="A2139" t="s">
        <v>13</v>
      </c>
      <c r="B2139">
        <v>1958777</v>
      </c>
      <c r="C2139">
        <v>1960627</v>
      </c>
      <c r="E2139" t="s">
        <v>14</v>
      </c>
      <c r="F2139" t="s">
        <v>5577</v>
      </c>
      <c r="H2139">
        <v>0</v>
      </c>
      <c r="I2139" t="s">
        <v>16</v>
      </c>
    </row>
    <row r="2140" spans="1:9" x14ac:dyDescent="0.25">
      <c r="A2140" t="s">
        <v>13</v>
      </c>
      <c r="B2140">
        <v>1960629</v>
      </c>
      <c r="C2140">
        <v>1961543</v>
      </c>
      <c r="E2140" t="s">
        <v>14</v>
      </c>
      <c r="F2140" t="s">
        <v>5580</v>
      </c>
      <c r="H2140">
        <v>0</v>
      </c>
      <c r="I2140" t="s">
        <v>16</v>
      </c>
    </row>
    <row r="2141" spans="1:9" x14ac:dyDescent="0.25">
      <c r="A2141" t="s">
        <v>13</v>
      </c>
      <c r="B2141">
        <v>1961567</v>
      </c>
      <c r="C2141">
        <v>1962040</v>
      </c>
      <c r="E2141" t="s">
        <v>14</v>
      </c>
      <c r="F2141" t="s">
        <v>5583</v>
      </c>
      <c r="H2141">
        <v>0</v>
      </c>
      <c r="I2141" t="s">
        <v>16</v>
      </c>
    </row>
    <row r="2142" spans="1:9" x14ac:dyDescent="0.25">
      <c r="A2142" t="s">
        <v>13</v>
      </c>
      <c r="B2142">
        <v>1962064</v>
      </c>
      <c r="C2142">
        <v>1962402</v>
      </c>
      <c r="E2142" t="s">
        <v>14</v>
      </c>
      <c r="F2142" t="s">
        <v>41</v>
      </c>
      <c r="H2142">
        <v>0</v>
      </c>
      <c r="I2142" t="s">
        <v>16</v>
      </c>
    </row>
    <row r="2143" spans="1:9" x14ac:dyDescent="0.25">
      <c r="A2143" t="s">
        <v>13</v>
      </c>
      <c r="B2143">
        <v>1962374</v>
      </c>
      <c r="C2143">
        <v>1963327</v>
      </c>
      <c r="E2143" t="s">
        <v>28</v>
      </c>
      <c r="F2143" t="s">
        <v>41</v>
      </c>
      <c r="H2143">
        <v>0</v>
      </c>
      <c r="I2143" t="s">
        <v>16</v>
      </c>
    </row>
    <row r="2144" spans="1:9" x14ac:dyDescent="0.25">
      <c r="A2144" t="s">
        <v>13</v>
      </c>
      <c r="B2144">
        <v>1963335</v>
      </c>
      <c r="C2144">
        <v>1964795</v>
      </c>
      <c r="E2144" t="s">
        <v>28</v>
      </c>
      <c r="F2144" t="s">
        <v>5590</v>
      </c>
      <c r="H2144">
        <v>0</v>
      </c>
      <c r="I2144" t="s">
        <v>16</v>
      </c>
    </row>
    <row r="2145" spans="1:9" x14ac:dyDescent="0.25">
      <c r="A2145" t="s">
        <v>13</v>
      </c>
      <c r="B2145">
        <v>1964830</v>
      </c>
      <c r="C2145">
        <v>1966260</v>
      </c>
      <c r="E2145" t="s">
        <v>28</v>
      </c>
      <c r="F2145" t="s">
        <v>5593</v>
      </c>
      <c r="H2145">
        <v>0</v>
      </c>
      <c r="I2145" t="s">
        <v>16</v>
      </c>
    </row>
    <row r="2146" spans="1:9" x14ac:dyDescent="0.25">
      <c r="A2146" t="s">
        <v>13</v>
      </c>
      <c r="B2146">
        <v>1966466</v>
      </c>
      <c r="C2146">
        <v>1967392</v>
      </c>
      <c r="E2146" t="s">
        <v>14</v>
      </c>
      <c r="F2146" t="s">
        <v>5596</v>
      </c>
      <c r="H2146">
        <v>0</v>
      </c>
      <c r="I2146" t="s">
        <v>16</v>
      </c>
    </row>
    <row r="2147" spans="1:9" x14ac:dyDescent="0.25">
      <c r="A2147" t="s">
        <v>13</v>
      </c>
      <c r="B2147">
        <v>1967487</v>
      </c>
      <c r="C2147">
        <v>1967900</v>
      </c>
      <c r="E2147" t="s">
        <v>14</v>
      </c>
      <c r="F2147" t="s">
        <v>5599</v>
      </c>
      <c r="H2147">
        <v>0</v>
      </c>
      <c r="I2147" t="s">
        <v>16</v>
      </c>
    </row>
    <row r="2148" spans="1:9" x14ac:dyDescent="0.25">
      <c r="A2148" t="s">
        <v>13</v>
      </c>
      <c r="B2148">
        <v>1967933</v>
      </c>
      <c r="C2148">
        <v>1968478</v>
      </c>
      <c r="E2148" t="s">
        <v>28</v>
      </c>
      <c r="F2148" t="s">
        <v>41</v>
      </c>
      <c r="H2148">
        <v>0</v>
      </c>
      <c r="I2148" t="s">
        <v>16</v>
      </c>
    </row>
    <row r="2149" spans="1:9" x14ac:dyDescent="0.25">
      <c r="A2149" t="s">
        <v>13</v>
      </c>
      <c r="B2149">
        <v>1968524</v>
      </c>
      <c r="C2149">
        <v>1968658</v>
      </c>
      <c r="E2149" t="s">
        <v>14</v>
      </c>
      <c r="F2149" t="s">
        <v>41</v>
      </c>
      <c r="H2149">
        <v>0</v>
      </c>
      <c r="I2149" t="s">
        <v>16</v>
      </c>
    </row>
    <row r="2150" spans="1:9" x14ac:dyDescent="0.25">
      <c r="A2150" t="s">
        <v>13</v>
      </c>
      <c r="B2150">
        <v>1968655</v>
      </c>
      <c r="C2150">
        <v>1969011</v>
      </c>
      <c r="E2150" t="s">
        <v>28</v>
      </c>
      <c r="F2150" t="s">
        <v>5606</v>
      </c>
      <c r="H2150">
        <v>0</v>
      </c>
      <c r="I2150" t="s">
        <v>16</v>
      </c>
    </row>
    <row r="2151" spans="1:9" x14ac:dyDescent="0.25">
      <c r="A2151" t="s">
        <v>13</v>
      </c>
      <c r="B2151">
        <v>1969015</v>
      </c>
      <c r="C2151">
        <v>1969833</v>
      </c>
      <c r="E2151" t="s">
        <v>28</v>
      </c>
      <c r="F2151" t="s">
        <v>5609</v>
      </c>
      <c r="H2151">
        <v>0</v>
      </c>
      <c r="I2151" t="s">
        <v>16</v>
      </c>
    </row>
    <row r="2152" spans="1:9" x14ac:dyDescent="0.25">
      <c r="A2152" t="s">
        <v>13</v>
      </c>
      <c r="B2152">
        <v>1969952</v>
      </c>
      <c r="C2152">
        <v>1970209</v>
      </c>
      <c r="E2152" t="s">
        <v>14</v>
      </c>
      <c r="F2152" t="s">
        <v>1957</v>
      </c>
      <c r="H2152">
        <v>0</v>
      </c>
      <c r="I2152" t="s">
        <v>16</v>
      </c>
    </row>
    <row r="2153" spans="1:9" x14ac:dyDescent="0.25">
      <c r="A2153" t="s">
        <v>13</v>
      </c>
      <c r="B2153">
        <v>1970219</v>
      </c>
      <c r="C2153">
        <v>1971427</v>
      </c>
      <c r="E2153" t="s">
        <v>14</v>
      </c>
      <c r="F2153" t="s">
        <v>327</v>
      </c>
      <c r="H2153">
        <v>0</v>
      </c>
      <c r="I2153" t="s">
        <v>16</v>
      </c>
    </row>
    <row r="2154" spans="1:9" x14ac:dyDescent="0.25">
      <c r="A2154" t="s">
        <v>13</v>
      </c>
      <c r="B2154">
        <v>1971514</v>
      </c>
      <c r="C2154">
        <v>1972053</v>
      </c>
      <c r="E2154" t="s">
        <v>14</v>
      </c>
      <c r="F2154" t="s">
        <v>5616</v>
      </c>
      <c r="H2154">
        <v>0</v>
      </c>
      <c r="I2154" t="s">
        <v>16</v>
      </c>
    </row>
    <row r="2155" spans="1:9" x14ac:dyDescent="0.25">
      <c r="A2155" t="s">
        <v>13</v>
      </c>
      <c r="B2155">
        <v>1972050</v>
      </c>
      <c r="C2155">
        <v>1973543</v>
      </c>
      <c r="E2155" t="s">
        <v>14</v>
      </c>
      <c r="F2155" t="s">
        <v>5619</v>
      </c>
      <c r="H2155">
        <v>0</v>
      </c>
      <c r="I2155" t="s">
        <v>16</v>
      </c>
    </row>
    <row r="2156" spans="1:9" x14ac:dyDescent="0.25">
      <c r="A2156" t="s">
        <v>13</v>
      </c>
      <c r="B2156">
        <v>1973611</v>
      </c>
      <c r="C2156">
        <v>1974690</v>
      </c>
      <c r="E2156" t="s">
        <v>28</v>
      </c>
      <c r="F2156" t="s">
        <v>2735</v>
      </c>
      <c r="H2156">
        <v>0</v>
      </c>
      <c r="I2156" t="s">
        <v>16</v>
      </c>
    </row>
    <row r="2157" spans="1:9" x14ac:dyDescent="0.25">
      <c r="A2157" t="s">
        <v>13</v>
      </c>
      <c r="B2157">
        <v>1974772</v>
      </c>
      <c r="C2157">
        <v>1975245</v>
      </c>
      <c r="E2157" t="s">
        <v>28</v>
      </c>
      <c r="F2157" t="s">
        <v>41</v>
      </c>
      <c r="H2157">
        <v>0</v>
      </c>
      <c r="I2157" t="s">
        <v>16</v>
      </c>
    </row>
    <row r="2158" spans="1:9" x14ac:dyDescent="0.25">
      <c r="A2158" t="s">
        <v>13</v>
      </c>
      <c r="B2158">
        <v>1975280</v>
      </c>
      <c r="C2158">
        <v>1975882</v>
      </c>
      <c r="E2158" t="s">
        <v>28</v>
      </c>
      <c r="F2158" t="s">
        <v>5626</v>
      </c>
      <c r="H2158">
        <v>0</v>
      </c>
      <c r="I2158" t="s">
        <v>16</v>
      </c>
    </row>
    <row r="2159" spans="1:9" x14ac:dyDescent="0.25">
      <c r="A2159" t="s">
        <v>13</v>
      </c>
      <c r="B2159">
        <v>1975903</v>
      </c>
      <c r="C2159">
        <v>1977390</v>
      </c>
      <c r="E2159" t="s">
        <v>14</v>
      </c>
      <c r="F2159" t="s">
        <v>5629</v>
      </c>
      <c r="H2159">
        <v>0</v>
      </c>
      <c r="I2159" t="s">
        <v>16</v>
      </c>
    </row>
    <row r="2160" spans="1:9" x14ac:dyDescent="0.25">
      <c r="A2160" t="s">
        <v>13</v>
      </c>
      <c r="B2160">
        <v>1977395</v>
      </c>
      <c r="C2160">
        <v>1979398</v>
      </c>
      <c r="E2160" t="s">
        <v>14</v>
      </c>
      <c r="F2160" t="s">
        <v>694</v>
      </c>
      <c r="H2160">
        <v>0</v>
      </c>
      <c r="I2160" t="s">
        <v>16</v>
      </c>
    </row>
    <row r="2161" spans="1:9" x14ac:dyDescent="0.25">
      <c r="A2161" t="s">
        <v>13</v>
      </c>
      <c r="B2161">
        <v>1979605</v>
      </c>
      <c r="C2161">
        <v>1980015</v>
      </c>
      <c r="E2161" t="s">
        <v>14</v>
      </c>
      <c r="F2161" t="s">
        <v>41</v>
      </c>
      <c r="H2161">
        <v>0</v>
      </c>
      <c r="I2161" t="s">
        <v>16</v>
      </c>
    </row>
    <row r="2162" spans="1:9" x14ac:dyDescent="0.25">
      <c r="A2162" t="s">
        <v>13</v>
      </c>
      <c r="B2162">
        <v>1980017</v>
      </c>
      <c r="C2162">
        <v>1981237</v>
      </c>
      <c r="E2162" t="s">
        <v>14</v>
      </c>
      <c r="F2162" t="s">
        <v>5636</v>
      </c>
      <c r="H2162">
        <v>0</v>
      </c>
      <c r="I2162" t="s">
        <v>16</v>
      </c>
    </row>
    <row r="2163" spans="1:9" x14ac:dyDescent="0.25">
      <c r="A2163" t="s">
        <v>13</v>
      </c>
      <c r="B2163">
        <v>1981224</v>
      </c>
      <c r="C2163">
        <v>1982528</v>
      </c>
      <c r="E2163" t="s">
        <v>14</v>
      </c>
      <c r="F2163" t="s">
        <v>5639</v>
      </c>
      <c r="H2163">
        <v>0</v>
      </c>
      <c r="I2163" t="s">
        <v>16</v>
      </c>
    </row>
    <row r="2164" spans="1:9" x14ac:dyDescent="0.25">
      <c r="A2164" t="s">
        <v>13</v>
      </c>
      <c r="B2164">
        <v>1982521</v>
      </c>
      <c r="C2164">
        <v>1983711</v>
      </c>
      <c r="E2164" t="s">
        <v>28</v>
      </c>
      <c r="F2164" t="s">
        <v>5642</v>
      </c>
      <c r="H2164">
        <v>0</v>
      </c>
      <c r="I2164" t="s">
        <v>16</v>
      </c>
    </row>
    <row r="2165" spans="1:9" x14ac:dyDescent="0.25">
      <c r="A2165" t="s">
        <v>13</v>
      </c>
      <c r="B2165">
        <v>1983689</v>
      </c>
      <c r="C2165">
        <v>1984297</v>
      </c>
      <c r="E2165" t="s">
        <v>28</v>
      </c>
      <c r="F2165" t="s">
        <v>5645</v>
      </c>
      <c r="H2165">
        <v>0</v>
      </c>
      <c r="I2165" t="s">
        <v>16</v>
      </c>
    </row>
    <row r="2166" spans="1:9" x14ac:dyDescent="0.25">
      <c r="A2166" t="s">
        <v>13</v>
      </c>
      <c r="B2166">
        <v>1984318</v>
      </c>
      <c r="C2166">
        <v>1985361</v>
      </c>
      <c r="E2166" t="s">
        <v>14</v>
      </c>
      <c r="F2166" t="s">
        <v>5648</v>
      </c>
      <c r="H2166">
        <v>0</v>
      </c>
      <c r="I2166" t="s">
        <v>16</v>
      </c>
    </row>
    <row r="2167" spans="1:9" x14ac:dyDescent="0.25">
      <c r="A2167" t="s">
        <v>13</v>
      </c>
      <c r="B2167">
        <v>1985375</v>
      </c>
      <c r="C2167">
        <v>1985869</v>
      </c>
      <c r="E2167" t="s">
        <v>14</v>
      </c>
      <c r="F2167" t="s">
        <v>5651</v>
      </c>
      <c r="H2167">
        <v>0</v>
      </c>
      <c r="I2167" t="s">
        <v>16</v>
      </c>
    </row>
    <row r="2168" spans="1:9" x14ac:dyDescent="0.25">
      <c r="A2168" t="s">
        <v>13</v>
      </c>
      <c r="B2168">
        <v>1985862</v>
      </c>
      <c r="C2168">
        <v>1986995</v>
      </c>
      <c r="E2168" t="s">
        <v>14</v>
      </c>
      <c r="F2168" t="s">
        <v>2884</v>
      </c>
      <c r="H2168">
        <v>0</v>
      </c>
      <c r="I2168" t="s">
        <v>16</v>
      </c>
    </row>
    <row r="2169" spans="1:9" x14ac:dyDescent="0.25">
      <c r="A2169" t="s">
        <v>13</v>
      </c>
      <c r="B2169">
        <v>1987003</v>
      </c>
      <c r="C2169">
        <v>1987212</v>
      </c>
      <c r="E2169" t="s">
        <v>28</v>
      </c>
      <c r="F2169" t="s">
        <v>5656</v>
      </c>
      <c r="H2169">
        <v>0</v>
      </c>
      <c r="I2169" t="s">
        <v>16</v>
      </c>
    </row>
    <row r="2170" spans="1:9" x14ac:dyDescent="0.25">
      <c r="A2170" t="s">
        <v>13</v>
      </c>
      <c r="B2170">
        <v>1987276</v>
      </c>
      <c r="C2170">
        <v>1988121</v>
      </c>
      <c r="E2170" t="s">
        <v>28</v>
      </c>
      <c r="F2170" t="s">
        <v>41</v>
      </c>
      <c r="H2170">
        <v>0</v>
      </c>
      <c r="I2170" t="s">
        <v>16</v>
      </c>
    </row>
    <row r="2171" spans="1:9" x14ac:dyDescent="0.25">
      <c r="A2171" t="s">
        <v>13</v>
      </c>
      <c r="B2171">
        <v>1988136</v>
      </c>
      <c r="C2171">
        <v>1989764</v>
      </c>
      <c r="E2171" t="s">
        <v>28</v>
      </c>
      <c r="F2171" t="s">
        <v>68</v>
      </c>
      <c r="H2171">
        <v>0</v>
      </c>
      <c r="I2171" t="s">
        <v>16</v>
      </c>
    </row>
    <row r="2172" spans="1:9" x14ac:dyDescent="0.25">
      <c r="A2172" t="s">
        <v>13</v>
      </c>
      <c r="B2172">
        <v>1990339</v>
      </c>
      <c r="C2172">
        <v>1991643</v>
      </c>
      <c r="E2172" t="s">
        <v>28</v>
      </c>
      <c r="F2172" t="s">
        <v>5663</v>
      </c>
      <c r="H2172">
        <v>0</v>
      </c>
      <c r="I2172" t="s">
        <v>16</v>
      </c>
    </row>
    <row r="2173" spans="1:9" x14ac:dyDescent="0.25">
      <c r="A2173" t="s">
        <v>13</v>
      </c>
      <c r="B2173">
        <v>1991742</v>
      </c>
      <c r="C2173">
        <v>1993421</v>
      </c>
      <c r="E2173" t="s">
        <v>28</v>
      </c>
      <c r="F2173" t="s">
        <v>5666</v>
      </c>
      <c r="H2173">
        <v>0</v>
      </c>
      <c r="I2173" t="s">
        <v>16</v>
      </c>
    </row>
    <row r="2174" spans="1:9" x14ac:dyDescent="0.25">
      <c r="A2174" t="s">
        <v>13</v>
      </c>
      <c r="B2174">
        <v>1993431</v>
      </c>
      <c r="C2174">
        <v>1994675</v>
      </c>
      <c r="E2174" t="s">
        <v>28</v>
      </c>
      <c r="F2174" t="s">
        <v>1585</v>
      </c>
      <c r="H2174">
        <v>0</v>
      </c>
      <c r="I2174" t="s">
        <v>16</v>
      </c>
    </row>
    <row r="2175" spans="1:9" x14ac:dyDescent="0.25">
      <c r="A2175" t="s">
        <v>13</v>
      </c>
      <c r="B2175">
        <v>1994676</v>
      </c>
      <c r="C2175">
        <v>1995032</v>
      </c>
      <c r="E2175" t="s">
        <v>28</v>
      </c>
      <c r="F2175" t="s">
        <v>5671</v>
      </c>
      <c r="H2175">
        <v>0</v>
      </c>
      <c r="I2175" t="s">
        <v>16</v>
      </c>
    </row>
    <row r="2176" spans="1:9" x14ac:dyDescent="0.25">
      <c r="A2176" t="s">
        <v>13</v>
      </c>
      <c r="B2176">
        <v>1995097</v>
      </c>
      <c r="C2176">
        <v>1996008</v>
      </c>
      <c r="E2176" t="s">
        <v>28</v>
      </c>
      <c r="F2176" t="s">
        <v>5674</v>
      </c>
      <c r="H2176">
        <v>0</v>
      </c>
      <c r="I2176" t="s">
        <v>16</v>
      </c>
    </row>
    <row r="2177" spans="1:9" x14ac:dyDescent="0.25">
      <c r="A2177" t="s">
        <v>13</v>
      </c>
      <c r="B2177">
        <v>1996154</v>
      </c>
      <c r="C2177">
        <v>1997485</v>
      </c>
      <c r="E2177" t="s">
        <v>28</v>
      </c>
      <c r="F2177" t="s">
        <v>5677</v>
      </c>
      <c r="H2177">
        <v>0</v>
      </c>
      <c r="I2177" t="s">
        <v>16</v>
      </c>
    </row>
    <row r="2178" spans="1:9" x14ac:dyDescent="0.25">
      <c r="A2178" t="s">
        <v>13</v>
      </c>
      <c r="B2178">
        <v>1997505</v>
      </c>
      <c r="C2178">
        <v>2000222</v>
      </c>
      <c r="E2178" t="s">
        <v>28</v>
      </c>
      <c r="F2178" t="s">
        <v>5680</v>
      </c>
      <c r="H2178">
        <v>0</v>
      </c>
      <c r="I2178" t="s">
        <v>16</v>
      </c>
    </row>
    <row r="2179" spans="1:9" x14ac:dyDescent="0.25">
      <c r="A2179" t="s">
        <v>13</v>
      </c>
      <c r="B2179">
        <v>2000335</v>
      </c>
      <c r="C2179">
        <v>2001192</v>
      </c>
      <c r="E2179" t="s">
        <v>14</v>
      </c>
      <c r="F2179" t="s">
        <v>5683</v>
      </c>
      <c r="H2179">
        <v>0</v>
      </c>
      <c r="I2179" t="s">
        <v>16</v>
      </c>
    </row>
    <row r="2180" spans="1:9" x14ac:dyDescent="0.25">
      <c r="A2180" t="s">
        <v>13</v>
      </c>
      <c r="B2180">
        <v>2001189</v>
      </c>
      <c r="C2180">
        <v>2001446</v>
      </c>
      <c r="E2180" t="s">
        <v>28</v>
      </c>
      <c r="F2180" t="s">
        <v>41</v>
      </c>
      <c r="H2180">
        <v>0</v>
      </c>
      <c r="I2180" t="s">
        <v>16</v>
      </c>
    </row>
    <row r="2181" spans="1:9" x14ac:dyDescent="0.25">
      <c r="A2181" t="s">
        <v>13</v>
      </c>
      <c r="B2181">
        <v>2001443</v>
      </c>
      <c r="C2181">
        <v>2001706</v>
      </c>
      <c r="E2181" t="s">
        <v>28</v>
      </c>
      <c r="F2181" t="s">
        <v>41</v>
      </c>
      <c r="H2181">
        <v>0</v>
      </c>
      <c r="I2181" t="s">
        <v>16</v>
      </c>
    </row>
    <row r="2182" spans="1:9" x14ac:dyDescent="0.25">
      <c r="A2182" t="s">
        <v>13</v>
      </c>
      <c r="B2182">
        <v>2001904</v>
      </c>
      <c r="C2182">
        <v>2002347</v>
      </c>
      <c r="E2182" t="s">
        <v>14</v>
      </c>
      <c r="F2182" t="s">
        <v>5690</v>
      </c>
      <c r="H2182">
        <v>0</v>
      </c>
      <c r="I2182" t="s">
        <v>16</v>
      </c>
    </row>
    <row r="2183" spans="1:9" x14ac:dyDescent="0.25">
      <c r="A2183" t="s">
        <v>13</v>
      </c>
      <c r="B2183">
        <v>2002390</v>
      </c>
      <c r="C2183">
        <v>2003745</v>
      </c>
      <c r="E2183" t="s">
        <v>28</v>
      </c>
      <c r="F2183" t="s">
        <v>5693</v>
      </c>
      <c r="H2183">
        <v>0</v>
      </c>
      <c r="I2183" t="s">
        <v>16</v>
      </c>
    </row>
    <row r="2184" spans="1:9" x14ac:dyDescent="0.25">
      <c r="A2184" t="s">
        <v>13</v>
      </c>
      <c r="B2184">
        <v>2003884</v>
      </c>
      <c r="C2184">
        <v>2004702</v>
      </c>
      <c r="E2184" t="s">
        <v>14</v>
      </c>
      <c r="F2184" t="s">
        <v>41</v>
      </c>
      <c r="H2184">
        <v>0</v>
      </c>
      <c r="I2184" t="s">
        <v>16</v>
      </c>
    </row>
    <row r="2185" spans="1:9" x14ac:dyDescent="0.25">
      <c r="A2185" t="s">
        <v>13</v>
      </c>
      <c r="B2185">
        <v>2004699</v>
      </c>
      <c r="C2185">
        <v>2005814</v>
      </c>
      <c r="E2185" t="s">
        <v>14</v>
      </c>
      <c r="F2185" t="s">
        <v>5698</v>
      </c>
      <c r="H2185">
        <v>0</v>
      </c>
      <c r="I2185" t="s">
        <v>16</v>
      </c>
    </row>
    <row r="2186" spans="1:9" x14ac:dyDescent="0.25">
      <c r="A2186" t="s">
        <v>13</v>
      </c>
      <c r="B2186">
        <v>2005851</v>
      </c>
      <c r="C2186">
        <v>2006822</v>
      </c>
      <c r="E2186" t="s">
        <v>14</v>
      </c>
      <c r="F2186" t="s">
        <v>5701</v>
      </c>
      <c r="H2186">
        <v>0</v>
      </c>
      <c r="I2186" t="s">
        <v>16</v>
      </c>
    </row>
    <row r="2187" spans="1:9" x14ac:dyDescent="0.25">
      <c r="A2187" t="s">
        <v>13</v>
      </c>
      <c r="B2187">
        <v>2006834</v>
      </c>
      <c r="C2187">
        <v>2007787</v>
      </c>
      <c r="E2187" t="s">
        <v>14</v>
      </c>
      <c r="F2187" t="s">
        <v>5704</v>
      </c>
      <c r="H2187">
        <v>0</v>
      </c>
      <c r="I2187" t="s">
        <v>16</v>
      </c>
    </row>
    <row r="2188" spans="1:9" x14ac:dyDescent="0.25">
      <c r="A2188" t="s">
        <v>13</v>
      </c>
      <c r="B2188">
        <v>2007780</v>
      </c>
      <c r="C2188">
        <v>2008985</v>
      </c>
      <c r="E2188" t="s">
        <v>14</v>
      </c>
      <c r="F2188" t="s">
        <v>5707</v>
      </c>
      <c r="H2188">
        <v>0</v>
      </c>
      <c r="I2188" t="s">
        <v>16</v>
      </c>
    </row>
    <row r="2189" spans="1:9" x14ac:dyDescent="0.25">
      <c r="A2189" t="s">
        <v>13</v>
      </c>
      <c r="B2189">
        <v>2008982</v>
      </c>
      <c r="C2189">
        <v>2009794</v>
      </c>
      <c r="E2189" t="s">
        <v>14</v>
      </c>
      <c r="F2189" t="s">
        <v>5710</v>
      </c>
      <c r="H2189">
        <v>0</v>
      </c>
      <c r="I2189" t="s">
        <v>16</v>
      </c>
    </row>
    <row r="2190" spans="1:9" x14ac:dyDescent="0.25">
      <c r="A2190" t="s">
        <v>13</v>
      </c>
      <c r="B2190">
        <v>2009805</v>
      </c>
      <c r="C2190">
        <v>2010977</v>
      </c>
      <c r="E2190" t="s">
        <v>14</v>
      </c>
      <c r="F2190" t="s">
        <v>5713</v>
      </c>
      <c r="H2190">
        <v>0</v>
      </c>
      <c r="I2190" t="s">
        <v>16</v>
      </c>
    </row>
    <row r="2191" spans="1:9" x14ac:dyDescent="0.25">
      <c r="A2191" t="s">
        <v>13</v>
      </c>
      <c r="B2191">
        <v>2010977</v>
      </c>
      <c r="C2191">
        <v>2012008</v>
      </c>
      <c r="E2191" t="s">
        <v>14</v>
      </c>
      <c r="F2191" t="s">
        <v>5716</v>
      </c>
      <c r="H2191">
        <v>0</v>
      </c>
      <c r="I2191" t="s">
        <v>16</v>
      </c>
    </row>
    <row r="2192" spans="1:9" x14ac:dyDescent="0.25">
      <c r="A2192" t="s">
        <v>13</v>
      </c>
      <c r="B2192">
        <v>2011993</v>
      </c>
      <c r="C2192">
        <v>2012751</v>
      </c>
      <c r="E2192" t="s">
        <v>14</v>
      </c>
      <c r="F2192" t="s">
        <v>5719</v>
      </c>
      <c r="H2192">
        <v>0</v>
      </c>
      <c r="I2192" t="s">
        <v>16</v>
      </c>
    </row>
    <row r="2193" spans="1:9" x14ac:dyDescent="0.25">
      <c r="A2193" t="s">
        <v>13</v>
      </c>
      <c r="B2193">
        <v>2013100</v>
      </c>
      <c r="C2193">
        <v>2013294</v>
      </c>
      <c r="E2193" t="s">
        <v>28</v>
      </c>
      <c r="F2193" t="s">
        <v>5722</v>
      </c>
      <c r="H2193">
        <v>0</v>
      </c>
      <c r="I2193" t="s">
        <v>16</v>
      </c>
    </row>
    <row r="2194" spans="1:9" x14ac:dyDescent="0.25">
      <c r="A2194" t="s">
        <v>13</v>
      </c>
      <c r="B2194">
        <v>2013294</v>
      </c>
      <c r="C2194">
        <v>2013515</v>
      </c>
      <c r="E2194" t="s">
        <v>28</v>
      </c>
      <c r="F2194" t="s">
        <v>41</v>
      </c>
      <c r="H2194">
        <v>0</v>
      </c>
      <c r="I2194" t="s">
        <v>16</v>
      </c>
    </row>
    <row r="2195" spans="1:9" x14ac:dyDescent="0.25">
      <c r="A2195" t="s">
        <v>13</v>
      </c>
      <c r="B2195">
        <v>2013418</v>
      </c>
      <c r="C2195">
        <v>2013624</v>
      </c>
      <c r="E2195" t="s">
        <v>14</v>
      </c>
      <c r="F2195" t="s">
        <v>41</v>
      </c>
      <c r="H2195">
        <v>0</v>
      </c>
      <c r="I2195" t="s">
        <v>16</v>
      </c>
    </row>
    <row r="2196" spans="1:9" x14ac:dyDescent="0.25">
      <c r="A2196" t="s">
        <v>13</v>
      </c>
      <c r="B2196">
        <v>2013555</v>
      </c>
      <c r="C2196">
        <v>2014319</v>
      </c>
      <c r="E2196" t="s">
        <v>14</v>
      </c>
      <c r="F2196" t="s">
        <v>41</v>
      </c>
      <c r="H2196">
        <v>0</v>
      </c>
      <c r="I2196" t="s">
        <v>16</v>
      </c>
    </row>
    <row r="2197" spans="1:9" x14ac:dyDescent="0.25">
      <c r="A2197" t="s">
        <v>13</v>
      </c>
      <c r="B2197">
        <v>2014393</v>
      </c>
      <c r="C2197">
        <v>2014608</v>
      </c>
      <c r="E2197" t="s">
        <v>14</v>
      </c>
      <c r="F2197" t="s">
        <v>41</v>
      </c>
      <c r="H2197">
        <v>0</v>
      </c>
      <c r="I2197" t="s">
        <v>16</v>
      </c>
    </row>
    <row r="2198" spans="1:9" x14ac:dyDescent="0.25">
      <c r="A2198" t="s">
        <v>13</v>
      </c>
      <c r="B2198">
        <v>2014618</v>
      </c>
      <c r="C2198">
        <v>2015514</v>
      </c>
      <c r="E2198" t="s">
        <v>14</v>
      </c>
      <c r="F2198" t="s">
        <v>41</v>
      </c>
      <c r="H2198">
        <v>0</v>
      </c>
      <c r="I2198" t="s">
        <v>16</v>
      </c>
    </row>
    <row r="2199" spans="1:9" x14ac:dyDescent="0.25">
      <c r="A2199" t="s">
        <v>13</v>
      </c>
      <c r="B2199">
        <v>2015511</v>
      </c>
      <c r="C2199">
        <v>2017232</v>
      </c>
      <c r="E2199" t="s">
        <v>14</v>
      </c>
      <c r="F2199" t="s">
        <v>483</v>
      </c>
      <c r="H2199">
        <v>0</v>
      </c>
      <c r="I2199" t="s">
        <v>16</v>
      </c>
    </row>
    <row r="2200" spans="1:9" x14ac:dyDescent="0.25">
      <c r="A2200" t="s">
        <v>13</v>
      </c>
      <c r="B2200">
        <v>2017458</v>
      </c>
      <c r="C2200">
        <v>2018069</v>
      </c>
      <c r="E2200" t="s">
        <v>14</v>
      </c>
      <c r="F2200" t="s">
        <v>41</v>
      </c>
      <c r="H2200">
        <v>0</v>
      </c>
      <c r="I2200" t="s">
        <v>16</v>
      </c>
    </row>
    <row r="2201" spans="1:9" x14ac:dyDescent="0.25">
      <c r="A2201" t="s">
        <v>13</v>
      </c>
      <c r="B2201">
        <v>2018056</v>
      </c>
      <c r="C2201">
        <v>2018313</v>
      </c>
      <c r="E2201" t="s">
        <v>14</v>
      </c>
      <c r="F2201" t="s">
        <v>41</v>
      </c>
      <c r="H2201">
        <v>0</v>
      </c>
      <c r="I2201" t="s">
        <v>16</v>
      </c>
    </row>
    <row r="2202" spans="1:9" x14ac:dyDescent="0.25">
      <c r="A2202" t="s">
        <v>13</v>
      </c>
      <c r="B2202">
        <v>2018412</v>
      </c>
      <c r="C2202">
        <v>2018855</v>
      </c>
      <c r="E2202" t="s">
        <v>14</v>
      </c>
      <c r="F2202" t="s">
        <v>41</v>
      </c>
      <c r="H2202">
        <v>0</v>
      </c>
      <c r="I2202" t="s">
        <v>16</v>
      </c>
    </row>
    <row r="2203" spans="1:9" x14ac:dyDescent="0.25">
      <c r="A2203" t="s">
        <v>13</v>
      </c>
      <c r="B2203">
        <v>2018824</v>
      </c>
      <c r="C2203">
        <v>2019123</v>
      </c>
      <c r="E2203" t="s">
        <v>14</v>
      </c>
      <c r="F2203" t="s">
        <v>41</v>
      </c>
      <c r="H2203">
        <v>0</v>
      </c>
      <c r="I2203" t="s">
        <v>16</v>
      </c>
    </row>
    <row r="2204" spans="1:9" x14ac:dyDescent="0.25">
      <c r="A2204" t="s">
        <v>13</v>
      </c>
      <c r="B2204">
        <v>2019349</v>
      </c>
      <c r="C2204">
        <v>2020038</v>
      </c>
      <c r="E2204" t="s">
        <v>14</v>
      </c>
      <c r="F2204" t="s">
        <v>5745</v>
      </c>
      <c r="H2204">
        <v>0</v>
      </c>
      <c r="I2204" t="s">
        <v>16</v>
      </c>
    </row>
    <row r="2205" spans="1:9" x14ac:dyDescent="0.25">
      <c r="A2205" t="s">
        <v>13</v>
      </c>
      <c r="B2205">
        <v>2020048</v>
      </c>
      <c r="C2205">
        <v>2020281</v>
      </c>
      <c r="E2205" t="s">
        <v>14</v>
      </c>
      <c r="F2205" t="s">
        <v>41</v>
      </c>
      <c r="H2205">
        <v>0</v>
      </c>
      <c r="I2205" t="s">
        <v>16</v>
      </c>
    </row>
    <row r="2206" spans="1:9" x14ac:dyDescent="0.25">
      <c r="A2206" t="s">
        <v>13</v>
      </c>
      <c r="B2206">
        <v>2020271</v>
      </c>
      <c r="C2206">
        <v>2020402</v>
      </c>
      <c r="E2206" t="s">
        <v>14</v>
      </c>
      <c r="F2206" t="s">
        <v>41</v>
      </c>
      <c r="H2206">
        <v>0</v>
      </c>
      <c r="I2206" t="s">
        <v>16</v>
      </c>
    </row>
    <row r="2207" spans="1:9" x14ac:dyDescent="0.25">
      <c r="A2207" t="s">
        <v>13</v>
      </c>
      <c r="B2207">
        <v>2020403</v>
      </c>
      <c r="C2207">
        <v>2021578</v>
      </c>
      <c r="E2207" t="s">
        <v>14</v>
      </c>
      <c r="F2207" t="s">
        <v>2132</v>
      </c>
      <c r="H2207">
        <v>0</v>
      </c>
      <c r="I2207" t="s">
        <v>16</v>
      </c>
    </row>
    <row r="2208" spans="1:9" x14ac:dyDescent="0.25">
      <c r="A2208" t="s">
        <v>13</v>
      </c>
      <c r="B2208">
        <v>2021659</v>
      </c>
      <c r="C2208">
        <v>2021732</v>
      </c>
      <c r="E2208" t="s">
        <v>28</v>
      </c>
      <c r="F2208" t="s">
        <v>4792</v>
      </c>
      <c r="H2208">
        <v>0</v>
      </c>
      <c r="I2208" t="s">
        <v>133</v>
      </c>
    </row>
    <row r="2209" spans="1:9" x14ac:dyDescent="0.25">
      <c r="A2209" t="s">
        <v>13</v>
      </c>
      <c r="B2209">
        <v>2021737</v>
      </c>
      <c r="C2209">
        <v>2021808</v>
      </c>
      <c r="E2209" t="s">
        <v>28</v>
      </c>
      <c r="F2209" t="s">
        <v>5755</v>
      </c>
      <c r="H2209">
        <v>0</v>
      </c>
      <c r="I2209" t="s">
        <v>133</v>
      </c>
    </row>
    <row r="2210" spans="1:9" x14ac:dyDescent="0.25">
      <c r="A2210" t="s">
        <v>13</v>
      </c>
      <c r="B2210">
        <v>2021906</v>
      </c>
      <c r="C2210">
        <v>2021978</v>
      </c>
      <c r="E2210" t="s">
        <v>28</v>
      </c>
      <c r="F2210" t="s">
        <v>1362</v>
      </c>
      <c r="H2210">
        <v>0</v>
      </c>
      <c r="I2210" t="s">
        <v>133</v>
      </c>
    </row>
    <row r="2211" spans="1:9" x14ac:dyDescent="0.25">
      <c r="A2211" t="s">
        <v>13</v>
      </c>
      <c r="B2211">
        <v>2022002</v>
      </c>
      <c r="C2211">
        <v>2022691</v>
      </c>
      <c r="E2211" t="s">
        <v>28</v>
      </c>
      <c r="F2211" t="s">
        <v>41</v>
      </c>
      <c r="H2211">
        <v>0</v>
      </c>
      <c r="I2211" t="s">
        <v>16</v>
      </c>
    </row>
    <row r="2212" spans="1:9" x14ac:dyDescent="0.25">
      <c r="A2212" t="s">
        <v>13</v>
      </c>
      <c r="B2212">
        <v>2022748</v>
      </c>
      <c r="C2212">
        <v>2025123</v>
      </c>
      <c r="E2212" t="s">
        <v>28</v>
      </c>
      <c r="F2212" t="s">
        <v>5760</v>
      </c>
      <c r="H2212">
        <v>0</v>
      </c>
      <c r="I2212" t="s">
        <v>16</v>
      </c>
    </row>
    <row r="2213" spans="1:9" x14ac:dyDescent="0.25">
      <c r="A2213" t="s">
        <v>13</v>
      </c>
      <c r="B2213">
        <v>2025133</v>
      </c>
      <c r="C2213">
        <v>2026146</v>
      </c>
      <c r="E2213" t="s">
        <v>28</v>
      </c>
      <c r="F2213" t="s">
        <v>5763</v>
      </c>
      <c r="H2213">
        <v>0</v>
      </c>
      <c r="I2213" t="s">
        <v>16</v>
      </c>
    </row>
    <row r="2214" spans="1:9" x14ac:dyDescent="0.25">
      <c r="A2214" t="s">
        <v>13</v>
      </c>
      <c r="B2214">
        <v>2026158</v>
      </c>
      <c r="C2214">
        <v>2028065</v>
      </c>
      <c r="E2214" t="s">
        <v>28</v>
      </c>
      <c r="F2214" t="s">
        <v>5766</v>
      </c>
      <c r="H2214">
        <v>0</v>
      </c>
      <c r="I2214" t="s">
        <v>16</v>
      </c>
    </row>
    <row r="2215" spans="1:9" x14ac:dyDescent="0.25">
      <c r="A2215" t="s">
        <v>13</v>
      </c>
      <c r="B2215">
        <v>2028140</v>
      </c>
      <c r="C2215">
        <v>2029729</v>
      </c>
      <c r="E2215" t="s">
        <v>28</v>
      </c>
      <c r="F2215" t="s">
        <v>5769</v>
      </c>
      <c r="H2215">
        <v>0</v>
      </c>
      <c r="I2215" t="s">
        <v>16</v>
      </c>
    </row>
    <row r="2216" spans="1:9" x14ac:dyDescent="0.25">
      <c r="A2216" t="s">
        <v>13</v>
      </c>
      <c r="B2216">
        <v>2029762</v>
      </c>
      <c r="C2216">
        <v>2031015</v>
      </c>
      <c r="E2216" t="s">
        <v>28</v>
      </c>
      <c r="F2216" t="s">
        <v>5772</v>
      </c>
      <c r="H2216">
        <v>0</v>
      </c>
      <c r="I2216" t="s">
        <v>16</v>
      </c>
    </row>
    <row r="2217" spans="1:9" x14ac:dyDescent="0.25">
      <c r="A2217" t="s">
        <v>13</v>
      </c>
      <c r="B2217">
        <v>2031158</v>
      </c>
      <c r="C2217">
        <v>2031559</v>
      </c>
      <c r="E2217" t="s">
        <v>28</v>
      </c>
      <c r="F2217" t="s">
        <v>41</v>
      </c>
      <c r="H2217">
        <v>0</v>
      </c>
      <c r="I2217" t="s">
        <v>16</v>
      </c>
    </row>
    <row r="2218" spans="1:9" x14ac:dyDescent="0.25">
      <c r="A2218" t="s">
        <v>13</v>
      </c>
      <c r="B2218">
        <v>2031571</v>
      </c>
      <c r="C2218">
        <v>2032758</v>
      </c>
      <c r="E2218" t="s">
        <v>28</v>
      </c>
      <c r="F2218" t="s">
        <v>41</v>
      </c>
      <c r="H2218">
        <v>0</v>
      </c>
      <c r="I2218" t="s">
        <v>16</v>
      </c>
    </row>
    <row r="2219" spans="1:9" x14ac:dyDescent="0.25">
      <c r="A2219" t="s">
        <v>13</v>
      </c>
      <c r="B2219">
        <v>2032761</v>
      </c>
      <c r="C2219">
        <v>2033633</v>
      </c>
      <c r="E2219" t="s">
        <v>28</v>
      </c>
      <c r="F2219" t="s">
        <v>2721</v>
      </c>
      <c r="H2219">
        <v>0</v>
      </c>
      <c r="I2219" t="s">
        <v>16</v>
      </c>
    </row>
    <row r="2220" spans="1:9" x14ac:dyDescent="0.25">
      <c r="A2220" t="s">
        <v>13</v>
      </c>
      <c r="B2220">
        <v>2033617</v>
      </c>
      <c r="C2220">
        <v>2034048</v>
      </c>
      <c r="E2220" t="s">
        <v>28</v>
      </c>
      <c r="F2220" t="s">
        <v>41</v>
      </c>
      <c r="H2220">
        <v>0</v>
      </c>
      <c r="I2220" t="s">
        <v>16</v>
      </c>
    </row>
    <row r="2221" spans="1:9" x14ac:dyDescent="0.25">
      <c r="A2221" t="s">
        <v>13</v>
      </c>
      <c r="B2221">
        <v>2034045</v>
      </c>
      <c r="C2221">
        <v>2035226</v>
      </c>
      <c r="E2221" t="s">
        <v>28</v>
      </c>
      <c r="F2221" t="s">
        <v>41</v>
      </c>
      <c r="H2221">
        <v>0</v>
      </c>
      <c r="I2221" t="s">
        <v>16</v>
      </c>
    </row>
    <row r="2222" spans="1:9" x14ac:dyDescent="0.25">
      <c r="A2222" t="s">
        <v>13</v>
      </c>
      <c r="B2222">
        <v>2035332</v>
      </c>
      <c r="C2222">
        <v>2036279</v>
      </c>
      <c r="E2222" t="s">
        <v>14</v>
      </c>
      <c r="F2222" t="s">
        <v>41</v>
      </c>
      <c r="H2222">
        <v>0</v>
      </c>
      <c r="I2222" t="s">
        <v>16</v>
      </c>
    </row>
    <row r="2223" spans="1:9" x14ac:dyDescent="0.25">
      <c r="A2223" t="s">
        <v>13</v>
      </c>
      <c r="B2223">
        <v>2036378</v>
      </c>
      <c r="C2223">
        <v>2036782</v>
      </c>
      <c r="E2223" t="s">
        <v>28</v>
      </c>
      <c r="F2223" t="s">
        <v>41</v>
      </c>
      <c r="H2223">
        <v>0</v>
      </c>
      <c r="I2223" t="s">
        <v>16</v>
      </c>
    </row>
    <row r="2224" spans="1:9" x14ac:dyDescent="0.25">
      <c r="A2224" t="s">
        <v>13</v>
      </c>
      <c r="B2224">
        <v>2036852</v>
      </c>
      <c r="C2224">
        <v>2037022</v>
      </c>
      <c r="E2224" t="s">
        <v>28</v>
      </c>
      <c r="F2224" t="s">
        <v>41</v>
      </c>
      <c r="H2224">
        <v>0</v>
      </c>
      <c r="I2224" t="s">
        <v>16</v>
      </c>
    </row>
    <row r="2225" spans="1:9" x14ac:dyDescent="0.25">
      <c r="A2225" t="s">
        <v>13</v>
      </c>
      <c r="B2225">
        <v>2037111</v>
      </c>
      <c r="C2225">
        <v>2039093</v>
      </c>
      <c r="E2225" t="s">
        <v>14</v>
      </c>
      <c r="F2225" t="s">
        <v>5791</v>
      </c>
      <c r="H2225">
        <v>0</v>
      </c>
      <c r="I2225" t="s">
        <v>16</v>
      </c>
    </row>
    <row r="2226" spans="1:9" x14ac:dyDescent="0.25">
      <c r="A2226" t="s">
        <v>13</v>
      </c>
      <c r="B2226">
        <v>2039090</v>
      </c>
      <c r="C2226">
        <v>2039869</v>
      </c>
      <c r="E2226" t="s">
        <v>14</v>
      </c>
      <c r="F2226" t="s">
        <v>5794</v>
      </c>
      <c r="H2226">
        <v>0</v>
      </c>
      <c r="I2226" t="s">
        <v>16</v>
      </c>
    </row>
    <row r="2227" spans="1:9" x14ac:dyDescent="0.25">
      <c r="A2227" t="s">
        <v>13</v>
      </c>
      <c r="B2227">
        <v>2039880</v>
      </c>
      <c r="C2227">
        <v>2041067</v>
      </c>
      <c r="E2227" t="s">
        <v>14</v>
      </c>
      <c r="F2227" t="s">
        <v>2491</v>
      </c>
      <c r="H2227">
        <v>0</v>
      </c>
      <c r="I2227" t="s">
        <v>16</v>
      </c>
    </row>
    <row r="2228" spans="1:9" x14ac:dyDescent="0.25">
      <c r="A2228" t="s">
        <v>13</v>
      </c>
      <c r="B2228">
        <v>2041189</v>
      </c>
      <c r="C2228">
        <v>2042385</v>
      </c>
      <c r="E2228" t="s">
        <v>14</v>
      </c>
      <c r="F2228" t="s">
        <v>2491</v>
      </c>
      <c r="H2228">
        <v>0</v>
      </c>
      <c r="I2228" t="s">
        <v>16</v>
      </c>
    </row>
    <row r="2229" spans="1:9" x14ac:dyDescent="0.25">
      <c r="A2229" t="s">
        <v>13</v>
      </c>
      <c r="B2229">
        <v>2042389</v>
      </c>
      <c r="C2229">
        <v>2043150</v>
      </c>
      <c r="E2229" t="s">
        <v>14</v>
      </c>
      <c r="F2229" t="s">
        <v>5801</v>
      </c>
      <c r="H2229">
        <v>0</v>
      </c>
      <c r="I2229" t="s">
        <v>16</v>
      </c>
    </row>
    <row r="2230" spans="1:9" x14ac:dyDescent="0.25">
      <c r="A2230" t="s">
        <v>13</v>
      </c>
      <c r="B2230">
        <v>2043232</v>
      </c>
      <c r="C2230">
        <v>2043954</v>
      </c>
      <c r="E2230" t="s">
        <v>14</v>
      </c>
      <c r="F2230" t="s">
        <v>5804</v>
      </c>
      <c r="H2230">
        <v>0</v>
      </c>
      <c r="I2230" t="s">
        <v>16</v>
      </c>
    </row>
    <row r="2231" spans="1:9" x14ac:dyDescent="0.25">
      <c r="A2231" t="s">
        <v>13</v>
      </c>
      <c r="B2231">
        <v>2043964</v>
      </c>
      <c r="C2231">
        <v>2044446</v>
      </c>
      <c r="E2231" t="s">
        <v>14</v>
      </c>
      <c r="F2231" t="s">
        <v>5804</v>
      </c>
      <c r="H2231">
        <v>0</v>
      </c>
      <c r="I2231" t="s">
        <v>16</v>
      </c>
    </row>
    <row r="2232" spans="1:9" x14ac:dyDescent="0.25">
      <c r="A2232" t="s">
        <v>13</v>
      </c>
      <c r="B2232">
        <v>2044453</v>
      </c>
      <c r="C2232">
        <v>2045082</v>
      </c>
      <c r="E2232" t="s">
        <v>14</v>
      </c>
      <c r="F2232" t="s">
        <v>5809</v>
      </c>
      <c r="H2232">
        <v>0</v>
      </c>
      <c r="I2232" t="s">
        <v>16</v>
      </c>
    </row>
    <row r="2233" spans="1:9" x14ac:dyDescent="0.25">
      <c r="A2233" t="s">
        <v>13</v>
      </c>
      <c r="B2233">
        <v>2045092</v>
      </c>
      <c r="C2233">
        <v>2046354</v>
      </c>
      <c r="E2233" t="s">
        <v>14</v>
      </c>
      <c r="F2233" t="s">
        <v>5812</v>
      </c>
      <c r="H2233">
        <v>0</v>
      </c>
      <c r="I2233" t="s">
        <v>16</v>
      </c>
    </row>
    <row r="2234" spans="1:9" x14ac:dyDescent="0.25">
      <c r="A2234" t="s">
        <v>13</v>
      </c>
      <c r="B2234">
        <v>2046407</v>
      </c>
      <c r="C2234">
        <v>2047999</v>
      </c>
      <c r="E2234" t="s">
        <v>28</v>
      </c>
      <c r="F2234" t="s">
        <v>5815</v>
      </c>
      <c r="H2234">
        <v>0</v>
      </c>
      <c r="I2234" t="s">
        <v>16</v>
      </c>
    </row>
    <row r="2235" spans="1:9" x14ac:dyDescent="0.25">
      <c r="A2235" t="s">
        <v>13</v>
      </c>
      <c r="B2235">
        <v>2048195</v>
      </c>
      <c r="C2235">
        <v>2049310</v>
      </c>
      <c r="E2235" t="s">
        <v>14</v>
      </c>
      <c r="F2235" t="s">
        <v>5818</v>
      </c>
      <c r="H2235">
        <v>0</v>
      </c>
      <c r="I2235" t="s">
        <v>16</v>
      </c>
    </row>
    <row r="2236" spans="1:9" x14ac:dyDescent="0.25">
      <c r="A2236" t="s">
        <v>13</v>
      </c>
      <c r="B2236">
        <v>2049307</v>
      </c>
      <c r="C2236">
        <v>2049624</v>
      </c>
      <c r="E2236" t="s">
        <v>14</v>
      </c>
      <c r="F2236" t="s">
        <v>41</v>
      </c>
      <c r="H2236">
        <v>0</v>
      </c>
      <c r="I2236" t="s">
        <v>16</v>
      </c>
    </row>
    <row r="2237" spans="1:9" x14ac:dyDescent="0.25">
      <c r="A2237" t="s">
        <v>13</v>
      </c>
      <c r="B2237">
        <v>2049627</v>
      </c>
      <c r="C2237">
        <v>2049902</v>
      </c>
      <c r="E2237" t="s">
        <v>14</v>
      </c>
      <c r="F2237" t="s">
        <v>41</v>
      </c>
      <c r="H2237">
        <v>0</v>
      </c>
      <c r="I2237" t="s">
        <v>16</v>
      </c>
    </row>
    <row r="2238" spans="1:9" x14ac:dyDescent="0.25">
      <c r="A2238" t="s">
        <v>13</v>
      </c>
      <c r="B2238">
        <v>2049913</v>
      </c>
      <c r="C2238">
        <v>2050197</v>
      </c>
      <c r="E2238" t="s">
        <v>14</v>
      </c>
      <c r="F2238" t="s">
        <v>41</v>
      </c>
      <c r="H2238">
        <v>0</v>
      </c>
      <c r="I2238" t="s">
        <v>16</v>
      </c>
    </row>
    <row r="2239" spans="1:9" x14ac:dyDescent="0.25">
      <c r="A2239" t="s">
        <v>13</v>
      </c>
      <c r="B2239">
        <v>2050200</v>
      </c>
      <c r="C2239">
        <v>2050598</v>
      </c>
      <c r="E2239" t="s">
        <v>14</v>
      </c>
      <c r="F2239" t="s">
        <v>41</v>
      </c>
      <c r="H2239">
        <v>0</v>
      </c>
      <c r="I2239" t="s">
        <v>16</v>
      </c>
    </row>
    <row r="2240" spans="1:9" x14ac:dyDescent="0.25">
      <c r="A2240" t="s">
        <v>13</v>
      </c>
      <c r="B2240">
        <v>2050606</v>
      </c>
      <c r="C2240">
        <v>2051961</v>
      </c>
      <c r="E2240" t="s">
        <v>28</v>
      </c>
      <c r="F2240" t="s">
        <v>5829</v>
      </c>
      <c r="H2240">
        <v>0</v>
      </c>
      <c r="I2240" t="s">
        <v>16</v>
      </c>
    </row>
    <row r="2241" spans="1:9" x14ac:dyDescent="0.25">
      <c r="A2241" t="s">
        <v>13</v>
      </c>
      <c r="B2241">
        <v>2051964</v>
      </c>
      <c r="C2241">
        <v>2052764</v>
      </c>
      <c r="E2241" t="s">
        <v>28</v>
      </c>
      <c r="F2241" t="s">
        <v>41</v>
      </c>
      <c r="H2241">
        <v>0</v>
      </c>
      <c r="I2241" t="s">
        <v>16</v>
      </c>
    </row>
    <row r="2242" spans="1:9" x14ac:dyDescent="0.25">
      <c r="A2242" t="s">
        <v>13</v>
      </c>
      <c r="B2242">
        <v>2052802</v>
      </c>
      <c r="C2242">
        <v>2053494</v>
      </c>
      <c r="E2242" t="s">
        <v>14</v>
      </c>
      <c r="F2242" t="s">
        <v>5834</v>
      </c>
      <c r="H2242">
        <v>0</v>
      </c>
      <c r="I2242" t="s">
        <v>16</v>
      </c>
    </row>
    <row r="2243" spans="1:9" x14ac:dyDescent="0.25">
      <c r="A2243" t="s">
        <v>13</v>
      </c>
      <c r="B2243">
        <v>2053505</v>
      </c>
      <c r="C2243">
        <v>2054251</v>
      </c>
      <c r="E2243" t="s">
        <v>14</v>
      </c>
      <c r="F2243" t="s">
        <v>5837</v>
      </c>
      <c r="H2243">
        <v>0</v>
      </c>
      <c r="I2243" t="s">
        <v>16</v>
      </c>
    </row>
    <row r="2244" spans="1:9" x14ac:dyDescent="0.25">
      <c r="A2244" t="s">
        <v>13</v>
      </c>
      <c r="B2244">
        <v>2054346</v>
      </c>
      <c r="C2244">
        <v>2055008</v>
      </c>
      <c r="E2244" t="s">
        <v>28</v>
      </c>
      <c r="F2244" t="s">
        <v>5840</v>
      </c>
      <c r="H2244">
        <v>0</v>
      </c>
      <c r="I2244" t="s">
        <v>16</v>
      </c>
    </row>
    <row r="2245" spans="1:9" x14ac:dyDescent="0.25">
      <c r="A2245" t="s">
        <v>13</v>
      </c>
      <c r="B2245">
        <v>2055051</v>
      </c>
      <c r="C2245">
        <v>2055140</v>
      </c>
      <c r="E2245" t="s">
        <v>28</v>
      </c>
      <c r="F2245" t="s">
        <v>4351</v>
      </c>
      <c r="H2245">
        <v>0</v>
      </c>
      <c r="I2245" t="s">
        <v>133</v>
      </c>
    </row>
    <row r="2246" spans="1:9" x14ac:dyDescent="0.25">
      <c r="A2246" t="s">
        <v>13</v>
      </c>
      <c r="B2246">
        <v>2055151</v>
      </c>
      <c r="C2246">
        <v>2055238</v>
      </c>
      <c r="E2246" t="s">
        <v>28</v>
      </c>
      <c r="F2246" t="s">
        <v>4351</v>
      </c>
      <c r="H2246">
        <v>0</v>
      </c>
      <c r="I2246" t="s">
        <v>133</v>
      </c>
    </row>
    <row r="2247" spans="1:9" x14ac:dyDescent="0.25">
      <c r="A2247" t="s">
        <v>13</v>
      </c>
      <c r="B2247">
        <v>2055283</v>
      </c>
      <c r="C2247">
        <v>2056173</v>
      </c>
      <c r="E2247" t="s">
        <v>28</v>
      </c>
      <c r="F2247" t="s">
        <v>41</v>
      </c>
      <c r="H2247">
        <v>0</v>
      </c>
      <c r="I2247" t="s">
        <v>16</v>
      </c>
    </row>
    <row r="2248" spans="1:9" x14ac:dyDescent="0.25">
      <c r="A2248" t="s">
        <v>13</v>
      </c>
      <c r="B2248">
        <v>2056170</v>
      </c>
      <c r="C2248">
        <v>2057186</v>
      </c>
      <c r="E2248" t="s">
        <v>28</v>
      </c>
      <c r="F2248" t="s">
        <v>5847</v>
      </c>
      <c r="H2248">
        <v>0</v>
      </c>
      <c r="I2248" t="s">
        <v>16</v>
      </c>
    </row>
    <row r="2249" spans="1:9" x14ac:dyDescent="0.25">
      <c r="A2249" t="s">
        <v>13</v>
      </c>
      <c r="B2249">
        <v>2057353</v>
      </c>
      <c r="C2249">
        <v>2058762</v>
      </c>
      <c r="E2249" t="s">
        <v>28</v>
      </c>
      <c r="F2249" t="s">
        <v>41</v>
      </c>
      <c r="H2249">
        <v>0</v>
      </c>
      <c r="I2249" t="s">
        <v>16</v>
      </c>
    </row>
    <row r="2250" spans="1:9" x14ac:dyDescent="0.25">
      <c r="A2250" t="s">
        <v>13</v>
      </c>
      <c r="B2250">
        <v>2058793</v>
      </c>
      <c r="C2250">
        <v>2059845</v>
      </c>
      <c r="E2250" t="s">
        <v>14</v>
      </c>
      <c r="F2250" t="s">
        <v>5852</v>
      </c>
      <c r="H2250">
        <v>0</v>
      </c>
      <c r="I2250" t="s">
        <v>16</v>
      </c>
    </row>
    <row r="2251" spans="1:9" x14ac:dyDescent="0.25">
      <c r="A2251" t="s">
        <v>13</v>
      </c>
      <c r="B2251">
        <v>2059833</v>
      </c>
      <c r="C2251">
        <v>2060627</v>
      </c>
      <c r="E2251" t="s">
        <v>14</v>
      </c>
      <c r="F2251" t="s">
        <v>615</v>
      </c>
      <c r="H2251">
        <v>0</v>
      </c>
      <c r="I2251" t="s">
        <v>16</v>
      </c>
    </row>
    <row r="2252" spans="1:9" x14ac:dyDescent="0.25">
      <c r="A2252" t="s">
        <v>13</v>
      </c>
      <c r="B2252">
        <v>2060632</v>
      </c>
      <c r="C2252">
        <v>2061186</v>
      </c>
      <c r="E2252" t="s">
        <v>14</v>
      </c>
      <c r="F2252" t="s">
        <v>615</v>
      </c>
      <c r="H2252">
        <v>0</v>
      </c>
      <c r="I2252" t="s">
        <v>16</v>
      </c>
    </row>
    <row r="2253" spans="1:9" x14ac:dyDescent="0.25">
      <c r="A2253" t="s">
        <v>13</v>
      </c>
      <c r="B2253">
        <v>2061183</v>
      </c>
      <c r="C2253">
        <v>2061572</v>
      </c>
      <c r="E2253" t="s">
        <v>28</v>
      </c>
      <c r="F2253" t="s">
        <v>41</v>
      </c>
      <c r="H2253">
        <v>0</v>
      </c>
      <c r="I2253" t="s">
        <v>16</v>
      </c>
    </row>
    <row r="2254" spans="1:9" x14ac:dyDescent="0.25">
      <c r="A2254" t="s">
        <v>13</v>
      </c>
      <c r="B2254">
        <v>2061583</v>
      </c>
      <c r="C2254">
        <v>2062332</v>
      </c>
      <c r="E2254" t="s">
        <v>28</v>
      </c>
      <c r="F2254" t="s">
        <v>5861</v>
      </c>
      <c r="H2254">
        <v>0</v>
      </c>
      <c r="I2254" t="s">
        <v>16</v>
      </c>
    </row>
    <row r="2255" spans="1:9" x14ac:dyDescent="0.25">
      <c r="A2255" t="s">
        <v>13</v>
      </c>
      <c r="B2255">
        <v>2062329</v>
      </c>
      <c r="C2255">
        <v>2062697</v>
      </c>
      <c r="E2255" t="s">
        <v>28</v>
      </c>
      <c r="F2255" t="s">
        <v>41</v>
      </c>
      <c r="H2255">
        <v>0</v>
      </c>
      <c r="I2255" t="s">
        <v>16</v>
      </c>
    </row>
    <row r="2256" spans="1:9" x14ac:dyDescent="0.25">
      <c r="A2256" t="s">
        <v>13</v>
      </c>
      <c r="B2256">
        <v>2062694</v>
      </c>
      <c r="C2256">
        <v>2063209</v>
      </c>
      <c r="E2256" t="s">
        <v>28</v>
      </c>
      <c r="F2256" t="s">
        <v>41</v>
      </c>
      <c r="H2256">
        <v>0</v>
      </c>
      <c r="I2256" t="s">
        <v>16</v>
      </c>
    </row>
    <row r="2257" spans="1:9" x14ac:dyDescent="0.25">
      <c r="A2257" t="s">
        <v>13</v>
      </c>
      <c r="B2257">
        <v>2063219</v>
      </c>
      <c r="C2257">
        <v>2063653</v>
      </c>
      <c r="E2257" t="s">
        <v>28</v>
      </c>
      <c r="F2257" t="s">
        <v>41</v>
      </c>
      <c r="H2257">
        <v>0</v>
      </c>
      <c r="I2257" t="s">
        <v>16</v>
      </c>
    </row>
    <row r="2258" spans="1:9" x14ac:dyDescent="0.25">
      <c r="A2258" t="s">
        <v>13</v>
      </c>
      <c r="B2258">
        <v>2063694</v>
      </c>
      <c r="C2258">
        <v>2064410</v>
      </c>
      <c r="E2258" t="s">
        <v>14</v>
      </c>
      <c r="F2258" t="s">
        <v>5870</v>
      </c>
      <c r="H2258">
        <v>0</v>
      </c>
      <c r="I2258" t="s">
        <v>16</v>
      </c>
    </row>
    <row r="2259" spans="1:9" x14ac:dyDescent="0.25">
      <c r="A2259" t="s">
        <v>13</v>
      </c>
      <c r="B2259">
        <v>2064415</v>
      </c>
      <c r="C2259">
        <v>2065485</v>
      </c>
      <c r="E2259" t="s">
        <v>14</v>
      </c>
      <c r="F2259" t="s">
        <v>5873</v>
      </c>
      <c r="H2259">
        <v>0</v>
      </c>
      <c r="I2259" t="s">
        <v>16</v>
      </c>
    </row>
    <row r="2260" spans="1:9" x14ac:dyDescent="0.25">
      <c r="A2260" t="s">
        <v>13</v>
      </c>
      <c r="B2260">
        <v>2065470</v>
      </c>
      <c r="C2260">
        <v>2065706</v>
      </c>
      <c r="E2260" t="s">
        <v>14</v>
      </c>
      <c r="F2260" t="s">
        <v>41</v>
      </c>
      <c r="H2260">
        <v>0</v>
      </c>
      <c r="I2260" t="s">
        <v>16</v>
      </c>
    </row>
    <row r="2261" spans="1:9" x14ac:dyDescent="0.25">
      <c r="A2261" t="s">
        <v>13</v>
      </c>
      <c r="B2261">
        <v>2065703</v>
      </c>
      <c r="C2261">
        <v>2066611</v>
      </c>
      <c r="E2261" t="s">
        <v>14</v>
      </c>
      <c r="F2261" t="s">
        <v>5878</v>
      </c>
      <c r="H2261">
        <v>0</v>
      </c>
      <c r="I2261" t="s">
        <v>16</v>
      </c>
    </row>
    <row r="2262" spans="1:9" x14ac:dyDescent="0.25">
      <c r="A2262" t="s">
        <v>13</v>
      </c>
      <c r="B2262">
        <v>2066598</v>
      </c>
      <c r="C2262">
        <v>2066810</v>
      </c>
      <c r="E2262" t="s">
        <v>14</v>
      </c>
      <c r="F2262" t="s">
        <v>41</v>
      </c>
      <c r="H2262">
        <v>0</v>
      </c>
      <c r="I2262" t="s">
        <v>16</v>
      </c>
    </row>
    <row r="2263" spans="1:9" x14ac:dyDescent="0.25">
      <c r="A2263" t="s">
        <v>13</v>
      </c>
      <c r="B2263">
        <v>2066814</v>
      </c>
      <c r="C2263">
        <v>2067428</v>
      </c>
      <c r="E2263" t="s">
        <v>28</v>
      </c>
      <c r="F2263" t="s">
        <v>5883</v>
      </c>
      <c r="H2263">
        <v>0</v>
      </c>
      <c r="I2263" t="s">
        <v>16</v>
      </c>
    </row>
    <row r="2264" spans="1:9" x14ac:dyDescent="0.25">
      <c r="A2264" t="s">
        <v>13</v>
      </c>
      <c r="B2264">
        <v>2067467</v>
      </c>
      <c r="C2264">
        <v>2068156</v>
      </c>
      <c r="E2264" t="s">
        <v>28</v>
      </c>
      <c r="F2264" t="s">
        <v>5886</v>
      </c>
      <c r="H2264">
        <v>0</v>
      </c>
      <c r="I2264" t="s">
        <v>16</v>
      </c>
    </row>
    <row r="2265" spans="1:9" x14ac:dyDescent="0.25">
      <c r="A2265" t="s">
        <v>13</v>
      </c>
      <c r="B2265">
        <v>2068137</v>
      </c>
      <c r="C2265">
        <v>2068517</v>
      </c>
      <c r="E2265" t="s">
        <v>28</v>
      </c>
      <c r="F2265" t="s">
        <v>5889</v>
      </c>
      <c r="H2265">
        <v>0</v>
      </c>
      <c r="I2265" t="s">
        <v>16</v>
      </c>
    </row>
    <row r="2266" spans="1:9" x14ac:dyDescent="0.25">
      <c r="A2266" t="s">
        <v>13</v>
      </c>
      <c r="B2266">
        <v>2068508</v>
      </c>
      <c r="C2266">
        <v>2069371</v>
      </c>
      <c r="E2266" t="s">
        <v>28</v>
      </c>
      <c r="F2266" t="s">
        <v>41</v>
      </c>
      <c r="H2266">
        <v>0</v>
      </c>
      <c r="I2266" t="s">
        <v>16</v>
      </c>
    </row>
    <row r="2267" spans="1:9" x14ac:dyDescent="0.25">
      <c r="A2267" t="s">
        <v>13</v>
      </c>
      <c r="B2267">
        <v>2069424</v>
      </c>
      <c r="C2267">
        <v>2071187</v>
      </c>
      <c r="E2267" t="s">
        <v>14</v>
      </c>
      <c r="F2267" t="s">
        <v>5894</v>
      </c>
      <c r="H2267">
        <v>0</v>
      </c>
      <c r="I2267" t="s">
        <v>16</v>
      </c>
    </row>
    <row r="2268" spans="1:9" x14ac:dyDescent="0.25">
      <c r="A2268" t="s">
        <v>13</v>
      </c>
      <c r="B2268">
        <v>2071421</v>
      </c>
      <c r="C2268">
        <v>2072104</v>
      </c>
      <c r="E2268" t="s">
        <v>28</v>
      </c>
      <c r="F2268" t="s">
        <v>41</v>
      </c>
      <c r="H2268">
        <v>0</v>
      </c>
      <c r="I2268" t="s">
        <v>16</v>
      </c>
    </row>
    <row r="2269" spans="1:9" x14ac:dyDescent="0.25">
      <c r="A2269" t="s">
        <v>13</v>
      </c>
      <c r="B2269">
        <v>2072154</v>
      </c>
      <c r="C2269">
        <v>2073413</v>
      </c>
      <c r="E2269" t="s">
        <v>14</v>
      </c>
      <c r="F2269" t="s">
        <v>5899</v>
      </c>
      <c r="H2269">
        <v>0</v>
      </c>
      <c r="I2269" t="s">
        <v>16</v>
      </c>
    </row>
    <row r="2270" spans="1:9" x14ac:dyDescent="0.25">
      <c r="A2270" t="s">
        <v>13</v>
      </c>
      <c r="B2270">
        <v>2073583</v>
      </c>
      <c r="C2270">
        <v>2074368</v>
      </c>
      <c r="E2270" t="s">
        <v>28</v>
      </c>
      <c r="F2270" t="s">
        <v>119</v>
      </c>
      <c r="H2270">
        <v>0</v>
      </c>
      <c r="I2270" t="s">
        <v>16</v>
      </c>
    </row>
    <row r="2271" spans="1:9" x14ac:dyDescent="0.25">
      <c r="A2271" t="s">
        <v>13</v>
      </c>
      <c r="B2271">
        <v>2074444</v>
      </c>
      <c r="C2271">
        <v>2074809</v>
      </c>
      <c r="E2271" t="s">
        <v>28</v>
      </c>
      <c r="F2271" t="s">
        <v>5904</v>
      </c>
      <c r="H2271">
        <v>0</v>
      </c>
      <c r="I2271" t="s">
        <v>16</v>
      </c>
    </row>
    <row r="2272" spans="1:9" x14ac:dyDescent="0.25">
      <c r="A2272" t="s">
        <v>13</v>
      </c>
      <c r="B2272">
        <v>2074806</v>
      </c>
      <c r="C2272">
        <v>2075126</v>
      </c>
      <c r="E2272" t="s">
        <v>28</v>
      </c>
      <c r="F2272" t="s">
        <v>2278</v>
      </c>
      <c r="H2272">
        <v>0</v>
      </c>
      <c r="I2272" t="s">
        <v>16</v>
      </c>
    </row>
    <row r="2273" spans="1:9" x14ac:dyDescent="0.25">
      <c r="A2273" t="s">
        <v>13</v>
      </c>
      <c r="B2273">
        <v>2075281</v>
      </c>
      <c r="C2273">
        <v>2076489</v>
      </c>
      <c r="E2273" t="s">
        <v>14</v>
      </c>
      <c r="F2273" t="s">
        <v>5909</v>
      </c>
      <c r="H2273">
        <v>0</v>
      </c>
      <c r="I2273" t="s">
        <v>16</v>
      </c>
    </row>
    <row r="2274" spans="1:9" x14ac:dyDescent="0.25">
      <c r="A2274" t="s">
        <v>13</v>
      </c>
      <c r="B2274">
        <v>2076689</v>
      </c>
      <c r="C2274">
        <v>2077567</v>
      </c>
      <c r="E2274" t="s">
        <v>14</v>
      </c>
      <c r="F2274" t="s">
        <v>1579</v>
      </c>
      <c r="H2274">
        <v>0</v>
      </c>
      <c r="I2274" t="s">
        <v>16</v>
      </c>
    </row>
    <row r="2275" spans="1:9" x14ac:dyDescent="0.25">
      <c r="A2275" t="s">
        <v>13</v>
      </c>
      <c r="B2275">
        <v>2077560</v>
      </c>
      <c r="C2275">
        <v>2078330</v>
      </c>
      <c r="E2275" t="s">
        <v>14</v>
      </c>
      <c r="F2275" t="s">
        <v>41</v>
      </c>
      <c r="H2275">
        <v>0</v>
      </c>
      <c r="I2275" t="s">
        <v>16</v>
      </c>
    </row>
    <row r="2276" spans="1:9" x14ac:dyDescent="0.25">
      <c r="A2276" t="s">
        <v>13</v>
      </c>
      <c r="B2276">
        <v>2078327</v>
      </c>
      <c r="C2276">
        <v>2079391</v>
      </c>
      <c r="E2276" t="s">
        <v>28</v>
      </c>
      <c r="F2276" t="s">
        <v>5916</v>
      </c>
      <c r="H2276">
        <v>0</v>
      </c>
      <c r="I2276" t="s">
        <v>16</v>
      </c>
    </row>
    <row r="2277" spans="1:9" x14ac:dyDescent="0.25">
      <c r="A2277" t="s">
        <v>13</v>
      </c>
      <c r="B2277">
        <v>2079412</v>
      </c>
      <c r="C2277">
        <v>2080413</v>
      </c>
      <c r="E2277" t="s">
        <v>14</v>
      </c>
      <c r="F2277" t="s">
        <v>5677</v>
      </c>
      <c r="H2277">
        <v>0</v>
      </c>
      <c r="I2277" t="s">
        <v>16</v>
      </c>
    </row>
    <row r="2278" spans="1:9" x14ac:dyDescent="0.25">
      <c r="A2278" t="s">
        <v>13</v>
      </c>
      <c r="B2278">
        <v>2080410</v>
      </c>
      <c r="C2278">
        <v>2082407</v>
      </c>
      <c r="E2278" t="s">
        <v>28</v>
      </c>
      <c r="F2278" t="s">
        <v>5921</v>
      </c>
      <c r="H2278">
        <v>0</v>
      </c>
      <c r="I2278" t="s">
        <v>16</v>
      </c>
    </row>
    <row r="2279" spans="1:9" x14ac:dyDescent="0.25">
      <c r="A2279" t="s">
        <v>13</v>
      </c>
      <c r="B2279">
        <v>2082504</v>
      </c>
      <c r="C2279">
        <v>2085236</v>
      </c>
      <c r="E2279" t="s">
        <v>28</v>
      </c>
      <c r="F2279" t="s">
        <v>633</v>
      </c>
      <c r="H2279">
        <v>0</v>
      </c>
      <c r="I2279" t="s">
        <v>16</v>
      </c>
    </row>
    <row r="2280" spans="1:9" x14ac:dyDescent="0.25">
      <c r="A2280" t="s">
        <v>13</v>
      </c>
      <c r="B2280">
        <v>2085666</v>
      </c>
      <c r="C2280">
        <v>2087480</v>
      </c>
      <c r="E2280" t="s">
        <v>14</v>
      </c>
      <c r="F2280" t="s">
        <v>5926</v>
      </c>
      <c r="H2280">
        <v>0</v>
      </c>
      <c r="I2280" t="s">
        <v>16</v>
      </c>
    </row>
    <row r="2281" spans="1:9" x14ac:dyDescent="0.25">
      <c r="A2281" t="s">
        <v>13</v>
      </c>
      <c r="B2281">
        <v>2087481</v>
      </c>
      <c r="C2281">
        <v>2089049</v>
      </c>
      <c r="E2281" t="s">
        <v>28</v>
      </c>
      <c r="F2281" t="s">
        <v>5929</v>
      </c>
      <c r="H2281">
        <v>0</v>
      </c>
      <c r="I2281" t="s">
        <v>16</v>
      </c>
    </row>
    <row r="2282" spans="1:9" x14ac:dyDescent="0.25">
      <c r="A2282" t="s">
        <v>13</v>
      </c>
      <c r="B2282">
        <v>2089057</v>
      </c>
      <c r="C2282">
        <v>2090271</v>
      </c>
      <c r="E2282" t="s">
        <v>28</v>
      </c>
      <c r="F2282" t="s">
        <v>5932</v>
      </c>
      <c r="H2282">
        <v>0</v>
      </c>
      <c r="I2282" t="s">
        <v>16</v>
      </c>
    </row>
    <row r="2283" spans="1:9" x14ac:dyDescent="0.25">
      <c r="A2283" t="s">
        <v>13</v>
      </c>
      <c r="B2283">
        <v>2090268</v>
      </c>
      <c r="C2283">
        <v>2091245</v>
      </c>
      <c r="E2283" t="s">
        <v>28</v>
      </c>
      <c r="F2283" t="s">
        <v>3523</v>
      </c>
      <c r="H2283">
        <v>0</v>
      </c>
      <c r="I2283" t="s">
        <v>16</v>
      </c>
    </row>
    <row r="2284" spans="1:9" x14ac:dyDescent="0.25">
      <c r="A2284" t="s">
        <v>13</v>
      </c>
      <c r="B2284">
        <v>2091384</v>
      </c>
      <c r="C2284">
        <v>2091456</v>
      </c>
      <c r="E2284" t="s">
        <v>28</v>
      </c>
      <c r="F2284" t="s">
        <v>5755</v>
      </c>
      <c r="H2284">
        <v>0</v>
      </c>
      <c r="I2284" t="s">
        <v>133</v>
      </c>
    </row>
    <row r="2285" spans="1:9" x14ac:dyDescent="0.25">
      <c r="A2285" t="s">
        <v>13</v>
      </c>
      <c r="B2285">
        <v>2091479</v>
      </c>
      <c r="C2285">
        <v>2091550</v>
      </c>
      <c r="E2285" t="s">
        <v>28</v>
      </c>
      <c r="F2285" t="s">
        <v>5755</v>
      </c>
      <c r="H2285">
        <v>0</v>
      </c>
      <c r="I2285" t="s">
        <v>133</v>
      </c>
    </row>
    <row r="2286" spans="1:9" x14ac:dyDescent="0.25">
      <c r="A2286" t="s">
        <v>13</v>
      </c>
      <c r="B2286">
        <v>2091560</v>
      </c>
      <c r="C2286">
        <v>2091630</v>
      </c>
      <c r="E2286" t="s">
        <v>28</v>
      </c>
      <c r="F2286" t="s">
        <v>3439</v>
      </c>
      <c r="H2286">
        <v>0</v>
      </c>
      <c r="I2286" t="s">
        <v>133</v>
      </c>
    </row>
    <row r="2287" spans="1:9" x14ac:dyDescent="0.25">
      <c r="A2287" t="s">
        <v>13</v>
      </c>
      <c r="B2287">
        <v>2091708</v>
      </c>
      <c r="C2287">
        <v>2092304</v>
      </c>
      <c r="E2287" t="s">
        <v>14</v>
      </c>
      <c r="F2287" t="s">
        <v>41</v>
      </c>
      <c r="H2287">
        <v>0</v>
      </c>
      <c r="I2287" t="s">
        <v>16</v>
      </c>
    </row>
    <row r="2288" spans="1:9" x14ac:dyDescent="0.25">
      <c r="A2288" t="s">
        <v>13</v>
      </c>
      <c r="B2288">
        <v>2092301</v>
      </c>
      <c r="C2288">
        <v>2093992</v>
      </c>
      <c r="E2288" t="s">
        <v>14</v>
      </c>
      <c r="F2288" t="s">
        <v>41</v>
      </c>
      <c r="H2288">
        <v>0</v>
      </c>
      <c r="I2288" t="s">
        <v>16</v>
      </c>
    </row>
    <row r="2289" spans="1:9" x14ac:dyDescent="0.25">
      <c r="A2289" t="s">
        <v>13</v>
      </c>
      <c r="B2289">
        <v>2094145</v>
      </c>
      <c r="C2289">
        <v>2095059</v>
      </c>
      <c r="E2289" t="s">
        <v>28</v>
      </c>
      <c r="F2289" t="s">
        <v>5944</v>
      </c>
      <c r="H2289">
        <v>0</v>
      </c>
      <c r="I2289" t="s">
        <v>16</v>
      </c>
    </row>
    <row r="2290" spans="1:9" x14ac:dyDescent="0.25">
      <c r="A2290" t="s">
        <v>13</v>
      </c>
      <c r="B2290">
        <v>2095056</v>
      </c>
      <c r="C2290">
        <v>2095628</v>
      </c>
      <c r="E2290" t="s">
        <v>28</v>
      </c>
      <c r="F2290" t="s">
        <v>5947</v>
      </c>
      <c r="H2290">
        <v>0</v>
      </c>
      <c r="I2290" t="s">
        <v>16</v>
      </c>
    </row>
    <row r="2291" spans="1:9" x14ac:dyDescent="0.25">
      <c r="A2291" t="s">
        <v>13</v>
      </c>
      <c r="B2291">
        <v>2095634</v>
      </c>
      <c r="C2291">
        <v>2096446</v>
      </c>
      <c r="E2291" t="s">
        <v>28</v>
      </c>
      <c r="F2291" t="s">
        <v>5950</v>
      </c>
      <c r="H2291">
        <v>0</v>
      </c>
      <c r="I2291" t="s">
        <v>16</v>
      </c>
    </row>
    <row r="2292" spans="1:9" x14ac:dyDescent="0.25">
      <c r="A2292" t="s">
        <v>13</v>
      </c>
      <c r="B2292">
        <v>2096439</v>
      </c>
      <c r="C2292">
        <v>2097152</v>
      </c>
      <c r="E2292" t="s">
        <v>28</v>
      </c>
      <c r="F2292" t="s">
        <v>5953</v>
      </c>
      <c r="H2292">
        <v>0</v>
      </c>
      <c r="I2292" t="s">
        <v>16</v>
      </c>
    </row>
    <row r="2293" spans="1:9" x14ac:dyDescent="0.25">
      <c r="A2293" t="s">
        <v>13</v>
      </c>
      <c r="B2293">
        <v>2097156</v>
      </c>
      <c r="C2293">
        <v>2098301</v>
      </c>
      <c r="E2293" t="s">
        <v>28</v>
      </c>
      <c r="F2293" t="s">
        <v>5956</v>
      </c>
      <c r="H2293">
        <v>0</v>
      </c>
      <c r="I2293" t="s">
        <v>16</v>
      </c>
    </row>
    <row r="2294" spans="1:9" x14ac:dyDescent="0.25">
      <c r="A2294" t="s">
        <v>13</v>
      </c>
      <c r="B2294">
        <v>2098302</v>
      </c>
      <c r="C2294">
        <v>2098559</v>
      </c>
      <c r="E2294" t="s">
        <v>28</v>
      </c>
      <c r="F2294" t="s">
        <v>41</v>
      </c>
      <c r="H2294">
        <v>0</v>
      </c>
      <c r="I2294" t="s">
        <v>16</v>
      </c>
    </row>
    <row r="2295" spans="1:9" x14ac:dyDescent="0.25">
      <c r="A2295" t="s">
        <v>13</v>
      </c>
      <c r="B2295">
        <v>2098569</v>
      </c>
      <c r="C2295">
        <v>2099540</v>
      </c>
      <c r="E2295" t="s">
        <v>28</v>
      </c>
      <c r="F2295" t="s">
        <v>5961</v>
      </c>
      <c r="H2295">
        <v>0</v>
      </c>
      <c r="I2295" t="s">
        <v>16</v>
      </c>
    </row>
    <row r="2296" spans="1:9" x14ac:dyDescent="0.25">
      <c r="A2296" t="s">
        <v>13</v>
      </c>
      <c r="B2296">
        <v>2099788</v>
      </c>
      <c r="C2296">
        <v>2100057</v>
      </c>
      <c r="E2296" t="s">
        <v>14</v>
      </c>
      <c r="F2296" t="s">
        <v>5964</v>
      </c>
      <c r="H2296">
        <v>0</v>
      </c>
      <c r="I2296" t="s">
        <v>16</v>
      </c>
    </row>
    <row r="2297" spans="1:9" x14ac:dyDescent="0.25">
      <c r="A2297" t="s">
        <v>13</v>
      </c>
      <c r="B2297">
        <v>2100148</v>
      </c>
      <c r="C2297">
        <v>2100633</v>
      </c>
      <c r="E2297" t="s">
        <v>28</v>
      </c>
      <c r="F2297" t="s">
        <v>41</v>
      </c>
      <c r="H2297">
        <v>0</v>
      </c>
      <c r="I2297" t="s">
        <v>16</v>
      </c>
    </row>
    <row r="2298" spans="1:9" x14ac:dyDescent="0.25">
      <c r="A2298" t="s">
        <v>13</v>
      </c>
      <c r="B2298">
        <v>2100694</v>
      </c>
      <c r="C2298">
        <v>2100960</v>
      </c>
      <c r="E2298" t="s">
        <v>14</v>
      </c>
      <c r="F2298" t="s">
        <v>41</v>
      </c>
      <c r="H2298">
        <v>0</v>
      </c>
      <c r="I2298" t="s">
        <v>16</v>
      </c>
    </row>
    <row r="2299" spans="1:9" x14ac:dyDescent="0.25">
      <c r="A2299" t="s">
        <v>13</v>
      </c>
      <c r="B2299">
        <v>2100957</v>
      </c>
      <c r="C2299">
        <v>2101394</v>
      </c>
      <c r="E2299" t="s">
        <v>14</v>
      </c>
      <c r="F2299" t="s">
        <v>41</v>
      </c>
      <c r="H2299">
        <v>0</v>
      </c>
      <c r="I2299" t="s">
        <v>16</v>
      </c>
    </row>
    <row r="2300" spans="1:9" x14ac:dyDescent="0.25">
      <c r="A2300" t="s">
        <v>13</v>
      </c>
      <c r="B2300">
        <v>2101402</v>
      </c>
      <c r="C2300">
        <v>2102205</v>
      </c>
      <c r="E2300" t="s">
        <v>14</v>
      </c>
      <c r="F2300" t="s">
        <v>5973</v>
      </c>
      <c r="H2300">
        <v>0</v>
      </c>
      <c r="I2300" t="s">
        <v>16</v>
      </c>
    </row>
    <row r="2301" spans="1:9" x14ac:dyDescent="0.25">
      <c r="A2301" t="s">
        <v>13</v>
      </c>
      <c r="B2301">
        <v>2102176</v>
      </c>
      <c r="C2301">
        <v>2102589</v>
      </c>
      <c r="E2301" t="s">
        <v>28</v>
      </c>
      <c r="F2301" t="s">
        <v>41</v>
      </c>
      <c r="H2301">
        <v>0</v>
      </c>
      <c r="I2301" t="s">
        <v>16</v>
      </c>
    </row>
    <row r="2302" spans="1:9" x14ac:dyDescent="0.25">
      <c r="A2302" t="s">
        <v>13</v>
      </c>
      <c r="B2302">
        <v>2102586</v>
      </c>
      <c r="C2302">
        <v>2102975</v>
      </c>
      <c r="E2302" t="s">
        <v>28</v>
      </c>
      <c r="F2302" t="s">
        <v>41</v>
      </c>
      <c r="H2302">
        <v>0</v>
      </c>
      <c r="I2302" t="s">
        <v>16</v>
      </c>
    </row>
    <row r="2303" spans="1:9" x14ac:dyDescent="0.25">
      <c r="A2303" t="s">
        <v>13</v>
      </c>
      <c r="B2303">
        <v>2103067</v>
      </c>
      <c r="C2303">
        <v>2103984</v>
      </c>
      <c r="E2303" t="s">
        <v>14</v>
      </c>
      <c r="F2303" t="s">
        <v>3841</v>
      </c>
      <c r="H2303">
        <v>0</v>
      </c>
      <c r="I2303" t="s">
        <v>16</v>
      </c>
    </row>
    <row r="2304" spans="1:9" x14ac:dyDescent="0.25">
      <c r="A2304" t="s">
        <v>13</v>
      </c>
      <c r="B2304">
        <v>2104043</v>
      </c>
      <c r="C2304">
        <v>2105266</v>
      </c>
      <c r="E2304" t="s">
        <v>14</v>
      </c>
      <c r="F2304" t="s">
        <v>5982</v>
      </c>
      <c r="H2304">
        <v>0</v>
      </c>
      <c r="I2304" t="s">
        <v>16</v>
      </c>
    </row>
    <row r="2305" spans="1:9" x14ac:dyDescent="0.25">
      <c r="A2305" t="s">
        <v>13</v>
      </c>
      <c r="B2305">
        <v>2105263</v>
      </c>
      <c r="C2305">
        <v>2106420</v>
      </c>
      <c r="E2305" t="s">
        <v>14</v>
      </c>
      <c r="F2305" t="s">
        <v>5985</v>
      </c>
      <c r="H2305">
        <v>0</v>
      </c>
      <c r="I2305" t="s">
        <v>16</v>
      </c>
    </row>
    <row r="2306" spans="1:9" x14ac:dyDescent="0.25">
      <c r="A2306" t="s">
        <v>13</v>
      </c>
      <c r="B2306">
        <v>2106433</v>
      </c>
      <c r="C2306">
        <v>2107668</v>
      </c>
      <c r="E2306" t="s">
        <v>14</v>
      </c>
      <c r="F2306" t="s">
        <v>5988</v>
      </c>
      <c r="H2306">
        <v>0</v>
      </c>
      <c r="I2306" t="s">
        <v>16</v>
      </c>
    </row>
    <row r="2307" spans="1:9" x14ac:dyDescent="0.25">
      <c r="A2307" t="s">
        <v>13</v>
      </c>
      <c r="B2307">
        <v>2107676</v>
      </c>
      <c r="C2307">
        <v>2108773</v>
      </c>
      <c r="E2307" t="s">
        <v>28</v>
      </c>
      <c r="F2307" t="s">
        <v>41</v>
      </c>
      <c r="H2307">
        <v>0</v>
      </c>
      <c r="I2307" t="s">
        <v>16</v>
      </c>
    </row>
    <row r="2308" spans="1:9" x14ac:dyDescent="0.25">
      <c r="A2308" t="s">
        <v>13</v>
      </c>
      <c r="B2308">
        <v>2108781</v>
      </c>
      <c r="C2308">
        <v>2109476</v>
      </c>
      <c r="E2308" t="s">
        <v>28</v>
      </c>
      <c r="F2308" t="s">
        <v>2057</v>
      </c>
      <c r="H2308">
        <v>0</v>
      </c>
      <c r="I2308" t="s">
        <v>16</v>
      </c>
    </row>
    <row r="2309" spans="1:9" x14ac:dyDescent="0.25">
      <c r="A2309" t="s">
        <v>13</v>
      </c>
      <c r="B2309">
        <v>2109532</v>
      </c>
      <c r="C2309">
        <v>2109828</v>
      </c>
      <c r="E2309" t="s">
        <v>28</v>
      </c>
      <c r="F2309" t="s">
        <v>5995</v>
      </c>
      <c r="H2309">
        <v>0</v>
      </c>
      <c r="I2309" t="s">
        <v>16</v>
      </c>
    </row>
    <row r="2310" spans="1:9" x14ac:dyDescent="0.25">
      <c r="A2310" t="s">
        <v>13</v>
      </c>
      <c r="B2310">
        <v>2109897</v>
      </c>
      <c r="C2310">
        <v>2110337</v>
      </c>
      <c r="E2310" t="s">
        <v>14</v>
      </c>
      <c r="F2310" t="s">
        <v>5998</v>
      </c>
      <c r="H2310">
        <v>0</v>
      </c>
      <c r="I2310" t="s">
        <v>16</v>
      </c>
    </row>
    <row r="2311" spans="1:9" x14ac:dyDescent="0.25">
      <c r="A2311" t="s">
        <v>13</v>
      </c>
      <c r="B2311">
        <v>2110331</v>
      </c>
      <c r="C2311">
        <v>2111452</v>
      </c>
      <c r="E2311" t="s">
        <v>28</v>
      </c>
      <c r="F2311" t="s">
        <v>6001</v>
      </c>
      <c r="H2311">
        <v>0</v>
      </c>
      <c r="I2311" t="s">
        <v>16</v>
      </c>
    </row>
    <row r="2312" spans="1:9" x14ac:dyDescent="0.25">
      <c r="A2312" t="s">
        <v>13</v>
      </c>
      <c r="B2312">
        <v>2111543</v>
      </c>
      <c r="C2312">
        <v>2112460</v>
      </c>
      <c r="E2312" t="s">
        <v>28</v>
      </c>
      <c r="F2312" t="s">
        <v>6004</v>
      </c>
      <c r="H2312">
        <v>0</v>
      </c>
      <c r="I2312" t="s">
        <v>16</v>
      </c>
    </row>
    <row r="2313" spans="1:9" x14ac:dyDescent="0.25">
      <c r="A2313" t="s">
        <v>13</v>
      </c>
      <c r="B2313">
        <v>2112478</v>
      </c>
      <c r="C2313">
        <v>2113128</v>
      </c>
      <c r="E2313" t="s">
        <v>14</v>
      </c>
      <c r="F2313" t="s">
        <v>6007</v>
      </c>
      <c r="H2313">
        <v>0</v>
      </c>
      <c r="I2313" t="s">
        <v>16</v>
      </c>
    </row>
    <row r="2314" spans="1:9" x14ac:dyDescent="0.25">
      <c r="A2314" t="s">
        <v>13</v>
      </c>
      <c r="B2314">
        <v>2113138</v>
      </c>
      <c r="C2314">
        <v>2113992</v>
      </c>
      <c r="E2314" t="s">
        <v>14</v>
      </c>
      <c r="F2314" t="s">
        <v>645</v>
      </c>
      <c r="H2314">
        <v>0</v>
      </c>
      <c r="I2314" t="s">
        <v>16</v>
      </c>
    </row>
    <row r="2315" spans="1:9" x14ac:dyDescent="0.25">
      <c r="A2315" t="s">
        <v>13</v>
      </c>
      <c r="B2315">
        <v>2113962</v>
      </c>
      <c r="C2315">
        <v>2115047</v>
      </c>
      <c r="E2315" t="s">
        <v>28</v>
      </c>
      <c r="F2315" t="s">
        <v>6012</v>
      </c>
      <c r="H2315">
        <v>0</v>
      </c>
      <c r="I2315" t="s">
        <v>16</v>
      </c>
    </row>
    <row r="2316" spans="1:9" x14ac:dyDescent="0.25">
      <c r="A2316" t="s">
        <v>13</v>
      </c>
      <c r="B2316">
        <v>2115153</v>
      </c>
      <c r="C2316">
        <v>2115629</v>
      </c>
      <c r="E2316" t="s">
        <v>28</v>
      </c>
      <c r="F2316" t="s">
        <v>6015</v>
      </c>
      <c r="H2316">
        <v>0</v>
      </c>
      <c r="I2316" t="s">
        <v>16</v>
      </c>
    </row>
    <row r="2317" spans="1:9" x14ac:dyDescent="0.25">
      <c r="A2317" t="s">
        <v>13</v>
      </c>
      <c r="B2317">
        <v>2115632</v>
      </c>
      <c r="C2317">
        <v>2117170</v>
      </c>
      <c r="E2317" t="s">
        <v>28</v>
      </c>
      <c r="F2317" t="s">
        <v>6018</v>
      </c>
      <c r="H2317">
        <v>0</v>
      </c>
      <c r="I2317" t="s">
        <v>16</v>
      </c>
    </row>
    <row r="2318" spans="1:9" x14ac:dyDescent="0.25">
      <c r="A2318" t="s">
        <v>13</v>
      </c>
      <c r="B2318">
        <v>2117411</v>
      </c>
      <c r="C2318">
        <v>2118703</v>
      </c>
      <c r="E2318" t="s">
        <v>14</v>
      </c>
      <c r="F2318" t="s">
        <v>6021</v>
      </c>
      <c r="H2318">
        <v>0</v>
      </c>
      <c r="I2318" t="s">
        <v>16</v>
      </c>
    </row>
    <row r="2319" spans="1:9" x14ac:dyDescent="0.25">
      <c r="A2319" t="s">
        <v>13</v>
      </c>
      <c r="B2319">
        <v>2118700</v>
      </c>
      <c r="C2319">
        <v>2119050</v>
      </c>
      <c r="E2319" t="s">
        <v>14</v>
      </c>
      <c r="F2319" t="s">
        <v>6024</v>
      </c>
      <c r="H2319">
        <v>0</v>
      </c>
      <c r="I2319" t="s">
        <v>16</v>
      </c>
    </row>
    <row r="2320" spans="1:9" x14ac:dyDescent="0.25">
      <c r="A2320" t="s">
        <v>13</v>
      </c>
      <c r="B2320">
        <v>2119055</v>
      </c>
      <c r="C2320">
        <v>2119957</v>
      </c>
      <c r="E2320" t="s">
        <v>14</v>
      </c>
      <c r="F2320" t="s">
        <v>6027</v>
      </c>
      <c r="H2320">
        <v>0</v>
      </c>
      <c r="I2320" t="s">
        <v>16</v>
      </c>
    </row>
    <row r="2321" spans="1:9" x14ac:dyDescent="0.25">
      <c r="A2321" t="s">
        <v>13</v>
      </c>
      <c r="B2321">
        <v>2119947</v>
      </c>
      <c r="C2321">
        <v>2120618</v>
      </c>
      <c r="E2321" t="s">
        <v>14</v>
      </c>
      <c r="F2321" t="s">
        <v>6030</v>
      </c>
      <c r="H2321">
        <v>0</v>
      </c>
      <c r="I2321" t="s">
        <v>16</v>
      </c>
    </row>
    <row r="2322" spans="1:9" x14ac:dyDescent="0.25">
      <c r="A2322" t="s">
        <v>13</v>
      </c>
      <c r="B2322">
        <v>2120805</v>
      </c>
      <c r="C2322">
        <v>2121029</v>
      </c>
      <c r="E2322" t="s">
        <v>14</v>
      </c>
      <c r="F2322" t="s">
        <v>41</v>
      </c>
      <c r="H2322">
        <v>0</v>
      </c>
      <c r="I2322" t="s">
        <v>16</v>
      </c>
    </row>
    <row r="2323" spans="1:9" x14ac:dyDescent="0.25">
      <c r="A2323" t="s">
        <v>13</v>
      </c>
      <c r="B2323">
        <v>2121039</v>
      </c>
      <c r="C2323">
        <v>2121578</v>
      </c>
      <c r="E2323" t="s">
        <v>14</v>
      </c>
      <c r="F2323" t="s">
        <v>41</v>
      </c>
      <c r="H2323">
        <v>0</v>
      </c>
      <c r="I2323" t="s">
        <v>16</v>
      </c>
    </row>
    <row r="2324" spans="1:9" x14ac:dyDescent="0.25">
      <c r="A2324" t="s">
        <v>13</v>
      </c>
      <c r="B2324">
        <v>2121575</v>
      </c>
      <c r="C2324">
        <v>2122624</v>
      </c>
      <c r="E2324" t="s">
        <v>14</v>
      </c>
      <c r="F2324" t="s">
        <v>6037</v>
      </c>
      <c r="H2324">
        <v>0</v>
      </c>
      <c r="I2324" t="s">
        <v>16</v>
      </c>
    </row>
    <row r="2325" spans="1:9" x14ac:dyDescent="0.25">
      <c r="A2325" t="s">
        <v>13</v>
      </c>
      <c r="B2325">
        <v>2122593</v>
      </c>
      <c r="C2325">
        <v>2123756</v>
      </c>
      <c r="E2325" t="s">
        <v>28</v>
      </c>
      <c r="F2325" t="s">
        <v>235</v>
      </c>
      <c r="H2325">
        <v>0</v>
      </c>
      <c r="I2325" t="s">
        <v>16</v>
      </c>
    </row>
    <row r="2326" spans="1:9" x14ac:dyDescent="0.25">
      <c r="A2326" t="s">
        <v>13</v>
      </c>
      <c r="B2326">
        <v>2123833</v>
      </c>
      <c r="C2326">
        <v>2124531</v>
      </c>
      <c r="E2326" t="s">
        <v>14</v>
      </c>
      <c r="F2326" t="s">
        <v>41</v>
      </c>
      <c r="H2326">
        <v>0</v>
      </c>
      <c r="I2326" t="s">
        <v>16</v>
      </c>
    </row>
    <row r="2327" spans="1:9" x14ac:dyDescent="0.25">
      <c r="A2327" t="s">
        <v>13</v>
      </c>
      <c r="B2327">
        <v>2124509</v>
      </c>
      <c r="C2327">
        <v>2127145</v>
      </c>
      <c r="E2327" t="s">
        <v>28</v>
      </c>
      <c r="F2327" t="s">
        <v>6044</v>
      </c>
      <c r="H2327">
        <v>0</v>
      </c>
      <c r="I2327" t="s">
        <v>16</v>
      </c>
    </row>
    <row r="2328" spans="1:9" x14ac:dyDescent="0.25">
      <c r="A2328" t="s">
        <v>13</v>
      </c>
      <c r="B2328">
        <v>2127250</v>
      </c>
      <c r="C2328">
        <v>2128032</v>
      </c>
      <c r="E2328" t="s">
        <v>28</v>
      </c>
      <c r="F2328" t="s">
        <v>41</v>
      </c>
      <c r="H2328">
        <v>0</v>
      </c>
      <c r="I2328" t="s">
        <v>16</v>
      </c>
    </row>
    <row r="2329" spans="1:9" x14ac:dyDescent="0.25">
      <c r="A2329" t="s">
        <v>13</v>
      </c>
      <c r="B2329">
        <v>2128025</v>
      </c>
      <c r="C2329">
        <v>2128585</v>
      </c>
      <c r="E2329" t="s">
        <v>28</v>
      </c>
      <c r="F2329" t="s">
        <v>41</v>
      </c>
      <c r="H2329">
        <v>0</v>
      </c>
      <c r="I2329" t="s">
        <v>16</v>
      </c>
    </row>
    <row r="2330" spans="1:9" x14ac:dyDescent="0.25">
      <c r="A2330" t="s">
        <v>13</v>
      </c>
      <c r="B2330">
        <v>2128582</v>
      </c>
      <c r="C2330">
        <v>2129823</v>
      </c>
      <c r="E2330" t="s">
        <v>28</v>
      </c>
      <c r="F2330" t="s">
        <v>6051</v>
      </c>
      <c r="H2330">
        <v>0</v>
      </c>
      <c r="I2330" t="s">
        <v>16</v>
      </c>
    </row>
    <row r="2331" spans="1:9" x14ac:dyDescent="0.25">
      <c r="A2331" t="s">
        <v>13</v>
      </c>
      <c r="B2331">
        <v>2129820</v>
      </c>
      <c r="C2331">
        <v>2130929</v>
      </c>
      <c r="E2331" t="s">
        <v>28</v>
      </c>
      <c r="F2331" t="s">
        <v>6054</v>
      </c>
      <c r="H2331">
        <v>0</v>
      </c>
      <c r="I2331" t="s">
        <v>16</v>
      </c>
    </row>
    <row r="2332" spans="1:9" x14ac:dyDescent="0.25">
      <c r="A2332" t="s">
        <v>13</v>
      </c>
      <c r="B2332">
        <v>2131070</v>
      </c>
      <c r="C2332">
        <v>2131282</v>
      </c>
      <c r="E2332" t="s">
        <v>28</v>
      </c>
      <c r="F2332" t="s">
        <v>41</v>
      </c>
      <c r="H2332">
        <v>0</v>
      </c>
      <c r="I2332" t="s">
        <v>16</v>
      </c>
    </row>
    <row r="2333" spans="1:9" x14ac:dyDescent="0.25">
      <c r="A2333" t="s">
        <v>13</v>
      </c>
      <c r="B2333">
        <v>2131335</v>
      </c>
      <c r="C2333">
        <v>2131408</v>
      </c>
      <c r="E2333" t="s">
        <v>28</v>
      </c>
      <c r="F2333" t="s">
        <v>132</v>
      </c>
      <c r="H2333">
        <v>0</v>
      </c>
      <c r="I2333" t="s">
        <v>133</v>
      </c>
    </row>
    <row r="2334" spans="1:9" x14ac:dyDescent="0.25">
      <c r="A2334" t="s">
        <v>13</v>
      </c>
      <c r="B2334">
        <v>2131466</v>
      </c>
      <c r="C2334">
        <v>2132029</v>
      </c>
      <c r="E2334" t="s">
        <v>14</v>
      </c>
      <c r="F2334" t="s">
        <v>6060</v>
      </c>
      <c r="H2334">
        <v>0</v>
      </c>
      <c r="I2334" t="s">
        <v>16</v>
      </c>
    </row>
    <row r="2335" spans="1:9" x14ac:dyDescent="0.25">
      <c r="A2335" t="s">
        <v>13</v>
      </c>
      <c r="B2335">
        <v>2132026</v>
      </c>
      <c r="C2335">
        <v>2132301</v>
      </c>
      <c r="E2335" t="s">
        <v>28</v>
      </c>
      <c r="F2335" t="s">
        <v>41</v>
      </c>
      <c r="H2335">
        <v>0</v>
      </c>
      <c r="I2335" t="s">
        <v>16</v>
      </c>
    </row>
    <row r="2336" spans="1:9" x14ac:dyDescent="0.25">
      <c r="A2336" t="s">
        <v>13</v>
      </c>
      <c r="B2336">
        <v>2132373</v>
      </c>
      <c r="C2336">
        <v>2133092</v>
      </c>
      <c r="E2336" t="s">
        <v>14</v>
      </c>
      <c r="F2336" t="s">
        <v>2207</v>
      </c>
      <c r="H2336">
        <v>0</v>
      </c>
      <c r="I2336" t="s">
        <v>16</v>
      </c>
    </row>
    <row r="2337" spans="1:9" x14ac:dyDescent="0.25">
      <c r="A2337" t="s">
        <v>13</v>
      </c>
      <c r="B2337">
        <v>2133089</v>
      </c>
      <c r="C2337">
        <v>2134267</v>
      </c>
      <c r="E2337" t="s">
        <v>14</v>
      </c>
      <c r="F2337" t="s">
        <v>6067</v>
      </c>
      <c r="H2337">
        <v>0</v>
      </c>
      <c r="I2337" t="s">
        <v>16</v>
      </c>
    </row>
    <row r="2338" spans="1:9" x14ac:dyDescent="0.25">
      <c r="A2338" t="s">
        <v>13</v>
      </c>
      <c r="B2338">
        <v>2134278</v>
      </c>
      <c r="C2338">
        <v>2135135</v>
      </c>
      <c r="E2338" t="s">
        <v>14</v>
      </c>
      <c r="F2338" t="s">
        <v>6070</v>
      </c>
      <c r="H2338">
        <v>0</v>
      </c>
      <c r="I2338" t="s">
        <v>16</v>
      </c>
    </row>
    <row r="2339" spans="1:9" x14ac:dyDescent="0.25">
      <c r="A2339" t="s">
        <v>13</v>
      </c>
      <c r="B2339">
        <v>2135144</v>
      </c>
      <c r="C2339">
        <v>2135344</v>
      </c>
      <c r="E2339" t="s">
        <v>14</v>
      </c>
      <c r="F2339" t="s">
        <v>41</v>
      </c>
      <c r="H2339">
        <v>0</v>
      </c>
      <c r="I2339" t="s">
        <v>16</v>
      </c>
    </row>
    <row r="2340" spans="1:9" x14ac:dyDescent="0.25">
      <c r="A2340" t="s">
        <v>13</v>
      </c>
      <c r="B2340">
        <v>2135346</v>
      </c>
      <c r="C2340">
        <v>2135828</v>
      </c>
      <c r="E2340" t="s">
        <v>14</v>
      </c>
      <c r="F2340" t="s">
        <v>41</v>
      </c>
      <c r="H2340">
        <v>0</v>
      </c>
      <c r="I2340" t="s">
        <v>16</v>
      </c>
    </row>
    <row r="2341" spans="1:9" x14ac:dyDescent="0.25">
      <c r="A2341" t="s">
        <v>13</v>
      </c>
      <c r="B2341">
        <v>2135825</v>
      </c>
      <c r="C2341">
        <v>2136601</v>
      </c>
      <c r="E2341" t="s">
        <v>14</v>
      </c>
      <c r="F2341" t="s">
        <v>4422</v>
      </c>
      <c r="H2341">
        <v>0</v>
      </c>
      <c r="I2341" t="s">
        <v>16</v>
      </c>
    </row>
    <row r="2342" spans="1:9" x14ac:dyDescent="0.25">
      <c r="A2342" t="s">
        <v>13</v>
      </c>
      <c r="B2342">
        <v>2136610</v>
      </c>
      <c r="C2342">
        <v>2137428</v>
      </c>
      <c r="E2342" t="s">
        <v>14</v>
      </c>
      <c r="F2342" t="s">
        <v>6079</v>
      </c>
      <c r="H2342">
        <v>0</v>
      </c>
      <c r="I2342" t="s">
        <v>16</v>
      </c>
    </row>
    <row r="2343" spans="1:9" x14ac:dyDescent="0.25">
      <c r="A2343" t="s">
        <v>13</v>
      </c>
      <c r="B2343">
        <v>2137412</v>
      </c>
      <c r="C2343">
        <v>2138629</v>
      </c>
      <c r="E2343" t="s">
        <v>14</v>
      </c>
      <c r="F2343" t="s">
        <v>1547</v>
      </c>
      <c r="H2343">
        <v>0</v>
      </c>
      <c r="I2343" t="s">
        <v>16</v>
      </c>
    </row>
    <row r="2344" spans="1:9" x14ac:dyDescent="0.25">
      <c r="A2344" t="s">
        <v>13</v>
      </c>
      <c r="B2344">
        <v>2138638</v>
      </c>
      <c r="C2344">
        <v>2139336</v>
      </c>
      <c r="E2344" t="s">
        <v>14</v>
      </c>
      <c r="F2344" t="s">
        <v>41</v>
      </c>
      <c r="H2344">
        <v>0</v>
      </c>
      <c r="I2344" t="s">
        <v>16</v>
      </c>
    </row>
    <row r="2345" spans="1:9" x14ac:dyDescent="0.25">
      <c r="A2345" t="s">
        <v>13</v>
      </c>
      <c r="B2345">
        <v>2139333</v>
      </c>
      <c r="C2345">
        <v>2139653</v>
      </c>
      <c r="E2345" t="s">
        <v>28</v>
      </c>
      <c r="F2345" t="s">
        <v>41</v>
      </c>
      <c r="H2345">
        <v>0</v>
      </c>
      <c r="I2345" t="s">
        <v>16</v>
      </c>
    </row>
    <row r="2346" spans="1:9" x14ac:dyDescent="0.25">
      <c r="A2346" t="s">
        <v>13</v>
      </c>
      <c r="B2346">
        <v>2139640</v>
      </c>
      <c r="C2346">
        <v>2140725</v>
      </c>
      <c r="E2346" t="s">
        <v>28</v>
      </c>
      <c r="F2346" t="s">
        <v>6088</v>
      </c>
      <c r="H2346">
        <v>0</v>
      </c>
      <c r="I2346" t="s">
        <v>16</v>
      </c>
    </row>
    <row r="2347" spans="1:9" x14ac:dyDescent="0.25">
      <c r="A2347" t="s">
        <v>13</v>
      </c>
      <c r="B2347">
        <v>2140728</v>
      </c>
      <c r="C2347">
        <v>2142848</v>
      </c>
      <c r="E2347" t="s">
        <v>28</v>
      </c>
      <c r="F2347" t="s">
        <v>6091</v>
      </c>
      <c r="H2347">
        <v>0</v>
      </c>
      <c r="I2347" t="s">
        <v>16</v>
      </c>
    </row>
    <row r="2348" spans="1:9" x14ac:dyDescent="0.25">
      <c r="A2348" t="s">
        <v>13</v>
      </c>
      <c r="B2348">
        <v>2142866</v>
      </c>
      <c r="C2348">
        <v>2143915</v>
      </c>
      <c r="E2348" t="s">
        <v>14</v>
      </c>
      <c r="F2348" t="s">
        <v>6094</v>
      </c>
      <c r="H2348">
        <v>0</v>
      </c>
      <c r="I2348" t="s">
        <v>16</v>
      </c>
    </row>
    <row r="2349" spans="1:9" x14ac:dyDescent="0.25">
      <c r="A2349" t="s">
        <v>13</v>
      </c>
      <c r="B2349">
        <v>2143923</v>
      </c>
      <c r="C2349">
        <v>2144582</v>
      </c>
      <c r="E2349" t="s">
        <v>14</v>
      </c>
      <c r="F2349" t="s">
        <v>6097</v>
      </c>
      <c r="H2349">
        <v>0</v>
      </c>
      <c r="I2349" t="s">
        <v>16</v>
      </c>
    </row>
    <row r="2350" spans="1:9" x14ac:dyDescent="0.25">
      <c r="A2350" t="s">
        <v>13</v>
      </c>
      <c r="B2350">
        <v>2144584</v>
      </c>
      <c r="C2350">
        <v>2145642</v>
      </c>
      <c r="E2350" t="s">
        <v>14</v>
      </c>
      <c r="F2350" t="s">
        <v>6100</v>
      </c>
      <c r="H2350">
        <v>0</v>
      </c>
      <c r="I2350" t="s">
        <v>16</v>
      </c>
    </row>
    <row r="2351" spans="1:9" x14ac:dyDescent="0.25">
      <c r="A2351" t="s">
        <v>13</v>
      </c>
      <c r="B2351">
        <v>2145639</v>
      </c>
      <c r="C2351">
        <v>2147990</v>
      </c>
      <c r="E2351" t="s">
        <v>14</v>
      </c>
      <c r="F2351" t="s">
        <v>6103</v>
      </c>
      <c r="H2351">
        <v>0</v>
      </c>
      <c r="I2351" t="s">
        <v>16</v>
      </c>
    </row>
    <row r="2352" spans="1:9" x14ac:dyDescent="0.25">
      <c r="A2352" t="s">
        <v>13</v>
      </c>
      <c r="B2352">
        <v>2148000</v>
      </c>
      <c r="C2352">
        <v>2148461</v>
      </c>
      <c r="E2352" t="s">
        <v>14</v>
      </c>
      <c r="F2352" t="s">
        <v>41</v>
      </c>
      <c r="H2352">
        <v>0</v>
      </c>
      <c r="I2352" t="s">
        <v>16</v>
      </c>
    </row>
    <row r="2353" spans="1:9" x14ac:dyDescent="0.25">
      <c r="A2353" t="s">
        <v>13</v>
      </c>
      <c r="B2353">
        <v>2148438</v>
      </c>
      <c r="C2353">
        <v>2149406</v>
      </c>
      <c r="E2353" t="s">
        <v>28</v>
      </c>
      <c r="F2353" t="s">
        <v>6108</v>
      </c>
      <c r="H2353">
        <v>0</v>
      </c>
      <c r="I2353" t="s">
        <v>16</v>
      </c>
    </row>
    <row r="2354" spans="1:9" x14ac:dyDescent="0.25">
      <c r="A2354" t="s">
        <v>13</v>
      </c>
      <c r="B2354">
        <v>2149403</v>
      </c>
      <c r="C2354">
        <v>2150191</v>
      </c>
      <c r="E2354" t="s">
        <v>28</v>
      </c>
      <c r="F2354" t="s">
        <v>6111</v>
      </c>
      <c r="H2354">
        <v>0</v>
      </c>
      <c r="I2354" t="s">
        <v>16</v>
      </c>
    </row>
    <row r="2355" spans="1:9" x14ac:dyDescent="0.25">
      <c r="A2355" t="s">
        <v>13</v>
      </c>
      <c r="B2355">
        <v>2150196</v>
      </c>
      <c r="C2355">
        <v>2150594</v>
      </c>
      <c r="E2355" t="s">
        <v>28</v>
      </c>
      <c r="F2355" t="s">
        <v>41</v>
      </c>
      <c r="H2355">
        <v>0</v>
      </c>
      <c r="I2355" t="s">
        <v>16</v>
      </c>
    </row>
    <row r="2356" spans="1:9" x14ac:dyDescent="0.25">
      <c r="A2356" t="s">
        <v>13</v>
      </c>
      <c r="B2356">
        <v>2150731</v>
      </c>
      <c r="C2356">
        <v>2151258</v>
      </c>
      <c r="E2356" t="s">
        <v>28</v>
      </c>
      <c r="F2356" t="s">
        <v>6116</v>
      </c>
      <c r="H2356">
        <v>0</v>
      </c>
      <c r="I2356" t="s">
        <v>16</v>
      </c>
    </row>
    <row r="2357" spans="1:9" x14ac:dyDescent="0.25">
      <c r="A2357" t="s">
        <v>13</v>
      </c>
      <c r="B2357">
        <v>2151269</v>
      </c>
      <c r="C2357">
        <v>2151898</v>
      </c>
      <c r="E2357" t="s">
        <v>28</v>
      </c>
      <c r="F2357" t="s">
        <v>6119</v>
      </c>
      <c r="H2357">
        <v>0</v>
      </c>
      <c r="I2357" t="s">
        <v>16</v>
      </c>
    </row>
    <row r="2358" spans="1:9" x14ac:dyDescent="0.25">
      <c r="A2358" t="s">
        <v>13</v>
      </c>
      <c r="B2358">
        <v>2151922</v>
      </c>
      <c r="C2358">
        <v>2152536</v>
      </c>
      <c r="E2358" t="s">
        <v>14</v>
      </c>
      <c r="F2358" t="s">
        <v>41</v>
      </c>
      <c r="H2358">
        <v>0</v>
      </c>
      <c r="I2358" t="s">
        <v>16</v>
      </c>
    </row>
    <row r="2359" spans="1:9" x14ac:dyDescent="0.25">
      <c r="A2359" t="s">
        <v>13</v>
      </c>
      <c r="B2359">
        <v>2152509</v>
      </c>
      <c r="C2359">
        <v>2152817</v>
      </c>
      <c r="E2359" t="s">
        <v>14</v>
      </c>
      <c r="F2359" t="s">
        <v>6124</v>
      </c>
      <c r="H2359">
        <v>0</v>
      </c>
      <c r="I2359" t="s">
        <v>16</v>
      </c>
    </row>
    <row r="2360" spans="1:9" x14ac:dyDescent="0.25">
      <c r="A2360" t="s">
        <v>13</v>
      </c>
      <c r="B2360">
        <v>2152814</v>
      </c>
      <c r="C2360">
        <v>2154844</v>
      </c>
      <c r="E2360" t="s">
        <v>14</v>
      </c>
      <c r="F2360" t="s">
        <v>6127</v>
      </c>
      <c r="H2360">
        <v>0</v>
      </c>
      <c r="I2360" t="s">
        <v>16</v>
      </c>
    </row>
    <row r="2361" spans="1:9" x14ac:dyDescent="0.25">
      <c r="A2361" t="s">
        <v>13</v>
      </c>
      <c r="B2361">
        <v>2154832</v>
      </c>
      <c r="C2361">
        <v>2155638</v>
      </c>
      <c r="E2361" t="s">
        <v>28</v>
      </c>
      <c r="F2361" t="s">
        <v>6130</v>
      </c>
      <c r="H2361">
        <v>0</v>
      </c>
      <c r="I2361" t="s">
        <v>16</v>
      </c>
    </row>
    <row r="2362" spans="1:9" x14ac:dyDescent="0.25">
      <c r="A2362" t="s">
        <v>13</v>
      </c>
      <c r="B2362">
        <v>2155622</v>
      </c>
      <c r="C2362">
        <v>2156371</v>
      </c>
      <c r="E2362" t="s">
        <v>28</v>
      </c>
      <c r="F2362" t="s">
        <v>6133</v>
      </c>
      <c r="H2362">
        <v>0</v>
      </c>
      <c r="I2362" t="s">
        <v>16</v>
      </c>
    </row>
    <row r="2363" spans="1:9" x14ac:dyDescent="0.25">
      <c r="A2363" t="s">
        <v>13</v>
      </c>
      <c r="B2363">
        <v>2156365</v>
      </c>
      <c r="C2363">
        <v>2157093</v>
      </c>
      <c r="E2363" t="s">
        <v>28</v>
      </c>
      <c r="F2363" t="s">
        <v>6136</v>
      </c>
      <c r="H2363">
        <v>0</v>
      </c>
      <c r="I2363" t="s">
        <v>16</v>
      </c>
    </row>
    <row r="2364" spans="1:9" x14ac:dyDescent="0.25">
      <c r="A2364" t="s">
        <v>13</v>
      </c>
      <c r="B2364">
        <v>2157119</v>
      </c>
      <c r="C2364">
        <v>2158909</v>
      </c>
      <c r="E2364" t="s">
        <v>28</v>
      </c>
      <c r="F2364" t="s">
        <v>6139</v>
      </c>
      <c r="H2364">
        <v>0</v>
      </c>
      <c r="I2364" t="s">
        <v>16</v>
      </c>
    </row>
    <row r="2365" spans="1:9" x14ac:dyDescent="0.25">
      <c r="A2365" t="s">
        <v>6142</v>
      </c>
      <c r="B2365">
        <v>87</v>
      </c>
      <c r="C2365">
        <v>1403</v>
      </c>
      <c r="D2365" t="s">
        <v>6143</v>
      </c>
      <c r="E2365" t="s">
        <v>28</v>
      </c>
      <c r="F2365" t="s">
        <v>41</v>
      </c>
      <c r="H2365">
        <v>0</v>
      </c>
      <c r="I2365" t="s">
        <v>16</v>
      </c>
    </row>
    <row r="2366" spans="1:9" x14ac:dyDescent="0.25">
      <c r="A2366" t="s">
        <v>6142</v>
      </c>
      <c r="B2366">
        <v>1400</v>
      </c>
      <c r="C2366">
        <v>1687</v>
      </c>
      <c r="D2366" t="s">
        <v>6143</v>
      </c>
      <c r="E2366" t="s">
        <v>28</v>
      </c>
      <c r="F2366" t="s">
        <v>41</v>
      </c>
      <c r="H2366">
        <v>0</v>
      </c>
      <c r="I2366" t="s">
        <v>16</v>
      </c>
    </row>
    <row r="2367" spans="1:9" x14ac:dyDescent="0.25">
      <c r="A2367" t="s">
        <v>6142</v>
      </c>
      <c r="B2367">
        <v>1719</v>
      </c>
      <c r="C2367">
        <v>1904</v>
      </c>
      <c r="D2367" t="s">
        <v>6143</v>
      </c>
      <c r="E2367" t="s">
        <v>14</v>
      </c>
      <c r="F2367" t="s">
        <v>41</v>
      </c>
      <c r="H2367">
        <v>0</v>
      </c>
      <c r="I2367" t="s">
        <v>16</v>
      </c>
    </row>
    <row r="2368" spans="1:9" x14ac:dyDescent="0.25">
      <c r="A2368" t="s">
        <v>6142</v>
      </c>
      <c r="B2368">
        <v>1956</v>
      </c>
      <c r="C2368">
        <v>2495</v>
      </c>
      <c r="D2368" t="s">
        <v>6143</v>
      </c>
      <c r="E2368" t="s">
        <v>14</v>
      </c>
      <c r="F2368" t="s">
        <v>41</v>
      </c>
      <c r="H2368">
        <v>0</v>
      </c>
      <c r="I2368" t="s">
        <v>16</v>
      </c>
    </row>
    <row r="2369" spans="1:9" x14ac:dyDescent="0.25">
      <c r="A2369" t="s">
        <v>6142</v>
      </c>
      <c r="B2369">
        <v>2599</v>
      </c>
      <c r="C2369">
        <v>3504</v>
      </c>
      <c r="D2369" t="s">
        <v>6143</v>
      </c>
      <c r="E2369" t="s">
        <v>14</v>
      </c>
      <c r="F2369" t="s">
        <v>41</v>
      </c>
      <c r="H2369">
        <v>0</v>
      </c>
      <c r="I2369" t="s">
        <v>16</v>
      </c>
    </row>
    <row r="2370" spans="1:9" x14ac:dyDescent="0.25">
      <c r="A2370" t="s">
        <v>6142</v>
      </c>
      <c r="B2370">
        <v>3711</v>
      </c>
      <c r="C2370">
        <v>4553</v>
      </c>
      <c r="D2370" t="s">
        <v>6143</v>
      </c>
      <c r="E2370" t="s">
        <v>14</v>
      </c>
      <c r="F2370" t="s">
        <v>6154</v>
      </c>
      <c r="H2370">
        <v>0</v>
      </c>
      <c r="I2370" t="s">
        <v>16</v>
      </c>
    </row>
    <row r="2371" spans="1:9" x14ac:dyDescent="0.25">
      <c r="A2371" t="s">
        <v>6142</v>
      </c>
      <c r="B2371">
        <v>4555</v>
      </c>
      <c r="C2371">
        <v>4905</v>
      </c>
      <c r="D2371" t="s">
        <v>6143</v>
      </c>
      <c r="E2371" t="s">
        <v>14</v>
      </c>
      <c r="F2371" t="s">
        <v>41</v>
      </c>
      <c r="H2371">
        <v>0</v>
      </c>
      <c r="I2371" t="s">
        <v>16</v>
      </c>
    </row>
    <row r="2372" spans="1:9" x14ac:dyDescent="0.25">
      <c r="A2372" t="s">
        <v>6142</v>
      </c>
      <c r="B2372">
        <v>4929</v>
      </c>
      <c r="C2372">
        <v>6074</v>
      </c>
      <c r="D2372" t="s">
        <v>6143</v>
      </c>
      <c r="E2372" t="s">
        <v>14</v>
      </c>
      <c r="F2372" t="s">
        <v>6159</v>
      </c>
      <c r="H2372">
        <v>0</v>
      </c>
      <c r="I2372" t="s">
        <v>16</v>
      </c>
    </row>
    <row r="2373" spans="1:9" x14ac:dyDescent="0.25">
      <c r="A2373" t="s">
        <v>6142</v>
      </c>
      <c r="B2373">
        <v>6104</v>
      </c>
      <c r="C2373">
        <v>7270</v>
      </c>
      <c r="D2373" t="s">
        <v>6143</v>
      </c>
      <c r="E2373" t="s">
        <v>14</v>
      </c>
      <c r="F2373" t="s">
        <v>6162</v>
      </c>
      <c r="H2373">
        <v>0</v>
      </c>
      <c r="I2373" t="s">
        <v>16</v>
      </c>
    </row>
    <row r="2374" spans="1:9" x14ac:dyDescent="0.25">
      <c r="A2374" t="s">
        <v>6142</v>
      </c>
      <c r="B2374">
        <v>7303</v>
      </c>
      <c r="C2374">
        <v>7473</v>
      </c>
      <c r="D2374" t="s">
        <v>6143</v>
      </c>
      <c r="E2374" t="s">
        <v>14</v>
      </c>
      <c r="F2374" t="s">
        <v>41</v>
      </c>
      <c r="H2374">
        <v>0</v>
      </c>
      <c r="I2374" t="s">
        <v>16</v>
      </c>
    </row>
    <row r="2375" spans="1:9" x14ac:dyDescent="0.25">
      <c r="A2375" t="s">
        <v>6142</v>
      </c>
      <c r="B2375">
        <v>7566</v>
      </c>
      <c r="C2375">
        <v>8000</v>
      </c>
      <c r="D2375" t="s">
        <v>6143</v>
      </c>
      <c r="E2375" t="s">
        <v>28</v>
      </c>
      <c r="F2375" t="s">
        <v>41</v>
      </c>
      <c r="H2375">
        <v>0</v>
      </c>
      <c r="I2375" t="s">
        <v>16</v>
      </c>
    </row>
    <row r="2376" spans="1:9" x14ac:dyDescent="0.25">
      <c r="A2376" t="s">
        <v>6142</v>
      </c>
      <c r="B2376">
        <v>8065</v>
      </c>
      <c r="C2376">
        <v>8265</v>
      </c>
      <c r="D2376" t="s">
        <v>6143</v>
      </c>
      <c r="E2376" t="s">
        <v>14</v>
      </c>
      <c r="F2376" t="s">
        <v>41</v>
      </c>
      <c r="H2376">
        <v>0</v>
      </c>
      <c r="I2376" t="s">
        <v>16</v>
      </c>
    </row>
    <row r="2377" spans="1:9" x14ac:dyDescent="0.25">
      <c r="A2377" t="s">
        <v>6142</v>
      </c>
      <c r="B2377">
        <v>8373</v>
      </c>
      <c r="C2377">
        <v>8699</v>
      </c>
      <c r="D2377" t="s">
        <v>6143</v>
      </c>
      <c r="E2377" t="s">
        <v>14</v>
      </c>
      <c r="F2377" t="s">
        <v>41</v>
      </c>
      <c r="H2377">
        <v>0</v>
      </c>
      <c r="I2377" t="s">
        <v>16</v>
      </c>
    </row>
    <row r="2378" spans="1:9" x14ac:dyDescent="0.25">
      <c r="A2378" t="s">
        <v>6142</v>
      </c>
      <c r="B2378">
        <v>8696</v>
      </c>
      <c r="C2378">
        <v>8968</v>
      </c>
      <c r="D2378" t="s">
        <v>6143</v>
      </c>
      <c r="E2378" t="s">
        <v>14</v>
      </c>
      <c r="F2378" t="s">
        <v>41</v>
      </c>
      <c r="H2378">
        <v>0</v>
      </c>
      <c r="I2378" t="s">
        <v>16</v>
      </c>
    </row>
    <row r="2379" spans="1:9" x14ac:dyDescent="0.25">
      <c r="A2379" t="s">
        <v>6142</v>
      </c>
      <c r="B2379">
        <v>9000</v>
      </c>
      <c r="C2379">
        <v>9212</v>
      </c>
      <c r="D2379" t="s">
        <v>6143</v>
      </c>
      <c r="E2379" t="s">
        <v>14</v>
      </c>
      <c r="F2379" t="s">
        <v>41</v>
      </c>
      <c r="H2379">
        <v>0</v>
      </c>
      <c r="I2379" t="s">
        <v>16</v>
      </c>
    </row>
    <row r="2380" spans="1:9" x14ac:dyDescent="0.25">
      <c r="A2380" t="s">
        <v>6142</v>
      </c>
      <c r="B2380">
        <v>9186</v>
      </c>
      <c r="C2380">
        <v>9458</v>
      </c>
      <c r="D2380" t="s">
        <v>6143</v>
      </c>
      <c r="E2380" t="s">
        <v>28</v>
      </c>
      <c r="F2380" t="s">
        <v>41</v>
      </c>
      <c r="H2380">
        <v>0</v>
      </c>
      <c r="I2380" t="s">
        <v>16</v>
      </c>
    </row>
    <row r="2381" spans="1:9" x14ac:dyDescent="0.25">
      <c r="A2381" t="s">
        <v>6142</v>
      </c>
      <c r="B2381">
        <v>9863</v>
      </c>
      <c r="C2381">
        <v>11056</v>
      </c>
      <c r="D2381" t="s">
        <v>6143</v>
      </c>
      <c r="E2381" t="s">
        <v>28</v>
      </c>
      <c r="F2381" t="s">
        <v>6179</v>
      </c>
      <c r="H2381">
        <v>0</v>
      </c>
      <c r="I2381" t="s">
        <v>16</v>
      </c>
    </row>
    <row r="2382" spans="1:9" x14ac:dyDescent="0.25">
      <c r="A2382" t="s">
        <v>6142</v>
      </c>
      <c r="B2382">
        <v>11181</v>
      </c>
      <c r="C2382">
        <v>11534</v>
      </c>
      <c r="D2382" t="s">
        <v>6143</v>
      </c>
      <c r="E2382" t="s">
        <v>28</v>
      </c>
      <c r="F2382" t="s">
        <v>41</v>
      </c>
      <c r="H2382">
        <v>0</v>
      </c>
      <c r="I2382" t="s">
        <v>16</v>
      </c>
    </row>
    <row r="2383" spans="1:9" x14ac:dyDescent="0.25">
      <c r="A2383" t="s">
        <v>6142</v>
      </c>
      <c r="B2383">
        <v>11531</v>
      </c>
      <c r="C2383">
        <v>12298</v>
      </c>
      <c r="D2383" t="s">
        <v>6143</v>
      </c>
      <c r="E2383" t="s">
        <v>28</v>
      </c>
      <c r="F2383" t="s">
        <v>41</v>
      </c>
      <c r="H2383">
        <v>0</v>
      </c>
      <c r="I2383" t="s">
        <v>16</v>
      </c>
    </row>
    <row r="2384" spans="1:9" x14ac:dyDescent="0.25">
      <c r="A2384" t="s">
        <v>6142</v>
      </c>
      <c r="B2384">
        <v>12300</v>
      </c>
      <c r="C2384">
        <v>12530</v>
      </c>
      <c r="D2384" t="s">
        <v>6143</v>
      </c>
      <c r="E2384" t="s">
        <v>28</v>
      </c>
      <c r="F2384" t="s">
        <v>41</v>
      </c>
      <c r="H2384">
        <v>0</v>
      </c>
      <c r="I2384" t="s">
        <v>16</v>
      </c>
    </row>
    <row r="2385" spans="1:9" x14ac:dyDescent="0.25">
      <c r="A2385" t="s">
        <v>6142</v>
      </c>
      <c r="B2385">
        <v>13485</v>
      </c>
      <c r="C2385">
        <v>13739</v>
      </c>
      <c r="D2385" t="s">
        <v>6143</v>
      </c>
      <c r="E2385" t="s">
        <v>14</v>
      </c>
      <c r="F2385" t="s">
        <v>41</v>
      </c>
      <c r="H2385">
        <v>0</v>
      </c>
      <c r="I2385" t="s">
        <v>16</v>
      </c>
    </row>
    <row r="2386" spans="1:9" x14ac:dyDescent="0.25">
      <c r="A2386" t="s">
        <v>6190</v>
      </c>
      <c r="B2386">
        <v>651</v>
      </c>
      <c r="C2386">
        <v>884</v>
      </c>
      <c r="D2386" t="s">
        <v>6191</v>
      </c>
      <c r="E2386" t="s">
        <v>14</v>
      </c>
      <c r="F2386" t="s">
        <v>41</v>
      </c>
      <c r="H2386">
        <v>0</v>
      </c>
      <c r="I2386" t="s">
        <v>16</v>
      </c>
    </row>
    <row r="2387" spans="1:9" x14ac:dyDescent="0.25">
      <c r="A2387" t="s">
        <v>6190</v>
      </c>
      <c r="B2387">
        <v>933</v>
      </c>
      <c r="C2387">
        <v>1169</v>
      </c>
      <c r="D2387" t="s">
        <v>6191</v>
      </c>
      <c r="E2387" t="s">
        <v>14</v>
      </c>
      <c r="F2387" t="s">
        <v>6194</v>
      </c>
      <c r="H2387">
        <v>0</v>
      </c>
      <c r="I2387" t="s">
        <v>16</v>
      </c>
    </row>
    <row r="2388" spans="1:9" x14ac:dyDescent="0.25">
      <c r="A2388" t="s">
        <v>6190</v>
      </c>
      <c r="B2388">
        <v>1166</v>
      </c>
      <c r="C2388">
        <v>1528</v>
      </c>
      <c r="D2388" t="s">
        <v>6191</v>
      </c>
      <c r="E2388" t="s">
        <v>14</v>
      </c>
      <c r="F2388" t="s">
        <v>41</v>
      </c>
      <c r="H2388">
        <v>0</v>
      </c>
      <c r="I2388" t="s">
        <v>16</v>
      </c>
    </row>
    <row r="2389" spans="1:9" x14ac:dyDescent="0.25">
      <c r="A2389" t="s">
        <v>6190</v>
      </c>
      <c r="B2389">
        <v>1711</v>
      </c>
      <c r="C2389">
        <v>2436</v>
      </c>
      <c r="D2389" t="s">
        <v>6191</v>
      </c>
      <c r="E2389" t="s">
        <v>28</v>
      </c>
      <c r="F2389" t="s">
        <v>41</v>
      </c>
      <c r="H2389">
        <v>0</v>
      </c>
      <c r="I2389" t="s">
        <v>16</v>
      </c>
    </row>
    <row r="2390" spans="1:9" x14ac:dyDescent="0.25">
      <c r="A2390" t="s">
        <v>6190</v>
      </c>
      <c r="B2390">
        <v>2433</v>
      </c>
      <c r="C2390">
        <v>3044</v>
      </c>
      <c r="D2390" t="s">
        <v>6191</v>
      </c>
      <c r="E2390" t="s">
        <v>28</v>
      </c>
      <c r="F2390" t="s">
        <v>6201</v>
      </c>
      <c r="H2390">
        <v>0</v>
      </c>
      <c r="I2390" t="s">
        <v>16</v>
      </c>
    </row>
    <row r="2391" spans="1:9" x14ac:dyDescent="0.25">
      <c r="A2391" t="s">
        <v>6190</v>
      </c>
      <c r="B2391">
        <v>4145</v>
      </c>
      <c r="C2391">
        <v>5269</v>
      </c>
      <c r="D2391" t="s">
        <v>6191</v>
      </c>
      <c r="E2391" t="s">
        <v>28</v>
      </c>
      <c r="F2391" t="s">
        <v>6204</v>
      </c>
      <c r="H2391">
        <v>0</v>
      </c>
      <c r="I2391" t="s">
        <v>16</v>
      </c>
    </row>
    <row r="2392" spans="1:9" x14ac:dyDescent="0.25">
      <c r="A2392" t="s">
        <v>6190</v>
      </c>
      <c r="B2392">
        <v>5527</v>
      </c>
      <c r="C2392">
        <v>5787</v>
      </c>
      <c r="D2392" t="s">
        <v>6191</v>
      </c>
      <c r="E2392" t="s">
        <v>14</v>
      </c>
      <c r="F2392" t="s">
        <v>6207</v>
      </c>
      <c r="H2392">
        <v>0</v>
      </c>
      <c r="I2392" t="s">
        <v>16</v>
      </c>
    </row>
    <row r="2393" spans="1:9" x14ac:dyDescent="0.25">
      <c r="A2393" t="s">
        <v>6190</v>
      </c>
      <c r="B2393">
        <v>5904</v>
      </c>
      <c r="C2393">
        <v>6152</v>
      </c>
      <c r="D2393" t="s">
        <v>6191</v>
      </c>
      <c r="E2393" t="s">
        <v>14</v>
      </c>
      <c r="F2393" t="s">
        <v>6207</v>
      </c>
      <c r="H2393">
        <v>0</v>
      </c>
      <c r="I2393" t="s">
        <v>16</v>
      </c>
    </row>
    <row r="2394" spans="1:9" x14ac:dyDescent="0.25">
      <c r="A2394" t="s">
        <v>6190</v>
      </c>
      <c r="B2394">
        <v>6156</v>
      </c>
      <c r="C2394">
        <v>6419</v>
      </c>
      <c r="D2394" t="s">
        <v>6191</v>
      </c>
      <c r="E2394" t="s">
        <v>14</v>
      </c>
      <c r="F2394" t="s">
        <v>6207</v>
      </c>
      <c r="H2394">
        <v>0</v>
      </c>
      <c r="I2394" t="s">
        <v>16</v>
      </c>
    </row>
    <row r="2395" spans="1:9" x14ac:dyDescent="0.25">
      <c r="A2395" t="s">
        <v>6190</v>
      </c>
      <c r="B2395">
        <v>6414</v>
      </c>
      <c r="C2395">
        <v>7478</v>
      </c>
      <c r="D2395" t="s">
        <v>6191</v>
      </c>
      <c r="E2395" t="s">
        <v>28</v>
      </c>
      <c r="F2395" t="s">
        <v>6214</v>
      </c>
      <c r="H2395">
        <v>0</v>
      </c>
      <c r="I2395" t="s">
        <v>16</v>
      </c>
    </row>
    <row r="2396" spans="1:9" x14ac:dyDescent="0.25">
      <c r="A2396" t="s">
        <v>6190</v>
      </c>
      <c r="B2396">
        <v>7555</v>
      </c>
      <c r="C2396">
        <v>8400</v>
      </c>
      <c r="D2396" t="s">
        <v>6191</v>
      </c>
      <c r="E2396" t="s">
        <v>28</v>
      </c>
      <c r="F2396" t="s">
        <v>41</v>
      </c>
      <c r="H2396">
        <v>0</v>
      </c>
      <c r="I2396" t="s">
        <v>16</v>
      </c>
    </row>
    <row r="2397" spans="1:9" x14ac:dyDescent="0.25">
      <c r="A2397" t="s">
        <v>6190</v>
      </c>
      <c r="B2397">
        <v>8550</v>
      </c>
      <c r="C2397">
        <v>9284</v>
      </c>
      <c r="D2397" t="s">
        <v>6191</v>
      </c>
      <c r="E2397" t="s">
        <v>14</v>
      </c>
      <c r="F2397" t="s">
        <v>41</v>
      </c>
      <c r="H2397">
        <v>0</v>
      </c>
      <c r="I2397" t="s">
        <v>16</v>
      </c>
    </row>
    <row r="2398" spans="1:9" x14ac:dyDescent="0.25">
      <c r="A2398" t="s">
        <v>6190</v>
      </c>
      <c r="B2398">
        <v>9317</v>
      </c>
      <c r="C2398">
        <v>10024</v>
      </c>
      <c r="D2398" t="s">
        <v>6191</v>
      </c>
      <c r="E2398" t="s">
        <v>28</v>
      </c>
      <c r="F2398" t="s">
        <v>6221</v>
      </c>
      <c r="H2398">
        <v>0</v>
      </c>
      <c r="I2398" t="s">
        <v>16</v>
      </c>
    </row>
    <row r="2399" spans="1:9" x14ac:dyDescent="0.25">
      <c r="A2399" t="s">
        <v>6190</v>
      </c>
      <c r="B2399">
        <v>10067</v>
      </c>
      <c r="C2399">
        <v>10417</v>
      </c>
      <c r="D2399" t="s">
        <v>6191</v>
      </c>
      <c r="E2399" t="s">
        <v>28</v>
      </c>
      <c r="F2399" t="s">
        <v>41</v>
      </c>
      <c r="H2399">
        <v>0</v>
      </c>
      <c r="I2399" t="s">
        <v>16</v>
      </c>
    </row>
    <row r="2400" spans="1:9" x14ac:dyDescent="0.25">
      <c r="A2400" t="s">
        <v>6190</v>
      </c>
      <c r="B2400">
        <v>10414</v>
      </c>
      <c r="C2400">
        <v>11166</v>
      </c>
      <c r="D2400" t="s">
        <v>6191</v>
      </c>
      <c r="E2400" t="s">
        <v>28</v>
      </c>
      <c r="F2400" t="s">
        <v>41</v>
      </c>
      <c r="H2400">
        <v>0</v>
      </c>
      <c r="I2400" t="s">
        <v>16</v>
      </c>
    </row>
    <row r="2401" spans="1:9" x14ac:dyDescent="0.25">
      <c r="A2401" t="s">
        <v>6190</v>
      </c>
      <c r="B2401">
        <v>11224</v>
      </c>
      <c r="C2401">
        <v>12069</v>
      </c>
      <c r="D2401" t="s">
        <v>6191</v>
      </c>
      <c r="E2401" t="s">
        <v>14</v>
      </c>
      <c r="F2401" t="s">
        <v>2132</v>
      </c>
      <c r="H2401">
        <v>0</v>
      </c>
      <c r="I2401" t="s">
        <v>16</v>
      </c>
    </row>
    <row r="2402" spans="1:9" x14ac:dyDescent="0.25">
      <c r="A2402" t="s">
        <v>6190</v>
      </c>
      <c r="B2402">
        <v>13067</v>
      </c>
      <c r="C2402">
        <v>13768</v>
      </c>
      <c r="D2402" t="s">
        <v>6191</v>
      </c>
      <c r="E2402" t="s">
        <v>28</v>
      </c>
      <c r="F2402" t="s">
        <v>41</v>
      </c>
      <c r="H2402">
        <v>0</v>
      </c>
      <c r="I2402" t="s">
        <v>16</v>
      </c>
    </row>
    <row r="2403" spans="1:9" x14ac:dyDescent="0.25">
      <c r="A2403" t="s">
        <v>6190</v>
      </c>
      <c r="B2403">
        <v>13874</v>
      </c>
      <c r="C2403">
        <v>15106</v>
      </c>
      <c r="D2403" t="s">
        <v>6191</v>
      </c>
      <c r="E2403" t="s">
        <v>14</v>
      </c>
      <c r="F2403" t="s">
        <v>41</v>
      </c>
      <c r="H2403">
        <v>0</v>
      </c>
      <c r="I2403" t="s">
        <v>16</v>
      </c>
    </row>
    <row r="2404" spans="1:9" x14ac:dyDescent="0.25">
      <c r="A2404" t="s">
        <v>6190</v>
      </c>
      <c r="B2404">
        <v>15171</v>
      </c>
      <c r="C2404">
        <v>15422</v>
      </c>
      <c r="D2404" t="s">
        <v>6191</v>
      </c>
      <c r="E2404" t="s">
        <v>28</v>
      </c>
      <c r="F2404" t="s">
        <v>41</v>
      </c>
      <c r="H2404">
        <v>0</v>
      </c>
      <c r="I2404" t="s">
        <v>16</v>
      </c>
    </row>
    <row r="2405" spans="1:9" x14ac:dyDescent="0.25">
      <c r="A2405" t="s">
        <v>6190</v>
      </c>
      <c r="B2405">
        <v>15419</v>
      </c>
      <c r="C2405">
        <v>16492</v>
      </c>
      <c r="D2405" t="s">
        <v>6191</v>
      </c>
      <c r="E2405" t="s">
        <v>28</v>
      </c>
      <c r="F2405" t="s">
        <v>41</v>
      </c>
      <c r="H2405">
        <v>0</v>
      </c>
      <c r="I2405" t="s">
        <v>16</v>
      </c>
    </row>
    <row r="2406" spans="1:9" x14ac:dyDescent="0.25">
      <c r="A2406" t="s">
        <v>6238</v>
      </c>
      <c r="B2406">
        <v>91</v>
      </c>
      <c r="C2406">
        <v>291</v>
      </c>
      <c r="D2406" t="s">
        <v>6239</v>
      </c>
      <c r="E2406" t="s">
        <v>28</v>
      </c>
      <c r="F2406" t="s">
        <v>41</v>
      </c>
      <c r="H2406">
        <v>0</v>
      </c>
      <c r="I2406" t="s">
        <v>16</v>
      </c>
    </row>
    <row r="2407" spans="1:9" x14ac:dyDescent="0.25">
      <c r="A2407" t="s">
        <v>6238</v>
      </c>
      <c r="B2407">
        <v>358</v>
      </c>
      <c r="C2407">
        <v>663</v>
      </c>
      <c r="D2407" t="s">
        <v>6239</v>
      </c>
      <c r="E2407" t="s">
        <v>14</v>
      </c>
      <c r="F2407" t="s">
        <v>41</v>
      </c>
      <c r="H2407">
        <v>0</v>
      </c>
      <c r="I2407" t="s">
        <v>16</v>
      </c>
    </row>
    <row r="2408" spans="1:9" x14ac:dyDescent="0.25">
      <c r="A2408" t="s">
        <v>6238</v>
      </c>
      <c r="B2408">
        <v>798</v>
      </c>
      <c r="C2408">
        <v>1397</v>
      </c>
      <c r="D2408" t="s">
        <v>6239</v>
      </c>
      <c r="E2408" t="s">
        <v>28</v>
      </c>
      <c r="F2408" t="s">
        <v>6244</v>
      </c>
      <c r="H2408">
        <v>0</v>
      </c>
      <c r="I2408" t="s">
        <v>16</v>
      </c>
    </row>
    <row r="2409" spans="1:9" x14ac:dyDescent="0.25">
      <c r="A2409" t="s">
        <v>6238</v>
      </c>
      <c r="B2409">
        <v>1388</v>
      </c>
      <c r="C2409">
        <v>1945</v>
      </c>
      <c r="D2409" t="s">
        <v>6239</v>
      </c>
      <c r="E2409" t="s">
        <v>28</v>
      </c>
      <c r="F2409" t="s">
        <v>41</v>
      </c>
      <c r="H2409">
        <v>0</v>
      </c>
      <c r="I2409" t="s">
        <v>16</v>
      </c>
    </row>
    <row r="2410" spans="1:9" x14ac:dyDescent="0.25">
      <c r="A2410" t="s">
        <v>6238</v>
      </c>
      <c r="B2410">
        <v>1908</v>
      </c>
      <c r="C2410">
        <v>2606</v>
      </c>
      <c r="D2410" t="s">
        <v>6239</v>
      </c>
      <c r="E2410" t="s">
        <v>28</v>
      </c>
      <c r="F2410" t="s">
        <v>41</v>
      </c>
      <c r="H2410">
        <v>0</v>
      </c>
      <c r="I2410" t="s">
        <v>16</v>
      </c>
    </row>
    <row r="2411" spans="1:9" x14ac:dyDescent="0.25">
      <c r="A2411" t="s">
        <v>6238</v>
      </c>
      <c r="B2411">
        <v>2591</v>
      </c>
      <c r="C2411">
        <v>2857</v>
      </c>
      <c r="D2411" t="s">
        <v>6239</v>
      </c>
      <c r="E2411" t="s">
        <v>28</v>
      </c>
      <c r="F2411" t="s">
        <v>41</v>
      </c>
      <c r="H2411">
        <v>0</v>
      </c>
      <c r="I2411" t="s">
        <v>16</v>
      </c>
    </row>
    <row r="2412" spans="1:9" x14ac:dyDescent="0.25">
      <c r="A2412" t="s">
        <v>6238</v>
      </c>
      <c r="B2412">
        <v>2863</v>
      </c>
      <c r="C2412">
        <v>3921</v>
      </c>
      <c r="D2412" t="s">
        <v>6239</v>
      </c>
      <c r="E2412" t="s">
        <v>28</v>
      </c>
      <c r="F2412" t="s">
        <v>6253</v>
      </c>
      <c r="H2412">
        <v>0</v>
      </c>
      <c r="I2412" t="s">
        <v>16</v>
      </c>
    </row>
    <row r="2413" spans="1:9" x14ac:dyDescent="0.25">
      <c r="A2413" t="s">
        <v>6238</v>
      </c>
      <c r="B2413">
        <v>3922</v>
      </c>
      <c r="C2413">
        <v>4284</v>
      </c>
      <c r="D2413" t="s">
        <v>6239</v>
      </c>
      <c r="E2413" t="s">
        <v>28</v>
      </c>
      <c r="F2413" t="s">
        <v>41</v>
      </c>
      <c r="H2413">
        <v>0</v>
      </c>
      <c r="I2413" t="s">
        <v>16</v>
      </c>
    </row>
    <row r="2414" spans="1:9" x14ac:dyDescent="0.25">
      <c r="A2414" t="s">
        <v>6238</v>
      </c>
      <c r="B2414">
        <v>4281</v>
      </c>
      <c r="C2414">
        <v>5390</v>
      </c>
      <c r="D2414" t="s">
        <v>6239</v>
      </c>
      <c r="E2414" t="s">
        <v>28</v>
      </c>
      <c r="F2414" t="s">
        <v>41</v>
      </c>
      <c r="H2414">
        <v>0</v>
      </c>
      <c r="I2414" t="s">
        <v>16</v>
      </c>
    </row>
    <row r="2415" spans="1:9" x14ac:dyDescent="0.25">
      <c r="A2415" t="s">
        <v>6238</v>
      </c>
      <c r="B2415">
        <v>5374</v>
      </c>
      <c r="C2415">
        <v>6789</v>
      </c>
      <c r="D2415" t="s">
        <v>6239</v>
      </c>
      <c r="E2415" t="s">
        <v>28</v>
      </c>
      <c r="F2415" t="s">
        <v>633</v>
      </c>
      <c r="H2415">
        <v>0</v>
      </c>
      <c r="I2415" t="s">
        <v>16</v>
      </c>
    </row>
    <row r="2416" spans="1:9" x14ac:dyDescent="0.25">
      <c r="A2416" t="s">
        <v>6238</v>
      </c>
      <c r="B2416">
        <v>6855</v>
      </c>
      <c r="C2416">
        <v>7814</v>
      </c>
      <c r="D2416" t="s">
        <v>6239</v>
      </c>
      <c r="E2416" t="s">
        <v>28</v>
      </c>
      <c r="F2416" t="s">
        <v>6262</v>
      </c>
      <c r="H2416">
        <v>0</v>
      </c>
      <c r="I2416" t="s">
        <v>16</v>
      </c>
    </row>
    <row r="2417" spans="1:9" x14ac:dyDescent="0.25">
      <c r="A2417" t="s">
        <v>6238</v>
      </c>
      <c r="B2417">
        <v>7818</v>
      </c>
      <c r="C2417">
        <v>8132</v>
      </c>
      <c r="D2417" t="s">
        <v>6239</v>
      </c>
      <c r="E2417" t="s">
        <v>28</v>
      </c>
      <c r="F2417" t="s">
        <v>41</v>
      </c>
      <c r="H2417">
        <v>0</v>
      </c>
      <c r="I2417" t="s">
        <v>16</v>
      </c>
    </row>
    <row r="2418" spans="1:9" x14ac:dyDescent="0.25">
      <c r="A2418" t="s">
        <v>6238</v>
      </c>
      <c r="B2418">
        <v>8132</v>
      </c>
      <c r="C2418">
        <v>8590</v>
      </c>
      <c r="D2418" t="s">
        <v>6239</v>
      </c>
      <c r="E2418" t="s">
        <v>28</v>
      </c>
      <c r="F2418" t="s">
        <v>6267</v>
      </c>
      <c r="H2418">
        <v>0</v>
      </c>
      <c r="I2418" t="s">
        <v>16</v>
      </c>
    </row>
    <row r="2419" spans="1:9" x14ac:dyDescent="0.25">
      <c r="A2419" t="s">
        <v>6238</v>
      </c>
      <c r="B2419">
        <v>8587</v>
      </c>
      <c r="C2419">
        <v>8823</v>
      </c>
      <c r="D2419" t="s">
        <v>6239</v>
      </c>
      <c r="E2419" t="s">
        <v>28</v>
      </c>
      <c r="F2419" t="s">
        <v>41</v>
      </c>
      <c r="H2419">
        <v>0</v>
      </c>
      <c r="I2419" t="s">
        <v>16</v>
      </c>
    </row>
    <row r="2420" spans="1:9" x14ac:dyDescent="0.25">
      <c r="A2420" t="s">
        <v>6238</v>
      </c>
      <c r="B2420">
        <v>8823</v>
      </c>
      <c r="C2420">
        <v>9113</v>
      </c>
      <c r="D2420" t="s">
        <v>6239</v>
      </c>
      <c r="E2420" t="s">
        <v>28</v>
      </c>
      <c r="F2420" t="s">
        <v>41</v>
      </c>
      <c r="H2420">
        <v>0</v>
      </c>
      <c r="I2420" t="s">
        <v>16</v>
      </c>
    </row>
    <row r="2421" spans="1:9" x14ac:dyDescent="0.25">
      <c r="A2421" t="s">
        <v>6238</v>
      </c>
      <c r="B2421">
        <v>9082</v>
      </c>
      <c r="C2421">
        <v>11526</v>
      </c>
      <c r="D2421" t="s">
        <v>6239</v>
      </c>
      <c r="E2421" t="s">
        <v>28</v>
      </c>
      <c r="F2421" t="s">
        <v>6274</v>
      </c>
      <c r="H2421">
        <v>0</v>
      </c>
      <c r="I2421" t="s">
        <v>16</v>
      </c>
    </row>
    <row r="2422" spans="1:9" x14ac:dyDescent="0.25">
      <c r="A2422" t="s">
        <v>6238</v>
      </c>
      <c r="B2422">
        <v>11507</v>
      </c>
      <c r="C2422">
        <v>11806</v>
      </c>
      <c r="D2422" t="s">
        <v>6239</v>
      </c>
      <c r="E2422" t="s">
        <v>28</v>
      </c>
      <c r="F2422" t="s">
        <v>41</v>
      </c>
      <c r="H2422">
        <v>0</v>
      </c>
      <c r="I2422" t="s">
        <v>16</v>
      </c>
    </row>
    <row r="2423" spans="1:9" x14ac:dyDescent="0.25">
      <c r="A2423" t="s">
        <v>6238</v>
      </c>
      <c r="B2423">
        <v>11819</v>
      </c>
      <c r="C2423">
        <v>13720</v>
      </c>
      <c r="D2423" t="s">
        <v>6239</v>
      </c>
      <c r="E2423" t="s">
        <v>28</v>
      </c>
      <c r="F2423" t="s">
        <v>41</v>
      </c>
      <c r="H2423">
        <v>0</v>
      </c>
      <c r="I2423" t="s">
        <v>16</v>
      </c>
    </row>
    <row r="2424" spans="1:9" x14ac:dyDescent="0.25">
      <c r="A2424" t="s">
        <v>6238</v>
      </c>
      <c r="B2424">
        <v>13717</v>
      </c>
      <c r="C2424">
        <v>15276</v>
      </c>
      <c r="D2424" t="s">
        <v>6239</v>
      </c>
      <c r="E2424" t="s">
        <v>28</v>
      </c>
      <c r="F2424" t="s">
        <v>41</v>
      </c>
      <c r="H2424">
        <v>0</v>
      </c>
      <c r="I2424" t="s">
        <v>16</v>
      </c>
    </row>
    <row r="2425" spans="1:9" x14ac:dyDescent="0.25">
      <c r="A2425" t="s">
        <v>6238</v>
      </c>
      <c r="B2425">
        <v>15273</v>
      </c>
      <c r="C2425">
        <v>17753</v>
      </c>
      <c r="D2425" t="s">
        <v>6239</v>
      </c>
      <c r="E2425" t="s">
        <v>28</v>
      </c>
      <c r="F2425" t="s">
        <v>6283</v>
      </c>
      <c r="H2425">
        <v>0</v>
      </c>
      <c r="I2425" t="s">
        <v>16</v>
      </c>
    </row>
    <row r="2426" spans="1:9" x14ac:dyDescent="0.25">
      <c r="A2426" t="s">
        <v>6238</v>
      </c>
      <c r="B2426">
        <v>17794</v>
      </c>
      <c r="C2426">
        <v>18111</v>
      </c>
      <c r="D2426" t="s">
        <v>6239</v>
      </c>
      <c r="E2426" t="s">
        <v>28</v>
      </c>
      <c r="F2426" t="s">
        <v>41</v>
      </c>
      <c r="H2426">
        <v>0</v>
      </c>
      <c r="I2426" t="s">
        <v>16</v>
      </c>
    </row>
    <row r="2427" spans="1:9" x14ac:dyDescent="0.25">
      <c r="A2427" t="s">
        <v>6238</v>
      </c>
      <c r="B2427">
        <v>18122</v>
      </c>
      <c r="C2427">
        <v>18508</v>
      </c>
      <c r="D2427" t="s">
        <v>6239</v>
      </c>
      <c r="E2427" t="s">
        <v>28</v>
      </c>
      <c r="F2427" t="s">
        <v>41</v>
      </c>
      <c r="H2427">
        <v>0</v>
      </c>
      <c r="I2427" t="s">
        <v>16</v>
      </c>
    </row>
    <row r="2428" spans="1:9" x14ac:dyDescent="0.25">
      <c r="A2428" t="s">
        <v>6238</v>
      </c>
      <c r="B2428">
        <v>18669</v>
      </c>
      <c r="C2428">
        <v>20333</v>
      </c>
      <c r="D2428" t="s">
        <v>6239</v>
      </c>
      <c r="E2428" t="s">
        <v>14</v>
      </c>
      <c r="F2428" t="s">
        <v>41</v>
      </c>
      <c r="H2428">
        <v>0</v>
      </c>
      <c r="I2428" t="s">
        <v>16</v>
      </c>
    </row>
    <row r="2429" spans="1:9" x14ac:dyDescent="0.25">
      <c r="A2429" t="s">
        <v>6238</v>
      </c>
      <c r="B2429">
        <v>20342</v>
      </c>
      <c r="C2429">
        <v>20842</v>
      </c>
      <c r="D2429" t="s">
        <v>6239</v>
      </c>
      <c r="E2429" t="s">
        <v>14</v>
      </c>
      <c r="F2429" t="s">
        <v>41</v>
      </c>
      <c r="H2429">
        <v>0</v>
      </c>
      <c r="I2429" t="s">
        <v>16</v>
      </c>
    </row>
    <row r="2430" spans="1:9" x14ac:dyDescent="0.25">
      <c r="A2430" t="s">
        <v>6238</v>
      </c>
      <c r="B2430">
        <v>20904</v>
      </c>
      <c r="C2430">
        <v>22163</v>
      </c>
      <c r="D2430" t="s">
        <v>6239</v>
      </c>
      <c r="E2430" t="s">
        <v>28</v>
      </c>
      <c r="F2430" t="s">
        <v>6294</v>
      </c>
      <c r="H2430">
        <v>0</v>
      </c>
      <c r="I2430" t="s">
        <v>16</v>
      </c>
    </row>
    <row r="2431" spans="1:9" x14ac:dyDescent="0.25">
      <c r="A2431" t="s">
        <v>6238</v>
      </c>
      <c r="B2431">
        <v>22320</v>
      </c>
      <c r="C2431">
        <v>22505</v>
      </c>
      <c r="D2431" t="s">
        <v>6239</v>
      </c>
      <c r="E2431" t="s">
        <v>14</v>
      </c>
      <c r="F2431" t="s">
        <v>41</v>
      </c>
      <c r="H2431">
        <v>0</v>
      </c>
      <c r="I2431" t="s">
        <v>16</v>
      </c>
    </row>
    <row r="2432" spans="1:9" x14ac:dyDescent="0.25">
      <c r="A2432" t="s">
        <v>6238</v>
      </c>
      <c r="B2432">
        <v>22517</v>
      </c>
      <c r="C2432">
        <v>22855</v>
      </c>
      <c r="D2432" t="s">
        <v>6239</v>
      </c>
      <c r="E2432" t="s">
        <v>28</v>
      </c>
      <c r="F2432" t="s">
        <v>41</v>
      </c>
      <c r="H2432">
        <v>0</v>
      </c>
      <c r="I2432" t="s">
        <v>16</v>
      </c>
    </row>
    <row r="2433" spans="1:9" x14ac:dyDescent="0.25">
      <c r="A2433" t="s">
        <v>6238</v>
      </c>
      <c r="B2433">
        <v>22866</v>
      </c>
      <c r="C2433">
        <v>23090</v>
      </c>
      <c r="D2433" t="s">
        <v>6239</v>
      </c>
      <c r="E2433" t="s">
        <v>28</v>
      </c>
      <c r="F2433" t="s">
        <v>41</v>
      </c>
      <c r="H2433">
        <v>0</v>
      </c>
      <c r="I2433" t="s">
        <v>16</v>
      </c>
    </row>
    <row r="2434" spans="1:9" x14ac:dyDescent="0.25">
      <c r="A2434" t="s">
        <v>6238</v>
      </c>
      <c r="B2434">
        <v>23081</v>
      </c>
      <c r="C2434">
        <v>23566</v>
      </c>
      <c r="D2434" t="s">
        <v>6239</v>
      </c>
      <c r="E2434" t="s">
        <v>28</v>
      </c>
      <c r="F2434" t="s">
        <v>41</v>
      </c>
      <c r="H2434">
        <v>0</v>
      </c>
      <c r="I2434" t="s">
        <v>16</v>
      </c>
    </row>
    <row r="2435" spans="1:9" x14ac:dyDescent="0.25">
      <c r="A2435" t="s">
        <v>6238</v>
      </c>
      <c r="B2435">
        <v>23563</v>
      </c>
      <c r="C2435">
        <v>24429</v>
      </c>
      <c r="D2435" t="s">
        <v>6239</v>
      </c>
      <c r="E2435" t="s">
        <v>28</v>
      </c>
      <c r="F2435" t="s">
        <v>41</v>
      </c>
      <c r="H2435">
        <v>0</v>
      </c>
      <c r="I2435" t="s">
        <v>16</v>
      </c>
    </row>
    <row r="2436" spans="1:9" x14ac:dyDescent="0.25">
      <c r="A2436" t="s">
        <v>6238</v>
      </c>
      <c r="B2436">
        <v>24477</v>
      </c>
      <c r="C2436">
        <v>25391</v>
      </c>
      <c r="D2436" t="s">
        <v>6239</v>
      </c>
      <c r="E2436" t="s">
        <v>28</v>
      </c>
      <c r="F2436" t="s">
        <v>41</v>
      </c>
      <c r="H2436">
        <v>0</v>
      </c>
      <c r="I2436" t="s">
        <v>16</v>
      </c>
    </row>
    <row r="2437" spans="1:9" x14ac:dyDescent="0.25">
      <c r="A2437" t="s">
        <v>6238</v>
      </c>
      <c r="B2437">
        <v>25393</v>
      </c>
      <c r="C2437">
        <v>26319</v>
      </c>
      <c r="D2437" t="s">
        <v>6239</v>
      </c>
      <c r="E2437" t="s">
        <v>28</v>
      </c>
      <c r="F2437" t="s">
        <v>6309</v>
      </c>
      <c r="H2437">
        <v>0</v>
      </c>
      <c r="I2437" t="s">
        <v>16</v>
      </c>
    </row>
    <row r="2438" spans="1:9" x14ac:dyDescent="0.25">
      <c r="A2438" t="s">
        <v>6238</v>
      </c>
      <c r="B2438">
        <v>26348</v>
      </c>
      <c r="C2438">
        <v>26737</v>
      </c>
      <c r="D2438" t="s">
        <v>6239</v>
      </c>
      <c r="E2438" t="s">
        <v>28</v>
      </c>
      <c r="F2438" t="s">
        <v>41</v>
      </c>
      <c r="H2438">
        <v>0</v>
      </c>
      <c r="I2438" t="s">
        <v>16</v>
      </c>
    </row>
    <row r="2439" spans="1:9" x14ac:dyDescent="0.25">
      <c r="A2439" t="s">
        <v>6238</v>
      </c>
      <c r="B2439">
        <v>27193</v>
      </c>
      <c r="C2439">
        <v>29505</v>
      </c>
      <c r="D2439" t="s">
        <v>6239</v>
      </c>
      <c r="E2439" t="s">
        <v>14</v>
      </c>
      <c r="F2439" t="s">
        <v>41</v>
      </c>
      <c r="H2439">
        <v>0</v>
      </c>
      <c r="I2439" t="s">
        <v>16</v>
      </c>
    </row>
    <row r="2440" spans="1:9" x14ac:dyDescent="0.25">
      <c r="A2440" t="s">
        <v>6238</v>
      </c>
      <c r="B2440">
        <v>29496</v>
      </c>
      <c r="C2440">
        <v>29879</v>
      </c>
      <c r="D2440" t="s">
        <v>6239</v>
      </c>
      <c r="E2440" t="s">
        <v>14</v>
      </c>
      <c r="F2440" t="s">
        <v>41</v>
      </c>
      <c r="H2440">
        <v>0</v>
      </c>
      <c r="I2440" t="s">
        <v>16</v>
      </c>
    </row>
    <row r="2441" spans="1:9" x14ac:dyDescent="0.25">
      <c r="A2441" t="s">
        <v>6238</v>
      </c>
      <c r="B2441">
        <v>29941</v>
      </c>
      <c r="C2441">
        <v>30549</v>
      </c>
      <c r="D2441" t="s">
        <v>6239</v>
      </c>
      <c r="E2441" t="s">
        <v>14</v>
      </c>
      <c r="F2441" t="s">
        <v>41</v>
      </c>
      <c r="H2441">
        <v>0</v>
      </c>
      <c r="I2441" t="s">
        <v>16</v>
      </c>
    </row>
    <row r="2442" spans="1:9" x14ac:dyDescent="0.25">
      <c r="A2442" t="s">
        <v>6238</v>
      </c>
      <c r="B2442">
        <v>30812</v>
      </c>
      <c r="C2442">
        <v>31912</v>
      </c>
      <c r="D2442" t="s">
        <v>6239</v>
      </c>
      <c r="E2442" t="s">
        <v>14</v>
      </c>
      <c r="F2442" t="s">
        <v>41</v>
      </c>
      <c r="H2442">
        <v>0</v>
      </c>
      <c r="I2442" t="s">
        <v>16</v>
      </c>
    </row>
    <row r="2443" spans="1:9" x14ac:dyDescent="0.25">
      <c r="A2443" t="s">
        <v>6238</v>
      </c>
      <c r="B2443">
        <v>31917</v>
      </c>
      <c r="C2443">
        <v>32510</v>
      </c>
      <c r="D2443" t="s">
        <v>6239</v>
      </c>
      <c r="E2443" t="s">
        <v>14</v>
      </c>
      <c r="F2443" t="s">
        <v>41</v>
      </c>
      <c r="H2443">
        <v>0</v>
      </c>
      <c r="I2443" t="s">
        <v>16</v>
      </c>
    </row>
    <row r="2444" spans="1:9" x14ac:dyDescent="0.25">
      <c r="A2444" t="s">
        <v>6238</v>
      </c>
      <c r="B2444">
        <v>32534</v>
      </c>
      <c r="C2444">
        <v>32998</v>
      </c>
      <c r="D2444" t="s">
        <v>6239</v>
      </c>
      <c r="E2444" t="s">
        <v>14</v>
      </c>
      <c r="F2444" t="s">
        <v>41</v>
      </c>
      <c r="H2444">
        <v>0</v>
      </c>
      <c r="I2444" t="s">
        <v>16</v>
      </c>
    </row>
    <row r="2445" spans="1:9" x14ac:dyDescent="0.25">
      <c r="A2445" t="s">
        <v>6238</v>
      </c>
      <c r="B2445">
        <v>32995</v>
      </c>
      <c r="C2445">
        <v>33285</v>
      </c>
      <c r="D2445" t="s">
        <v>6239</v>
      </c>
      <c r="E2445" t="s">
        <v>28</v>
      </c>
      <c r="F2445" t="s">
        <v>41</v>
      </c>
      <c r="H2445">
        <v>0</v>
      </c>
      <c r="I2445" t="s">
        <v>16</v>
      </c>
    </row>
    <row r="2446" spans="1:9" x14ac:dyDescent="0.25">
      <c r="A2446" t="s">
        <v>6238</v>
      </c>
      <c r="B2446">
        <v>33273</v>
      </c>
      <c r="C2446">
        <v>33935</v>
      </c>
      <c r="D2446" t="s">
        <v>6239</v>
      </c>
      <c r="E2446" t="s">
        <v>28</v>
      </c>
      <c r="F2446" t="s">
        <v>6328</v>
      </c>
      <c r="H2446">
        <v>0</v>
      </c>
      <c r="I2446" t="s">
        <v>16</v>
      </c>
    </row>
    <row r="2447" spans="1:9" x14ac:dyDescent="0.25">
      <c r="A2447" t="s">
        <v>6238</v>
      </c>
      <c r="B2447">
        <v>33916</v>
      </c>
      <c r="C2447">
        <v>37560</v>
      </c>
      <c r="D2447" t="s">
        <v>6239</v>
      </c>
      <c r="E2447" t="s">
        <v>28</v>
      </c>
      <c r="F2447" t="s">
        <v>6331</v>
      </c>
      <c r="H2447">
        <v>0</v>
      </c>
      <c r="I2447" t="s">
        <v>16</v>
      </c>
    </row>
    <row r="2448" spans="1:9" x14ac:dyDescent="0.25">
      <c r="A2448" t="s">
        <v>6238</v>
      </c>
      <c r="B2448">
        <v>37557</v>
      </c>
      <c r="C2448">
        <v>38435</v>
      </c>
      <c r="D2448" t="s">
        <v>6239</v>
      </c>
      <c r="E2448" t="s">
        <v>28</v>
      </c>
      <c r="F2448" t="s">
        <v>6130</v>
      </c>
      <c r="H2448">
        <v>0</v>
      </c>
      <c r="I2448" t="s">
        <v>16</v>
      </c>
    </row>
    <row r="2449" spans="1:9" x14ac:dyDescent="0.25">
      <c r="A2449" t="s">
        <v>6238</v>
      </c>
      <c r="B2449">
        <v>38432</v>
      </c>
      <c r="C2449">
        <v>39397</v>
      </c>
      <c r="D2449" t="s">
        <v>6239</v>
      </c>
      <c r="E2449" t="s">
        <v>28</v>
      </c>
      <c r="F2449" t="s">
        <v>6133</v>
      </c>
      <c r="H2449">
        <v>0</v>
      </c>
      <c r="I2449" t="s">
        <v>16</v>
      </c>
    </row>
    <row r="2450" spans="1:9" x14ac:dyDescent="0.25">
      <c r="A2450" t="s">
        <v>6238</v>
      </c>
      <c r="B2450">
        <v>39542</v>
      </c>
      <c r="C2450">
        <v>40498</v>
      </c>
      <c r="D2450" t="s">
        <v>6239</v>
      </c>
      <c r="E2450" t="s">
        <v>28</v>
      </c>
      <c r="F2450" t="s">
        <v>41</v>
      </c>
      <c r="H2450">
        <v>0</v>
      </c>
      <c r="I2450" t="s">
        <v>16</v>
      </c>
    </row>
    <row r="2451" spans="1:9" x14ac:dyDescent="0.25">
      <c r="A2451" t="s">
        <v>6238</v>
      </c>
      <c r="B2451">
        <v>40823</v>
      </c>
      <c r="C2451">
        <v>42697</v>
      </c>
      <c r="D2451" t="s">
        <v>6239</v>
      </c>
      <c r="E2451" t="s">
        <v>28</v>
      </c>
      <c r="F2451" t="s">
        <v>6340</v>
      </c>
      <c r="H2451">
        <v>0</v>
      </c>
      <c r="I2451" t="s">
        <v>16</v>
      </c>
    </row>
    <row r="2452" spans="1:9" x14ac:dyDescent="0.25">
      <c r="A2452" t="s">
        <v>6238</v>
      </c>
      <c r="B2452">
        <v>42669</v>
      </c>
      <c r="C2452">
        <v>43043</v>
      </c>
      <c r="D2452" t="s">
        <v>6239</v>
      </c>
      <c r="E2452" t="s">
        <v>28</v>
      </c>
      <c r="F2452" t="s">
        <v>41</v>
      </c>
      <c r="H2452">
        <v>0</v>
      </c>
      <c r="I2452" t="s">
        <v>16</v>
      </c>
    </row>
    <row r="2453" spans="1:9" x14ac:dyDescent="0.25">
      <c r="A2453" t="s">
        <v>6238</v>
      </c>
      <c r="B2453">
        <v>43040</v>
      </c>
      <c r="C2453">
        <v>43432</v>
      </c>
      <c r="D2453" t="s">
        <v>6239</v>
      </c>
      <c r="E2453" t="s">
        <v>28</v>
      </c>
      <c r="F2453" t="s">
        <v>41</v>
      </c>
      <c r="H2453">
        <v>0</v>
      </c>
      <c r="I2453" t="s">
        <v>16</v>
      </c>
    </row>
    <row r="2454" spans="1:9" x14ac:dyDescent="0.25">
      <c r="A2454" t="s">
        <v>6238</v>
      </c>
      <c r="B2454">
        <v>43429</v>
      </c>
      <c r="C2454">
        <v>43626</v>
      </c>
      <c r="D2454" t="s">
        <v>6239</v>
      </c>
      <c r="E2454" t="s">
        <v>28</v>
      </c>
      <c r="F2454" t="s">
        <v>41</v>
      </c>
      <c r="H2454">
        <v>0</v>
      </c>
      <c r="I2454" t="s">
        <v>16</v>
      </c>
    </row>
    <row r="2455" spans="1:9" x14ac:dyDescent="0.25">
      <c r="A2455" t="s">
        <v>6238</v>
      </c>
      <c r="B2455">
        <v>43623</v>
      </c>
      <c r="C2455">
        <v>44384</v>
      </c>
      <c r="D2455" t="s">
        <v>6239</v>
      </c>
      <c r="E2455" t="s">
        <v>28</v>
      </c>
      <c r="F2455" t="s">
        <v>41</v>
      </c>
      <c r="H2455">
        <v>0</v>
      </c>
      <c r="I2455" t="s">
        <v>16</v>
      </c>
    </row>
    <row r="2456" spans="1:9" x14ac:dyDescent="0.25">
      <c r="A2456" t="s">
        <v>6238</v>
      </c>
      <c r="B2456">
        <v>44388</v>
      </c>
      <c r="C2456">
        <v>46247</v>
      </c>
      <c r="D2456" t="s">
        <v>6239</v>
      </c>
      <c r="E2456" t="s">
        <v>28</v>
      </c>
      <c r="F2456" t="s">
        <v>41</v>
      </c>
      <c r="H2456">
        <v>0</v>
      </c>
      <c r="I2456" t="s">
        <v>16</v>
      </c>
    </row>
    <row r="2457" spans="1:9" x14ac:dyDescent="0.25">
      <c r="A2457" t="s">
        <v>6238</v>
      </c>
      <c r="B2457">
        <v>46259</v>
      </c>
      <c r="C2457">
        <v>48115</v>
      </c>
      <c r="D2457" t="s">
        <v>6239</v>
      </c>
      <c r="E2457" t="s">
        <v>28</v>
      </c>
      <c r="F2457" t="s">
        <v>41</v>
      </c>
      <c r="H2457">
        <v>0</v>
      </c>
      <c r="I2457" t="s">
        <v>16</v>
      </c>
    </row>
    <row r="2458" spans="1:9" x14ac:dyDescent="0.25">
      <c r="A2458" t="s">
        <v>6238</v>
      </c>
      <c r="B2458">
        <v>48126</v>
      </c>
      <c r="C2458">
        <v>49313</v>
      </c>
      <c r="D2458" t="s">
        <v>6239</v>
      </c>
      <c r="E2458" t="s">
        <v>28</v>
      </c>
      <c r="F2458" t="s">
        <v>41</v>
      </c>
      <c r="H2458">
        <v>0</v>
      </c>
      <c r="I2458" t="s">
        <v>16</v>
      </c>
    </row>
    <row r="2459" spans="1:9" x14ac:dyDescent="0.25">
      <c r="A2459" t="s">
        <v>6238</v>
      </c>
      <c r="B2459">
        <v>49368</v>
      </c>
      <c r="C2459">
        <v>49664</v>
      </c>
      <c r="D2459" t="s">
        <v>6239</v>
      </c>
      <c r="E2459" t="s">
        <v>28</v>
      </c>
      <c r="F2459" t="s">
        <v>41</v>
      </c>
      <c r="H2459">
        <v>0</v>
      </c>
      <c r="I2459" t="s">
        <v>16</v>
      </c>
    </row>
    <row r="2460" spans="1:9" x14ac:dyDescent="0.25">
      <c r="A2460" t="s">
        <v>6238</v>
      </c>
      <c r="B2460">
        <v>49658</v>
      </c>
      <c r="C2460">
        <v>50035</v>
      </c>
      <c r="D2460" t="s">
        <v>6239</v>
      </c>
      <c r="E2460" t="s">
        <v>28</v>
      </c>
      <c r="F2460" t="s">
        <v>41</v>
      </c>
      <c r="H2460">
        <v>0</v>
      </c>
      <c r="I2460" t="s">
        <v>16</v>
      </c>
    </row>
    <row r="2461" spans="1:9" x14ac:dyDescent="0.25">
      <c r="A2461" t="s">
        <v>6238</v>
      </c>
      <c r="B2461">
        <v>50087</v>
      </c>
      <c r="C2461">
        <v>50704</v>
      </c>
      <c r="D2461" t="s">
        <v>6239</v>
      </c>
      <c r="E2461" t="s">
        <v>28</v>
      </c>
      <c r="F2461" t="s">
        <v>41</v>
      </c>
      <c r="H2461">
        <v>0</v>
      </c>
      <c r="I2461" t="s">
        <v>16</v>
      </c>
    </row>
    <row r="2462" spans="1:9" x14ac:dyDescent="0.25">
      <c r="A2462" t="s">
        <v>6238</v>
      </c>
      <c r="B2462">
        <v>50711</v>
      </c>
      <c r="C2462">
        <v>50959</v>
      </c>
      <c r="D2462" t="s">
        <v>6239</v>
      </c>
      <c r="E2462" t="s">
        <v>28</v>
      </c>
      <c r="F2462" t="s">
        <v>41</v>
      </c>
      <c r="H2462">
        <v>0</v>
      </c>
      <c r="I2462" t="s">
        <v>16</v>
      </c>
    </row>
    <row r="2463" spans="1:9" x14ac:dyDescent="0.25">
      <c r="A2463" t="s">
        <v>6238</v>
      </c>
      <c r="B2463">
        <v>50981</v>
      </c>
      <c r="C2463">
        <v>51220</v>
      </c>
      <c r="D2463" t="s">
        <v>6239</v>
      </c>
      <c r="E2463" t="s">
        <v>28</v>
      </c>
      <c r="F2463" t="s">
        <v>41</v>
      </c>
      <c r="H2463">
        <v>0</v>
      </c>
      <c r="I2463" t="s">
        <v>16</v>
      </c>
    </row>
    <row r="2464" spans="1:9" x14ac:dyDescent="0.25">
      <c r="A2464" t="s">
        <v>6238</v>
      </c>
      <c r="B2464">
        <v>51416</v>
      </c>
      <c r="C2464">
        <v>52372</v>
      </c>
      <c r="D2464" t="s">
        <v>6239</v>
      </c>
      <c r="E2464" t="s">
        <v>28</v>
      </c>
      <c r="F2464" t="s">
        <v>41</v>
      </c>
      <c r="H2464">
        <v>0</v>
      </c>
      <c r="I2464" t="s">
        <v>16</v>
      </c>
    </row>
    <row r="2465" spans="1:9" x14ac:dyDescent="0.25">
      <c r="A2465" t="s">
        <v>6238</v>
      </c>
      <c r="B2465">
        <v>52372</v>
      </c>
      <c r="C2465">
        <v>52572</v>
      </c>
      <c r="D2465" t="s">
        <v>6239</v>
      </c>
      <c r="E2465" t="s">
        <v>28</v>
      </c>
      <c r="F2465" t="s">
        <v>41</v>
      </c>
      <c r="H2465">
        <v>0</v>
      </c>
      <c r="I2465" t="s">
        <v>16</v>
      </c>
    </row>
    <row r="2466" spans="1:9" x14ac:dyDescent="0.25">
      <c r="A2466" t="s">
        <v>6238</v>
      </c>
      <c r="B2466">
        <v>52792</v>
      </c>
      <c r="C2466">
        <v>53046</v>
      </c>
      <c r="D2466" t="s">
        <v>6239</v>
      </c>
      <c r="E2466" t="s">
        <v>28</v>
      </c>
      <c r="F2466" t="s">
        <v>41</v>
      </c>
      <c r="H2466">
        <v>0</v>
      </c>
      <c r="I2466" t="s">
        <v>16</v>
      </c>
    </row>
    <row r="2467" spans="1:9" x14ac:dyDescent="0.25">
      <c r="A2467" t="s">
        <v>6238</v>
      </c>
      <c r="B2467">
        <v>53145</v>
      </c>
      <c r="C2467">
        <v>53669</v>
      </c>
      <c r="D2467" t="s">
        <v>6239</v>
      </c>
      <c r="E2467" t="s">
        <v>28</v>
      </c>
      <c r="F2467" t="s">
        <v>6373</v>
      </c>
      <c r="H2467">
        <v>0</v>
      </c>
      <c r="I2467" t="s">
        <v>16</v>
      </c>
    </row>
    <row r="2468" spans="1:9" x14ac:dyDescent="0.25">
      <c r="A2468" t="s">
        <v>6238</v>
      </c>
      <c r="B2468">
        <v>53723</v>
      </c>
      <c r="C2468">
        <v>53959</v>
      </c>
      <c r="D2468" t="s">
        <v>6239</v>
      </c>
      <c r="E2468" t="s">
        <v>28</v>
      </c>
      <c r="F2468" t="s">
        <v>41</v>
      </c>
      <c r="H2468">
        <v>0</v>
      </c>
      <c r="I2468" t="s">
        <v>16</v>
      </c>
    </row>
    <row r="2469" spans="1:9" x14ac:dyDescent="0.25">
      <c r="A2469" t="s">
        <v>6238</v>
      </c>
      <c r="B2469">
        <v>53993</v>
      </c>
      <c r="C2469">
        <v>54166</v>
      </c>
      <c r="D2469" t="s">
        <v>6239</v>
      </c>
      <c r="E2469" t="s">
        <v>28</v>
      </c>
      <c r="F2469" t="s">
        <v>41</v>
      </c>
      <c r="H2469">
        <v>0</v>
      </c>
      <c r="I2469" t="s">
        <v>16</v>
      </c>
    </row>
    <row r="2470" spans="1:9" x14ac:dyDescent="0.25">
      <c r="A2470" t="s">
        <v>6238</v>
      </c>
      <c r="B2470">
        <v>54166</v>
      </c>
      <c r="C2470">
        <v>54339</v>
      </c>
      <c r="D2470" t="s">
        <v>6239</v>
      </c>
      <c r="E2470" t="s">
        <v>28</v>
      </c>
      <c r="F2470" t="s">
        <v>41</v>
      </c>
      <c r="H2470">
        <v>0</v>
      </c>
      <c r="I2470" t="s">
        <v>16</v>
      </c>
    </row>
    <row r="2471" spans="1:9" x14ac:dyDescent="0.25">
      <c r="A2471" t="s">
        <v>6238</v>
      </c>
      <c r="B2471">
        <v>54401</v>
      </c>
      <c r="C2471">
        <v>54703</v>
      </c>
      <c r="D2471" t="s">
        <v>6239</v>
      </c>
      <c r="E2471" t="s">
        <v>28</v>
      </c>
      <c r="F2471" t="s">
        <v>41</v>
      </c>
      <c r="H2471">
        <v>0</v>
      </c>
      <c r="I2471" t="s">
        <v>16</v>
      </c>
    </row>
    <row r="2472" spans="1:9" x14ac:dyDescent="0.25">
      <c r="A2472" t="s">
        <v>6238</v>
      </c>
      <c r="B2472">
        <v>54800</v>
      </c>
      <c r="C2472">
        <v>55177</v>
      </c>
      <c r="D2472" t="s">
        <v>6239</v>
      </c>
      <c r="E2472" t="s">
        <v>28</v>
      </c>
      <c r="F2472" t="s">
        <v>41</v>
      </c>
      <c r="H2472">
        <v>0</v>
      </c>
      <c r="I2472" t="s">
        <v>16</v>
      </c>
    </row>
    <row r="2473" spans="1:9" x14ac:dyDescent="0.25">
      <c r="A2473" t="s">
        <v>6238</v>
      </c>
      <c r="B2473">
        <v>55152</v>
      </c>
      <c r="C2473">
        <v>55430</v>
      </c>
      <c r="D2473" t="s">
        <v>6239</v>
      </c>
      <c r="E2473" t="s">
        <v>28</v>
      </c>
      <c r="F2473" t="s">
        <v>41</v>
      </c>
      <c r="H2473">
        <v>0</v>
      </c>
      <c r="I2473" t="s">
        <v>16</v>
      </c>
    </row>
    <row r="2474" spans="1:9" x14ac:dyDescent="0.25">
      <c r="A2474" t="s">
        <v>6238</v>
      </c>
      <c r="B2474">
        <v>55427</v>
      </c>
      <c r="C2474">
        <v>55735</v>
      </c>
      <c r="D2474" t="s">
        <v>6239</v>
      </c>
      <c r="E2474" t="s">
        <v>28</v>
      </c>
      <c r="F2474" t="s">
        <v>41</v>
      </c>
      <c r="H2474">
        <v>0</v>
      </c>
      <c r="I2474" t="s">
        <v>16</v>
      </c>
    </row>
    <row r="2475" spans="1:9" x14ac:dyDescent="0.25">
      <c r="A2475" t="s">
        <v>6238</v>
      </c>
      <c r="B2475">
        <v>55786</v>
      </c>
      <c r="C2475">
        <v>56163</v>
      </c>
      <c r="D2475" t="s">
        <v>6239</v>
      </c>
      <c r="E2475" t="s">
        <v>28</v>
      </c>
      <c r="F2475" t="s">
        <v>346</v>
      </c>
      <c r="H2475">
        <v>0</v>
      </c>
      <c r="I2475" t="s">
        <v>16</v>
      </c>
    </row>
    <row r="2476" spans="1:9" x14ac:dyDescent="0.25">
      <c r="A2476" t="s">
        <v>6238</v>
      </c>
      <c r="B2476">
        <v>56222</v>
      </c>
      <c r="C2476">
        <v>56674</v>
      </c>
      <c r="D2476" t="s">
        <v>6239</v>
      </c>
      <c r="E2476" t="s">
        <v>28</v>
      </c>
      <c r="F2476" t="s">
        <v>41</v>
      </c>
      <c r="H2476">
        <v>0</v>
      </c>
      <c r="I2476" t="s">
        <v>16</v>
      </c>
    </row>
    <row r="2477" spans="1:9" x14ac:dyDescent="0.25">
      <c r="A2477" t="s">
        <v>6238</v>
      </c>
      <c r="B2477">
        <v>56729</v>
      </c>
      <c r="C2477">
        <v>56980</v>
      </c>
      <c r="D2477" t="s">
        <v>6239</v>
      </c>
      <c r="E2477" t="s">
        <v>28</v>
      </c>
      <c r="F2477" t="s">
        <v>41</v>
      </c>
      <c r="H2477">
        <v>0</v>
      </c>
      <c r="I2477" t="s">
        <v>16</v>
      </c>
    </row>
    <row r="2478" spans="1:9" x14ac:dyDescent="0.25">
      <c r="A2478" t="s">
        <v>6238</v>
      </c>
      <c r="B2478">
        <v>56995</v>
      </c>
      <c r="C2478">
        <v>57315</v>
      </c>
      <c r="D2478" t="s">
        <v>6239</v>
      </c>
      <c r="E2478" t="s">
        <v>28</v>
      </c>
      <c r="F2478" t="s">
        <v>41</v>
      </c>
      <c r="H2478">
        <v>0</v>
      </c>
      <c r="I2478" t="s">
        <v>16</v>
      </c>
    </row>
    <row r="2479" spans="1:9" x14ac:dyDescent="0.25">
      <c r="A2479" t="s">
        <v>6238</v>
      </c>
      <c r="B2479">
        <v>57570</v>
      </c>
      <c r="C2479">
        <v>57752</v>
      </c>
      <c r="D2479" t="s">
        <v>6239</v>
      </c>
      <c r="E2479" t="s">
        <v>28</v>
      </c>
      <c r="F2479" t="s">
        <v>41</v>
      </c>
      <c r="H2479">
        <v>0</v>
      </c>
      <c r="I2479" t="s">
        <v>16</v>
      </c>
    </row>
    <row r="2480" spans="1:9" x14ac:dyDescent="0.25">
      <c r="A2480" t="s">
        <v>6238</v>
      </c>
      <c r="B2480">
        <v>58045</v>
      </c>
      <c r="C2480">
        <v>60087</v>
      </c>
      <c r="D2480" t="s">
        <v>6239</v>
      </c>
      <c r="E2480" t="s">
        <v>28</v>
      </c>
      <c r="F2480" t="s">
        <v>6400</v>
      </c>
      <c r="H2480">
        <v>0</v>
      </c>
      <c r="I2480" t="s">
        <v>16</v>
      </c>
    </row>
    <row r="2481" spans="1:9" x14ac:dyDescent="0.25">
      <c r="A2481" t="s">
        <v>6238</v>
      </c>
      <c r="B2481">
        <v>60152</v>
      </c>
      <c r="C2481">
        <v>60625</v>
      </c>
      <c r="D2481" t="s">
        <v>6239</v>
      </c>
      <c r="E2481" t="s">
        <v>28</v>
      </c>
      <c r="F2481" t="s">
        <v>41</v>
      </c>
      <c r="H2481">
        <v>0</v>
      </c>
      <c r="I2481" t="s">
        <v>16</v>
      </c>
    </row>
    <row r="2482" spans="1:9" x14ac:dyDescent="0.25">
      <c r="A2482" t="s">
        <v>6238</v>
      </c>
      <c r="B2482">
        <v>60774</v>
      </c>
      <c r="C2482">
        <v>61511</v>
      </c>
      <c r="D2482" t="s">
        <v>6239</v>
      </c>
      <c r="E2482" t="s">
        <v>28</v>
      </c>
      <c r="F2482" t="s">
        <v>41</v>
      </c>
      <c r="H2482">
        <v>0</v>
      </c>
      <c r="I2482" t="s">
        <v>16</v>
      </c>
    </row>
    <row r="2483" spans="1:9" x14ac:dyDescent="0.25">
      <c r="A2483" t="s">
        <v>6238</v>
      </c>
      <c r="B2483">
        <v>61679</v>
      </c>
      <c r="C2483">
        <v>62011</v>
      </c>
      <c r="D2483" t="s">
        <v>6239</v>
      </c>
      <c r="E2483" t="s">
        <v>28</v>
      </c>
      <c r="F2483" t="s">
        <v>41</v>
      </c>
      <c r="H2483">
        <v>0</v>
      </c>
      <c r="I2483" t="s">
        <v>16</v>
      </c>
    </row>
    <row r="2484" spans="1:9" x14ac:dyDescent="0.25">
      <c r="A2484" t="s">
        <v>6238</v>
      </c>
      <c r="B2484">
        <v>62016</v>
      </c>
      <c r="C2484">
        <v>63101</v>
      </c>
      <c r="D2484" t="s">
        <v>6239</v>
      </c>
      <c r="E2484" t="s">
        <v>28</v>
      </c>
      <c r="F2484" t="s">
        <v>41</v>
      </c>
      <c r="H2484">
        <v>0</v>
      </c>
      <c r="I2484" t="s">
        <v>16</v>
      </c>
    </row>
    <row r="2485" spans="1:9" x14ac:dyDescent="0.25">
      <c r="A2485" t="s">
        <v>6238</v>
      </c>
      <c r="B2485">
        <v>63098</v>
      </c>
      <c r="C2485">
        <v>63301</v>
      </c>
      <c r="D2485" t="s">
        <v>6239</v>
      </c>
      <c r="E2485" t="s">
        <v>28</v>
      </c>
      <c r="F2485" t="s">
        <v>41</v>
      </c>
      <c r="H2485">
        <v>0</v>
      </c>
      <c r="I2485" t="s">
        <v>16</v>
      </c>
    </row>
    <row r="2486" spans="1:9" x14ac:dyDescent="0.25">
      <c r="A2486" t="s">
        <v>6238</v>
      </c>
      <c r="B2486">
        <v>63316</v>
      </c>
      <c r="C2486">
        <v>63729</v>
      </c>
      <c r="D2486" t="s">
        <v>6239</v>
      </c>
      <c r="E2486" t="s">
        <v>28</v>
      </c>
      <c r="F2486" t="s">
        <v>41</v>
      </c>
      <c r="H2486">
        <v>0</v>
      </c>
      <c r="I2486" t="s">
        <v>16</v>
      </c>
    </row>
    <row r="2487" spans="1:9" x14ac:dyDescent="0.25">
      <c r="A2487" t="s">
        <v>6238</v>
      </c>
      <c r="B2487">
        <v>63776</v>
      </c>
      <c r="C2487">
        <v>64108</v>
      </c>
      <c r="D2487" t="s">
        <v>6239</v>
      </c>
      <c r="E2487" t="s">
        <v>28</v>
      </c>
      <c r="F2487" t="s">
        <v>41</v>
      </c>
      <c r="H2487">
        <v>0</v>
      </c>
      <c r="I2487" t="s">
        <v>16</v>
      </c>
    </row>
    <row r="2488" spans="1:9" x14ac:dyDescent="0.25">
      <c r="A2488" t="s">
        <v>6238</v>
      </c>
      <c r="B2488">
        <v>64270</v>
      </c>
      <c r="C2488">
        <v>64614</v>
      </c>
      <c r="D2488" t="s">
        <v>6239</v>
      </c>
      <c r="E2488" t="s">
        <v>28</v>
      </c>
      <c r="F2488" t="s">
        <v>41</v>
      </c>
      <c r="H2488">
        <v>0</v>
      </c>
      <c r="I2488" t="s">
        <v>16</v>
      </c>
    </row>
    <row r="2489" spans="1:9" x14ac:dyDescent="0.25">
      <c r="A2489" t="s">
        <v>6238</v>
      </c>
      <c r="B2489">
        <v>64971</v>
      </c>
      <c r="C2489">
        <v>65171</v>
      </c>
      <c r="D2489" t="s">
        <v>6239</v>
      </c>
      <c r="E2489" t="s">
        <v>28</v>
      </c>
      <c r="F2489" t="s">
        <v>41</v>
      </c>
      <c r="H2489">
        <v>0</v>
      </c>
      <c r="I2489" t="s">
        <v>16</v>
      </c>
    </row>
    <row r="2490" spans="1:9" x14ac:dyDescent="0.25">
      <c r="A2490" t="s">
        <v>6238</v>
      </c>
      <c r="B2490">
        <v>65221</v>
      </c>
      <c r="C2490">
        <v>65592</v>
      </c>
      <c r="D2490" t="s">
        <v>6239</v>
      </c>
      <c r="E2490" t="s">
        <v>28</v>
      </c>
      <c r="F2490" t="s">
        <v>41</v>
      </c>
      <c r="H2490">
        <v>0</v>
      </c>
      <c r="I2490" t="s">
        <v>16</v>
      </c>
    </row>
    <row r="2491" spans="1:9" x14ac:dyDescent="0.25">
      <c r="A2491" t="s">
        <v>6238</v>
      </c>
      <c r="B2491">
        <v>65653</v>
      </c>
      <c r="C2491">
        <v>65979</v>
      </c>
      <c r="D2491" t="s">
        <v>6239</v>
      </c>
      <c r="E2491" t="s">
        <v>28</v>
      </c>
      <c r="F2491" t="s">
        <v>41</v>
      </c>
      <c r="H2491">
        <v>0</v>
      </c>
      <c r="I2491" t="s">
        <v>16</v>
      </c>
    </row>
    <row r="2492" spans="1:9" x14ac:dyDescent="0.25">
      <c r="A2492" t="s">
        <v>6238</v>
      </c>
      <c r="B2492">
        <v>65982</v>
      </c>
      <c r="C2492">
        <v>66143</v>
      </c>
      <c r="D2492" t="s">
        <v>6239</v>
      </c>
      <c r="E2492" t="s">
        <v>28</v>
      </c>
      <c r="F2492" t="s">
        <v>41</v>
      </c>
      <c r="H2492">
        <v>0</v>
      </c>
      <c r="I2492" t="s">
        <v>16</v>
      </c>
    </row>
    <row r="2493" spans="1:9" x14ac:dyDescent="0.25">
      <c r="A2493" t="s">
        <v>6238</v>
      </c>
      <c r="B2493">
        <v>66191</v>
      </c>
      <c r="C2493">
        <v>66433</v>
      </c>
      <c r="D2493" t="s">
        <v>6239</v>
      </c>
      <c r="E2493" t="s">
        <v>28</v>
      </c>
      <c r="F2493" t="s">
        <v>41</v>
      </c>
      <c r="H2493">
        <v>0</v>
      </c>
      <c r="I2493" t="s">
        <v>16</v>
      </c>
    </row>
    <row r="2494" spans="1:9" x14ac:dyDescent="0.25">
      <c r="A2494" t="s">
        <v>6238</v>
      </c>
      <c r="B2494">
        <v>66783</v>
      </c>
      <c r="C2494">
        <v>67013</v>
      </c>
      <c r="D2494" t="s">
        <v>6239</v>
      </c>
      <c r="E2494" t="s">
        <v>14</v>
      </c>
      <c r="F2494" t="s">
        <v>41</v>
      </c>
      <c r="H2494">
        <v>0</v>
      </c>
      <c r="I2494" t="s">
        <v>16</v>
      </c>
    </row>
    <row r="2495" spans="1:9" x14ac:dyDescent="0.25">
      <c r="A2495" t="s">
        <v>6238</v>
      </c>
      <c r="B2495">
        <v>67499</v>
      </c>
      <c r="C2495">
        <v>68482</v>
      </c>
      <c r="D2495" t="s">
        <v>6239</v>
      </c>
      <c r="E2495" t="s">
        <v>28</v>
      </c>
      <c r="F2495" t="s">
        <v>41</v>
      </c>
      <c r="H2495">
        <v>0</v>
      </c>
      <c r="I2495" t="s">
        <v>16</v>
      </c>
    </row>
    <row r="2496" spans="1:9" x14ac:dyDescent="0.25">
      <c r="A2496" t="s">
        <v>6238</v>
      </c>
      <c r="B2496">
        <v>68592</v>
      </c>
      <c r="C2496">
        <v>69347</v>
      </c>
      <c r="D2496" t="s">
        <v>6239</v>
      </c>
      <c r="E2496" t="s">
        <v>28</v>
      </c>
      <c r="F2496" t="s">
        <v>6433</v>
      </c>
      <c r="H2496">
        <v>0</v>
      </c>
      <c r="I2496" t="s">
        <v>16</v>
      </c>
    </row>
    <row r="2497" spans="1:9" x14ac:dyDescent="0.25">
      <c r="A2497" t="s">
        <v>6238</v>
      </c>
      <c r="B2497">
        <v>69536</v>
      </c>
      <c r="C2497">
        <v>69859</v>
      </c>
      <c r="D2497" t="s">
        <v>6239</v>
      </c>
      <c r="E2497" t="s">
        <v>28</v>
      </c>
      <c r="F2497" t="s">
        <v>41</v>
      </c>
      <c r="H2497">
        <v>0</v>
      </c>
      <c r="I2497" t="s">
        <v>16</v>
      </c>
    </row>
    <row r="2498" spans="1:9" x14ac:dyDescent="0.25">
      <c r="A2498" t="s">
        <v>6438</v>
      </c>
      <c r="B2498">
        <v>69</v>
      </c>
      <c r="C2498">
        <v>1121</v>
      </c>
      <c r="D2498" t="s">
        <v>6439</v>
      </c>
      <c r="E2498" t="s">
        <v>14</v>
      </c>
      <c r="F2498" t="s">
        <v>6440</v>
      </c>
      <c r="H2498">
        <v>0</v>
      </c>
      <c r="I2498" t="s">
        <v>16</v>
      </c>
    </row>
    <row r="2499" spans="1:9" x14ac:dyDescent="0.25">
      <c r="A2499" t="s">
        <v>6438</v>
      </c>
      <c r="B2499">
        <v>1304</v>
      </c>
      <c r="C2499">
        <v>4378</v>
      </c>
      <c r="D2499" t="s">
        <v>6439</v>
      </c>
      <c r="E2499" t="s">
        <v>14</v>
      </c>
      <c r="F2499" t="s">
        <v>6440</v>
      </c>
      <c r="H2499">
        <v>0</v>
      </c>
      <c r="I2499" t="s">
        <v>16</v>
      </c>
    </row>
    <row r="2500" spans="1:9" x14ac:dyDescent="0.25">
      <c r="A2500" t="s">
        <v>6438</v>
      </c>
      <c r="B2500">
        <v>4362</v>
      </c>
      <c r="C2500">
        <v>4700</v>
      </c>
      <c r="D2500" t="s">
        <v>6439</v>
      </c>
      <c r="E2500" t="s">
        <v>14</v>
      </c>
      <c r="F2500" t="s">
        <v>41</v>
      </c>
      <c r="H2500">
        <v>0</v>
      </c>
      <c r="I2500" t="s">
        <v>16</v>
      </c>
    </row>
    <row r="2501" spans="1:9" x14ac:dyDescent="0.25">
      <c r="A2501" t="s">
        <v>6438</v>
      </c>
      <c r="B2501">
        <v>4697</v>
      </c>
      <c r="C2501">
        <v>5161</v>
      </c>
      <c r="D2501" t="s">
        <v>6439</v>
      </c>
      <c r="E2501" t="s">
        <v>28</v>
      </c>
      <c r="F2501" t="s">
        <v>41</v>
      </c>
      <c r="H2501">
        <v>0</v>
      </c>
      <c r="I2501" t="s">
        <v>16</v>
      </c>
    </row>
    <row r="2502" spans="1:9" x14ac:dyDescent="0.25">
      <c r="A2502" t="s">
        <v>6438</v>
      </c>
      <c r="B2502">
        <v>5185</v>
      </c>
      <c r="C2502">
        <v>5769</v>
      </c>
      <c r="D2502" t="s">
        <v>6439</v>
      </c>
      <c r="E2502" t="s">
        <v>28</v>
      </c>
      <c r="F2502" t="s">
        <v>41</v>
      </c>
      <c r="H2502">
        <v>0</v>
      </c>
      <c r="I2502" t="s">
        <v>16</v>
      </c>
    </row>
    <row r="2503" spans="1:9" x14ac:dyDescent="0.25">
      <c r="A2503" t="s">
        <v>6438</v>
      </c>
      <c r="B2503">
        <v>5775</v>
      </c>
      <c r="C2503">
        <v>6860</v>
      </c>
      <c r="D2503" t="s">
        <v>6439</v>
      </c>
      <c r="E2503" t="s">
        <v>28</v>
      </c>
      <c r="F2503" t="s">
        <v>41</v>
      </c>
      <c r="H2503">
        <v>0</v>
      </c>
      <c r="I2503" t="s">
        <v>16</v>
      </c>
    </row>
    <row r="2504" spans="1:9" x14ac:dyDescent="0.25">
      <c r="A2504" t="s">
        <v>6438</v>
      </c>
      <c r="B2504">
        <v>7833</v>
      </c>
      <c r="C2504">
        <v>8054</v>
      </c>
      <c r="D2504" t="s">
        <v>6439</v>
      </c>
      <c r="E2504" t="s">
        <v>28</v>
      </c>
      <c r="F2504" t="s">
        <v>41</v>
      </c>
      <c r="H2504">
        <v>0</v>
      </c>
      <c r="I2504" t="s">
        <v>16</v>
      </c>
    </row>
    <row r="2505" spans="1:9" x14ac:dyDescent="0.25">
      <c r="A2505" t="s">
        <v>6438</v>
      </c>
      <c r="B2505">
        <v>8076</v>
      </c>
      <c r="C2505">
        <v>8717</v>
      </c>
      <c r="D2505" t="s">
        <v>6439</v>
      </c>
      <c r="E2505" t="s">
        <v>28</v>
      </c>
      <c r="F2505" t="s">
        <v>41</v>
      </c>
      <c r="H2505">
        <v>0</v>
      </c>
      <c r="I2505" t="s">
        <v>16</v>
      </c>
    </row>
    <row r="2506" spans="1:9" x14ac:dyDescent="0.25">
      <c r="A2506" t="s">
        <v>6438</v>
      </c>
      <c r="B2506">
        <v>8974</v>
      </c>
      <c r="C2506">
        <v>10224</v>
      </c>
      <c r="D2506" t="s">
        <v>6439</v>
      </c>
      <c r="E2506" t="s">
        <v>28</v>
      </c>
      <c r="F2506" t="s">
        <v>68</v>
      </c>
      <c r="H2506">
        <v>0</v>
      </c>
      <c r="I2506" t="s">
        <v>16</v>
      </c>
    </row>
    <row r="2507" spans="1:9" x14ac:dyDescent="0.25">
      <c r="A2507" t="s">
        <v>6438</v>
      </c>
      <c r="B2507">
        <v>11440</v>
      </c>
      <c r="C2507">
        <v>11700</v>
      </c>
      <c r="D2507" t="s">
        <v>6439</v>
      </c>
      <c r="E2507" t="s">
        <v>28</v>
      </c>
      <c r="F2507" t="s">
        <v>41</v>
      </c>
      <c r="H2507">
        <v>0</v>
      </c>
      <c r="I2507" t="s">
        <v>16</v>
      </c>
    </row>
    <row r="2508" spans="1:9" x14ac:dyDescent="0.25">
      <c r="A2508" t="s">
        <v>6438</v>
      </c>
      <c r="B2508">
        <v>12035</v>
      </c>
      <c r="C2508">
        <v>12304</v>
      </c>
      <c r="D2508" t="s">
        <v>6439</v>
      </c>
      <c r="E2508" t="s">
        <v>14</v>
      </c>
      <c r="F2508" t="s">
        <v>41</v>
      </c>
      <c r="H2508">
        <v>0</v>
      </c>
      <c r="I2508" t="s">
        <v>16</v>
      </c>
    </row>
    <row r="2509" spans="1:9" x14ac:dyDescent="0.25">
      <c r="A2509" t="s">
        <v>6438</v>
      </c>
      <c r="B2509">
        <v>12279</v>
      </c>
      <c r="C2509">
        <v>12527</v>
      </c>
      <c r="D2509" t="s">
        <v>6439</v>
      </c>
      <c r="E2509" t="s">
        <v>14</v>
      </c>
      <c r="F2509" t="s">
        <v>41</v>
      </c>
      <c r="H2509">
        <v>0</v>
      </c>
      <c r="I2509" t="s">
        <v>16</v>
      </c>
    </row>
    <row r="2510" spans="1:9" x14ac:dyDescent="0.25">
      <c r="A2510" t="s">
        <v>6438</v>
      </c>
      <c r="B2510">
        <v>12552</v>
      </c>
      <c r="C2510">
        <v>13211</v>
      </c>
      <c r="D2510" t="s">
        <v>6439</v>
      </c>
      <c r="E2510" t="s">
        <v>14</v>
      </c>
      <c r="F2510" t="s">
        <v>6340</v>
      </c>
      <c r="H2510">
        <v>0</v>
      </c>
      <c r="I2510" t="s">
        <v>16</v>
      </c>
    </row>
    <row r="2511" spans="1:9" x14ac:dyDescent="0.25">
      <c r="A2511" t="s">
        <v>6438</v>
      </c>
      <c r="B2511">
        <v>13393</v>
      </c>
      <c r="C2511">
        <v>13656</v>
      </c>
      <c r="D2511" t="s">
        <v>6439</v>
      </c>
      <c r="E2511" t="s">
        <v>14</v>
      </c>
      <c r="F2511" t="s">
        <v>41</v>
      </c>
      <c r="H2511">
        <v>0</v>
      </c>
      <c r="I2511" t="s">
        <v>16</v>
      </c>
    </row>
    <row r="2512" spans="1:9" x14ac:dyDescent="0.25">
      <c r="A2512" t="s">
        <v>6438</v>
      </c>
      <c r="B2512">
        <v>13664</v>
      </c>
      <c r="C2512">
        <v>14080</v>
      </c>
      <c r="D2512" t="s">
        <v>6439</v>
      </c>
      <c r="E2512" t="s">
        <v>14</v>
      </c>
      <c r="F2512" t="s">
        <v>6469</v>
      </c>
      <c r="H2512">
        <v>0</v>
      </c>
      <c r="I2512" t="s">
        <v>16</v>
      </c>
    </row>
    <row r="2513" spans="1:9" x14ac:dyDescent="0.25">
      <c r="A2513" t="s">
        <v>6438</v>
      </c>
      <c r="B2513">
        <v>14324</v>
      </c>
      <c r="C2513">
        <v>14473</v>
      </c>
      <c r="D2513" t="s">
        <v>6439</v>
      </c>
      <c r="E2513" t="s">
        <v>28</v>
      </c>
      <c r="F2513" t="s">
        <v>6472</v>
      </c>
      <c r="H2513">
        <v>0</v>
      </c>
      <c r="I2513" t="s">
        <v>16</v>
      </c>
    </row>
    <row r="2514" spans="1:9" x14ac:dyDescent="0.25">
      <c r="A2514" t="s">
        <v>6438</v>
      </c>
      <c r="B2514">
        <v>14700</v>
      </c>
      <c r="C2514">
        <v>19754</v>
      </c>
      <c r="D2514" t="s">
        <v>6439</v>
      </c>
      <c r="E2514" t="s">
        <v>14</v>
      </c>
      <c r="F2514" t="s">
        <v>6475</v>
      </c>
      <c r="H2514">
        <v>0</v>
      </c>
      <c r="I2514" t="s">
        <v>16</v>
      </c>
    </row>
    <row r="2515" spans="1:9" x14ac:dyDescent="0.25">
      <c r="A2515" t="s">
        <v>6438</v>
      </c>
      <c r="B2515">
        <v>19729</v>
      </c>
      <c r="C2515">
        <v>20700</v>
      </c>
      <c r="D2515" t="s">
        <v>6439</v>
      </c>
      <c r="E2515" t="s">
        <v>14</v>
      </c>
      <c r="F2515" t="s">
        <v>41</v>
      </c>
      <c r="H2515">
        <v>0</v>
      </c>
      <c r="I2515" t="s">
        <v>16</v>
      </c>
    </row>
    <row r="2516" spans="1:9" x14ac:dyDescent="0.25">
      <c r="A2516" t="s">
        <v>6438</v>
      </c>
      <c r="B2516">
        <v>20697</v>
      </c>
      <c r="C2516">
        <v>21170</v>
      </c>
      <c r="D2516" t="s">
        <v>6439</v>
      </c>
      <c r="E2516" t="s">
        <v>14</v>
      </c>
      <c r="F2516" t="s">
        <v>41</v>
      </c>
      <c r="H2516">
        <v>0</v>
      </c>
      <c r="I2516" t="s">
        <v>16</v>
      </c>
    </row>
    <row r="2517" spans="1:9" x14ac:dyDescent="0.25">
      <c r="A2517" t="s">
        <v>6438</v>
      </c>
      <c r="B2517">
        <v>21163</v>
      </c>
      <c r="C2517">
        <v>22671</v>
      </c>
      <c r="D2517" t="s">
        <v>6439</v>
      </c>
      <c r="E2517" t="s">
        <v>14</v>
      </c>
      <c r="F2517" t="s">
        <v>41</v>
      </c>
      <c r="H2517">
        <v>0</v>
      </c>
      <c r="I2517" t="s">
        <v>16</v>
      </c>
    </row>
    <row r="2518" spans="1:9" x14ac:dyDescent="0.25">
      <c r="A2518" t="s">
        <v>6438</v>
      </c>
      <c r="B2518">
        <v>22865</v>
      </c>
      <c r="C2518">
        <v>23560</v>
      </c>
      <c r="D2518" t="s">
        <v>6439</v>
      </c>
      <c r="E2518" t="s">
        <v>14</v>
      </c>
      <c r="F2518" t="s">
        <v>41</v>
      </c>
      <c r="H2518">
        <v>0</v>
      </c>
      <c r="I2518" t="s">
        <v>16</v>
      </c>
    </row>
    <row r="2519" spans="1:9" x14ac:dyDescent="0.25">
      <c r="A2519" t="s">
        <v>6438</v>
      </c>
      <c r="B2519">
        <v>23557</v>
      </c>
      <c r="C2519">
        <v>24051</v>
      </c>
      <c r="D2519" t="s">
        <v>6439</v>
      </c>
      <c r="E2519" t="s">
        <v>28</v>
      </c>
      <c r="F2519" t="s">
        <v>41</v>
      </c>
      <c r="H2519">
        <v>0</v>
      </c>
      <c r="I2519" t="s">
        <v>16</v>
      </c>
    </row>
    <row r="2520" spans="1:9" x14ac:dyDescent="0.25">
      <c r="A2520" t="s">
        <v>6438</v>
      </c>
      <c r="B2520">
        <v>24054</v>
      </c>
      <c r="C2520">
        <v>24686</v>
      </c>
      <c r="D2520" t="s">
        <v>6439</v>
      </c>
      <c r="E2520" t="s">
        <v>28</v>
      </c>
      <c r="F2520" t="s">
        <v>6488</v>
      </c>
      <c r="H2520">
        <v>0</v>
      </c>
      <c r="I2520" t="s">
        <v>16</v>
      </c>
    </row>
    <row r="2521" spans="1:9" x14ac:dyDescent="0.25">
      <c r="A2521" t="s">
        <v>6438</v>
      </c>
      <c r="B2521">
        <v>24799</v>
      </c>
      <c r="C2521">
        <v>26007</v>
      </c>
      <c r="D2521" t="s">
        <v>6439</v>
      </c>
      <c r="E2521" t="s">
        <v>14</v>
      </c>
      <c r="F2521" t="s">
        <v>41</v>
      </c>
      <c r="H2521">
        <v>0</v>
      </c>
      <c r="I2521" t="s">
        <v>16</v>
      </c>
    </row>
    <row r="2522" spans="1:9" x14ac:dyDescent="0.25">
      <c r="A2522" t="s">
        <v>6438</v>
      </c>
      <c r="B2522">
        <v>26004</v>
      </c>
      <c r="C2522">
        <v>26621</v>
      </c>
      <c r="D2522" t="s">
        <v>6439</v>
      </c>
      <c r="E2522" t="s">
        <v>28</v>
      </c>
      <c r="F2522" t="s">
        <v>41</v>
      </c>
      <c r="H2522">
        <v>0</v>
      </c>
      <c r="I2522" t="s">
        <v>16</v>
      </c>
    </row>
    <row r="2523" spans="1:9" x14ac:dyDescent="0.25">
      <c r="A2523" t="s">
        <v>6438</v>
      </c>
      <c r="B2523">
        <v>26611</v>
      </c>
      <c r="C2523">
        <v>27177</v>
      </c>
      <c r="D2523" t="s">
        <v>6439</v>
      </c>
      <c r="E2523" t="s">
        <v>28</v>
      </c>
      <c r="F2523" t="s">
        <v>6433</v>
      </c>
      <c r="H2523">
        <v>0</v>
      </c>
      <c r="I2523" t="s">
        <v>16</v>
      </c>
    </row>
    <row r="2524" spans="1:9" x14ac:dyDescent="0.25">
      <c r="A2524" t="s">
        <v>6438</v>
      </c>
      <c r="B2524">
        <v>27507</v>
      </c>
      <c r="C2524">
        <v>28292</v>
      </c>
      <c r="D2524" t="s">
        <v>6439</v>
      </c>
      <c r="E2524" t="s">
        <v>28</v>
      </c>
      <c r="F2524" t="s">
        <v>2332</v>
      </c>
      <c r="H2524">
        <v>0</v>
      </c>
      <c r="I2524" t="s">
        <v>16</v>
      </c>
    </row>
    <row r="2525" spans="1:9" x14ac:dyDescent="0.25">
      <c r="A2525" t="s">
        <v>6438</v>
      </c>
      <c r="B2525">
        <v>28285</v>
      </c>
      <c r="C2525">
        <v>29316</v>
      </c>
      <c r="D2525" t="s">
        <v>6439</v>
      </c>
      <c r="E2525" t="s">
        <v>28</v>
      </c>
      <c r="F2525" t="s">
        <v>6499</v>
      </c>
      <c r="H2525">
        <v>0</v>
      </c>
      <c r="I2525" t="s">
        <v>16</v>
      </c>
    </row>
    <row r="2526" spans="1:9" x14ac:dyDescent="0.25">
      <c r="A2526" t="s">
        <v>6438</v>
      </c>
      <c r="B2526">
        <v>29420</v>
      </c>
      <c r="C2526">
        <v>30331</v>
      </c>
      <c r="D2526" t="s">
        <v>6439</v>
      </c>
      <c r="E2526" t="s">
        <v>28</v>
      </c>
      <c r="F2526" t="s">
        <v>2338</v>
      </c>
      <c r="H2526">
        <v>0</v>
      </c>
      <c r="I2526" t="s">
        <v>16</v>
      </c>
    </row>
    <row r="2527" spans="1:9" x14ac:dyDescent="0.25">
      <c r="A2527" t="s">
        <v>6438</v>
      </c>
      <c r="B2527">
        <v>30328</v>
      </c>
      <c r="C2527">
        <v>30960</v>
      </c>
      <c r="D2527" t="s">
        <v>6439</v>
      </c>
      <c r="E2527" t="s">
        <v>28</v>
      </c>
      <c r="F2527" t="s">
        <v>41</v>
      </c>
      <c r="H2527">
        <v>0</v>
      </c>
      <c r="I2527" t="s">
        <v>16</v>
      </c>
    </row>
    <row r="2528" spans="1:9" x14ac:dyDescent="0.25">
      <c r="A2528" t="s">
        <v>6438</v>
      </c>
      <c r="B2528">
        <v>30953</v>
      </c>
      <c r="C2528">
        <v>31270</v>
      </c>
      <c r="D2528" t="s">
        <v>6439</v>
      </c>
      <c r="E2528" t="s">
        <v>28</v>
      </c>
      <c r="F2528" t="s">
        <v>6506</v>
      </c>
      <c r="H2528">
        <v>0</v>
      </c>
      <c r="I2528" t="s">
        <v>16</v>
      </c>
    </row>
    <row r="2529" spans="1:9" x14ac:dyDescent="0.25">
      <c r="A2529" t="s">
        <v>6438</v>
      </c>
      <c r="B2529">
        <v>31291</v>
      </c>
      <c r="C2529">
        <v>32154</v>
      </c>
      <c r="D2529" t="s">
        <v>6439</v>
      </c>
      <c r="E2529" t="s">
        <v>28</v>
      </c>
      <c r="F2529" t="s">
        <v>6509</v>
      </c>
      <c r="H2529">
        <v>0</v>
      </c>
      <c r="I2529" t="s">
        <v>16</v>
      </c>
    </row>
    <row r="2530" spans="1:9" x14ac:dyDescent="0.25">
      <c r="A2530" t="s">
        <v>6438</v>
      </c>
      <c r="B2530">
        <v>32576</v>
      </c>
      <c r="C2530">
        <v>32977</v>
      </c>
      <c r="D2530" t="s">
        <v>6439</v>
      </c>
      <c r="E2530" t="s">
        <v>14</v>
      </c>
      <c r="F2530" t="s">
        <v>900</v>
      </c>
      <c r="H2530">
        <v>0</v>
      </c>
      <c r="I2530" t="s">
        <v>16</v>
      </c>
    </row>
    <row r="2531" spans="1:9" x14ac:dyDescent="0.25">
      <c r="A2531" t="s">
        <v>6438</v>
      </c>
      <c r="B2531">
        <v>32980</v>
      </c>
      <c r="C2531">
        <v>33951</v>
      </c>
      <c r="D2531" t="s">
        <v>6439</v>
      </c>
      <c r="E2531" t="s">
        <v>14</v>
      </c>
      <c r="F2531" t="s">
        <v>6514</v>
      </c>
      <c r="H2531">
        <v>0</v>
      </c>
      <c r="I2531" t="s">
        <v>16</v>
      </c>
    </row>
    <row r="2532" spans="1:9" x14ac:dyDescent="0.25">
      <c r="A2532" t="s">
        <v>6438</v>
      </c>
      <c r="B2532">
        <v>33972</v>
      </c>
      <c r="C2532">
        <v>35645</v>
      </c>
      <c r="D2532" t="s">
        <v>6439</v>
      </c>
      <c r="E2532" t="s">
        <v>14</v>
      </c>
      <c r="F2532" t="s">
        <v>6517</v>
      </c>
      <c r="H2532">
        <v>0</v>
      </c>
      <c r="I2532" t="s">
        <v>16</v>
      </c>
    </row>
    <row r="2533" spans="1:9" x14ac:dyDescent="0.25">
      <c r="A2533" t="s">
        <v>6438</v>
      </c>
      <c r="B2533">
        <v>36314</v>
      </c>
      <c r="C2533">
        <v>39181</v>
      </c>
      <c r="D2533" t="s">
        <v>6439</v>
      </c>
      <c r="E2533" t="s">
        <v>14</v>
      </c>
      <c r="F2533" t="s">
        <v>6520</v>
      </c>
      <c r="H2533">
        <v>0</v>
      </c>
      <c r="I2533" t="s">
        <v>16</v>
      </c>
    </row>
    <row r="2534" spans="1:9" x14ac:dyDescent="0.25">
      <c r="A2534" t="s">
        <v>6438</v>
      </c>
      <c r="B2534">
        <v>39385</v>
      </c>
      <c r="C2534">
        <v>41013</v>
      </c>
      <c r="D2534" t="s">
        <v>6439</v>
      </c>
      <c r="E2534" t="s">
        <v>28</v>
      </c>
      <c r="F2534" t="s">
        <v>68</v>
      </c>
      <c r="H2534">
        <v>0</v>
      </c>
      <c r="I2534" t="s">
        <v>16</v>
      </c>
    </row>
    <row r="2535" spans="1:9" x14ac:dyDescent="0.25">
      <c r="A2535" t="s">
        <v>6438</v>
      </c>
      <c r="B2535">
        <v>41499</v>
      </c>
      <c r="C2535">
        <v>42878</v>
      </c>
      <c r="D2535" t="s">
        <v>6439</v>
      </c>
      <c r="E2535" t="s">
        <v>28</v>
      </c>
      <c r="F2535" t="s">
        <v>41</v>
      </c>
      <c r="H2535">
        <v>0</v>
      </c>
      <c r="I2535" t="s">
        <v>16</v>
      </c>
    </row>
    <row r="2536" spans="1:9" x14ac:dyDescent="0.25">
      <c r="A2536" t="s">
        <v>6438</v>
      </c>
      <c r="B2536">
        <v>43331</v>
      </c>
      <c r="C2536">
        <v>43483</v>
      </c>
      <c r="D2536" t="s">
        <v>6439</v>
      </c>
      <c r="E2536" t="s">
        <v>14</v>
      </c>
      <c r="F2536" t="s">
        <v>41</v>
      </c>
      <c r="H2536">
        <v>0</v>
      </c>
      <c r="I2536" t="s">
        <v>16</v>
      </c>
    </row>
    <row r="2537" spans="1:9" x14ac:dyDescent="0.25">
      <c r="A2537" t="s">
        <v>6438</v>
      </c>
      <c r="B2537">
        <v>43541</v>
      </c>
      <c r="C2537">
        <v>43765</v>
      </c>
      <c r="D2537" t="s">
        <v>6439</v>
      </c>
      <c r="E2537" t="s">
        <v>14</v>
      </c>
      <c r="F2537" t="s">
        <v>41</v>
      </c>
      <c r="H2537">
        <v>0</v>
      </c>
      <c r="I2537" t="s">
        <v>16</v>
      </c>
    </row>
    <row r="2538" spans="1:9" x14ac:dyDescent="0.25">
      <c r="A2538" t="s">
        <v>6438</v>
      </c>
      <c r="B2538">
        <v>43762</v>
      </c>
      <c r="C2538">
        <v>44175</v>
      </c>
      <c r="D2538" t="s">
        <v>6439</v>
      </c>
      <c r="E2538" t="s">
        <v>14</v>
      </c>
      <c r="F2538" t="s">
        <v>41</v>
      </c>
      <c r="H2538">
        <v>0</v>
      </c>
      <c r="I2538" t="s">
        <v>16</v>
      </c>
    </row>
    <row r="2539" spans="1:9" x14ac:dyDescent="0.25">
      <c r="A2539" t="s">
        <v>6438</v>
      </c>
      <c r="B2539">
        <v>44223</v>
      </c>
      <c r="C2539">
        <v>44414</v>
      </c>
      <c r="D2539" t="s">
        <v>6439</v>
      </c>
      <c r="E2539" t="s">
        <v>28</v>
      </c>
      <c r="F2539" t="s">
        <v>41</v>
      </c>
      <c r="H2539">
        <v>0</v>
      </c>
      <c r="I2539" t="s">
        <v>16</v>
      </c>
    </row>
    <row r="2540" spans="1:9" x14ac:dyDescent="0.25">
      <c r="A2540" t="s">
        <v>6438</v>
      </c>
      <c r="B2540">
        <v>45041</v>
      </c>
      <c r="C2540">
        <v>45283</v>
      </c>
      <c r="D2540" t="s">
        <v>6439</v>
      </c>
      <c r="E2540" t="s">
        <v>28</v>
      </c>
      <c r="F2540" t="s">
        <v>41</v>
      </c>
      <c r="H2540">
        <v>0</v>
      </c>
      <c r="I2540" t="s">
        <v>16</v>
      </c>
    </row>
    <row r="2541" spans="1:9" x14ac:dyDescent="0.25">
      <c r="A2541" t="s">
        <v>6438</v>
      </c>
      <c r="B2541">
        <v>45739</v>
      </c>
      <c r="C2541">
        <v>47226</v>
      </c>
      <c r="D2541" t="s">
        <v>6439</v>
      </c>
      <c r="E2541" t="s">
        <v>14</v>
      </c>
      <c r="F2541" t="s">
        <v>41</v>
      </c>
      <c r="H2541">
        <v>0</v>
      </c>
      <c r="I2541" t="s">
        <v>16</v>
      </c>
    </row>
    <row r="2542" spans="1:9" x14ac:dyDescent="0.25">
      <c r="A2542" t="s">
        <v>6438</v>
      </c>
      <c r="B2542">
        <v>47772</v>
      </c>
      <c r="C2542">
        <v>48071</v>
      </c>
      <c r="D2542" t="s">
        <v>6439</v>
      </c>
      <c r="E2542" t="s">
        <v>28</v>
      </c>
      <c r="F2542" t="s">
        <v>6539</v>
      </c>
      <c r="H2542">
        <v>0</v>
      </c>
      <c r="I2542" t="s">
        <v>16</v>
      </c>
    </row>
    <row r="2543" spans="1:9" x14ac:dyDescent="0.25">
      <c r="A2543" t="s">
        <v>6438</v>
      </c>
      <c r="B2543">
        <v>48052</v>
      </c>
      <c r="C2543">
        <v>48285</v>
      </c>
      <c r="D2543" t="s">
        <v>6439</v>
      </c>
      <c r="E2543" t="s">
        <v>28</v>
      </c>
      <c r="F2543" t="s">
        <v>2424</v>
      </c>
      <c r="H2543">
        <v>0</v>
      </c>
      <c r="I2543" t="s">
        <v>16</v>
      </c>
    </row>
    <row r="2544" spans="1:9" x14ac:dyDescent="0.25">
      <c r="A2544" t="s">
        <v>6438</v>
      </c>
      <c r="B2544">
        <v>48319</v>
      </c>
      <c r="C2544">
        <v>48654</v>
      </c>
      <c r="D2544" t="s">
        <v>6439</v>
      </c>
      <c r="E2544" t="s">
        <v>14</v>
      </c>
      <c r="F2544" t="s">
        <v>41</v>
      </c>
      <c r="H2544">
        <v>0</v>
      </c>
      <c r="I2544" t="s">
        <v>16</v>
      </c>
    </row>
    <row r="2545" spans="1:9" x14ac:dyDescent="0.25">
      <c r="A2545" t="s">
        <v>6438</v>
      </c>
      <c r="B2545">
        <v>48675</v>
      </c>
      <c r="C2545">
        <v>49025</v>
      </c>
      <c r="D2545" t="s">
        <v>6439</v>
      </c>
      <c r="E2545" t="s">
        <v>14</v>
      </c>
      <c r="F2545" t="s">
        <v>41</v>
      </c>
      <c r="H2545">
        <v>0</v>
      </c>
      <c r="I2545" t="s">
        <v>16</v>
      </c>
    </row>
    <row r="2546" spans="1:9" x14ac:dyDescent="0.25">
      <c r="A2546" t="s">
        <v>6438</v>
      </c>
      <c r="B2546">
        <v>49143</v>
      </c>
      <c r="C2546">
        <v>49745</v>
      </c>
      <c r="D2546" t="s">
        <v>6439</v>
      </c>
      <c r="E2546" t="s">
        <v>14</v>
      </c>
      <c r="F2546" t="s">
        <v>41</v>
      </c>
      <c r="H2546">
        <v>0</v>
      </c>
      <c r="I2546" t="s">
        <v>16</v>
      </c>
    </row>
    <row r="2547" spans="1:9" x14ac:dyDescent="0.25">
      <c r="A2547" t="s">
        <v>6438</v>
      </c>
      <c r="B2547">
        <v>49783</v>
      </c>
      <c r="C2547">
        <v>50832</v>
      </c>
      <c r="D2547" t="s">
        <v>6439</v>
      </c>
      <c r="E2547" t="s">
        <v>14</v>
      </c>
      <c r="F2547" t="s">
        <v>41</v>
      </c>
      <c r="H2547">
        <v>0</v>
      </c>
      <c r="I2547" t="s">
        <v>16</v>
      </c>
    </row>
    <row r="2548" spans="1:9" x14ac:dyDescent="0.25">
      <c r="A2548" t="s">
        <v>6438</v>
      </c>
      <c r="B2548">
        <v>50837</v>
      </c>
      <c r="C2548">
        <v>52639</v>
      </c>
      <c r="D2548" t="s">
        <v>6439</v>
      </c>
      <c r="E2548" t="s">
        <v>14</v>
      </c>
      <c r="F2548" t="s">
        <v>41</v>
      </c>
      <c r="H2548">
        <v>0</v>
      </c>
      <c r="I2548" t="s">
        <v>16</v>
      </c>
    </row>
    <row r="2549" spans="1:9" x14ac:dyDescent="0.25">
      <c r="A2549" t="s">
        <v>6438</v>
      </c>
      <c r="B2549">
        <v>52636</v>
      </c>
      <c r="C2549">
        <v>53352</v>
      </c>
      <c r="D2549" t="s">
        <v>6439</v>
      </c>
      <c r="E2549" t="s">
        <v>14</v>
      </c>
      <c r="F2549" t="s">
        <v>41</v>
      </c>
      <c r="H2549">
        <v>0</v>
      </c>
      <c r="I2549" t="s">
        <v>16</v>
      </c>
    </row>
    <row r="2550" spans="1:9" x14ac:dyDescent="0.25">
      <c r="A2550" t="s">
        <v>6438</v>
      </c>
      <c r="B2550">
        <v>54857</v>
      </c>
      <c r="C2550">
        <v>55273</v>
      </c>
      <c r="D2550" t="s">
        <v>6439</v>
      </c>
      <c r="E2550" t="s">
        <v>28</v>
      </c>
      <c r="F2550" t="s">
        <v>41</v>
      </c>
      <c r="H2550">
        <v>0</v>
      </c>
      <c r="I2550" t="s">
        <v>16</v>
      </c>
    </row>
    <row r="2551" spans="1:9" x14ac:dyDescent="0.25">
      <c r="A2551" t="s">
        <v>6438</v>
      </c>
      <c r="B2551">
        <v>55270</v>
      </c>
      <c r="C2551">
        <v>55521</v>
      </c>
      <c r="D2551" t="s">
        <v>6439</v>
      </c>
      <c r="E2551" t="s">
        <v>28</v>
      </c>
      <c r="F2551" t="s">
        <v>41</v>
      </c>
      <c r="H2551">
        <v>0</v>
      </c>
      <c r="I2551" t="s">
        <v>16</v>
      </c>
    </row>
    <row r="2552" spans="1:9" x14ac:dyDescent="0.25">
      <c r="A2552" t="s">
        <v>6438</v>
      </c>
      <c r="B2552">
        <v>55669</v>
      </c>
      <c r="C2552">
        <v>55989</v>
      </c>
      <c r="D2552" t="s">
        <v>6439</v>
      </c>
      <c r="E2552" t="s">
        <v>14</v>
      </c>
      <c r="F2552" t="s">
        <v>41</v>
      </c>
      <c r="H2552">
        <v>0</v>
      </c>
      <c r="I2552" t="s">
        <v>16</v>
      </c>
    </row>
    <row r="2553" spans="1:9" x14ac:dyDescent="0.25">
      <c r="A2553" t="s">
        <v>6438</v>
      </c>
      <c r="B2553">
        <v>56118</v>
      </c>
      <c r="C2553">
        <v>57134</v>
      </c>
      <c r="D2553" t="s">
        <v>6439</v>
      </c>
      <c r="E2553" t="s">
        <v>28</v>
      </c>
      <c r="F2553" t="s">
        <v>41</v>
      </c>
      <c r="H2553">
        <v>0</v>
      </c>
      <c r="I2553" t="s">
        <v>16</v>
      </c>
    </row>
    <row r="2554" spans="1:9" x14ac:dyDescent="0.25">
      <c r="A2554" t="s">
        <v>6438</v>
      </c>
      <c r="B2554">
        <v>57131</v>
      </c>
      <c r="C2554">
        <v>57292</v>
      </c>
      <c r="D2554" t="s">
        <v>6439</v>
      </c>
      <c r="E2554" t="s">
        <v>28</v>
      </c>
      <c r="F2554" t="s">
        <v>41</v>
      </c>
      <c r="H2554">
        <v>0</v>
      </c>
      <c r="I2554" t="s">
        <v>16</v>
      </c>
    </row>
    <row r="2555" spans="1:9" x14ac:dyDescent="0.25">
      <c r="A2555" t="s">
        <v>6438</v>
      </c>
      <c r="B2555">
        <v>57529</v>
      </c>
      <c r="C2555">
        <v>58071</v>
      </c>
      <c r="D2555" t="s">
        <v>6439</v>
      </c>
      <c r="E2555" t="s">
        <v>28</v>
      </c>
      <c r="F2555" t="s">
        <v>41</v>
      </c>
      <c r="H2555">
        <v>0</v>
      </c>
      <c r="I2555" t="s">
        <v>16</v>
      </c>
    </row>
    <row r="2556" spans="1:9" x14ac:dyDescent="0.25">
      <c r="A2556" t="s">
        <v>6438</v>
      </c>
      <c r="B2556">
        <v>58130</v>
      </c>
      <c r="C2556">
        <v>58384</v>
      </c>
      <c r="D2556" t="s">
        <v>6439</v>
      </c>
      <c r="E2556" t="s">
        <v>28</v>
      </c>
      <c r="F2556" t="s">
        <v>41</v>
      </c>
      <c r="H2556">
        <v>0</v>
      </c>
      <c r="I2556" t="s">
        <v>16</v>
      </c>
    </row>
    <row r="2557" spans="1:9" x14ac:dyDescent="0.25">
      <c r="A2557" t="s">
        <v>6438</v>
      </c>
      <c r="B2557">
        <v>58440</v>
      </c>
      <c r="C2557">
        <v>58574</v>
      </c>
      <c r="D2557" t="s">
        <v>6439</v>
      </c>
      <c r="E2557" t="s">
        <v>14</v>
      </c>
      <c r="F2557" t="s">
        <v>41</v>
      </c>
      <c r="H2557">
        <v>0</v>
      </c>
      <c r="I2557" t="s">
        <v>16</v>
      </c>
    </row>
    <row r="2558" spans="1:9" x14ac:dyDescent="0.25">
      <c r="A2558" t="s">
        <v>6438</v>
      </c>
      <c r="B2558">
        <v>58629</v>
      </c>
      <c r="C2558">
        <v>59144</v>
      </c>
      <c r="D2558" t="s">
        <v>6439</v>
      </c>
      <c r="E2558" t="s">
        <v>14</v>
      </c>
      <c r="F2558" t="s">
        <v>41</v>
      </c>
      <c r="H2558">
        <v>0</v>
      </c>
      <c r="I2558" t="s">
        <v>16</v>
      </c>
    </row>
    <row r="2559" spans="1:9" x14ac:dyDescent="0.25">
      <c r="A2559" t="s">
        <v>6438</v>
      </c>
      <c r="B2559">
        <v>59248</v>
      </c>
      <c r="C2559">
        <v>59778</v>
      </c>
      <c r="D2559" t="s">
        <v>6439</v>
      </c>
      <c r="E2559" t="s">
        <v>28</v>
      </c>
      <c r="F2559" t="s">
        <v>41</v>
      </c>
      <c r="H2559">
        <v>0</v>
      </c>
      <c r="I2559" t="s">
        <v>16</v>
      </c>
    </row>
    <row r="2560" spans="1:9" x14ac:dyDescent="0.25">
      <c r="A2560" t="s">
        <v>6438</v>
      </c>
      <c r="B2560">
        <v>59863</v>
      </c>
      <c r="C2560">
        <v>60648</v>
      </c>
      <c r="D2560" t="s">
        <v>6439</v>
      </c>
      <c r="E2560" t="s">
        <v>28</v>
      </c>
      <c r="F2560" t="s">
        <v>41</v>
      </c>
      <c r="H2560">
        <v>0</v>
      </c>
      <c r="I2560" t="s">
        <v>16</v>
      </c>
    </row>
    <row r="2561" spans="1:9" x14ac:dyDescent="0.25">
      <c r="A2561" t="s">
        <v>6438</v>
      </c>
      <c r="B2561">
        <v>60937</v>
      </c>
      <c r="C2561">
        <v>62034</v>
      </c>
      <c r="D2561" t="s">
        <v>6439</v>
      </c>
      <c r="E2561" t="s">
        <v>28</v>
      </c>
      <c r="F2561" t="s">
        <v>41</v>
      </c>
      <c r="H2561">
        <v>0</v>
      </c>
      <c r="I2561" t="s">
        <v>16</v>
      </c>
    </row>
    <row r="2562" spans="1:9" x14ac:dyDescent="0.25">
      <c r="A2562" t="s">
        <v>6438</v>
      </c>
      <c r="B2562">
        <v>62154</v>
      </c>
      <c r="C2562">
        <v>63014</v>
      </c>
      <c r="D2562" t="s">
        <v>6439</v>
      </c>
      <c r="E2562" t="s">
        <v>28</v>
      </c>
      <c r="F2562" t="s">
        <v>41</v>
      </c>
      <c r="H2562">
        <v>0</v>
      </c>
      <c r="I2562" t="s">
        <v>16</v>
      </c>
    </row>
    <row r="2563" spans="1:9" x14ac:dyDescent="0.25">
      <c r="A2563" t="s">
        <v>6438</v>
      </c>
      <c r="B2563">
        <v>63050</v>
      </c>
      <c r="C2563">
        <v>64678</v>
      </c>
      <c r="D2563" t="s">
        <v>6439</v>
      </c>
      <c r="E2563" t="s">
        <v>14</v>
      </c>
      <c r="F2563" t="s">
        <v>6294</v>
      </c>
      <c r="H2563">
        <v>0</v>
      </c>
      <c r="I2563" t="s">
        <v>16</v>
      </c>
    </row>
    <row r="2564" spans="1:9" x14ac:dyDescent="0.25">
      <c r="A2564" t="s">
        <v>6438</v>
      </c>
      <c r="B2564">
        <v>64860</v>
      </c>
      <c r="C2564">
        <v>65177</v>
      </c>
      <c r="D2564" t="s">
        <v>6439</v>
      </c>
      <c r="E2564" t="s">
        <v>28</v>
      </c>
      <c r="F2564" t="s">
        <v>6584</v>
      </c>
      <c r="H2564">
        <v>0</v>
      </c>
      <c r="I2564" t="s">
        <v>16</v>
      </c>
    </row>
    <row r="2565" spans="1:9" x14ac:dyDescent="0.25">
      <c r="A2565" t="s">
        <v>6438</v>
      </c>
      <c r="B2565">
        <v>65136</v>
      </c>
      <c r="C2565">
        <v>65249</v>
      </c>
      <c r="D2565" t="s">
        <v>6439</v>
      </c>
      <c r="E2565" t="s">
        <v>14</v>
      </c>
      <c r="F2565" t="s">
        <v>41</v>
      </c>
      <c r="H2565">
        <v>0</v>
      </c>
      <c r="I2565" t="s">
        <v>16</v>
      </c>
    </row>
    <row r="2566" spans="1:9" x14ac:dyDescent="0.25">
      <c r="A2566" t="s">
        <v>6438</v>
      </c>
      <c r="B2566">
        <v>65436</v>
      </c>
      <c r="C2566">
        <v>65747</v>
      </c>
      <c r="D2566" t="s">
        <v>6439</v>
      </c>
      <c r="E2566" t="s">
        <v>14</v>
      </c>
      <c r="F2566" t="s">
        <v>41</v>
      </c>
      <c r="H2566">
        <v>0</v>
      </c>
      <c r="I2566" t="s">
        <v>16</v>
      </c>
    </row>
    <row r="2567" spans="1:9" x14ac:dyDescent="0.25">
      <c r="A2567" t="s">
        <v>6438</v>
      </c>
      <c r="B2567">
        <v>65764</v>
      </c>
      <c r="C2567">
        <v>65949</v>
      </c>
      <c r="D2567" t="s">
        <v>6439</v>
      </c>
      <c r="E2567" t="s">
        <v>28</v>
      </c>
      <c r="F2567" t="s">
        <v>41</v>
      </c>
      <c r="H2567">
        <v>0</v>
      </c>
      <c r="I2567" t="s">
        <v>16</v>
      </c>
    </row>
    <row r="2568" spans="1:9" x14ac:dyDescent="0.25">
      <c r="A2568" t="s">
        <v>6438</v>
      </c>
      <c r="B2568">
        <v>65933</v>
      </c>
      <c r="C2568">
        <v>66142</v>
      </c>
      <c r="D2568" t="s">
        <v>6439</v>
      </c>
      <c r="E2568" t="s">
        <v>28</v>
      </c>
      <c r="F2568" t="s">
        <v>41</v>
      </c>
      <c r="H2568">
        <v>0</v>
      </c>
      <c r="I2568" t="s">
        <v>16</v>
      </c>
    </row>
    <row r="2569" spans="1:9" x14ac:dyDescent="0.25">
      <c r="A2569" t="s">
        <v>6438</v>
      </c>
      <c r="B2569">
        <v>66521</v>
      </c>
      <c r="C2569">
        <v>67477</v>
      </c>
      <c r="D2569" t="s">
        <v>6439</v>
      </c>
      <c r="E2569" t="s">
        <v>14</v>
      </c>
      <c r="F2569" t="s">
        <v>41</v>
      </c>
      <c r="H2569">
        <v>0</v>
      </c>
      <c r="I2569" t="s">
        <v>16</v>
      </c>
    </row>
    <row r="2570" spans="1:9" x14ac:dyDescent="0.25">
      <c r="A2570" t="s">
        <v>6438</v>
      </c>
      <c r="B2570">
        <v>67517</v>
      </c>
      <c r="C2570">
        <v>68428</v>
      </c>
      <c r="D2570" t="s">
        <v>6439</v>
      </c>
      <c r="E2570" t="s">
        <v>14</v>
      </c>
      <c r="F2570" t="s">
        <v>41</v>
      </c>
      <c r="H2570">
        <v>0</v>
      </c>
      <c r="I2570" t="s">
        <v>16</v>
      </c>
    </row>
    <row r="2571" spans="1:9" x14ac:dyDescent="0.25">
      <c r="A2571" t="s">
        <v>6438</v>
      </c>
      <c r="B2571">
        <v>68755</v>
      </c>
      <c r="C2571">
        <v>69726</v>
      </c>
      <c r="D2571" t="s">
        <v>6439</v>
      </c>
      <c r="E2571" t="s">
        <v>14</v>
      </c>
      <c r="F2571" t="s">
        <v>6599</v>
      </c>
      <c r="H2571">
        <v>0</v>
      </c>
      <c r="I2571" t="s">
        <v>16</v>
      </c>
    </row>
    <row r="2572" spans="1:9" x14ac:dyDescent="0.25">
      <c r="A2572" t="s">
        <v>6438</v>
      </c>
      <c r="B2572">
        <v>69723</v>
      </c>
      <c r="C2572">
        <v>70607</v>
      </c>
      <c r="D2572" t="s">
        <v>6439</v>
      </c>
      <c r="E2572" t="s">
        <v>14</v>
      </c>
      <c r="F2572" t="s">
        <v>6130</v>
      </c>
      <c r="H2572">
        <v>0</v>
      </c>
      <c r="I2572" t="s">
        <v>16</v>
      </c>
    </row>
    <row r="2573" spans="1:9" x14ac:dyDescent="0.25">
      <c r="A2573" t="s">
        <v>6438</v>
      </c>
      <c r="B2573">
        <v>70619</v>
      </c>
      <c r="C2573">
        <v>73375</v>
      </c>
      <c r="D2573" t="s">
        <v>6439</v>
      </c>
      <c r="E2573" t="s">
        <v>14</v>
      </c>
      <c r="F2573" t="s">
        <v>6400</v>
      </c>
      <c r="H2573">
        <v>0</v>
      </c>
      <c r="I2573" t="s">
        <v>16</v>
      </c>
    </row>
    <row r="2574" spans="1:9" x14ac:dyDescent="0.25">
      <c r="A2574" t="s">
        <v>6438</v>
      </c>
      <c r="B2574">
        <v>73380</v>
      </c>
      <c r="C2574">
        <v>77309</v>
      </c>
      <c r="D2574" t="s">
        <v>6439</v>
      </c>
      <c r="E2574" t="s">
        <v>14</v>
      </c>
      <c r="F2574" t="s">
        <v>6606</v>
      </c>
      <c r="H2574">
        <v>0</v>
      </c>
      <c r="I2574" t="s">
        <v>16</v>
      </c>
    </row>
    <row r="2575" spans="1:9" x14ac:dyDescent="0.25">
      <c r="A2575" t="s">
        <v>6438</v>
      </c>
      <c r="B2575">
        <v>77313</v>
      </c>
      <c r="C2575">
        <v>78008</v>
      </c>
      <c r="D2575" t="s">
        <v>6439</v>
      </c>
      <c r="E2575" t="s">
        <v>14</v>
      </c>
      <c r="F2575" t="s">
        <v>41</v>
      </c>
      <c r="H2575">
        <v>0</v>
      </c>
      <c r="I257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A366-BC89-4F52-A2D0-BFFDA3EF36A6}">
  <sheetPr filterMode="1"/>
  <dimension ref="A1:J3552"/>
  <sheetViews>
    <sheetView topLeftCell="A3308" zoomScaleNormal="100" workbookViewId="0">
      <selection activeCell="E3" sqref="E3:E3509"/>
    </sheetView>
  </sheetViews>
  <sheetFormatPr defaultRowHeight="15" x14ac:dyDescent="0.25"/>
  <cols>
    <col min="1" max="1" width="12.7109375" customWidth="1"/>
    <col min="3" max="4" width="12.7109375" customWidth="1"/>
    <col min="5" max="5" width="11.85546875" style="5" customWidth="1"/>
    <col min="6" max="7" width="47.85546875" customWidth="1"/>
    <col min="8" max="8" width="32.42578125" style="1" customWidth="1"/>
    <col min="9" max="9" width="35.140625" customWidth="1"/>
    <col min="10" max="10" width="33" customWidth="1"/>
  </cols>
  <sheetData>
    <row r="1" spans="1:10" x14ac:dyDescent="0.25">
      <c r="A1" t="s">
        <v>10</v>
      </c>
      <c r="B1" t="s">
        <v>11</v>
      </c>
      <c r="C1" t="s">
        <v>12</v>
      </c>
      <c r="D1" t="s">
        <v>8654</v>
      </c>
      <c r="E1" s="4" t="s">
        <v>7330</v>
      </c>
      <c r="F1" t="s">
        <v>8655</v>
      </c>
      <c r="G1" t="s">
        <v>7087</v>
      </c>
      <c r="H1" t="s">
        <v>7350</v>
      </c>
      <c r="I1" t="s">
        <v>7078</v>
      </c>
      <c r="J1" t="s">
        <v>7079</v>
      </c>
    </row>
    <row r="2" spans="1:10" hidden="1" x14ac:dyDescent="0.25">
      <c r="A2" t="s">
        <v>17</v>
      </c>
      <c r="B2">
        <v>441</v>
      </c>
      <c r="C2" t="s">
        <v>18</v>
      </c>
      <c r="E2" s="5" t="s">
        <v>7077</v>
      </c>
    </row>
    <row r="3" spans="1:10" x14ac:dyDescent="0.25">
      <c r="A3" t="s">
        <v>20</v>
      </c>
      <c r="B3">
        <v>371</v>
      </c>
      <c r="C3" t="s">
        <v>21</v>
      </c>
      <c r="E3" s="5" t="s">
        <v>6611</v>
      </c>
      <c r="F3" s="1" t="str">
        <f>IF(E3&lt;&gt;"", HYPERLINK("https://www.kegg.jp/dbget-bin/www_bget?ec:" &amp; E3, "https://www.kegg.jp/dbget-bin/www_bget?ec:" &amp; E3), "")</f>
        <v>https://www.kegg.jp/dbget-bin/www_bget?ec:2.7.7.7</v>
      </c>
      <c r="G3" s="3" t="s">
        <v>7218</v>
      </c>
      <c r="H3" s="1" t="s">
        <v>7081</v>
      </c>
      <c r="I3" t="s">
        <v>12705</v>
      </c>
      <c r="J3" t="s">
        <v>7080</v>
      </c>
    </row>
    <row r="4" spans="1:10" x14ac:dyDescent="0.25">
      <c r="A4" t="s">
        <v>20</v>
      </c>
      <c r="B4">
        <v>371</v>
      </c>
      <c r="C4" t="s">
        <v>21</v>
      </c>
      <c r="E4" s="5" t="s">
        <v>6611</v>
      </c>
      <c r="F4" s="1" t="str">
        <f t="shared" ref="F4:F101" si="0">IF(E4&lt;&gt;"", HYPERLINK("https://www.kegg.jp/dbget-bin/www_bget?ec:" &amp; E4, "https://www.kegg.jp/dbget-bin/www_bget?ec:" &amp; E4), "")</f>
        <v>https://www.kegg.jp/dbget-bin/www_bget?ec:2.7.7.7</v>
      </c>
      <c r="G4" s="3" t="s">
        <v>7315</v>
      </c>
      <c r="H4" s="1" t="s">
        <v>7082</v>
      </c>
      <c r="I4" t="s">
        <v>12706</v>
      </c>
      <c r="J4" t="s">
        <v>7080</v>
      </c>
    </row>
    <row r="5" spans="1:10" x14ac:dyDescent="0.25">
      <c r="A5" t="s">
        <v>20</v>
      </c>
      <c r="B5">
        <v>371</v>
      </c>
      <c r="C5" t="s">
        <v>21</v>
      </c>
      <c r="E5" s="5" t="s">
        <v>6611</v>
      </c>
      <c r="F5" s="1" t="str">
        <f t="shared" si="0"/>
        <v>https://www.kegg.jp/dbget-bin/www_bget?ec:2.7.7.7</v>
      </c>
      <c r="G5" s="3" t="s">
        <v>7316</v>
      </c>
      <c r="H5" s="1" t="s">
        <v>7083</v>
      </c>
      <c r="I5" t="s">
        <v>12707</v>
      </c>
      <c r="J5" t="s">
        <v>7080</v>
      </c>
    </row>
    <row r="6" spans="1:10" x14ac:dyDescent="0.25">
      <c r="A6" t="s">
        <v>20</v>
      </c>
      <c r="B6">
        <v>371</v>
      </c>
      <c r="C6" t="s">
        <v>21</v>
      </c>
      <c r="E6" s="5" t="s">
        <v>6611</v>
      </c>
      <c r="F6" s="1" t="str">
        <f t="shared" si="0"/>
        <v>https://www.kegg.jp/dbget-bin/www_bget?ec:2.7.7.7</v>
      </c>
      <c r="G6" s="3" t="s">
        <v>7317</v>
      </c>
      <c r="H6" s="1" t="s">
        <v>7084</v>
      </c>
      <c r="I6" t="s">
        <v>12708</v>
      </c>
      <c r="J6" t="s">
        <v>7080</v>
      </c>
    </row>
    <row r="7" spans="1:10" x14ac:dyDescent="0.25">
      <c r="A7" t="s">
        <v>20</v>
      </c>
      <c r="B7">
        <v>371</v>
      </c>
      <c r="C7" t="s">
        <v>21</v>
      </c>
      <c r="E7" s="5" t="s">
        <v>6611</v>
      </c>
      <c r="F7" s="1" t="str">
        <f t="shared" si="0"/>
        <v>https://www.kegg.jp/dbget-bin/www_bget?ec:2.7.7.7</v>
      </c>
      <c r="G7" s="3" t="s">
        <v>7318</v>
      </c>
      <c r="H7" s="1" t="s">
        <v>7085</v>
      </c>
      <c r="I7" t="s">
        <v>12709</v>
      </c>
      <c r="J7" t="s">
        <v>7080</v>
      </c>
    </row>
    <row r="8" spans="1:10" x14ac:dyDescent="0.25">
      <c r="A8" t="s">
        <v>20</v>
      </c>
      <c r="B8">
        <v>371</v>
      </c>
      <c r="C8" t="s">
        <v>21</v>
      </c>
      <c r="E8" s="5" t="s">
        <v>6611</v>
      </c>
      <c r="F8" s="1" t="str">
        <f t="shared" si="0"/>
        <v>https://www.kegg.jp/dbget-bin/www_bget?ec:2.7.7.7</v>
      </c>
      <c r="G8" s="3" t="s">
        <v>7319</v>
      </c>
      <c r="H8" s="1" t="s">
        <v>7086</v>
      </c>
      <c r="I8" t="s">
        <v>8088</v>
      </c>
      <c r="J8" t="s">
        <v>8391</v>
      </c>
    </row>
    <row r="9" spans="1:10" x14ac:dyDescent="0.25">
      <c r="A9" t="s">
        <v>23</v>
      </c>
      <c r="B9">
        <v>422</v>
      </c>
      <c r="C9" t="s">
        <v>24</v>
      </c>
      <c r="E9" s="5" t="s">
        <v>6612</v>
      </c>
      <c r="F9" s="1" t="str">
        <f t="shared" ref="F9" si="1">IF(E9&lt;&gt;"", HYPERLINK("https://www.kegg.jp/dbget-bin/www_bget?ec:" &amp; E9, "https://www.kegg.jp/dbget-bin/www_bget?ec:" &amp; E9), "")</f>
        <v>https://www.kegg.jp/dbget-bin/www_bget?ec:4.2.1.11</v>
      </c>
      <c r="G9" s="3" t="s">
        <v>7321</v>
      </c>
      <c r="H9" s="1" t="str">
        <f>IF(G9&lt;&gt;"", HYPERLINK("https://www.kegg.jp/entry/" &amp; G9, "https://www.kegg.jp/entry/" &amp; G9), "")</f>
        <v>https://www.kegg.jp/entry/R00658</v>
      </c>
      <c r="I9" t="s">
        <v>8089</v>
      </c>
      <c r="J9" t="s">
        <v>12710</v>
      </c>
    </row>
    <row r="10" spans="1:10" x14ac:dyDescent="0.25">
      <c r="A10" t="s">
        <v>23</v>
      </c>
      <c r="B10">
        <v>422</v>
      </c>
      <c r="C10" t="s">
        <v>24</v>
      </c>
      <c r="E10" s="5" t="s">
        <v>6612</v>
      </c>
      <c r="F10" s="1" t="str">
        <f t="shared" si="0"/>
        <v>https://www.kegg.jp/dbget-bin/www_bget?ec:4.2.1.11</v>
      </c>
      <c r="G10" s="3" t="s">
        <v>7320</v>
      </c>
      <c r="H10" s="1" t="str">
        <f t="shared" ref="H10:H73" si="2">IF(G10&lt;&gt;"", HYPERLINK("https://www.kegg.jp/entry/" &amp; G10, "https://www.kegg.jp/entry/" &amp; G10), "")</f>
        <v>https://www.kegg.jp/entry/R04206</v>
      </c>
      <c r="I10" t="s">
        <v>8090</v>
      </c>
      <c r="J10" t="s">
        <v>12711</v>
      </c>
    </row>
    <row r="11" spans="1:10" x14ac:dyDescent="0.25">
      <c r="A11" t="s">
        <v>26</v>
      </c>
      <c r="B11">
        <v>474</v>
      </c>
      <c r="C11" t="s">
        <v>27</v>
      </c>
      <c r="E11" s="5" t="s">
        <v>6613</v>
      </c>
      <c r="F11" s="1" t="str">
        <f t="shared" ref="F11" si="3">IF(E11&lt;&gt;"", HYPERLINK("https://www.kegg.jp/dbget-bin/www_bget?ec:" &amp; E11, "https://www.kegg.jp/dbget-bin/www_bget?ec:" &amp; E11), "")</f>
        <v>https://www.kegg.jp/dbget-bin/www_bget?ec:2.7.1.40</v>
      </c>
      <c r="G11" s="3" t="s">
        <v>7325</v>
      </c>
      <c r="H11" s="1" t="str">
        <f t="shared" si="2"/>
        <v>https://www.kegg.jp/entry/R00200</v>
      </c>
      <c r="I11" t="s">
        <v>8091</v>
      </c>
      <c r="J11" t="s">
        <v>8392</v>
      </c>
    </row>
    <row r="12" spans="1:10" x14ac:dyDescent="0.25">
      <c r="A12" t="s">
        <v>26</v>
      </c>
      <c r="B12">
        <v>474</v>
      </c>
      <c r="C12" t="s">
        <v>27</v>
      </c>
      <c r="E12" s="5" t="s">
        <v>6613</v>
      </c>
      <c r="F12" s="1" t="str">
        <f t="shared" ref="F12:F18" si="4">IF(E12&lt;&gt;"", HYPERLINK("https://www.kegg.jp/dbget-bin/www_bget?ec:" &amp; E12, "https://www.kegg.jp/dbget-bin/www_bget?ec:" &amp; E12), "")</f>
        <v>https://www.kegg.jp/dbget-bin/www_bget?ec:2.7.1.40</v>
      </c>
      <c r="G12" s="3" t="s">
        <v>7322</v>
      </c>
      <c r="H12" s="1" t="str">
        <f t="shared" si="2"/>
        <v>https://www.kegg.jp/entry/R00430</v>
      </c>
      <c r="I12" t="s">
        <v>12712</v>
      </c>
      <c r="J12" t="s">
        <v>8393</v>
      </c>
    </row>
    <row r="13" spans="1:10" x14ac:dyDescent="0.25">
      <c r="A13" t="s">
        <v>26</v>
      </c>
      <c r="B13">
        <v>474</v>
      </c>
      <c r="C13" t="s">
        <v>27</v>
      </c>
      <c r="E13" s="5" t="s">
        <v>6613</v>
      </c>
      <c r="F13" s="1" t="str">
        <f t="shared" si="4"/>
        <v>https://www.kegg.jp/dbget-bin/www_bget?ec:2.7.1.40</v>
      </c>
      <c r="G13" s="3" t="s">
        <v>7323</v>
      </c>
      <c r="H13" s="1" t="str">
        <f t="shared" si="2"/>
        <v>https://www.kegg.jp/entry/R00572</v>
      </c>
      <c r="I13" t="s">
        <v>12713</v>
      </c>
      <c r="J13" t="s">
        <v>12714</v>
      </c>
    </row>
    <row r="14" spans="1:10" x14ac:dyDescent="0.25">
      <c r="A14" t="s">
        <v>26</v>
      </c>
      <c r="B14">
        <v>474</v>
      </c>
      <c r="C14" t="s">
        <v>27</v>
      </c>
      <c r="E14" s="5" t="s">
        <v>6613</v>
      </c>
      <c r="F14" s="1" t="str">
        <f t="shared" si="4"/>
        <v>https://www.kegg.jp/dbget-bin/www_bget?ec:2.7.1.40</v>
      </c>
      <c r="G14" s="3" t="s">
        <v>7324</v>
      </c>
      <c r="H14" s="1" t="str">
        <f t="shared" si="2"/>
        <v>https://www.kegg.jp/entry/R00659</v>
      </c>
      <c r="I14" t="s">
        <v>12715</v>
      </c>
      <c r="J14" t="s">
        <v>8394</v>
      </c>
    </row>
    <row r="15" spans="1:10" x14ac:dyDescent="0.25">
      <c r="A15" t="s">
        <v>26</v>
      </c>
      <c r="B15">
        <v>474</v>
      </c>
      <c r="C15" t="s">
        <v>27</v>
      </c>
      <c r="E15" s="5" t="s">
        <v>6613</v>
      </c>
      <c r="F15" s="1" t="str">
        <f t="shared" si="4"/>
        <v>https://www.kegg.jp/dbget-bin/www_bget?ec:2.7.1.40</v>
      </c>
      <c r="G15" s="3" t="s">
        <v>7329</v>
      </c>
      <c r="H15" s="1" t="str">
        <f t="shared" si="2"/>
        <v>https://www.kegg.jp/entry/R00724</v>
      </c>
      <c r="I15" t="s">
        <v>12716</v>
      </c>
      <c r="J15" t="s">
        <v>12717</v>
      </c>
    </row>
    <row r="16" spans="1:10" x14ac:dyDescent="0.25">
      <c r="A16" t="s">
        <v>26</v>
      </c>
      <c r="B16">
        <v>474</v>
      </c>
      <c r="C16" t="s">
        <v>27</v>
      </c>
      <c r="E16" s="5" t="s">
        <v>6613</v>
      </c>
      <c r="F16" s="1" t="str">
        <f t="shared" si="4"/>
        <v>https://www.kegg.jp/dbget-bin/www_bget?ec:2.7.1.40</v>
      </c>
      <c r="G16" s="3" t="s">
        <v>7328</v>
      </c>
      <c r="H16" s="1" t="str">
        <f t="shared" si="2"/>
        <v>https://www.kegg.jp/entry/R01138</v>
      </c>
      <c r="I16" t="s">
        <v>12718</v>
      </c>
      <c r="J16" t="s">
        <v>12719</v>
      </c>
    </row>
    <row r="17" spans="1:10" x14ac:dyDescent="0.25">
      <c r="A17" t="s">
        <v>26</v>
      </c>
      <c r="B17">
        <v>474</v>
      </c>
      <c r="C17" t="s">
        <v>27</v>
      </c>
      <c r="E17" s="5" t="s">
        <v>6613</v>
      </c>
      <c r="F17" s="1" t="str">
        <f t="shared" si="4"/>
        <v>https://www.kegg.jp/dbget-bin/www_bget?ec:2.7.1.40</v>
      </c>
      <c r="G17" s="3" t="s">
        <v>7327</v>
      </c>
      <c r="H17" s="1" t="str">
        <f t="shared" si="2"/>
        <v>https://www.kegg.jp/entry/R01858</v>
      </c>
      <c r="I17" t="s">
        <v>12720</v>
      </c>
      <c r="J17" t="s">
        <v>12721</v>
      </c>
    </row>
    <row r="18" spans="1:10" x14ac:dyDescent="0.25">
      <c r="A18" t="s">
        <v>26</v>
      </c>
      <c r="B18">
        <v>474</v>
      </c>
      <c r="C18" t="s">
        <v>27</v>
      </c>
      <c r="E18" s="5" t="s">
        <v>6613</v>
      </c>
      <c r="F18" s="1" t="str">
        <f t="shared" si="4"/>
        <v>https://www.kegg.jp/dbget-bin/www_bget?ec:2.7.1.40</v>
      </c>
      <c r="G18" s="3" t="s">
        <v>7326</v>
      </c>
      <c r="H18" s="1" t="str">
        <f t="shared" si="2"/>
        <v>https://www.kegg.jp/entry/R02320</v>
      </c>
      <c r="I18" t="s">
        <v>12722</v>
      </c>
      <c r="J18" t="s">
        <v>12723</v>
      </c>
    </row>
    <row r="19" spans="1:10" hidden="1" x14ac:dyDescent="0.25">
      <c r="A19" t="s">
        <v>30</v>
      </c>
      <c r="B19">
        <v>142</v>
      </c>
      <c r="C19" t="s">
        <v>31</v>
      </c>
      <c r="F19" s="1" t="str">
        <f t="shared" si="0"/>
        <v/>
      </c>
      <c r="G19" s="3"/>
      <c r="H19" s="1" t="str">
        <f t="shared" si="2"/>
        <v/>
      </c>
    </row>
    <row r="20" spans="1:10" hidden="1" x14ac:dyDescent="0.25">
      <c r="A20" t="s">
        <v>33</v>
      </c>
      <c r="B20">
        <v>260</v>
      </c>
      <c r="C20" t="s">
        <v>34</v>
      </c>
      <c r="F20" s="1" t="str">
        <f t="shared" si="0"/>
        <v/>
      </c>
      <c r="G20" s="3"/>
      <c r="H20" s="1" t="str">
        <f t="shared" si="2"/>
        <v/>
      </c>
    </row>
    <row r="21" spans="1:10" hidden="1" x14ac:dyDescent="0.25">
      <c r="A21" t="s">
        <v>36</v>
      </c>
      <c r="B21">
        <v>204</v>
      </c>
      <c r="C21" t="s">
        <v>37</v>
      </c>
      <c r="F21" s="1" t="str">
        <f t="shared" si="0"/>
        <v/>
      </c>
      <c r="G21" s="3"/>
      <c r="H21" s="1" t="str">
        <f t="shared" si="2"/>
        <v/>
      </c>
    </row>
    <row r="22" spans="1:10" x14ac:dyDescent="0.25">
      <c r="A22" t="s">
        <v>39</v>
      </c>
      <c r="B22">
        <v>615</v>
      </c>
      <c r="C22" t="s">
        <v>40</v>
      </c>
      <c r="E22" s="5" t="s">
        <v>6614</v>
      </c>
      <c r="F22" s="1" t="str">
        <f t="shared" si="0"/>
        <v>https://www.kegg.jp/dbget-bin/www_bget?ec:2.2.1.7</v>
      </c>
      <c r="G22" s="3" t="s">
        <v>7088</v>
      </c>
      <c r="H22" s="1" t="str">
        <f t="shared" si="2"/>
        <v>https://www.kegg.jp/entry/R05636</v>
      </c>
      <c r="I22" t="s">
        <v>8092</v>
      </c>
      <c r="J22" t="s">
        <v>12724</v>
      </c>
    </row>
    <row r="23" spans="1:10" hidden="1" x14ac:dyDescent="0.25">
      <c r="A23" t="s">
        <v>42</v>
      </c>
      <c r="B23">
        <v>209</v>
      </c>
      <c r="C23" t="s">
        <v>43</v>
      </c>
      <c r="F23" s="1" t="str">
        <f t="shared" si="0"/>
        <v/>
      </c>
      <c r="G23" s="3"/>
      <c r="H23" s="1" t="str">
        <f t="shared" si="2"/>
        <v/>
      </c>
    </row>
    <row r="24" spans="1:10" hidden="1" x14ac:dyDescent="0.25">
      <c r="A24" t="s">
        <v>44</v>
      </c>
      <c r="B24">
        <v>94</v>
      </c>
      <c r="C24" t="s">
        <v>45</v>
      </c>
      <c r="F24" s="1" t="str">
        <f t="shared" si="0"/>
        <v/>
      </c>
      <c r="G24" s="3"/>
      <c r="H24" s="1" t="str">
        <f t="shared" si="2"/>
        <v/>
      </c>
    </row>
    <row r="25" spans="1:10" hidden="1" x14ac:dyDescent="0.25">
      <c r="A25" t="s">
        <v>47</v>
      </c>
      <c r="B25">
        <v>220</v>
      </c>
      <c r="C25" t="s">
        <v>48</v>
      </c>
      <c r="F25" s="1" t="str">
        <f t="shared" si="0"/>
        <v/>
      </c>
      <c r="G25" s="3"/>
      <c r="H25" s="1" t="str">
        <f t="shared" si="2"/>
        <v/>
      </c>
    </row>
    <row r="26" spans="1:10" hidden="1" x14ac:dyDescent="0.25">
      <c r="A26" t="s">
        <v>49</v>
      </c>
      <c r="B26">
        <v>245</v>
      </c>
      <c r="C26" t="s">
        <v>50</v>
      </c>
      <c r="F26" s="1" t="str">
        <f t="shared" si="0"/>
        <v/>
      </c>
      <c r="G26" s="3"/>
      <c r="H26" s="1" t="str">
        <f t="shared" si="2"/>
        <v/>
      </c>
    </row>
    <row r="27" spans="1:10" hidden="1" x14ac:dyDescent="0.25">
      <c r="A27" t="s">
        <v>51</v>
      </c>
      <c r="B27">
        <v>211</v>
      </c>
      <c r="C27" t="s">
        <v>52</v>
      </c>
      <c r="F27" s="1" t="str">
        <f t="shared" si="0"/>
        <v/>
      </c>
      <c r="G27" s="3"/>
      <c r="H27" s="1" t="str">
        <f t="shared" si="2"/>
        <v/>
      </c>
    </row>
    <row r="28" spans="1:10" x14ac:dyDescent="0.25">
      <c r="A28" t="s">
        <v>54</v>
      </c>
      <c r="B28">
        <v>303</v>
      </c>
      <c r="C28" t="s">
        <v>55</v>
      </c>
      <c r="E28" s="5" t="s">
        <v>6615</v>
      </c>
      <c r="F28" s="1" t="str">
        <f t="shared" ref="F28" si="5">IF(E28&lt;&gt;"", HYPERLINK("https://www.kegg.jp/dbget-bin/www_bget?ec:" &amp; E28, "https://www.kegg.jp/dbget-bin/www_bget?ec:" &amp; E28), "")</f>
        <v>https://www.kegg.jp/dbget-bin/www_bget?ec:2.5.1.47</v>
      </c>
      <c r="G28" s="3" t="s">
        <v>7332</v>
      </c>
      <c r="H28" s="1" t="str">
        <f t="shared" si="2"/>
        <v>https://www.kegg.jp/entry/R00897</v>
      </c>
      <c r="I28" t="s">
        <v>12725</v>
      </c>
      <c r="J28" t="s">
        <v>12726</v>
      </c>
    </row>
    <row r="29" spans="1:10" x14ac:dyDescent="0.25">
      <c r="A29" t="s">
        <v>54</v>
      </c>
      <c r="B29">
        <v>303</v>
      </c>
      <c r="C29" t="s">
        <v>55</v>
      </c>
      <c r="E29" s="5" t="s">
        <v>6615</v>
      </c>
      <c r="F29" s="1" t="str">
        <f t="shared" ref="F29:F31" si="6">IF(E29&lt;&gt;"", HYPERLINK("https://www.kegg.jp/dbget-bin/www_bget?ec:" &amp; E29, "https://www.kegg.jp/dbget-bin/www_bget?ec:" &amp; E29), "")</f>
        <v>https://www.kegg.jp/dbget-bin/www_bget?ec:2.5.1.47</v>
      </c>
      <c r="G29" s="3" t="s">
        <v>7331</v>
      </c>
      <c r="H29" s="1" t="str">
        <f t="shared" si="2"/>
        <v>https://www.kegg.jp/entry/R03601</v>
      </c>
      <c r="I29" t="s">
        <v>8093</v>
      </c>
      <c r="J29" t="s">
        <v>12727</v>
      </c>
    </row>
    <row r="30" spans="1:10" x14ac:dyDescent="0.25">
      <c r="A30" t="s">
        <v>54</v>
      </c>
      <c r="B30">
        <v>303</v>
      </c>
      <c r="C30" t="s">
        <v>55</v>
      </c>
      <c r="E30" s="5" t="s">
        <v>6615</v>
      </c>
      <c r="F30" s="1" t="str">
        <f t="shared" si="6"/>
        <v>https://www.kegg.jp/dbget-bin/www_bget?ec:2.5.1.47</v>
      </c>
      <c r="G30" s="3" t="s">
        <v>7334</v>
      </c>
      <c r="H30" s="1" t="str">
        <f t="shared" si="2"/>
        <v>https://www.kegg.jp/entry/R04859</v>
      </c>
      <c r="I30" t="s">
        <v>12728</v>
      </c>
      <c r="J30" t="s">
        <v>12729</v>
      </c>
    </row>
    <row r="31" spans="1:10" x14ac:dyDescent="0.25">
      <c r="A31" t="s">
        <v>54</v>
      </c>
      <c r="B31">
        <v>303</v>
      </c>
      <c r="C31" t="s">
        <v>55</v>
      </c>
      <c r="E31" s="5" t="s">
        <v>6615</v>
      </c>
      <c r="F31" s="1" t="str">
        <f t="shared" si="6"/>
        <v>https://www.kegg.jp/dbget-bin/www_bget?ec:2.5.1.47</v>
      </c>
      <c r="G31" s="3" t="s">
        <v>7333</v>
      </c>
      <c r="H31" s="1" t="str">
        <f t="shared" si="2"/>
        <v>https://www.kegg.jp/entry/R07274</v>
      </c>
      <c r="I31" t="s">
        <v>12730</v>
      </c>
      <c r="J31" t="s">
        <v>12731</v>
      </c>
    </row>
    <row r="32" spans="1:10" x14ac:dyDescent="0.25">
      <c r="A32" t="s">
        <v>57</v>
      </c>
      <c r="B32">
        <v>155</v>
      </c>
      <c r="C32" t="s">
        <v>58</v>
      </c>
      <c r="E32" s="5" t="s">
        <v>6616</v>
      </c>
      <c r="F32" s="1" t="str">
        <f t="shared" si="0"/>
        <v>https://www.kegg.jp/dbget-bin/www_bget?ec:5.2.1.8</v>
      </c>
      <c r="G32" s="3" t="s">
        <v>7089</v>
      </c>
      <c r="H32" s="1" t="str">
        <f t="shared" si="2"/>
        <v>https://www.kegg.jp/entry/R04273</v>
      </c>
      <c r="I32" t="s">
        <v>8094</v>
      </c>
      <c r="J32" t="s">
        <v>8395</v>
      </c>
    </row>
    <row r="33" spans="1:10" hidden="1" x14ac:dyDescent="0.25">
      <c r="A33" t="s">
        <v>60</v>
      </c>
      <c r="B33">
        <v>68</v>
      </c>
      <c r="C33" t="s">
        <v>61</v>
      </c>
      <c r="F33" s="1" t="str">
        <f t="shared" si="0"/>
        <v/>
      </c>
      <c r="G33" s="3"/>
      <c r="H33" s="1" t="str">
        <f t="shared" si="2"/>
        <v/>
      </c>
    </row>
    <row r="34" spans="1:10" x14ac:dyDescent="0.25">
      <c r="A34" t="s">
        <v>63</v>
      </c>
      <c r="B34">
        <v>249</v>
      </c>
      <c r="C34" t="s">
        <v>64</v>
      </c>
      <c r="E34" s="5" t="s">
        <v>6617</v>
      </c>
      <c r="F34" s="6" t="str">
        <f>IF(E34&lt;&gt;"", HYPERLINK("https://www.kegg.jp/dbget-bin/www_bget?ec:" &amp; E34, "https://www.kegg.jp/dbget-bin/www_bget?ec:" &amp; E34), "")</f>
        <v>https://www.kegg.jp/dbget-bin/www_bget?ec:3.1.3.5</v>
      </c>
      <c r="G34" s="8" t="s">
        <v>7335</v>
      </c>
      <c r="H34" s="1" t="str">
        <f t="shared" si="2"/>
        <v>https://www.kegg.jp/entry/R07297</v>
      </c>
      <c r="I34" t="s">
        <v>12732</v>
      </c>
      <c r="J34" t="s">
        <v>12733</v>
      </c>
    </row>
    <row r="35" spans="1:10" x14ac:dyDescent="0.25">
      <c r="A35" t="s">
        <v>63</v>
      </c>
      <c r="B35">
        <v>249</v>
      </c>
      <c r="C35" t="s">
        <v>64</v>
      </c>
      <c r="E35" s="5" t="s">
        <v>6617</v>
      </c>
      <c r="F35" s="6" t="str">
        <f t="shared" ref="F35:F47" si="7">IF(E35&lt;&gt;"", HYPERLINK("https://www.kegg.jp/dbget-bin/www_bget?ec:" &amp; E35, "https://www.kegg.jp/dbget-bin/www_bget?ec:" &amp; E35), "")</f>
        <v>https://www.kegg.jp/dbget-bin/www_bget?ec:3.1.3.5</v>
      </c>
      <c r="G35" s="8" t="s">
        <v>7337</v>
      </c>
      <c r="H35" s="1" t="str">
        <f t="shared" si="2"/>
        <v>https://www.kegg.jp/entry/R00183</v>
      </c>
      <c r="I35" t="s">
        <v>12734</v>
      </c>
      <c r="J35" t="s">
        <v>12735</v>
      </c>
    </row>
    <row r="36" spans="1:10" x14ac:dyDescent="0.25">
      <c r="A36" t="s">
        <v>63</v>
      </c>
      <c r="B36">
        <v>249</v>
      </c>
      <c r="C36" t="s">
        <v>64</v>
      </c>
      <c r="E36" s="5" t="s">
        <v>6617</v>
      </c>
      <c r="F36" s="6" t="str">
        <f t="shared" si="7"/>
        <v>https://www.kegg.jp/dbget-bin/www_bget?ec:3.1.3.5</v>
      </c>
      <c r="G36" s="7" t="s">
        <v>7338</v>
      </c>
      <c r="H36" s="1" t="str">
        <f t="shared" si="2"/>
        <v>https://www.kegg.jp/entry/R00511</v>
      </c>
      <c r="I36" t="s">
        <v>12736</v>
      </c>
      <c r="J36" t="s">
        <v>12737</v>
      </c>
    </row>
    <row r="37" spans="1:10" x14ac:dyDescent="0.25">
      <c r="A37" t="s">
        <v>63</v>
      </c>
      <c r="B37">
        <v>249</v>
      </c>
      <c r="C37" t="s">
        <v>64</v>
      </c>
      <c r="E37" s="5" t="s">
        <v>6617</v>
      </c>
      <c r="F37" s="6" t="str">
        <f t="shared" si="7"/>
        <v>https://www.kegg.jp/dbget-bin/www_bget?ec:3.1.3.5</v>
      </c>
      <c r="G37" s="7" t="s">
        <v>7339</v>
      </c>
      <c r="H37" s="1" t="str">
        <f t="shared" si="2"/>
        <v>https://www.kegg.jp/entry/R00963</v>
      </c>
      <c r="I37" t="s">
        <v>12738</v>
      </c>
      <c r="J37" t="s">
        <v>12739</v>
      </c>
    </row>
    <row r="38" spans="1:10" x14ac:dyDescent="0.25">
      <c r="A38" t="s">
        <v>63</v>
      </c>
      <c r="B38">
        <v>249</v>
      </c>
      <c r="C38" t="s">
        <v>64</v>
      </c>
      <c r="E38" s="5" t="s">
        <v>6617</v>
      </c>
      <c r="F38" s="6" t="str">
        <f t="shared" si="7"/>
        <v>https://www.kegg.jp/dbget-bin/www_bget?ec:3.1.3.5</v>
      </c>
      <c r="G38" s="7" t="s">
        <v>7340</v>
      </c>
      <c r="H38" s="1" t="str">
        <f t="shared" si="2"/>
        <v>https://www.kegg.jp/entry/R01126</v>
      </c>
      <c r="I38" t="s">
        <v>12740</v>
      </c>
      <c r="J38" t="s">
        <v>12741</v>
      </c>
    </row>
    <row r="39" spans="1:10" x14ac:dyDescent="0.25">
      <c r="A39" t="s">
        <v>63</v>
      </c>
      <c r="B39">
        <v>249</v>
      </c>
      <c r="C39" t="s">
        <v>64</v>
      </c>
      <c r="E39" s="5" t="s">
        <v>6617</v>
      </c>
      <c r="F39" s="6" t="str">
        <f t="shared" si="7"/>
        <v>https://www.kegg.jp/dbget-bin/www_bget?ec:3.1.3.5</v>
      </c>
      <c r="G39" s="7" t="s">
        <v>7341</v>
      </c>
      <c r="H39" s="1" t="str">
        <f t="shared" si="2"/>
        <v>https://www.kegg.jp/entry/R01227</v>
      </c>
      <c r="I39" t="s">
        <v>12742</v>
      </c>
      <c r="J39" t="s">
        <v>12743</v>
      </c>
    </row>
    <row r="40" spans="1:10" x14ac:dyDescent="0.25">
      <c r="A40" t="s">
        <v>63</v>
      </c>
      <c r="B40">
        <v>249</v>
      </c>
      <c r="C40" t="s">
        <v>64</v>
      </c>
      <c r="E40" s="5" t="s">
        <v>6617</v>
      </c>
      <c r="F40" s="6" t="str">
        <f t="shared" si="7"/>
        <v>https://www.kegg.jp/dbget-bin/www_bget?ec:3.1.3.5</v>
      </c>
      <c r="G40" s="7" t="s">
        <v>7342</v>
      </c>
      <c r="H40" s="1" t="str">
        <f t="shared" si="2"/>
        <v>https://www.kegg.jp/entry/R02323</v>
      </c>
      <c r="I40" t="s">
        <v>12744</v>
      </c>
      <c r="J40" t="s">
        <v>12745</v>
      </c>
    </row>
    <row r="41" spans="1:10" x14ac:dyDescent="0.25">
      <c r="A41" t="s">
        <v>63</v>
      </c>
      <c r="B41">
        <v>249</v>
      </c>
      <c r="C41" t="s">
        <v>64</v>
      </c>
      <c r="E41" s="5" t="s">
        <v>6617</v>
      </c>
      <c r="F41" s="6" t="str">
        <f t="shared" si="7"/>
        <v>https://www.kegg.jp/dbget-bin/www_bget?ec:3.1.3.5</v>
      </c>
      <c r="G41" s="7" t="s">
        <v>7343</v>
      </c>
      <c r="H41" s="1" t="str">
        <f t="shared" si="2"/>
        <v>https://www.kegg.jp/entry/R02719</v>
      </c>
      <c r="I41" t="s">
        <v>12746</v>
      </c>
      <c r="J41" t="s">
        <v>12747</v>
      </c>
    </row>
    <row r="42" spans="1:10" x14ac:dyDescent="0.25">
      <c r="A42" t="s">
        <v>63</v>
      </c>
      <c r="B42">
        <v>249</v>
      </c>
      <c r="C42" t="s">
        <v>64</v>
      </c>
      <c r="E42" s="5" t="s">
        <v>6617</v>
      </c>
      <c r="F42" s="6" t="str">
        <f t="shared" si="7"/>
        <v>https://www.kegg.jp/dbget-bin/www_bget?ec:3.1.3.5</v>
      </c>
      <c r="G42" s="7" t="s">
        <v>7344</v>
      </c>
      <c r="H42" s="1" t="str">
        <f t="shared" si="2"/>
        <v>https://www.kegg.jp/entry/R03346</v>
      </c>
      <c r="I42" t="s">
        <v>12748</v>
      </c>
      <c r="J42" t="s">
        <v>12749</v>
      </c>
    </row>
    <row r="43" spans="1:10" x14ac:dyDescent="0.25">
      <c r="A43" t="s">
        <v>63</v>
      </c>
      <c r="B43">
        <v>249</v>
      </c>
      <c r="C43" t="s">
        <v>64</v>
      </c>
      <c r="E43" s="5" t="s">
        <v>6617</v>
      </c>
      <c r="F43" s="6" t="str">
        <f t="shared" si="7"/>
        <v>https://www.kegg.jp/dbget-bin/www_bget?ec:3.1.3.5</v>
      </c>
      <c r="G43" s="7" t="s">
        <v>7336</v>
      </c>
      <c r="H43" s="1" t="str">
        <f t="shared" si="2"/>
        <v>https://www.kegg.jp/entry/R01569</v>
      </c>
      <c r="I43" t="s">
        <v>12750</v>
      </c>
      <c r="J43" t="s">
        <v>12751</v>
      </c>
    </row>
    <row r="44" spans="1:10" x14ac:dyDescent="0.25">
      <c r="A44" t="s">
        <v>63</v>
      </c>
      <c r="B44">
        <v>249</v>
      </c>
      <c r="C44" t="s">
        <v>64</v>
      </c>
      <c r="E44" s="5" t="s">
        <v>6617</v>
      </c>
      <c r="F44" s="6" t="str">
        <f t="shared" si="7"/>
        <v>https://www.kegg.jp/dbget-bin/www_bget?ec:3.1.3.5</v>
      </c>
      <c r="G44" s="7" t="s">
        <v>7345</v>
      </c>
      <c r="H44" s="1" t="str">
        <f t="shared" si="2"/>
        <v>https://www.kegg.jp/entry/R01664</v>
      </c>
      <c r="I44" t="s">
        <v>12752</v>
      </c>
      <c r="J44" t="s">
        <v>12753</v>
      </c>
    </row>
    <row r="45" spans="1:10" x14ac:dyDescent="0.25">
      <c r="A45" t="s">
        <v>63</v>
      </c>
      <c r="B45">
        <v>249</v>
      </c>
      <c r="C45" t="s">
        <v>64</v>
      </c>
      <c r="E45" s="5" t="s">
        <v>6617</v>
      </c>
      <c r="F45" s="6" t="str">
        <f t="shared" si="7"/>
        <v>https://www.kegg.jp/dbget-bin/www_bget?ec:3.1.3.5</v>
      </c>
      <c r="G45" s="7" t="s">
        <v>7346</v>
      </c>
      <c r="H45" s="1" t="str">
        <f t="shared" si="2"/>
        <v>https://www.kegg.jp/entry/R01968</v>
      </c>
      <c r="I45" t="s">
        <v>12754</v>
      </c>
      <c r="J45" t="s">
        <v>12755</v>
      </c>
    </row>
    <row r="46" spans="1:10" x14ac:dyDescent="0.25">
      <c r="A46" t="s">
        <v>63</v>
      </c>
      <c r="B46">
        <v>249</v>
      </c>
      <c r="C46" t="s">
        <v>64</v>
      </c>
      <c r="E46" s="5" t="s">
        <v>6617</v>
      </c>
      <c r="F46" s="6" t="str">
        <f t="shared" si="7"/>
        <v>https://www.kegg.jp/dbget-bin/www_bget?ec:3.1.3.5</v>
      </c>
      <c r="G46" s="7" t="s">
        <v>7347</v>
      </c>
      <c r="H46" s="1" t="str">
        <f t="shared" si="2"/>
        <v>https://www.kegg.jp/entry/R02088</v>
      </c>
      <c r="I46" t="s">
        <v>12756</v>
      </c>
      <c r="J46" t="s">
        <v>12757</v>
      </c>
    </row>
    <row r="47" spans="1:10" x14ac:dyDescent="0.25">
      <c r="A47" t="s">
        <v>63</v>
      </c>
      <c r="B47">
        <v>249</v>
      </c>
      <c r="C47" t="s">
        <v>64</v>
      </c>
      <c r="E47" s="5" t="s">
        <v>6617</v>
      </c>
      <c r="F47" s="6" t="str">
        <f t="shared" si="7"/>
        <v>https://www.kegg.jp/dbget-bin/www_bget?ec:3.1.3.5</v>
      </c>
      <c r="G47" s="7" t="s">
        <v>7348</v>
      </c>
      <c r="H47" s="1" t="str">
        <f t="shared" si="2"/>
        <v>https://www.kegg.jp/entry/R02102</v>
      </c>
      <c r="I47" t="s">
        <v>12758</v>
      </c>
      <c r="J47" t="s">
        <v>12759</v>
      </c>
    </row>
    <row r="48" spans="1:10" x14ac:dyDescent="0.25">
      <c r="A48" t="s">
        <v>63</v>
      </c>
      <c r="B48">
        <v>249</v>
      </c>
      <c r="C48" t="s">
        <v>64</v>
      </c>
      <c r="E48" s="5" t="s">
        <v>6617</v>
      </c>
      <c r="F48" s="6" t="str">
        <f t="shared" si="0"/>
        <v>https://www.kegg.jp/dbget-bin/www_bget?ec:3.1.3.5</v>
      </c>
      <c r="G48" s="7" t="s">
        <v>7349</v>
      </c>
      <c r="H48" s="1" t="str">
        <f t="shared" si="2"/>
        <v>https://www.kegg.jp/entry/R12958</v>
      </c>
      <c r="I48" t="s">
        <v>12760</v>
      </c>
      <c r="J48" t="s">
        <v>12761</v>
      </c>
    </row>
    <row r="49" spans="1:10" hidden="1" x14ac:dyDescent="0.25">
      <c r="A49" t="s">
        <v>66</v>
      </c>
      <c r="B49">
        <v>226</v>
      </c>
      <c r="C49" t="s">
        <v>67</v>
      </c>
      <c r="F49" s="1" t="str">
        <f t="shared" si="0"/>
        <v/>
      </c>
      <c r="G49" s="3"/>
      <c r="H49" s="1" t="str">
        <f t="shared" si="2"/>
        <v/>
      </c>
    </row>
    <row r="50" spans="1:10" hidden="1" x14ac:dyDescent="0.25">
      <c r="A50" t="s">
        <v>69</v>
      </c>
      <c r="B50">
        <v>542</v>
      </c>
      <c r="C50" t="s">
        <v>70</v>
      </c>
      <c r="F50" s="1" t="str">
        <f t="shared" si="0"/>
        <v/>
      </c>
      <c r="G50" s="3"/>
      <c r="H50" s="1" t="str">
        <f t="shared" si="2"/>
        <v/>
      </c>
    </row>
    <row r="51" spans="1:10" hidden="1" x14ac:dyDescent="0.25">
      <c r="A51" t="s">
        <v>71</v>
      </c>
      <c r="B51">
        <v>481</v>
      </c>
      <c r="C51" t="s">
        <v>72</v>
      </c>
      <c r="F51" s="1" t="str">
        <f t="shared" si="0"/>
        <v/>
      </c>
      <c r="G51" s="3"/>
      <c r="H51" s="1" t="str">
        <f t="shared" si="2"/>
        <v/>
      </c>
    </row>
    <row r="52" spans="1:10" hidden="1" x14ac:dyDescent="0.25">
      <c r="A52" t="s">
        <v>73</v>
      </c>
      <c r="B52">
        <v>37</v>
      </c>
      <c r="C52" t="s">
        <v>74</v>
      </c>
      <c r="F52" s="1" t="str">
        <f t="shared" si="0"/>
        <v/>
      </c>
      <c r="G52" s="3"/>
      <c r="H52" s="1" t="str">
        <f t="shared" si="2"/>
        <v/>
      </c>
    </row>
    <row r="53" spans="1:10" hidden="1" x14ac:dyDescent="0.25">
      <c r="A53" t="s">
        <v>76</v>
      </c>
      <c r="B53">
        <v>194</v>
      </c>
      <c r="C53" t="s">
        <v>77</v>
      </c>
      <c r="F53" s="1" t="str">
        <f t="shared" si="0"/>
        <v/>
      </c>
      <c r="G53" s="3"/>
      <c r="H53" s="1" t="str">
        <f t="shared" si="2"/>
        <v/>
      </c>
    </row>
    <row r="54" spans="1:10" hidden="1" x14ac:dyDescent="0.25">
      <c r="A54" t="s">
        <v>79</v>
      </c>
      <c r="B54">
        <v>198</v>
      </c>
      <c r="C54" t="s">
        <v>80</v>
      </c>
      <c r="F54" s="1" t="str">
        <f t="shared" si="0"/>
        <v/>
      </c>
      <c r="G54" s="3"/>
      <c r="H54" s="1" t="str">
        <f t="shared" si="2"/>
        <v/>
      </c>
    </row>
    <row r="55" spans="1:10" x14ac:dyDescent="0.25">
      <c r="A55" t="s">
        <v>82</v>
      </c>
      <c r="B55">
        <v>152</v>
      </c>
      <c r="C55" t="s">
        <v>83</v>
      </c>
      <c r="E55" s="5" t="s">
        <v>6618</v>
      </c>
      <c r="F55" s="1" t="str">
        <f t="shared" si="0"/>
        <v>https://www.kegg.jp/dbget-bin/www_bget?ec:4.6.1.12</v>
      </c>
      <c r="G55" s="3" t="s">
        <v>7090</v>
      </c>
      <c r="H55" s="1" t="str">
        <f t="shared" si="2"/>
        <v>https://www.kegg.jp/entry/R05637</v>
      </c>
      <c r="I55" t="s">
        <v>8095</v>
      </c>
      <c r="J55" t="s">
        <v>12762</v>
      </c>
    </row>
    <row r="56" spans="1:10" hidden="1" x14ac:dyDescent="0.25">
      <c r="A56" t="s">
        <v>85</v>
      </c>
      <c r="B56">
        <v>183</v>
      </c>
      <c r="C56" t="s">
        <v>86</v>
      </c>
      <c r="F56" s="1" t="str">
        <f t="shared" si="0"/>
        <v/>
      </c>
      <c r="G56" s="3"/>
      <c r="H56" s="1" t="str">
        <f t="shared" si="2"/>
        <v/>
      </c>
    </row>
    <row r="57" spans="1:10" hidden="1" x14ac:dyDescent="0.25">
      <c r="A57" t="s">
        <v>87</v>
      </c>
      <c r="B57">
        <v>106</v>
      </c>
      <c r="C57" t="s">
        <v>88</v>
      </c>
      <c r="F57" s="1" t="str">
        <f t="shared" si="0"/>
        <v/>
      </c>
      <c r="G57" s="3"/>
      <c r="H57" s="1" t="str">
        <f t="shared" si="2"/>
        <v/>
      </c>
    </row>
    <row r="58" spans="1:10" hidden="1" x14ac:dyDescent="0.25">
      <c r="A58" t="s">
        <v>90</v>
      </c>
      <c r="B58">
        <v>186</v>
      </c>
      <c r="C58" t="s">
        <v>91</v>
      </c>
      <c r="F58" s="1" t="str">
        <f t="shared" si="0"/>
        <v/>
      </c>
      <c r="G58" s="3"/>
      <c r="H58" s="1" t="str">
        <f t="shared" si="2"/>
        <v/>
      </c>
    </row>
    <row r="59" spans="1:10" hidden="1" x14ac:dyDescent="0.25">
      <c r="A59" t="s">
        <v>92</v>
      </c>
      <c r="B59">
        <v>79</v>
      </c>
      <c r="C59" t="s">
        <v>93</v>
      </c>
      <c r="F59" s="1" t="str">
        <f t="shared" si="0"/>
        <v/>
      </c>
      <c r="G59" s="3"/>
      <c r="H59" s="1" t="str">
        <f t="shared" si="2"/>
        <v/>
      </c>
    </row>
    <row r="60" spans="1:10" x14ac:dyDescent="0.25">
      <c r="A60" t="s">
        <v>95</v>
      </c>
      <c r="B60">
        <v>1645</v>
      </c>
      <c r="C60" t="s">
        <v>96</v>
      </c>
      <c r="E60" s="5" t="s">
        <v>6611</v>
      </c>
      <c r="F60" s="1" t="str">
        <f t="shared" ref="F60:F64" si="8">IF(E60&lt;&gt;"", HYPERLINK("https://www.kegg.jp/dbget-bin/www_bget?ec:" &amp; E60, "https://www.kegg.jp/dbget-bin/www_bget?ec:" &amp; E60), "")</f>
        <v>https://www.kegg.jp/dbget-bin/www_bget?ec:2.7.7.7</v>
      </c>
      <c r="G60" s="3" t="s">
        <v>7218</v>
      </c>
      <c r="H60" s="1" t="str">
        <f t="shared" si="2"/>
        <v>https://www.kegg.jp/entry/R00379</v>
      </c>
      <c r="I60" t="s">
        <v>12705</v>
      </c>
      <c r="J60" t="s">
        <v>7080</v>
      </c>
    </row>
    <row r="61" spans="1:10" x14ac:dyDescent="0.25">
      <c r="A61" t="s">
        <v>95</v>
      </c>
      <c r="B61">
        <v>1645</v>
      </c>
      <c r="C61" t="s">
        <v>96</v>
      </c>
      <c r="E61" s="5" t="s">
        <v>6611</v>
      </c>
      <c r="F61" s="1" t="str">
        <f t="shared" si="8"/>
        <v>https://www.kegg.jp/dbget-bin/www_bget?ec:2.7.7.7</v>
      </c>
      <c r="G61" s="3" t="s">
        <v>7315</v>
      </c>
      <c r="H61" s="1" t="str">
        <f t="shared" si="2"/>
        <v>https://www.kegg.jp/entry/R00375</v>
      </c>
      <c r="I61" t="s">
        <v>12706</v>
      </c>
      <c r="J61" t="s">
        <v>7080</v>
      </c>
    </row>
    <row r="62" spans="1:10" x14ac:dyDescent="0.25">
      <c r="A62" t="s">
        <v>95</v>
      </c>
      <c r="B62">
        <v>1645</v>
      </c>
      <c r="C62" t="s">
        <v>96</v>
      </c>
      <c r="E62" s="5" t="s">
        <v>6611</v>
      </c>
      <c r="F62" s="1" t="str">
        <f t="shared" si="8"/>
        <v>https://www.kegg.jp/dbget-bin/www_bget?ec:2.7.7.7</v>
      </c>
      <c r="G62" s="3" t="s">
        <v>7316</v>
      </c>
      <c r="H62" s="1" t="str">
        <f t="shared" si="2"/>
        <v>https://www.kegg.jp/entry/R00376</v>
      </c>
      <c r="I62" t="s">
        <v>12707</v>
      </c>
      <c r="J62" t="s">
        <v>7080</v>
      </c>
    </row>
    <row r="63" spans="1:10" x14ac:dyDescent="0.25">
      <c r="A63" t="s">
        <v>95</v>
      </c>
      <c r="B63">
        <v>1645</v>
      </c>
      <c r="C63" t="s">
        <v>96</v>
      </c>
      <c r="E63" s="5" t="s">
        <v>6611</v>
      </c>
      <c r="F63" s="1" t="str">
        <f t="shared" si="8"/>
        <v>https://www.kegg.jp/dbget-bin/www_bget?ec:2.7.7.7</v>
      </c>
      <c r="G63" s="3" t="s">
        <v>7317</v>
      </c>
      <c r="H63" s="1" t="str">
        <f t="shared" si="2"/>
        <v>https://www.kegg.jp/entry/R00377</v>
      </c>
      <c r="I63" t="s">
        <v>12708</v>
      </c>
      <c r="J63" t="s">
        <v>7080</v>
      </c>
    </row>
    <row r="64" spans="1:10" x14ac:dyDescent="0.25">
      <c r="A64" t="s">
        <v>95</v>
      </c>
      <c r="B64">
        <v>1645</v>
      </c>
      <c r="C64" t="s">
        <v>96</v>
      </c>
      <c r="E64" s="5" t="s">
        <v>6611</v>
      </c>
      <c r="F64" s="1" t="str">
        <f t="shared" si="8"/>
        <v>https://www.kegg.jp/dbget-bin/www_bget?ec:2.7.7.7</v>
      </c>
      <c r="G64" s="3" t="s">
        <v>7318</v>
      </c>
      <c r="H64" s="1" t="str">
        <f t="shared" si="2"/>
        <v>https://www.kegg.jp/entry/R00378</v>
      </c>
      <c r="I64" t="s">
        <v>12709</v>
      </c>
      <c r="J64" t="s">
        <v>7080</v>
      </c>
    </row>
    <row r="65" spans="1:10" x14ac:dyDescent="0.25">
      <c r="A65" t="s">
        <v>95</v>
      </c>
      <c r="B65">
        <v>1645</v>
      </c>
      <c r="C65" t="s">
        <v>96</v>
      </c>
      <c r="E65" s="5" t="s">
        <v>6611</v>
      </c>
      <c r="F65" s="1" t="str">
        <f t="shared" si="0"/>
        <v>https://www.kegg.jp/dbget-bin/www_bget?ec:2.7.7.7</v>
      </c>
      <c r="G65" s="3" t="s">
        <v>7319</v>
      </c>
      <c r="H65" s="1" t="str">
        <f t="shared" si="2"/>
        <v>https://www.kegg.jp/entry/R11029</v>
      </c>
      <c r="I65" t="s">
        <v>8088</v>
      </c>
      <c r="J65" t="s">
        <v>8391</v>
      </c>
    </row>
    <row r="66" spans="1:10" hidden="1" x14ac:dyDescent="0.25">
      <c r="A66" t="s">
        <v>98</v>
      </c>
      <c r="B66">
        <v>543</v>
      </c>
      <c r="C66" t="s">
        <v>99</v>
      </c>
      <c r="F66" s="1" t="str">
        <f t="shared" si="0"/>
        <v/>
      </c>
      <c r="G66" s="3"/>
      <c r="H66" s="1" t="str">
        <f t="shared" si="2"/>
        <v/>
      </c>
    </row>
    <row r="67" spans="1:10" hidden="1" x14ac:dyDescent="0.25">
      <c r="A67" t="s">
        <v>101</v>
      </c>
      <c r="B67">
        <v>101</v>
      </c>
      <c r="C67" t="s">
        <v>102</v>
      </c>
      <c r="F67" s="1" t="str">
        <f t="shared" si="0"/>
        <v/>
      </c>
      <c r="G67" s="3"/>
      <c r="H67" s="1" t="str">
        <f t="shared" si="2"/>
        <v/>
      </c>
    </row>
    <row r="68" spans="1:10" hidden="1" x14ac:dyDescent="0.25">
      <c r="A68" t="s">
        <v>104</v>
      </c>
      <c r="B68">
        <v>262</v>
      </c>
      <c r="C68" t="s">
        <v>105</v>
      </c>
      <c r="F68" s="1" t="str">
        <f t="shared" si="0"/>
        <v/>
      </c>
      <c r="G68" s="3"/>
      <c r="H68" s="1" t="str">
        <f t="shared" si="2"/>
        <v/>
      </c>
    </row>
    <row r="69" spans="1:10" hidden="1" x14ac:dyDescent="0.25">
      <c r="A69" t="s">
        <v>107</v>
      </c>
      <c r="B69">
        <v>742</v>
      </c>
      <c r="C69" t="s">
        <v>108</v>
      </c>
      <c r="F69" s="1" t="str">
        <f t="shared" si="0"/>
        <v/>
      </c>
      <c r="G69" s="3"/>
      <c r="H69" s="1" t="str">
        <f>IF(G69&lt;&gt;"", HYPERLINK("https://www.kegg.jp/entry/" &amp; G69, "https://www.kegg.jp/entry/" &amp; G69), "")</f>
        <v/>
      </c>
    </row>
    <row r="70" spans="1:10" hidden="1" x14ac:dyDescent="0.25">
      <c r="A70" t="s">
        <v>109</v>
      </c>
      <c r="B70">
        <v>56</v>
      </c>
      <c r="C70" t="s">
        <v>110</v>
      </c>
      <c r="F70" s="1" t="str">
        <f t="shared" si="0"/>
        <v/>
      </c>
      <c r="G70" s="3"/>
      <c r="H70" s="1" t="str">
        <f t="shared" si="2"/>
        <v/>
      </c>
    </row>
    <row r="71" spans="1:10" hidden="1" x14ac:dyDescent="0.25">
      <c r="A71" t="s">
        <v>111</v>
      </c>
      <c r="B71">
        <v>134</v>
      </c>
      <c r="C71" t="s">
        <v>112</v>
      </c>
      <c r="F71" s="1" t="str">
        <f t="shared" si="0"/>
        <v/>
      </c>
      <c r="G71" s="3"/>
      <c r="H71" s="1" t="str">
        <f t="shared" si="2"/>
        <v/>
      </c>
    </row>
    <row r="72" spans="1:10" hidden="1" x14ac:dyDescent="0.25">
      <c r="A72" t="s">
        <v>114</v>
      </c>
      <c r="B72">
        <v>429</v>
      </c>
      <c r="C72" t="s">
        <v>115</v>
      </c>
      <c r="F72" s="1" t="str">
        <f t="shared" si="0"/>
        <v/>
      </c>
      <c r="G72" s="3"/>
      <c r="H72" s="1" t="str">
        <f t="shared" si="2"/>
        <v/>
      </c>
    </row>
    <row r="73" spans="1:10" hidden="1" x14ac:dyDescent="0.25">
      <c r="A73" t="s">
        <v>117</v>
      </c>
      <c r="B73">
        <v>291</v>
      </c>
      <c r="C73" t="s">
        <v>118</v>
      </c>
      <c r="F73" s="1" t="str">
        <f t="shared" si="0"/>
        <v/>
      </c>
      <c r="G73" s="3"/>
      <c r="H73" s="1" t="str">
        <f t="shared" si="2"/>
        <v/>
      </c>
    </row>
    <row r="74" spans="1:10" hidden="1" x14ac:dyDescent="0.25">
      <c r="A74" t="s">
        <v>120</v>
      </c>
      <c r="B74">
        <v>280</v>
      </c>
      <c r="C74" t="s">
        <v>121</v>
      </c>
      <c r="F74" s="1" t="str">
        <f t="shared" si="0"/>
        <v/>
      </c>
      <c r="G74" s="3"/>
      <c r="H74" s="1" t="str">
        <f t="shared" ref="H74:H105" si="9">IF(G74&lt;&gt;"", HYPERLINK("https://www.kegg.jp/entry/" &amp; G74, "https://www.kegg.jp/entry/" &amp; G74), "")</f>
        <v/>
      </c>
    </row>
    <row r="75" spans="1:10" hidden="1" x14ac:dyDescent="0.25">
      <c r="A75" t="s">
        <v>122</v>
      </c>
      <c r="B75">
        <v>65</v>
      </c>
      <c r="C75" t="s">
        <v>123</v>
      </c>
      <c r="F75" s="1" t="str">
        <f t="shared" si="0"/>
        <v/>
      </c>
      <c r="G75" s="3"/>
      <c r="H75" s="1" t="str">
        <f t="shared" si="9"/>
        <v/>
      </c>
    </row>
    <row r="76" spans="1:10" hidden="1" x14ac:dyDescent="0.25">
      <c r="A76" t="s">
        <v>124</v>
      </c>
      <c r="B76">
        <v>58</v>
      </c>
      <c r="C76" t="s">
        <v>125</v>
      </c>
      <c r="F76" s="1" t="str">
        <f t="shared" si="0"/>
        <v/>
      </c>
      <c r="G76" s="3"/>
      <c r="H76" s="1" t="str">
        <f t="shared" si="9"/>
        <v/>
      </c>
    </row>
    <row r="77" spans="1:10" x14ac:dyDescent="0.25">
      <c r="A77" t="s">
        <v>127</v>
      </c>
      <c r="B77">
        <v>524</v>
      </c>
      <c r="C77" t="s">
        <v>128</v>
      </c>
      <c r="E77" s="5" t="s">
        <v>6619</v>
      </c>
      <c r="F77" s="1" t="str">
        <f t="shared" ref="F77:F79" si="10">IF(E77&lt;&gt;"", HYPERLINK("https://www.kegg.jp/dbget-bin/www_bget?ec:" &amp; E77, "https://www.kegg.jp/dbget-bin/www_bget?ec:" &amp; E77), "")</f>
        <v>https://www.kegg.jp/dbget-bin/www_bget?ec:5.4.2.2</v>
      </c>
      <c r="G77" s="3" t="s">
        <v>7351</v>
      </c>
      <c r="H77" s="1" t="str">
        <f t="shared" si="9"/>
        <v>https://www.kegg.jp/entry/R08639</v>
      </c>
      <c r="I77" t="s">
        <v>8096</v>
      </c>
      <c r="J77" t="s">
        <v>8396</v>
      </c>
    </row>
    <row r="78" spans="1:10" x14ac:dyDescent="0.25">
      <c r="A78" t="s">
        <v>127</v>
      </c>
      <c r="B78">
        <v>524</v>
      </c>
      <c r="C78" t="s">
        <v>128</v>
      </c>
      <c r="E78" s="5" t="s">
        <v>6619</v>
      </c>
      <c r="F78" s="1" t="str">
        <f t="shared" si="10"/>
        <v>https://www.kegg.jp/dbget-bin/www_bget?ec:5.4.2.2</v>
      </c>
      <c r="G78" s="3" t="s">
        <v>7354</v>
      </c>
      <c r="H78" s="1" t="str">
        <f t="shared" si="9"/>
        <v>https://www.kegg.jp/entry/R00959</v>
      </c>
      <c r="I78" t="s">
        <v>8096</v>
      </c>
      <c r="J78" t="s">
        <v>8369</v>
      </c>
    </row>
    <row r="79" spans="1:10" x14ac:dyDescent="0.25">
      <c r="A79" t="s">
        <v>127</v>
      </c>
      <c r="B79">
        <v>524</v>
      </c>
      <c r="C79" t="s">
        <v>128</v>
      </c>
      <c r="E79" s="5" t="s">
        <v>6619</v>
      </c>
      <c r="F79" s="1" t="str">
        <f t="shared" si="10"/>
        <v>https://www.kegg.jp/dbget-bin/www_bget?ec:5.4.2.2</v>
      </c>
      <c r="G79" s="3" t="s">
        <v>7353</v>
      </c>
      <c r="H79" s="1" t="str">
        <f t="shared" si="9"/>
        <v>https://www.kegg.jp/entry/R01057</v>
      </c>
      <c r="I79" t="s">
        <v>8097</v>
      </c>
      <c r="J79" t="s">
        <v>8344</v>
      </c>
    </row>
    <row r="80" spans="1:10" x14ac:dyDescent="0.25">
      <c r="A80" t="s">
        <v>127</v>
      </c>
      <c r="B80">
        <v>524</v>
      </c>
      <c r="C80" t="s">
        <v>128</v>
      </c>
      <c r="E80" s="5" t="s">
        <v>6619</v>
      </c>
      <c r="F80" s="1" t="str">
        <f t="shared" si="0"/>
        <v>https://www.kegg.jp/dbget-bin/www_bget?ec:5.4.2.2</v>
      </c>
      <c r="G80" s="3" t="s">
        <v>7352</v>
      </c>
      <c r="H80" s="1" t="str">
        <f t="shared" si="9"/>
        <v>https://www.kegg.jp/entry/R03319</v>
      </c>
      <c r="I80" t="s">
        <v>8098</v>
      </c>
      <c r="J80" t="s">
        <v>8397</v>
      </c>
    </row>
    <row r="81" spans="1:10" hidden="1" x14ac:dyDescent="0.25">
      <c r="A81" t="s">
        <v>130</v>
      </c>
      <c r="B81">
        <v>603</v>
      </c>
      <c r="C81" t="s">
        <v>131</v>
      </c>
      <c r="F81" s="1" t="str">
        <f t="shared" si="0"/>
        <v/>
      </c>
      <c r="G81" s="3"/>
      <c r="H81" s="1" t="str">
        <f t="shared" si="9"/>
        <v/>
      </c>
    </row>
    <row r="82" spans="1:10" hidden="1" x14ac:dyDescent="0.25">
      <c r="C82" t="s">
        <v>134</v>
      </c>
      <c r="F82" s="1" t="str">
        <f t="shared" si="0"/>
        <v/>
      </c>
      <c r="G82" s="3"/>
      <c r="H82" s="1" t="str">
        <f t="shared" si="9"/>
        <v/>
      </c>
    </row>
    <row r="83" spans="1:10" hidden="1" x14ac:dyDescent="0.25">
      <c r="A83" t="s">
        <v>136</v>
      </c>
      <c r="B83">
        <v>377</v>
      </c>
      <c r="C83" t="s">
        <v>137</v>
      </c>
      <c r="F83" s="1" t="str">
        <f t="shared" si="0"/>
        <v/>
      </c>
      <c r="G83" s="3"/>
      <c r="H83" s="1" t="str">
        <f t="shared" si="9"/>
        <v/>
      </c>
    </row>
    <row r="84" spans="1:10" hidden="1" x14ac:dyDescent="0.25">
      <c r="A84" t="s">
        <v>139</v>
      </c>
      <c r="B84">
        <v>268</v>
      </c>
      <c r="C84" t="s">
        <v>140</v>
      </c>
      <c r="F84" s="1" t="str">
        <f t="shared" si="0"/>
        <v/>
      </c>
      <c r="G84" s="3"/>
      <c r="H84" s="1" t="str">
        <f t="shared" si="9"/>
        <v/>
      </c>
    </row>
    <row r="85" spans="1:10" x14ac:dyDescent="0.25">
      <c r="A85" t="s">
        <v>142</v>
      </c>
      <c r="B85">
        <v>143</v>
      </c>
      <c r="C85" t="s">
        <v>143</v>
      </c>
      <c r="E85" s="5" t="s">
        <v>6620</v>
      </c>
      <c r="F85" s="1" t="str">
        <f t="shared" ref="F85" si="11">IF(E85&lt;&gt;"", HYPERLINK("https://www.kegg.jp/dbget-bin/www_bget?ec:" &amp; E85, "https://www.kegg.jp/dbget-bin/www_bget?ec:" &amp; E85), "")</f>
        <v>https://www.kegg.jp/dbget-bin/www_bget?ec:1.1.1.205</v>
      </c>
      <c r="G85" s="3" t="s">
        <v>7380</v>
      </c>
      <c r="H85" s="1" t="str">
        <f t="shared" si="9"/>
        <v>https://www.kegg.jp/entry/R01130</v>
      </c>
      <c r="I85" t="s">
        <v>12763</v>
      </c>
      <c r="J85" t="s">
        <v>12764</v>
      </c>
    </row>
    <row r="86" spans="1:10" x14ac:dyDescent="0.25">
      <c r="A86" t="s">
        <v>142</v>
      </c>
      <c r="B86">
        <v>143</v>
      </c>
      <c r="C86" t="s">
        <v>143</v>
      </c>
      <c r="E86" s="5" t="s">
        <v>6620</v>
      </c>
      <c r="F86" s="1" t="str">
        <f t="shared" si="0"/>
        <v>https://www.kegg.jp/dbget-bin/www_bget?ec:1.1.1.205</v>
      </c>
      <c r="G86" s="3" t="s">
        <v>7381</v>
      </c>
      <c r="H86" s="1" t="str">
        <f t="shared" si="9"/>
        <v>https://www.kegg.jp/entry/R08240</v>
      </c>
      <c r="I86" t="s">
        <v>12765</v>
      </c>
      <c r="J86" t="s">
        <v>12766</v>
      </c>
    </row>
    <row r="87" spans="1:10" hidden="1" x14ac:dyDescent="0.25">
      <c r="A87" t="s">
        <v>144</v>
      </c>
      <c r="B87">
        <v>115</v>
      </c>
      <c r="C87" t="s">
        <v>145</v>
      </c>
      <c r="F87" s="1" t="str">
        <f t="shared" si="0"/>
        <v/>
      </c>
      <c r="G87" s="3"/>
      <c r="H87" s="1" t="str">
        <f t="shared" si="9"/>
        <v/>
      </c>
    </row>
    <row r="88" spans="1:10" hidden="1" x14ac:dyDescent="0.25">
      <c r="C88" t="s">
        <v>148</v>
      </c>
      <c r="F88" s="1" t="str">
        <f t="shared" si="0"/>
        <v/>
      </c>
      <c r="G88" s="3"/>
      <c r="H88" s="1" t="str">
        <f t="shared" si="9"/>
        <v/>
      </c>
    </row>
    <row r="89" spans="1:10" hidden="1" x14ac:dyDescent="0.25">
      <c r="C89" t="s">
        <v>150</v>
      </c>
      <c r="F89" s="1" t="str">
        <f t="shared" si="0"/>
        <v/>
      </c>
      <c r="G89" s="3"/>
      <c r="H89" s="1" t="str">
        <f t="shared" si="9"/>
        <v/>
      </c>
    </row>
    <row r="90" spans="1:10" hidden="1" x14ac:dyDescent="0.25">
      <c r="C90" t="s">
        <v>152</v>
      </c>
      <c r="F90" s="1" t="str">
        <f t="shared" si="0"/>
        <v/>
      </c>
      <c r="G90" s="3"/>
      <c r="H90" s="1" t="str">
        <f t="shared" si="9"/>
        <v/>
      </c>
    </row>
    <row r="91" spans="1:10" hidden="1" x14ac:dyDescent="0.25">
      <c r="A91" t="s">
        <v>154</v>
      </c>
      <c r="B91">
        <v>209</v>
      </c>
      <c r="C91" t="s">
        <v>155</v>
      </c>
      <c r="F91" s="1" t="str">
        <f t="shared" si="0"/>
        <v/>
      </c>
      <c r="G91" s="3"/>
      <c r="H91" s="1" t="str">
        <f t="shared" si="9"/>
        <v/>
      </c>
    </row>
    <row r="92" spans="1:10" x14ac:dyDescent="0.25">
      <c r="A92" t="s">
        <v>157</v>
      </c>
      <c r="B92">
        <v>333</v>
      </c>
      <c r="C92" t="s">
        <v>158</v>
      </c>
      <c r="E92" s="5" t="s">
        <v>6621</v>
      </c>
      <c r="F92" s="1" t="str">
        <f t="shared" si="0"/>
        <v>https://www.kegg.jp/dbget-bin/www_bget?ec:6.3.3.1</v>
      </c>
      <c r="G92" s="3" t="s">
        <v>7091</v>
      </c>
      <c r="H92" s="1" t="str">
        <f t="shared" si="9"/>
        <v>https://www.kegg.jp/entry/R04208</v>
      </c>
      <c r="I92" t="s">
        <v>8099</v>
      </c>
      <c r="J92" t="s">
        <v>8398</v>
      </c>
    </row>
    <row r="93" spans="1:10" x14ac:dyDescent="0.25">
      <c r="A93" t="s">
        <v>160</v>
      </c>
      <c r="B93">
        <v>469</v>
      </c>
      <c r="C93" t="s">
        <v>161</v>
      </c>
      <c r="E93" s="5" t="s">
        <v>6622</v>
      </c>
      <c r="F93" s="1" t="str">
        <f t="shared" si="0"/>
        <v>https://www.kegg.jp/dbget-bin/www_bget?ec:6.3.5.6</v>
      </c>
      <c r="G93" s="3" t="s">
        <v>7092</v>
      </c>
      <c r="H93" s="1" t="str">
        <f t="shared" si="9"/>
        <v>https://www.kegg.jp/entry/R04212</v>
      </c>
      <c r="I93" t="s">
        <v>12767</v>
      </c>
      <c r="J93" t="s">
        <v>12768</v>
      </c>
    </row>
    <row r="94" spans="1:10" hidden="1" x14ac:dyDescent="0.25">
      <c r="A94" t="s">
        <v>163</v>
      </c>
      <c r="B94">
        <v>362</v>
      </c>
      <c r="C94" t="s">
        <v>164</v>
      </c>
      <c r="F94" s="1" t="str">
        <f t="shared" si="0"/>
        <v/>
      </c>
      <c r="G94" s="3"/>
      <c r="H94" s="1" t="str">
        <f t="shared" si="9"/>
        <v/>
      </c>
    </row>
    <row r="95" spans="1:10" hidden="1" x14ac:dyDescent="0.25">
      <c r="A95" t="s">
        <v>166</v>
      </c>
      <c r="B95">
        <v>889</v>
      </c>
      <c r="C95" t="s">
        <v>167</v>
      </c>
      <c r="F95" s="1" t="str">
        <f t="shared" si="0"/>
        <v/>
      </c>
      <c r="G95" s="3"/>
      <c r="H95" s="1" t="str">
        <f t="shared" si="9"/>
        <v/>
      </c>
    </row>
    <row r="96" spans="1:10" hidden="1" x14ac:dyDescent="0.25">
      <c r="A96" t="s">
        <v>169</v>
      </c>
      <c r="B96">
        <v>160</v>
      </c>
      <c r="C96" t="s">
        <v>170</v>
      </c>
      <c r="F96" s="1" t="str">
        <f t="shared" si="0"/>
        <v/>
      </c>
      <c r="G96" s="3"/>
      <c r="H96" s="1" t="str">
        <f t="shared" si="9"/>
        <v/>
      </c>
    </row>
    <row r="97" spans="1:10" hidden="1" x14ac:dyDescent="0.25">
      <c r="A97" t="s">
        <v>171</v>
      </c>
      <c r="B97">
        <v>244</v>
      </c>
      <c r="C97" t="s">
        <v>172</v>
      </c>
      <c r="F97" s="1" t="str">
        <f t="shared" si="0"/>
        <v/>
      </c>
      <c r="G97" s="3"/>
      <c r="H97" s="1" t="str">
        <f t="shared" si="9"/>
        <v/>
      </c>
    </row>
    <row r="98" spans="1:10" hidden="1" x14ac:dyDescent="0.25">
      <c r="A98" t="s">
        <v>173</v>
      </c>
      <c r="B98">
        <v>134</v>
      </c>
      <c r="C98" t="s">
        <v>174</v>
      </c>
      <c r="F98" s="1" t="str">
        <f t="shared" si="0"/>
        <v/>
      </c>
      <c r="G98" s="3"/>
      <c r="H98" s="1" t="str">
        <f t="shared" si="9"/>
        <v/>
      </c>
    </row>
    <row r="99" spans="1:10" x14ac:dyDescent="0.25">
      <c r="A99" t="s">
        <v>176</v>
      </c>
      <c r="B99">
        <v>157</v>
      </c>
      <c r="C99" t="s">
        <v>177</v>
      </c>
      <c r="E99" s="5" t="s">
        <v>6623</v>
      </c>
      <c r="F99" s="1" t="str">
        <f t="shared" si="0"/>
        <v>https://www.kegg.jp/dbget-bin/www_bget?ec:2.5.1.78</v>
      </c>
      <c r="G99" s="3" t="s">
        <v>7093</v>
      </c>
      <c r="H99" s="1" t="str">
        <f t="shared" si="9"/>
        <v>https://www.kegg.jp/entry/R04457</v>
      </c>
      <c r="I99" t="s">
        <v>8100</v>
      </c>
      <c r="J99" t="s">
        <v>12769</v>
      </c>
    </row>
    <row r="100" spans="1:10" hidden="1" x14ac:dyDescent="0.25">
      <c r="A100" t="s">
        <v>179</v>
      </c>
      <c r="B100">
        <v>127</v>
      </c>
      <c r="C100" t="s">
        <v>180</v>
      </c>
      <c r="F100" s="1" t="str">
        <f t="shared" si="0"/>
        <v/>
      </c>
      <c r="G100" s="3"/>
      <c r="H100" s="1" t="str">
        <f t="shared" si="9"/>
        <v/>
      </c>
    </row>
    <row r="101" spans="1:10" hidden="1" x14ac:dyDescent="0.25">
      <c r="A101" t="s">
        <v>181</v>
      </c>
      <c r="B101">
        <v>110</v>
      </c>
      <c r="C101" t="s">
        <v>182</v>
      </c>
      <c r="F101" s="1" t="str">
        <f t="shared" si="0"/>
        <v/>
      </c>
      <c r="G101" s="3"/>
      <c r="H101" s="1" t="str">
        <f t="shared" si="9"/>
        <v/>
      </c>
    </row>
    <row r="102" spans="1:10" hidden="1" x14ac:dyDescent="0.25">
      <c r="A102" t="s">
        <v>184</v>
      </c>
      <c r="B102">
        <v>202</v>
      </c>
      <c r="C102" t="s">
        <v>185</v>
      </c>
      <c r="F102" s="1" t="str">
        <f t="shared" ref="F102:F175" si="12">IF(E102&lt;&gt;"", HYPERLINK("https://www.kegg.jp/dbget-bin/www_bget?ec:" &amp; E102, "https://www.kegg.jp/dbget-bin/www_bget?ec:" &amp; E102), "")</f>
        <v/>
      </c>
      <c r="G102" s="3"/>
      <c r="H102" s="1" t="str">
        <f t="shared" si="9"/>
        <v/>
      </c>
    </row>
    <row r="103" spans="1:10" hidden="1" x14ac:dyDescent="0.25">
      <c r="A103" t="s">
        <v>186</v>
      </c>
      <c r="B103">
        <v>89</v>
      </c>
      <c r="C103" t="s">
        <v>187</v>
      </c>
      <c r="F103" s="1" t="str">
        <f t="shared" si="12"/>
        <v/>
      </c>
      <c r="G103" s="3"/>
      <c r="H103" s="1" t="str">
        <f t="shared" si="9"/>
        <v/>
      </c>
    </row>
    <row r="104" spans="1:10" x14ac:dyDescent="0.25">
      <c r="A104" t="s">
        <v>189</v>
      </c>
      <c r="B104">
        <v>262</v>
      </c>
      <c r="C104" t="s">
        <v>190</v>
      </c>
      <c r="E104" s="5" t="s">
        <v>6624</v>
      </c>
      <c r="F104" s="1" t="str">
        <f t="shared" si="12"/>
        <v>https://www.kegg.jp/dbget-bin/www_bget?ec:3.1.3.15</v>
      </c>
      <c r="G104" s="3" t="s">
        <v>7094</v>
      </c>
      <c r="H104" s="1" t="str">
        <f t="shared" si="9"/>
        <v>https://www.kegg.jp/entry/R03013</v>
      </c>
      <c r="I104" t="s">
        <v>12770</v>
      </c>
      <c r="J104" t="s">
        <v>12771</v>
      </c>
    </row>
    <row r="105" spans="1:10" hidden="1" x14ac:dyDescent="0.25">
      <c r="A105" t="s">
        <v>191</v>
      </c>
      <c r="B105">
        <v>198</v>
      </c>
      <c r="C105" t="s">
        <v>192</v>
      </c>
      <c r="F105" s="1" t="str">
        <f t="shared" si="12"/>
        <v/>
      </c>
      <c r="G105" s="3"/>
      <c r="H105" s="1" t="str">
        <f t="shared" si="9"/>
        <v/>
      </c>
    </row>
    <row r="106" spans="1:10" x14ac:dyDescent="0.25">
      <c r="A106" t="s">
        <v>194</v>
      </c>
      <c r="B106">
        <v>196</v>
      </c>
      <c r="C106" t="s">
        <v>195</v>
      </c>
      <c r="E106" s="5" t="s">
        <v>6625</v>
      </c>
      <c r="F106" s="1" t="str">
        <f t="shared" ref="F106" si="13">IF(E106&lt;&gt;"", HYPERLINK("https://www.kegg.jp/dbget-bin/www_bget?ec:" &amp; E106, "https://www.kegg.jp/dbget-bin/www_bget?ec:" &amp; E106), "")</f>
        <v>https://www.kegg.jp/dbget-bin/www_bget?ec:3.5.1.19</v>
      </c>
      <c r="G106" s="3" t="s">
        <v>7355</v>
      </c>
      <c r="H106" s="1" t="str">
        <f>IF(G106&lt;&gt;"", HYPERLINK("https://www.kegg.jp/entry/" &amp; G106, "https://www.kegg.jp/entry/" &amp; G106), "")</f>
        <v>https://www.kegg.jp/entry/R01268</v>
      </c>
      <c r="I106" t="s">
        <v>12772</v>
      </c>
      <c r="J106" t="s">
        <v>12773</v>
      </c>
    </row>
    <row r="107" spans="1:10" x14ac:dyDescent="0.25">
      <c r="A107" t="s">
        <v>194</v>
      </c>
      <c r="B107">
        <v>196</v>
      </c>
      <c r="C107" t="s">
        <v>195</v>
      </c>
      <c r="E107" s="5" t="s">
        <v>6625</v>
      </c>
      <c r="F107" s="1" t="str">
        <f t="shared" si="12"/>
        <v>https://www.kegg.jp/dbget-bin/www_bget?ec:3.5.1.19</v>
      </c>
      <c r="G107" s="3" t="s">
        <v>7356</v>
      </c>
      <c r="H107" s="1" t="str">
        <f t="shared" ref="H107:H170" si="14">IF(G107&lt;&gt;"", HYPERLINK("https://www.kegg.jp/entry/" &amp; G107, "https://www.kegg.jp/entry/" &amp; G107), "")</f>
        <v>https://www.kegg.jp/entry/R06134</v>
      </c>
      <c r="I107" t="s">
        <v>12774</v>
      </c>
      <c r="J107" t="s">
        <v>12775</v>
      </c>
    </row>
    <row r="108" spans="1:10" x14ac:dyDescent="0.25">
      <c r="A108" t="s">
        <v>197</v>
      </c>
      <c r="B108">
        <v>304</v>
      </c>
      <c r="C108" t="s">
        <v>198</v>
      </c>
      <c r="E108" s="5" t="s">
        <v>6626</v>
      </c>
      <c r="F108" s="1" t="str">
        <f t="shared" ref="F108" si="15">IF(E108&lt;&gt;"", HYPERLINK("https://www.kegg.jp/dbget-bin/www_bget?ec:" &amp; E108, "https://www.kegg.jp/dbget-bin/www_bget?ec:" &amp; E108), "")</f>
        <v>https://www.kegg.jp/dbget-bin/www_bget?ec:1.5.1.20</v>
      </c>
      <c r="G108" s="3" t="s">
        <v>7357</v>
      </c>
      <c r="H108" s="1" t="str">
        <f t="shared" si="14"/>
        <v>https://www.kegg.jp/entry/R01224</v>
      </c>
      <c r="I108" t="s">
        <v>12776</v>
      </c>
      <c r="J108" t="s">
        <v>12777</v>
      </c>
    </row>
    <row r="109" spans="1:10" x14ac:dyDescent="0.25">
      <c r="A109" t="s">
        <v>197</v>
      </c>
      <c r="B109">
        <v>304</v>
      </c>
      <c r="C109" t="s">
        <v>198</v>
      </c>
      <c r="E109" s="5" t="s">
        <v>6626</v>
      </c>
      <c r="F109" s="1" t="str">
        <f t="shared" si="12"/>
        <v>https://www.kegg.jp/dbget-bin/www_bget?ec:1.5.1.20</v>
      </c>
      <c r="G109" s="3" t="s">
        <v>7358</v>
      </c>
      <c r="H109" s="1" t="str">
        <f t="shared" si="14"/>
        <v>https://www.kegg.jp/entry/R07168</v>
      </c>
      <c r="I109" t="s">
        <v>12778</v>
      </c>
      <c r="J109" t="s">
        <v>12779</v>
      </c>
    </row>
    <row r="110" spans="1:10" hidden="1" x14ac:dyDescent="0.25">
      <c r="A110" t="s">
        <v>200</v>
      </c>
      <c r="B110">
        <v>76</v>
      </c>
      <c r="C110" t="s">
        <v>201</v>
      </c>
      <c r="F110" s="1" t="str">
        <f t="shared" si="12"/>
        <v/>
      </c>
      <c r="G110" s="3"/>
      <c r="H110" s="1" t="str">
        <f t="shared" si="14"/>
        <v/>
      </c>
    </row>
    <row r="111" spans="1:10" hidden="1" x14ac:dyDescent="0.25">
      <c r="C111" t="s">
        <v>203</v>
      </c>
      <c r="F111" s="1" t="str">
        <f t="shared" si="12"/>
        <v/>
      </c>
      <c r="G111" s="3"/>
      <c r="H111" s="1" t="str">
        <f t="shared" si="14"/>
        <v/>
      </c>
    </row>
    <row r="112" spans="1:10" hidden="1" x14ac:dyDescent="0.25">
      <c r="C112" t="s">
        <v>205</v>
      </c>
      <c r="F112" s="1" t="str">
        <f t="shared" si="12"/>
        <v/>
      </c>
      <c r="G112" s="3"/>
      <c r="H112" s="1" t="str">
        <f t="shared" si="14"/>
        <v/>
      </c>
    </row>
    <row r="113" spans="1:10" hidden="1" x14ac:dyDescent="0.25">
      <c r="C113" t="s">
        <v>206</v>
      </c>
      <c r="F113" s="1" t="str">
        <f t="shared" si="12"/>
        <v/>
      </c>
      <c r="G113" s="3"/>
      <c r="H113" s="1" t="str">
        <f t="shared" si="14"/>
        <v/>
      </c>
    </row>
    <row r="114" spans="1:10" hidden="1" x14ac:dyDescent="0.25">
      <c r="C114" t="s">
        <v>207</v>
      </c>
      <c r="F114" s="1" t="str">
        <f t="shared" si="12"/>
        <v/>
      </c>
      <c r="G114" s="3"/>
      <c r="H114" s="1" t="str">
        <f t="shared" si="14"/>
        <v/>
      </c>
    </row>
    <row r="115" spans="1:10" hidden="1" x14ac:dyDescent="0.25">
      <c r="A115" t="s">
        <v>209</v>
      </c>
      <c r="B115">
        <v>406</v>
      </c>
      <c r="C115" t="s">
        <v>210</v>
      </c>
      <c r="F115" s="1" t="str">
        <f t="shared" si="12"/>
        <v/>
      </c>
      <c r="G115" s="3"/>
      <c r="H115" s="1" t="str">
        <f t="shared" si="14"/>
        <v/>
      </c>
    </row>
    <row r="116" spans="1:10" hidden="1" x14ac:dyDescent="0.25">
      <c r="A116" t="s">
        <v>212</v>
      </c>
      <c r="B116">
        <v>54</v>
      </c>
      <c r="C116" t="s">
        <v>213</v>
      </c>
      <c r="F116" s="1" t="str">
        <f t="shared" si="12"/>
        <v/>
      </c>
      <c r="G116" s="3"/>
      <c r="H116" s="1" t="str">
        <f t="shared" si="14"/>
        <v/>
      </c>
    </row>
    <row r="117" spans="1:10" hidden="1" x14ac:dyDescent="0.25">
      <c r="A117" t="s">
        <v>215</v>
      </c>
      <c r="B117">
        <v>60</v>
      </c>
      <c r="C117" t="s">
        <v>216</v>
      </c>
      <c r="F117" s="1" t="str">
        <f t="shared" si="12"/>
        <v/>
      </c>
      <c r="G117" s="3"/>
      <c r="H117" s="1" t="str">
        <f t="shared" si="14"/>
        <v/>
      </c>
    </row>
    <row r="118" spans="1:10" hidden="1" x14ac:dyDescent="0.25">
      <c r="A118" t="s">
        <v>218</v>
      </c>
      <c r="B118">
        <v>184</v>
      </c>
      <c r="C118" t="s">
        <v>219</v>
      </c>
      <c r="F118" s="1" t="str">
        <f t="shared" si="12"/>
        <v/>
      </c>
      <c r="G118" s="3"/>
      <c r="H118" s="1" t="str">
        <f t="shared" si="14"/>
        <v/>
      </c>
    </row>
    <row r="119" spans="1:10" hidden="1" x14ac:dyDescent="0.25">
      <c r="A119" t="s">
        <v>221</v>
      </c>
      <c r="B119">
        <v>147</v>
      </c>
      <c r="C119" t="s">
        <v>222</v>
      </c>
      <c r="F119" s="1" t="str">
        <f t="shared" si="12"/>
        <v/>
      </c>
      <c r="G119" s="3"/>
      <c r="H119" s="1" t="str">
        <f t="shared" si="14"/>
        <v/>
      </c>
    </row>
    <row r="120" spans="1:10" hidden="1" x14ac:dyDescent="0.25">
      <c r="A120" t="s">
        <v>224</v>
      </c>
      <c r="B120">
        <v>229</v>
      </c>
      <c r="C120" t="s">
        <v>225</v>
      </c>
      <c r="F120" s="1" t="str">
        <f t="shared" si="12"/>
        <v/>
      </c>
      <c r="G120" s="3"/>
      <c r="H120" s="1" t="str">
        <f t="shared" si="14"/>
        <v/>
      </c>
    </row>
    <row r="121" spans="1:10" hidden="1" x14ac:dyDescent="0.25">
      <c r="A121" t="s">
        <v>227</v>
      </c>
      <c r="B121">
        <v>173</v>
      </c>
      <c r="C121" t="s">
        <v>228</v>
      </c>
      <c r="F121" s="1" t="str">
        <f t="shared" si="12"/>
        <v/>
      </c>
      <c r="G121" s="3"/>
      <c r="H121" s="1" t="str">
        <f t="shared" si="14"/>
        <v/>
      </c>
    </row>
    <row r="122" spans="1:10" hidden="1" x14ac:dyDescent="0.25">
      <c r="A122" t="s">
        <v>230</v>
      </c>
      <c r="B122">
        <v>125</v>
      </c>
      <c r="C122" t="s">
        <v>231</v>
      </c>
      <c r="F122" s="1" t="str">
        <f t="shared" si="12"/>
        <v/>
      </c>
      <c r="G122" s="3"/>
      <c r="H122" s="1" t="str">
        <f t="shared" si="14"/>
        <v/>
      </c>
    </row>
    <row r="123" spans="1:10" hidden="1" x14ac:dyDescent="0.25">
      <c r="A123" t="s">
        <v>233</v>
      </c>
      <c r="B123">
        <v>191</v>
      </c>
      <c r="C123" t="s">
        <v>234</v>
      </c>
      <c r="F123" s="1" t="str">
        <f t="shared" si="12"/>
        <v/>
      </c>
      <c r="G123" s="3"/>
      <c r="H123" s="1" t="str">
        <f t="shared" si="14"/>
        <v/>
      </c>
    </row>
    <row r="124" spans="1:10" x14ac:dyDescent="0.25">
      <c r="A124" t="s">
        <v>236</v>
      </c>
      <c r="B124">
        <v>372</v>
      </c>
      <c r="C124" t="s">
        <v>237</v>
      </c>
      <c r="E124" s="5" t="s">
        <v>6627</v>
      </c>
      <c r="F124" s="1" t="str">
        <f t="shared" ref="F124:F128" si="16">IF(E124&lt;&gt;"", HYPERLINK("https://www.kegg.jp/dbget-bin/www_bget?ec:" &amp; E124, "https://www.kegg.jp/dbget-bin/www_bget?ec:" &amp; E124), "")</f>
        <v>https://www.kegg.jp/dbget-bin/www_bget?ec:1.3.8.1</v>
      </c>
      <c r="G124" s="3" t="s">
        <v>7359</v>
      </c>
      <c r="H124" s="1" t="str">
        <f t="shared" si="14"/>
        <v>https://www.kegg.jp/entry/R01178</v>
      </c>
      <c r="I124" t="s">
        <v>12780</v>
      </c>
      <c r="J124" t="s">
        <v>12781</v>
      </c>
    </row>
    <row r="125" spans="1:10" x14ac:dyDescent="0.25">
      <c r="A125" t="s">
        <v>236</v>
      </c>
      <c r="B125">
        <v>372</v>
      </c>
      <c r="C125" t="s">
        <v>237</v>
      </c>
      <c r="E125" s="5" t="s">
        <v>6627</v>
      </c>
      <c r="F125" s="1" t="str">
        <f t="shared" si="16"/>
        <v>https://www.kegg.jp/dbget-bin/www_bget?ec:1.3.8.1</v>
      </c>
      <c r="G125" s="3" t="s">
        <v>7364</v>
      </c>
      <c r="H125" s="1" t="str">
        <f t="shared" si="14"/>
        <v>https://www.kegg.jp/entry/R01175</v>
      </c>
      <c r="I125" t="s">
        <v>12782</v>
      </c>
      <c r="J125" t="s">
        <v>12783</v>
      </c>
    </row>
    <row r="126" spans="1:10" x14ac:dyDescent="0.25">
      <c r="A126" t="s">
        <v>236</v>
      </c>
      <c r="B126">
        <v>372</v>
      </c>
      <c r="C126" t="s">
        <v>237</v>
      </c>
      <c r="E126" s="5" t="s">
        <v>6627</v>
      </c>
      <c r="F126" s="1" t="str">
        <f t="shared" si="16"/>
        <v>https://www.kegg.jp/dbget-bin/www_bget?ec:1.3.8.1</v>
      </c>
      <c r="G126" s="3" t="s">
        <v>7363</v>
      </c>
      <c r="H126" s="1" t="str">
        <f t="shared" si="14"/>
        <v>https://www.kegg.jp/entry/R04751</v>
      </c>
      <c r="I126" t="s">
        <v>12784</v>
      </c>
      <c r="J126" t="s">
        <v>12785</v>
      </c>
    </row>
    <row r="127" spans="1:10" x14ac:dyDescent="0.25">
      <c r="A127" t="s">
        <v>236</v>
      </c>
      <c r="B127">
        <v>372</v>
      </c>
      <c r="C127" t="s">
        <v>237</v>
      </c>
      <c r="E127" s="5" t="s">
        <v>6627</v>
      </c>
      <c r="F127" s="1" t="str">
        <f t="shared" si="16"/>
        <v>https://www.kegg.jp/dbget-bin/www_bget?ec:1.3.8.1</v>
      </c>
      <c r="G127" s="3" t="s">
        <v>7362</v>
      </c>
      <c r="H127" s="1" t="str">
        <f t="shared" si="14"/>
        <v>https://www.kegg.jp/entry/R02661</v>
      </c>
      <c r="I127" t="s">
        <v>12786</v>
      </c>
      <c r="J127" t="s">
        <v>12787</v>
      </c>
    </row>
    <row r="128" spans="1:10" x14ac:dyDescent="0.25">
      <c r="A128" t="s">
        <v>236</v>
      </c>
      <c r="B128">
        <v>372</v>
      </c>
      <c r="C128" t="s">
        <v>237</v>
      </c>
      <c r="E128" s="5" t="s">
        <v>6627</v>
      </c>
      <c r="F128" s="1" t="str">
        <f t="shared" si="16"/>
        <v>https://www.kegg.jp/dbget-bin/www_bget?ec:1.3.8.1</v>
      </c>
      <c r="G128" s="3" t="s">
        <v>7361</v>
      </c>
      <c r="H128" s="1" t="str">
        <f t="shared" si="14"/>
        <v>https://www.kegg.jp/entry/R03172</v>
      </c>
      <c r="I128" t="s">
        <v>12788</v>
      </c>
      <c r="J128" t="s">
        <v>12789</v>
      </c>
    </row>
    <row r="129" spans="1:10" x14ac:dyDescent="0.25">
      <c r="A129" t="s">
        <v>236</v>
      </c>
      <c r="B129">
        <v>372</v>
      </c>
      <c r="C129" t="s">
        <v>237</v>
      </c>
      <c r="E129" s="5" t="s">
        <v>6627</v>
      </c>
      <c r="F129" s="1" t="str">
        <f t="shared" si="12"/>
        <v>https://www.kegg.jp/dbget-bin/www_bget?ec:1.3.8.1</v>
      </c>
      <c r="G129" s="3" t="s">
        <v>7360</v>
      </c>
      <c r="H129" s="1" t="str">
        <f t="shared" si="14"/>
        <v>https://www.kegg.jp/entry/R04432</v>
      </c>
      <c r="I129" t="s">
        <v>12790</v>
      </c>
      <c r="J129" t="s">
        <v>12791</v>
      </c>
    </row>
    <row r="130" spans="1:10" x14ac:dyDescent="0.25">
      <c r="A130" t="s">
        <v>239</v>
      </c>
      <c r="B130">
        <v>263</v>
      </c>
      <c r="C130" t="s">
        <v>240</v>
      </c>
      <c r="E130" s="5" t="s">
        <v>6628</v>
      </c>
      <c r="F130" s="1" t="str">
        <f t="shared" si="12"/>
        <v>https://www.kegg.jp/dbget-bin/www_bget?ec:2.5.1.31</v>
      </c>
      <c r="G130" s="3" t="s">
        <v>7095</v>
      </c>
      <c r="H130" s="1" t="str">
        <f t="shared" si="14"/>
        <v>https://www.kegg.jp/entry/R06447</v>
      </c>
      <c r="I130" t="s">
        <v>12792</v>
      </c>
      <c r="J130" t="s">
        <v>12793</v>
      </c>
    </row>
    <row r="131" spans="1:10" x14ac:dyDescent="0.25">
      <c r="A131" t="s">
        <v>242</v>
      </c>
      <c r="B131">
        <v>376</v>
      </c>
      <c r="C131" t="s">
        <v>243</v>
      </c>
      <c r="E131" s="5" t="s">
        <v>6629</v>
      </c>
      <c r="F131" s="1" t="str">
        <f t="shared" si="12"/>
        <v>https://www.kegg.jp/dbget-bin/www_bget?ec:2.3.3.14</v>
      </c>
      <c r="G131" s="3" t="s">
        <v>7096</v>
      </c>
      <c r="H131" s="1" t="str">
        <f t="shared" si="14"/>
        <v>https://www.kegg.jp/entry/R00271</v>
      </c>
      <c r="I131" t="s">
        <v>12794</v>
      </c>
      <c r="J131" t="s">
        <v>12795</v>
      </c>
    </row>
    <row r="132" spans="1:10" hidden="1" x14ac:dyDescent="0.25">
      <c r="A132" t="s">
        <v>244</v>
      </c>
      <c r="B132">
        <v>68</v>
      </c>
      <c r="C132" t="s">
        <v>245</v>
      </c>
      <c r="F132" s="1" t="str">
        <f t="shared" si="12"/>
        <v/>
      </c>
      <c r="G132" s="3"/>
      <c r="H132" s="1" t="str">
        <f t="shared" si="14"/>
        <v/>
      </c>
    </row>
    <row r="133" spans="1:10" hidden="1" x14ac:dyDescent="0.25">
      <c r="A133" t="s">
        <v>246</v>
      </c>
      <c r="B133">
        <v>75</v>
      </c>
      <c r="C133" t="s">
        <v>247</v>
      </c>
      <c r="F133" s="1" t="str">
        <f t="shared" si="12"/>
        <v/>
      </c>
      <c r="G133" s="3"/>
      <c r="H133" s="1" t="str">
        <f t="shared" si="14"/>
        <v/>
      </c>
    </row>
    <row r="134" spans="1:10" x14ac:dyDescent="0.25">
      <c r="A134" t="s">
        <v>249</v>
      </c>
      <c r="B134">
        <v>417</v>
      </c>
      <c r="C134" t="s">
        <v>250</v>
      </c>
      <c r="E134" s="5" t="s">
        <v>6630</v>
      </c>
      <c r="F134" s="1" t="str">
        <f t="shared" si="12"/>
        <v>https://www.kegg.jp/dbget-bin/www_bget?ec:4.2.1.36</v>
      </c>
      <c r="G134" s="3" t="s">
        <v>7097</v>
      </c>
      <c r="H134" s="1" t="str">
        <f t="shared" si="14"/>
        <v>https://www.kegg.jp/entry/R04371</v>
      </c>
      <c r="I134" t="s">
        <v>8101</v>
      </c>
      <c r="J134" t="s">
        <v>12796</v>
      </c>
    </row>
    <row r="135" spans="1:10" x14ac:dyDescent="0.25">
      <c r="A135" t="s">
        <v>252</v>
      </c>
      <c r="B135">
        <v>163</v>
      </c>
      <c r="C135" t="s">
        <v>253</v>
      </c>
      <c r="E135" s="5" t="s">
        <v>6630</v>
      </c>
      <c r="F135" s="1" t="str">
        <f t="shared" si="12"/>
        <v>https://www.kegg.jp/dbget-bin/www_bget?ec:4.2.1.36</v>
      </c>
      <c r="G135" s="3" t="s">
        <v>7097</v>
      </c>
      <c r="H135" s="1" t="str">
        <f t="shared" si="14"/>
        <v>https://www.kegg.jp/entry/R04371</v>
      </c>
      <c r="I135" t="s">
        <v>8101</v>
      </c>
      <c r="J135" t="s">
        <v>12796</v>
      </c>
    </row>
    <row r="136" spans="1:10" hidden="1" x14ac:dyDescent="0.25">
      <c r="A136" t="s">
        <v>255</v>
      </c>
      <c r="B136">
        <v>106</v>
      </c>
      <c r="C136" t="s">
        <v>256</v>
      </c>
      <c r="F136" s="1" t="str">
        <f t="shared" si="12"/>
        <v/>
      </c>
      <c r="G136" s="3"/>
      <c r="H136" s="1" t="str">
        <f t="shared" si="14"/>
        <v/>
      </c>
    </row>
    <row r="137" spans="1:10" hidden="1" x14ac:dyDescent="0.25">
      <c r="A137" t="s">
        <v>258</v>
      </c>
      <c r="B137">
        <v>54</v>
      </c>
      <c r="C137" t="s">
        <v>259</v>
      </c>
      <c r="F137" s="1" t="str">
        <f t="shared" si="12"/>
        <v/>
      </c>
      <c r="G137" s="3"/>
      <c r="H137" s="1" t="str">
        <f t="shared" si="14"/>
        <v/>
      </c>
    </row>
    <row r="138" spans="1:10" hidden="1" x14ac:dyDescent="0.25">
      <c r="A138" t="s">
        <v>261</v>
      </c>
      <c r="B138">
        <v>281</v>
      </c>
      <c r="C138" t="s">
        <v>262</v>
      </c>
      <c r="F138" s="1" t="str">
        <f t="shared" si="12"/>
        <v/>
      </c>
      <c r="G138" s="3"/>
      <c r="H138" s="1" t="str">
        <f t="shared" si="14"/>
        <v/>
      </c>
    </row>
    <row r="139" spans="1:10" hidden="1" x14ac:dyDescent="0.25">
      <c r="A139" t="s">
        <v>264</v>
      </c>
      <c r="B139">
        <v>344</v>
      </c>
      <c r="C139" t="s">
        <v>265</v>
      </c>
      <c r="E139" s="5" t="s">
        <v>6631</v>
      </c>
      <c r="F139" s="1" t="str">
        <f t="shared" si="12"/>
        <v>https://www.kegg.jp/dbget-bin/www_bget?ec:1.2.1.-</v>
      </c>
      <c r="G139" s="3"/>
      <c r="H139" s="1" t="str">
        <f t="shared" si="14"/>
        <v/>
      </c>
    </row>
    <row r="140" spans="1:10" hidden="1" x14ac:dyDescent="0.25">
      <c r="A140" t="s">
        <v>267</v>
      </c>
      <c r="B140">
        <v>269</v>
      </c>
      <c r="C140" t="s">
        <v>268</v>
      </c>
      <c r="E140" s="5" t="s">
        <v>6632</v>
      </c>
      <c r="F140" s="1" t="str">
        <f t="shared" si="12"/>
        <v>https://www.kegg.jp/dbget-bin/www_bget?ec:2.7.2.-</v>
      </c>
      <c r="G140" s="3"/>
      <c r="H140" s="1" t="str">
        <f t="shared" si="14"/>
        <v/>
      </c>
    </row>
    <row r="141" spans="1:10" x14ac:dyDescent="0.25">
      <c r="A141" t="s">
        <v>270</v>
      </c>
      <c r="B141">
        <v>531</v>
      </c>
      <c r="C141" t="s">
        <v>271</v>
      </c>
      <c r="E141" s="5" t="s">
        <v>6633</v>
      </c>
      <c r="F141" s="6" t="str">
        <f t="shared" ref="F141" si="17">IF(E141&lt;&gt;"", HYPERLINK("https://www.kegg.jp/dbget-bin/www_bget?ec:" &amp; E141, "https://www.kegg.jp/dbget-bin/www_bget?ec:" &amp; E141), "")</f>
        <v>https://www.kegg.jp/dbget-bin/www_bget?ec:2.4.1.18</v>
      </c>
      <c r="G141" s="7" t="s">
        <v>7365</v>
      </c>
      <c r="H141" s="1" t="str">
        <f t="shared" si="14"/>
        <v>https://www.kegg.jp/entry/R02110</v>
      </c>
      <c r="I141" t="s">
        <v>8102</v>
      </c>
      <c r="J141" t="s">
        <v>8399</v>
      </c>
    </row>
    <row r="142" spans="1:10" x14ac:dyDescent="0.25">
      <c r="A142" t="s">
        <v>316</v>
      </c>
      <c r="B142">
        <v>343</v>
      </c>
      <c r="C142" t="s">
        <v>317</v>
      </c>
      <c r="E142" s="5" t="s">
        <v>6638</v>
      </c>
      <c r="F142" s="1" t="str">
        <f>IF(E142&lt;&gt;"", HYPERLINK("https://www.kegg.jp/dbget-bin/www_bget?ec:" &amp; E142, "https://www.kegg.jp/dbget-bin/www_bget?ec:" &amp; E142), "")</f>
        <v>https://www.kegg.jp/dbget-bin/www_bget?ec:3.2.1.4</v>
      </c>
      <c r="G142" s="3" t="s">
        <v>7367</v>
      </c>
      <c r="H142" s="1" t="str">
        <f>IF(G142&lt;&gt;"", HYPERLINK("https://www.kegg.jp/entry/" &amp; G142, "https://www.kegg.jp/entry/" &amp; G142), "")</f>
        <v>https://www.kegg.jp/entry/R06200</v>
      </c>
      <c r="I142" t="s">
        <v>12801</v>
      </c>
      <c r="J142" t="s">
        <v>12802</v>
      </c>
    </row>
    <row r="143" spans="1:10" hidden="1" x14ac:dyDescent="0.25">
      <c r="A143" t="s">
        <v>273</v>
      </c>
      <c r="B143">
        <v>291</v>
      </c>
      <c r="C143" t="s">
        <v>274</v>
      </c>
      <c r="F143" s="1" t="str">
        <f>IF(E143&lt;&gt;"", HYPERLINK("https://www.kegg.jp/dbget-bin/www_bget?ec:" &amp; E143, "https://www.kegg.jp/dbget-bin/www_bget?ec:" &amp; E143), "")</f>
        <v/>
      </c>
      <c r="G143" s="3"/>
      <c r="H143" s="1" t="str">
        <f>IF(G143&lt;&gt;"", HYPERLINK("https://www.kegg.jp/entry/" &amp; G143, "https://www.kegg.jp/entry/" &amp; G143), "")</f>
        <v/>
      </c>
    </row>
    <row r="144" spans="1:10" x14ac:dyDescent="0.25">
      <c r="A144" t="s">
        <v>276</v>
      </c>
      <c r="B144">
        <v>281</v>
      </c>
      <c r="C144" t="s">
        <v>277</v>
      </c>
      <c r="E144" s="5" t="s">
        <v>6634</v>
      </c>
      <c r="F144" s="1" t="str">
        <f>IF(E144&lt;&gt;"", HYPERLINK("https://www.kegg.jp/dbget-bin/www_bget?ec:" &amp; E144, "https://www.kegg.jp/dbget-bin/www_bget?ec:" &amp; E144), "")</f>
        <v>https://www.kegg.jp/dbget-bin/www_bget?ec:6.3.1.5</v>
      </c>
      <c r="G144" s="3" t="s">
        <v>7098</v>
      </c>
      <c r="H144" s="1" t="str">
        <f>IF(G144&lt;&gt;"", HYPERLINK("https://www.kegg.jp/entry/" &amp; G144, "https://www.kegg.jp/entry/" &amp; G144), "")</f>
        <v>https://www.kegg.jp/entry/R00189</v>
      </c>
      <c r="I144" t="s">
        <v>12799</v>
      </c>
      <c r="J144" t="s">
        <v>12800</v>
      </c>
    </row>
    <row r="145" spans="1:10" hidden="1" x14ac:dyDescent="0.25">
      <c r="A145" t="s">
        <v>279</v>
      </c>
      <c r="B145">
        <v>140</v>
      </c>
      <c r="C145" t="s">
        <v>280</v>
      </c>
      <c r="F145" s="1" t="str">
        <f>IF(E145&lt;&gt;"", HYPERLINK("https://www.kegg.jp/dbget-bin/www_bget?ec:" &amp; E145, "https://www.kegg.jp/dbget-bin/www_bget?ec:" &amp; E145), "")</f>
        <v/>
      </c>
      <c r="G145" s="3"/>
      <c r="H145" s="1" t="str">
        <f>IF(G145&lt;&gt;"", HYPERLINK("https://www.kegg.jp/entry/" &amp; G145, "https://www.kegg.jp/entry/" &amp; G145), "")</f>
        <v/>
      </c>
    </row>
    <row r="146" spans="1:10" hidden="1" x14ac:dyDescent="0.25">
      <c r="A146" t="s">
        <v>282</v>
      </c>
      <c r="B146">
        <v>333</v>
      </c>
      <c r="C146" t="s">
        <v>283</v>
      </c>
      <c r="E146" s="5" t="s">
        <v>6635</v>
      </c>
      <c r="F146" s="1" t="str">
        <f>IF(E146&lt;&gt;"", HYPERLINK("https://www.kegg.jp/dbget-bin/www_bget?ec:" &amp; E146, "https://www.kegg.jp/dbget-bin/www_bget?ec:" &amp; E146), "")</f>
        <v>https://www.kegg.jp/dbget-bin/www_bget?ec:3.2.2.-</v>
      </c>
      <c r="G146" s="3"/>
      <c r="H146" s="1" t="str">
        <f>IF(G146&lt;&gt;"", HYPERLINK("https://www.kegg.jp/entry/" &amp; G146, "https://www.kegg.jp/entry/" &amp; G146), "")</f>
        <v/>
      </c>
    </row>
    <row r="147" spans="1:10" hidden="1" x14ac:dyDescent="0.25">
      <c r="A147" t="s">
        <v>285</v>
      </c>
      <c r="B147">
        <v>232</v>
      </c>
      <c r="C147" t="s">
        <v>286</v>
      </c>
      <c r="F147" s="1" t="str">
        <f>IF(E147&lt;&gt;"", HYPERLINK("https://www.kegg.jp/dbget-bin/www_bget?ec:" &amp; E147, "https://www.kegg.jp/dbget-bin/www_bget?ec:" &amp; E147), "")</f>
        <v/>
      </c>
      <c r="G147" s="3"/>
      <c r="H147" s="1" t="str">
        <f>IF(G147&lt;&gt;"", HYPERLINK("https://www.kegg.jp/entry/" &amp; G147, "https://www.kegg.jp/entry/" &amp; G147), "")</f>
        <v/>
      </c>
    </row>
    <row r="148" spans="1:10" hidden="1" x14ac:dyDescent="0.25">
      <c r="C148" t="s">
        <v>288</v>
      </c>
      <c r="F148" s="1" t="str">
        <f>IF(E148&lt;&gt;"", HYPERLINK("https://www.kegg.jp/dbget-bin/www_bget?ec:" &amp; E148, "https://www.kegg.jp/dbget-bin/www_bget?ec:" &amp; E148), "")</f>
        <v/>
      </c>
      <c r="G148" s="3"/>
      <c r="H148" s="1" t="str">
        <f>IF(G148&lt;&gt;"", HYPERLINK("https://www.kegg.jp/entry/" &amp; G148, "https://www.kegg.jp/entry/" &amp; G148), "")</f>
        <v/>
      </c>
    </row>
    <row r="149" spans="1:10" hidden="1" x14ac:dyDescent="0.25">
      <c r="A149" t="s">
        <v>290</v>
      </c>
      <c r="B149">
        <v>90</v>
      </c>
      <c r="C149" t="s">
        <v>291</v>
      </c>
      <c r="F149" s="1" t="str">
        <f>IF(E149&lt;&gt;"", HYPERLINK("https://www.kegg.jp/dbget-bin/www_bget?ec:" &amp; E149, "https://www.kegg.jp/dbget-bin/www_bget?ec:" &amp; E149), "")</f>
        <v/>
      </c>
      <c r="G149" s="3"/>
      <c r="H149" s="1" t="str">
        <f>IF(G149&lt;&gt;"", HYPERLINK("https://www.kegg.jp/entry/" &amp; G149, "https://www.kegg.jp/entry/" &amp; G149), "")</f>
        <v/>
      </c>
    </row>
    <row r="150" spans="1:10" hidden="1" x14ac:dyDescent="0.25">
      <c r="A150" t="s">
        <v>293</v>
      </c>
      <c r="B150">
        <v>316</v>
      </c>
      <c r="C150" t="s">
        <v>294</v>
      </c>
      <c r="F150" s="1" t="str">
        <f>IF(E150&lt;&gt;"", HYPERLINK("https://www.kegg.jp/dbget-bin/www_bget?ec:" &amp; E150, "https://www.kegg.jp/dbget-bin/www_bget?ec:" &amp; E150), "")</f>
        <v/>
      </c>
      <c r="G150" s="3"/>
      <c r="H150" s="1" t="str">
        <f>IF(G150&lt;&gt;"", HYPERLINK("https://www.kegg.jp/entry/" &amp; G150, "https://www.kegg.jp/entry/" &amp; G150), "")</f>
        <v/>
      </c>
    </row>
    <row r="151" spans="1:10" hidden="1" x14ac:dyDescent="0.25">
      <c r="A151" t="s">
        <v>296</v>
      </c>
      <c r="B151">
        <v>401</v>
      </c>
      <c r="C151" t="s">
        <v>297</v>
      </c>
      <c r="F151" s="1" t="str">
        <f>IF(E151&lt;&gt;"", HYPERLINK("https://www.kegg.jp/dbget-bin/www_bget?ec:" &amp; E151, "https://www.kegg.jp/dbget-bin/www_bget?ec:" &amp; E151), "")</f>
        <v/>
      </c>
      <c r="G151" s="3"/>
      <c r="H151" s="1" t="str">
        <f>IF(G151&lt;&gt;"", HYPERLINK("https://www.kegg.jp/entry/" &amp; G151, "https://www.kegg.jp/entry/" &amp; G151), "")</f>
        <v/>
      </c>
    </row>
    <row r="152" spans="1:10" hidden="1" x14ac:dyDescent="0.25">
      <c r="A152" t="s">
        <v>299</v>
      </c>
      <c r="B152">
        <v>204</v>
      </c>
      <c r="C152" t="s">
        <v>300</v>
      </c>
      <c r="F152" s="1" t="str">
        <f>IF(E152&lt;&gt;"", HYPERLINK("https://www.kegg.jp/dbget-bin/www_bget?ec:" &amp; E152, "https://www.kegg.jp/dbget-bin/www_bget?ec:" &amp; E152), "")</f>
        <v/>
      </c>
      <c r="G152" s="3"/>
      <c r="H152" s="1" t="str">
        <f>IF(G152&lt;&gt;"", HYPERLINK("https://www.kegg.jp/entry/" &amp; G152, "https://www.kegg.jp/entry/" &amp; G152), "")</f>
        <v/>
      </c>
    </row>
    <row r="153" spans="1:10" hidden="1" x14ac:dyDescent="0.25">
      <c r="A153" t="s">
        <v>302</v>
      </c>
      <c r="B153">
        <v>306</v>
      </c>
      <c r="C153" t="s">
        <v>303</v>
      </c>
      <c r="F153" s="1" t="str">
        <f>IF(E153&lt;&gt;"", HYPERLINK("https://www.kegg.jp/dbget-bin/www_bget?ec:" &amp; E153, "https://www.kegg.jp/dbget-bin/www_bget?ec:" &amp; E153), "")</f>
        <v/>
      </c>
      <c r="G153" s="3"/>
      <c r="H153" s="1" t="str">
        <f>IF(G153&lt;&gt;"", HYPERLINK("https://www.kegg.jp/entry/" &amp; G153, "https://www.kegg.jp/entry/" &amp; G153), "")</f>
        <v/>
      </c>
    </row>
    <row r="154" spans="1:10" hidden="1" x14ac:dyDescent="0.25">
      <c r="A154" t="s">
        <v>304</v>
      </c>
      <c r="B154">
        <v>167</v>
      </c>
      <c r="C154" t="s">
        <v>305</v>
      </c>
      <c r="F154" s="1" t="str">
        <f>IF(E154&lt;&gt;"", HYPERLINK("https://www.kegg.jp/dbget-bin/www_bget?ec:" &amp; E154, "https://www.kegg.jp/dbget-bin/www_bget?ec:" &amp; E154), "")</f>
        <v/>
      </c>
      <c r="G154" s="3"/>
      <c r="H154" s="1" t="str">
        <f>IF(G154&lt;&gt;"", HYPERLINK("https://www.kegg.jp/entry/" &amp; G154, "https://www.kegg.jp/entry/" &amp; G154), "")</f>
        <v/>
      </c>
    </row>
    <row r="155" spans="1:10" hidden="1" x14ac:dyDescent="0.25">
      <c r="A155" t="s">
        <v>307</v>
      </c>
      <c r="B155">
        <v>355</v>
      </c>
      <c r="C155" t="s">
        <v>308</v>
      </c>
      <c r="E155" s="5" t="s">
        <v>6636</v>
      </c>
      <c r="F155" s="1" t="str">
        <f>IF(E155&lt;&gt;"", HYPERLINK("https://www.kegg.jp/dbget-bin/www_bget?ec:" &amp; E155, "https://www.kegg.jp/dbget-bin/www_bget?ec:" &amp; E155), "")</f>
        <v>https://www.kegg.jp/dbget-bin/www_bget?ec:2.1.1.-</v>
      </c>
      <c r="G155" s="3"/>
      <c r="H155" s="1" t="str">
        <f>IF(G155&lt;&gt;"", HYPERLINK("https://www.kegg.jp/entry/" &amp; G155, "https://www.kegg.jp/entry/" &amp; G155), "")</f>
        <v/>
      </c>
    </row>
    <row r="156" spans="1:10" hidden="1" x14ac:dyDescent="0.25">
      <c r="A156" t="s">
        <v>310</v>
      </c>
      <c r="B156">
        <v>511</v>
      </c>
      <c r="C156" t="s">
        <v>311</v>
      </c>
      <c r="E156" s="5" t="s">
        <v>6637</v>
      </c>
      <c r="F156" s="1" t="str">
        <f>IF(E156&lt;&gt;"", HYPERLINK("https://www.kegg.jp/dbget-bin/www_bget?ec:" &amp; E156, "https://www.kegg.jp/dbget-bin/www_bget?ec:" &amp; E156), "")</f>
        <v>https://www.kegg.jp/dbget-bin/www_bget?ec:3.4.17.19</v>
      </c>
      <c r="G156" s="3"/>
      <c r="H156" s="1" t="str">
        <f>IF(G156&lt;&gt;"", HYPERLINK("https://www.kegg.jp/entry/" &amp; G156, "https://www.kegg.jp/entry/" &amp; G156), "")</f>
        <v/>
      </c>
    </row>
    <row r="157" spans="1:10" hidden="1" x14ac:dyDescent="0.25">
      <c r="A157" t="s">
        <v>313</v>
      </c>
      <c r="B157">
        <v>107</v>
      </c>
      <c r="C157" t="s">
        <v>314</v>
      </c>
      <c r="F157" s="1" t="str">
        <f>IF(E157&lt;&gt;"", HYPERLINK("https://www.kegg.jp/dbget-bin/www_bget?ec:" &amp; E157, "https://www.kegg.jp/dbget-bin/www_bget?ec:" &amp; E157), "")</f>
        <v/>
      </c>
      <c r="G157" s="3"/>
      <c r="H157" s="1" t="str">
        <f>IF(G157&lt;&gt;"", HYPERLINK("https://www.kegg.jp/entry/" &amp; G157, "https://www.kegg.jp/entry/" &amp; G157), "")</f>
        <v/>
      </c>
    </row>
    <row r="158" spans="1:10" x14ac:dyDescent="0.25">
      <c r="A158" t="s">
        <v>3404</v>
      </c>
      <c r="B158">
        <v>818</v>
      </c>
      <c r="C158" t="s">
        <v>3405</v>
      </c>
      <c r="E158" s="5" t="s">
        <v>6887</v>
      </c>
      <c r="F158" s="1" t="str">
        <f>IF(E158&lt;&gt;"", HYPERLINK("https://www.kegg.jp/dbget-bin/www_bget?ec:" &amp; E158, "https://www.kegg.jp/dbget-bin/www_bget?ec:" &amp; E158), "")</f>
        <v>https://www.kegg.jp/dbget-bin/www_bget?ec:2.4.1.1</v>
      </c>
      <c r="G158" s="3" t="s">
        <v>7788</v>
      </c>
      <c r="H158" s="1" t="str">
        <f>IF(G158&lt;&gt;"", HYPERLINK("https://www.kegg.jp/entry/" &amp; G158, "https://www.kegg.jp/entry/" &amp; G158), "")</f>
        <v>https://www.kegg.jp/entry/R06050</v>
      </c>
      <c r="I158" t="s">
        <v>13426</v>
      </c>
      <c r="J158" t="s">
        <v>13427</v>
      </c>
    </row>
    <row r="159" spans="1:10" x14ac:dyDescent="0.25">
      <c r="A159" t="s">
        <v>316</v>
      </c>
      <c r="B159">
        <v>343</v>
      </c>
      <c r="C159" t="s">
        <v>317</v>
      </c>
      <c r="E159" s="5" t="s">
        <v>6638</v>
      </c>
      <c r="F159" s="1" t="str">
        <f>IF(E159&lt;&gt;"", HYPERLINK("https://www.kegg.jp/dbget-bin/www_bget?ec:" &amp; E159, "https://www.kegg.jp/dbget-bin/www_bget?ec:" &amp; E159), "")</f>
        <v>https://www.kegg.jp/dbget-bin/www_bget?ec:3.2.1.4</v>
      </c>
      <c r="G159" s="3" t="s">
        <v>7369</v>
      </c>
      <c r="H159" s="1" t="str">
        <f>IF(G159&lt;&gt;"", HYPERLINK("https://www.kegg.jp/entry/" &amp; G159, "https://www.kegg.jp/entry/" &amp; G159), "")</f>
        <v>https://www.kegg.jp/entry/R11307</v>
      </c>
      <c r="I159" t="s">
        <v>12803</v>
      </c>
      <c r="J159" t="s">
        <v>8400</v>
      </c>
    </row>
    <row r="160" spans="1:10" x14ac:dyDescent="0.25">
      <c r="A160" t="s">
        <v>316</v>
      </c>
      <c r="B160">
        <v>343</v>
      </c>
      <c r="C160" t="s">
        <v>317</v>
      </c>
      <c r="E160" s="5" t="s">
        <v>6638</v>
      </c>
      <c r="F160" s="1" t="str">
        <f>IF(E160&lt;&gt;"", HYPERLINK("https://www.kegg.jp/dbget-bin/www_bget?ec:" &amp; E160, "https://www.kegg.jp/dbget-bin/www_bget?ec:" &amp; E160), "")</f>
        <v>https://www.kegg.jp/dbget-bin/www_bget?ec:3.2.1.4</v>
      </c>
      <c r="G160" s="3" t="s">
        <v>7368</v>
      </c>
      <c r="H160" s="1" t="str">
        <f>IF(G160&lt;&gt;"", HYPERLINK("https://www.kegg.jp/entry/" &amp; G160, "https://www.kegg.jp/entry/" &amp; G160), "")</f>
        <v>https://www.kegg.jp/entry/R11308</v>
      </c>
      <c r="I160" t="s">
        <v>8104</v>
      </c>
      <c r="J160" t="s">
        <v>8401</v>
      </c>
    </row>
    <row r="161" spans="1:10" x14ac:dyDescent="0.25">
      <c r="A161" t="s">
        <v>319</v>
      </c>
      <c r="B161">
        <v>126</v>
      </c>
      <c r="C161" t="s">
        <v>320</v>
      </c>
      <c r="E161" s="5" t="s">
        <v>6639</v>
      </c>
      <c r="F161" s="1" t="str">
        <f>IF(E161&lt;&gt;"", HYPERLINK("https://www.kegg.jp/dbget-bin/www_bget?ec:" &amp; E161, "https://www.kegg.jp/dbget-bin/www_bget?ec:" &amp; E161), "")</f>
        <v>https://www.kegg.jp/dbget-bin/www_bget?ec:4.2.3.3</v>
      </c>
      <c r="G161" s="3" t="s">
        <v>7099</v>
      </c>
      <c r="H161" s="1" t="str">
        <f>IF(G161&lt;&gt;"", HYPERLINK("https://www.kegg.jp/entry/" &amp; G161, "https://www.kegg.jp/entry/" &amp; G161), "")</f>
        <v>https://www.kegg.jp/entry/R01016</v>
      </c>
      <c r="I161" t="s">
        <v>8105</v>
      </c>
      <c r="J161" t="s">
        <v>12804</v>
      </c>
    </row>
    <row r="162" spans="1:10" hidden="1" x14ac:dyDescent="0.25">
      <c r="A162" t="s">
        <v>322</v>
      </c>
      <c r="B162">
        <v>494</v>
      </c>
      <c r="C162" t="s">
        <v>323</v>
      </c>
      <c r="F162" s="1" t="str">
        <f>IF(E162&lt;&gt;"", HYPERLINK("https://www.kegg.jp/dbget-bin/www_bget?ec:" &amp; E162, "https://www.kegg.jp/dbget-bin/www_bget?ec:" &amp; E162), "")</f>
        <v/>
      </c>
      <c r="G162" s="3"/>
      <c r="H162" s="1" t="str">
        <f>IF(G162&lt;&gt;"", HYPERLINK("https://www.kegg.jp/entry/" &amp; G162, "https://www.kegg.jp/entry/" &amp; G162), "")</f>
        <v/>
      </c>
    </row>
    <row r="163" spans="1:10" hidden="1" x14ac:dyDescent="0.25">
      <c r="A163" t="s">
        <v>325</v>
      </c>
      <c r="B163">
        <v>376</v>
      </c>
      <c r="C163" t="s">
        <v>326</v>
      </c>
      <c r="F163" s="1" t="str">
        <f>IF(E163&lt;&gt;"", HYPERLINK("https://www.kegg.jp/dbget-bin/www_bget?ec:" &amp; E163, "https://www.kegg.jp/dbget-bin/www_bget?ec:" &amp; E163), "")</f>
        <v/>
      </c>
      <c r="G163" s="3"/>
      <c r="H163" s="1" t="str">
        <f>IF(G163&lt;&gt;"", HYPERLINK("https://www.kegg.jp/entry/" &amp; G163, "https://www.kegg.jp/entry/" &amp; G163), "")</f>
        <v/>
      </c>
    </row>
    <row r="164" spans="1:10" hidden="1" x14ac:dyDescent="0.25">
      <c r="A164" t="s">
        <v>328</v>
      </c>
      <c r="B164">
        <v>270</v>
      </c>
      <c r="C164" t="s">
        <v>329</v>
      </c>
      <c r="F164" s="1" t="str">
        <f>IF(E164&lt;&gt;"", HYPERLINK("https://www.kegg.jp/dbget-bin/www_bget?ec:" &amp; E164, "https://www.kegg.jp/dbget-bin/www_bget?ec:" &amp; E164), "")</f>
        <v/>
      </c>
      <c r="G164" s="3"/>
      <c r="H164" s="1" t="str">
        <f>IF(G164&lt;&gt;"", HYPERLINK("https://www.kegg.jp/entry/" &amp; G164, "https://www.kegg.jp/entry/" &amp; G164), "")</f>
        <v/>
      </c>
    </row>
    <row r="165" spans="1:10" hidden="1" x14ac:dyDescent="0.25">
      <c r="A165" t="s">
        <v>331</v>
      </c>
      <c r="B165">
        <v>294</v>
      </c>
      <c r="C165" t="s">
        <v>332</v>
      </c>
      <c r="F165" s="1" t="str">
        <f>IF(E165&lt;&gt;"", HYPERLINK("https://www.kegg.jp/dbget-bin/www_bget?ec:" &amp; E165, "https://www.kegg.jp/dbget-bin/www_bget?ec:" &amp; E165), "")</f>
        <v/>
      </c>
      <c r="G165" s="3"/>
      <c r="H165" s="1" t="str">
        <f>IF(G165&lt;&gt;"", HYPERLINK("https://www.kegg.jp/entry/" &amp; G165, "https://www.kegg.jp/entry/" &amp; G165), "")</f>
        <v/>
      </c>
    </row>
    <row r="166" spans="1:10" x14ac:dyDescent="0.25">
      <c r="A166" t="s">
        <v>334</v>
      </c>
      <c r="B166">
        <v>375</v>
      </c>
      <c r="C166" t="s">
        <v>335</v>
      </c>
      <c r="D166" t="s">
        <v>7489</v>
      </c>
      <c r="E166" s="5" t="s">
        <v>7370</v>
      </c>
      <c r="F166" s="1" t="str">
        <f>IF(E166&lt;&gt;"", HYPERLINK("https://www.kegg.jp/dbget-bin/www_bget?ec:" &amp; E166, "https://www.kegg.jp/dbget-bin/www_bget?ec:" &amp; E166), "")</f>
        <v>https://www.kegg.jp/dbget-bin/www_bget?ec:7.1.1.1</v>
      </c>
      <c r="G166" s="3" t="s">
        <v>7371</v>
      </c>
      <c r="H166" s="1" t="str">
        <f>IF(G166&lt;&gt;"", HYPERLINK("https://www.kegg.jp/entry/" &amp; G166, "https://www.kegg.jp/entry/" &amp; G166), "")</f>
        <v>https://www.kegg.jp/entry/R13176</v>
      </c>
      <c r="I166" t="s">
        <v>12805</v>
      </c>
      <c r="J166" t="s">
        <v>12806</v>
      </c>
    </row>
    <row r="167" spans="1:10" x14ac:dyDescent="0.25">
      <c r="A167" t="s">
        <v>336</v>
      </c>
      <c r="B167">
        <v>99</v>
      </c>
      <c r="C167" t="s">
        <v>337</v>
      </c>
      <c r="D167" t="s">
        <v>7489</v>
      </c>
      <c r="E167" s="5" t="s">
        <v>7370</v>
      </c>
      <c r="F167" s="1" t="str">
        <f>IF(E167&lt;&gt;"", HYPERLINK("https://www.kegg.jp/dbget-bin/www_bget?ec:" &amp; E167, "https://www.kegg.jp/dbget-bin/www_bget?ec:" &amp; E167), "")</f>
        <v>https://www.kegg.jp/dbget-bin/www_bget?ec:7.1.1.1</v>
      </c>
      <c r="G167" s="3" t="s">
        <v>7371</v>
      </c>
      <c r="H167" s="1" t="str">
        <f>IF(G167&lt;&gt;"", HYPERLINK("https://www.kegg.jp/entry/" &amp; G167, "https://www.kegg.jp/entry/" &amp; G167), "")</f>
        <v>https://www.kegg.jp/entry/R13176</v>
      </c>
      <c r="I167" t="s">
        <v>12805</v>
      </c>
      <c r="J167" t="s">
        <v>12806</v>
      </c>
    </row>
    <row r="168" spans="1:10" x14ac:dyDescent="0.25">
      <c r="A168" t="s">
        <v>339</v>
      </c>
      <c r="B168">
        <v>450</v>
      </c>
      <c r="C168" t="s">
        <v>340</v>
      </c>
      <c r="D168" t="s">
        <v>7489</v>
      </c>
      <c r="E168" s="5" t="s">
        <v>7370</v>
      </c>
      <c r="F168" s="1" t="str">
        <f>IF(E168&lt;&gt;"", HYPERLINK("https://www.kegg.jp/dbget-bin/www_bget?ec:" &amp; E168, "https://www.kegg.jp/dbget-bin/www_bget?ec:" &amp; E168), "")</f>
        <v>https://www.kegg.jp/dbget-bin/www_bget?ec:7.1.1.1</v>
      </c>
      <c r="G168" s="3" t="s">
        <v>7371</v>
      </c>
      <c r="H168" s="1" t="str">
        <f>IF(G168&lt;&gt;"", HYPERLINK("https://www.kegg.jp/entry/" &amp; G168, "https://www.kegg.jp/entry/" &amp; G168), "")</f>
        <v>https://www.kegg.jp/entry/R13176</v>
      </c>
      <c r="I168" t="s">
        <v>12805</v>
      </c>
      <c r="J168" t="s">
        <v>12806</v>
      </c>
    </row>
    <row r="169" spans="1:10" hidden="1" x14ac:dyDescent="0.25">
      <c r="C169" t="s">
        <v>342</v>
      </c>
      <c r="F169" s="1" t="str">
        <f>IF(E169&lt;&gt;"", HYPERLINK("https://www.kegg.jp/dbget-bin/www_bget?ec:" &amp; E169, "https://www.kegg.jp/dbget-bin/www_bget?ec:" &amp; E169), "")</f>
        <v/>
      </c>
      <c r="G169" s="3"/>
      <c r="H169" s="1" t="str">
        <f>IF(G169&lt;&gt;"", HYPERLINK("https://www.kegg.jp/entry/" &amp; G169, "https://www.kegg.jp/entry/" &amp; G169), "")</f>
        <v/>
      </c>
    </row>
    <row r="170" spans="1:10" hidden="1" x14ac:dyDescent="0.25">
      <c r="A170" t="s">
        <v>344</v>
      </c>
      <c r="B170">
        <v>101</v>
      </c>
      <c r="C170" t="s">
        <v>345</v>
      </c>
      <c r="F170" s="1" t="str">
        <f>IF(E170&lt;&gt;"", HYPERLINK("https://www.kegg.jp/dbget-bin/www_bget?ec:" &amp; E170, "https://www.kegg.jp/dbget-bin/www_bget?ec:" &amp; E170), "")</f>
        <v/>
      </c>
      <c r="G170" s="3"/>
      <c r="H170" s="1" t="str">
        <f>IF(G170&lt;&gt;"", HYPERLINK("https://www.kegg.jp/entry/" &amp; G170, "https://www.kegg.jp/entry/" &amp; G170), "")</f>
        <v/>
      </c>
    </row>
    <row r="171" spans="1:10" hidden="1" x14ac:dyDescent="0.25">
      <c r="A171" t="s">
        <v>347</v>
      </c>
      <c r="B171">
        <v>267</v>
      </c>
      <c r="C171" t="s">
        <v>348</v>
      </c>
      <c r="F171" s="1" t="str">
        <f>IF(E171&lt;&gt;"", HYPERLINK("https://www.kegg.jp/dbget-bin/www_bget?ec:" &amp; E171, "https://www.kegg.jp/dbget-bin/www_bget?ec:" &amp; E171), "")</f>
        <v/>
      </c>
      <c r="G171" s="3"/>
      <c r="H171" s="1" t="str">
        <f>IF(G171&lt;&gt;"", HYPERLINK("https://www.kegg.jp/entry/" &amp; G171, "https://www.kegg.jp/entry/" &amp; G171), "")</f>
        <v/>
      </c>
    </row>
    <row r="172" spans="1:10" hidden="1" x14ac:dyDescent="0.25">
      <c r="A172" t="s">
        <v>350</v>
      </c>
      <c r="B172">
        <v>89</v>
      </c>
      <c r="C172" t="s">
        <v>351</v>
      </c>
      <c r="F172" s="1" t="str">
        <f>IF(E172&lt;&gt;"", HYPERLINK("https://www.kegg.jp/dbget-bin/www_bget?ec:" &amp; E172, "https://www.kegg.jp/dbget-bin/www_bget?ec:" &amp; E172), "")</f>
        <v/>
      </c>
      <c r="G172" s="3"/>
      <c r="H172" s="1" t="str">
        <f>IF(G172&lt;&gt;"", HYPERLINK("https://www.kegg.jp/entry/" &amp; G172, "https://www.kegg.jp/entry/" &amp; G172), "")</f>
        <v/>
      </c>
    </row>
    <row r="173" spans="1:10" hidden="1" x14ac:dyDescent="0.25">
      <c r="A173" t="s">
        <v>353</v>
      </c>
      <c r="B173">
        <v>148</v>
      </c>
      <c r="C173" t="s">
        <v>354</v>
      </c>
      <c r="F173" s="1" t="str">
        <f>IF(E173&lt;&gt;"", HYPERLINK("https://www.kegg.jp/dbget-bin/www_bget?ec:" &amp; E173, "https://www.kegg.jp/dbget-bin/www_bget?ec:" &amp; E173), "")</f>
        <v/>
      </c>
      <c r="G173" s="3"/>
      <c r="H173" s="1" t="str">
        <f>IF(G173&lt;&gt;"", HYPERLINK("https://www.kegg.jp/entry/" &amp; G173, "https://www.kegg.jp/entry/" &amp; G173), "")</f>
        <v/>
      </c>
    </row>
    <row r="174" spans="1:10" x14ac:dyDescent="0.25">
      <c r="A174" t="s">
        <v>356</v>
      </c>
      <c r="B174">
        <v>470</v>
      </c>
      <c r="C174" t="s">
        <v>357</v>
      </c>
      <c r="E174" s="5" t="s">
        <v>6640</v>
      </c>
      <c r="F174" s="1" t="str">
        <f>IF(E174&lt;&gt;"", HYPERLINK("https://www.kegg.jp/dbget-bin/www_bget?ec:" &amp; E174, "https://www.kegg.jp/dbget-bin/www_bget?ec:" &amp; E174), "")</f>
        <v>https://www.kegg.jp/dbget-bin/www_bget?ec:1.13.12.4</v>
      </c>
      <c r="G174" s="3" t="s">
        <v>7100</v>
      </c>
      <c r="H174" s="1" t="str">
        <f>IF(G174&lt;&gt;"", HYPERLINK("https://www.kegg.jp/entry/" &amp; G174, "https://www.kegg.jp/entry/" &amp; G174), "")</f>
        <v>https://www.kegg.jp/entry/R00319</v>
      </c>
      <c r="I174" t="s">
        <v>12807</v>
      </c>
      <c r="J174" t="s">
        <v>12808</v>
      </c>
    </row>
    <row r="175" spans="1:10" hidden="1" x14ac:dyDescent="0.25">
      <c r="A175" t="s">
        <v>359</v>
      </c>
      <c r="B175">
        <v>275</v>
      </c>
      <c r="C175" t="s">
        <v>360</v>
      </c>
      <c r="F175" s="1" t="str">
        <f>IF(E175&lt;&gt;"", HYPERLINK("https://www.kegg.jp/dbget-bin/www_bget?ec:" &amp; E175, "https://www.kegg.jp/dbget-bin/www_bget?ec:" &amp; E175), "")</f>
        <v/>
      </c>
      <c r="G175" s="3"/>
      <c r="H175" s="1" t="str">
        <f>IF(G175&lt;&gt;"", HYPERLINK("https://www.kegg.jp/entry/" &amp; G175, "https://www.kegg.jp/entry/" &amp; G175), "")</f>
        <v/>
      </c>
    </row>
    <row r="176" spans="1:10" hidden="1" x14ac:dyDescent="0.25">
      <c r="A176" t="s">
        <v>362</v>
      </c>
      <c r="B176">
        <v>219</v>
      </c>
      <c r="C176" t="s">
        <v>363</v>
      </c>
      <c r="F176" s="1" t="str">
        <f>IF(E176&lt;&gt;"", HYPERLINK("https://www.kegg.jp/dbget-bin/www_bget?ec:" &amp; E176, "https://www.kegg.jp/dbget-bin/www_bget?ec:" &amp; E176), "")</f>
        <v/>
      </c>
      <c r="G176" s="3"/>
      <c r="H176" s="1" t="str">
        <f>IF(G176&lt;&gt;"", HYPERLINK("https://www.kegg.jp/entry/" &amp; G176, "https://www.kegg.jp/entry/" &amp; G176), "")</f>
        <v/>
      </c>
    </row>
    <row r="177" spans="1:10" hidden="1" x14ac:dyDescent="0.25">
      <c r="A177" t="s">
        <v>365</v>
      </c>
      <c r="B177">
        <v>323</v>
      </c>
      <c r="C177" t="s">
        <v>366</v>
      </c>
      <c r="F177" s="1" t="str">
        <f>IF(E177&lt;&gt;"", HYPERLINK("https://www.kegg.jp/dbget-bin/www_bget?ec:" &amp; E177, "https://www.kegg.jp/dbget-bin/www_bget?ec:" &amp; E177), "")</f>
        <v/>
      </c>
      <c r="G177" s="3"/>
      <c r="H177" s="1" t="str">
        <f>IF(G177&lt;&gt;"", HYPERLINK("https://www.kegg.jp/entry/" &amp; G177, "https://www.kegg.jp/entry/" &amp; G177), "")</f>
        <v/>
      </c>
    </row>
    <row r="178" spans="1:10" hidden="1" x14ac:dyDescent="0.25">
      <c r="A178" t="s">
        <v>367</v>
      </c>
      <c r="B178">
        <v>115</v>
      </c>
      <c r="C178" t="s">
        <v>368</v>
      </c>
      <c r="F178" s="1" t="str">
        <f>IF(E178&lt;&gt;"", HYPERLINK("https://www.kegg.jp/dbget-bin/www_bget?ec:" &amp; E178, "https://www.kegg.jp/dbget-bin/www_bget?ec:" &amp; E178), "")</f>
        <v/>
      </c>
      <c r="G178" s="3"/>
      <c r="H178" s="1" t="str">
        <f>IF(G178&lt;&gt;"", HYPERLINK("https://www.kegg.jp/entry/" &amp; G178, "https://www.kegg.jp/entry/" &amp; G178), "")</f>
        <v/>
      </c>
    </row>
    <row r="179" spans="1:10" hidden="1" x14ac:dyDescent="0.25">
      <c r="A179" t="s">
        <v>370</v>
      </c>
      <c r="B179">
        <v>289</v>
      </c>
      <c r="C179" t="s">
        <v>371</v>
      </c>
      <c r="F179" s="1" t="str">
        <f>IF(E179&lt;&gt;"", HYPERLINK("https://www.kegg.jp/dbget-bin/www_bget?ec:" &amp; E179, "https://www.kegg.jp/dbget-bin/www_bget?ec:" &amp; E179), "")</f>
        <v/>
      </c>
      <c r="G179" s="3"/>
      <c r="H179" s="1" t="str">
        <f>IF(G179&lt;&gt;"", HYPERLINK("https://www.kegg.jp/entry/" &amp; G179, "https://www.kegg.jp/entry/" &amp; G179), "")</f>
        <v/>
      </c>
    </row>
    <row r="180" spans="1:10" x14ac:dyDescent="0.25">
      <c r="A180" t="s">
        <v>373</v>
      </c>
      <c r="B180">
        <v>464</v>
      </c>
      <c r="C180" t="s">
        <v>374</v>
      </c>
      <c r="E180" s="5" t="s">
        <v>6641</v>
      </c>
      <c r="F180" s="1" t="str">
        <f>IF(E180&lt;&gt;"", HYPERLINK("https://www.kegg.jp/dbget-bin/www_bget?ec:" &amp; E180, "https://www.kegg.jp/dbget-bin/www_bget?ec:" &amp; E180), "")</f>
        <v>https://www.kegg.jp/dbget-bin/www_bget?ec:1.8.1.4</v>
      </c>
      <c r="G180" s="3" t="s">
        <v>7372</v>
      </c>
      <c r="H180" s="1" t="str">
        <f>IF(G180&lt;&gt;"", HYPERLINK("https://www.kegg.jp/entry/" &amp; G180, "https://www.kegg.jp/entry/" &amp; G180), "")</f>
        <v>https://www.kegg.jp/entry/R08550</v>
      </c>
      <c r="I180" t="s">
        <v>12809</v>
      </c>
      <c r="J180" t="s">
        <v>12810</v>
      </c>
    </row>
    <row r="181" spans="1:10" x14ac:dyDescent="0.25">
      <c r="A181" t="s">
        <v>373</v>
      </c>
      <c r="B181">
        <v>464</v>
      </c>
      <c r="C181" t="s">
        <v>374</v>
      </c>
      <c r="E181" s="5" t="s">
        <v>6641</v>
      </c>
      <c r="F181" s="1" t="str">
        <f>IF(E181&lt;&gt;"", HYPERLINK("https://www.kegg.jp/dbget-bin/www_bget?ec:" &amp; E181, "https://www.kegg.jp/dbget-bin/www_bget?ec:" &amp; E181), "")</f>
        <v>https://www.kegg.jp/dbget-bin/www_bget?ec:1.8.1.4</v>
      </c>
      <c r="G181" s="3" t="s">
        <v>7375</v>
      </c>
      <c r="H181" s="1" t="str">
        <f>IF(G181&lt;&gt;"", HYPERLINK("https://www.kegg.jp/entry/" &amp; G181, "https://www.kegg.jp/entry/" &amp; G181), "")</f>
        <v>https://www.kegg.jp/entry/R03815</v>
      </c>
      <c r="I181" t="s">
        <v>12811</v>
      </c>
      <c r="J181" t="s">
        <v>12812</v>
      </c>
    </row>
    <row r="182" spans="1:10" x14ac:dyDescent="0.25">
      <c r="A182" t="s">
        <v>373</v>
      </c>
      <c r="B182">
        <v>464</v>
      </c>
      <c r="C182" t="s">
        <v>374</v>
      </c>
      <c r="E182" s="5" t="s">
        <v>6641</v>
      </c>
      <c r="F182" s="1" t="str">
        <f>IF(E182&lt;&gt;"", HYPERLINK("https://www.kegg.jp/dbget-bin/www_bget?ec:" &amp; E182, "https://www.kegg.jp/dbget-bin/www_bget?ec:" &amp; E182), "")</f>
        <v>https://www.kegg.jp/dbget-bin/www_bget?ec:1.8.1.4</v>
      </c>
      <c r="G182" s="3" t="s">
        <v>7374</v>
      </c>
      <c r="H182" s="1" t="str">
        <f>IF(G182&lt;&gt;"", HYPERLINK("https://www.kegg.jp/entry/" &amp; G182, "https://www.kegg.jp/entry/" &amp; G182), "")</f>
        <v>https://www.kegg.jp/entry/R07618</v>
      </c>
      <c r="I182" t="s">
        <v>12813</v>
      </c>
      <c r="J182" t="s">
        <v>12814</v>
      </c>
    </row>
    <row r="183" spans="1:10" x14ac:dyDescent="0.25">
      <c r="A183" t="s">
        <v>373</v>
      </c>
      <c r="B183">
        <v>464</v>
      </c>
      <c r="C183" t="s">
        <v>374</v>
      </c>
      <c r="E183" s="5" t="s">
        <v>6641</v>
      </c>
      <c r="F183" s="1" t="str">
        <f>IF(E183&lt;&gt;"", HYPERLINK("https://www.kegg.jp/dbget-bin/www_bget?ec:" &amp; E183, "https://www.kegg.jp/dbget-bin/www_bget?ec:" &amp; E183), "")</f>
        <v>https://www.kegg.jp/dbget-bin/www_bget?ec:1.8.1.4</v>
      </c>
      <c r="G183" s="3" t="s">
        <v>7373</v>
      </c>
      <c r="H183" s="1" t="str">
        <f>IF(G183&lt;&gt;"", HYPERLINK("https://www.kegg.jp/entry/" &amp; G183, "https://www.kegg.jp/entry/" &amp; G183), "")</f>
        <v>https://www.kegg.jp/entry/R01698</v>
      </c>
      <c r="I183" t="s">
        <v>12815</v>
      </c>
      <c r="J183" t="s">
        <v>12816</v>
      </c>
    </row>
    <row r="184" spans="1:10" x14ac:dyDescent="0.25">
      <c r="A184" t="s">
        <v>376</v>
      </c>
      <c r="B184">
        <v>454</v>
      </c>
      <c r="C184" t="s">
        <v>377</v>
      </c>
      <c r="E184" s="5" t="s">
        <v>6642</v>
      </c>
      <c r="F184" s="1" t="str">
        <f>IF(E184&lt;&gt;"", HYPERLINK("https://www.kegg.jp/dbget-bin/www_bget?ec:" &amp; E184, "https://www.kegg.jp/dbget-bin/www_bget?ec:" &amp; E184), "")</f>
        <v>https://www.kegg.jp/dbget-bin/www_bget?ec:2.3.1.168</v>
      </c>
      <c r="G184" s="3" t="s">
        <v>7376</v>
      </c>
      <c r="H184" s="1" t="str">
        <f>IF(G184&lt;&gt;"", HYPERLINK("https://www.kegg.jp/entry/" &amp; G184, "https://www.kegg.jp/entry/" &amp; G184), "")</f>
        <v>https://www.kegg.jp/entry/R02662</v>
      </c>
      <c r="I184" t="s">
        <v>8106</v>
      </c>
      <c r="J184" t="s">
        <v>8402</v>
      </c>
    </row>
    <row r="185" spans="1:10" x14ac:dyDescent="0.25">
      <c r="A185" t="s">
        <v>376</v>
      </c>
      <c r="B185">
        <v>454</v>
      </c>
      <c r="C185" t="s">
        <v>377</v>
      </c>
      <c r="E185" s="5" t="s">
        <v>6642</v>
      </c>
      <c r="F185" s="1" t="str">
        <f>IF(E185&lt;&gt;"", HYPERLINK("https://www.kegg.jp/dbget-bin/www_bget?ec:" &amp; E185, "https://www.kegg.jp/dbget-bin/www_bget?ec:" &amp; E185), "")</f>
        <v>https://www.kegg.jp/dbget-bin/www_bget?ec:2.3.1.168</v>
      </c>
      <c r="G185" s="3" t="s">
        <v>7379</v>
      </c>
      <c r="H185" s="1" t="str">
        <f>IF(G185&lt;&gt;"", HYPERLINK("https://www.kegg.jp/entry/" &amp; G185, "https://www.kegg.jp/entry/" &amp; G185), "")</f>
        <v>https://www.kegg.jp/entry/R03174</v>
      </c>
      <c r="I185" t="s">
        <v>12817</v>
      </c>
      <c r="J185" t="s">
        <v>8403</v>
      </c>
    </row>
    <row r="186" spans="1:10" x14ac:dyDescent="0.25">
      <c r="A186" t="s">
        <v>376</v>
      </c>
      <c r="B186">
        <v>454</v>
      </c>
      <c r="C186" t="s">
        <v>377</v>
      </c>
      <c r="E186" s="5" t="s">
        <v>6642</v>
      </c>
      <c r="F186" s="1" t="str">
        <f>IF(E186&lt;&gt;"", HYPERLINK("https://www.kegg.jp/dbget-bin/www_bget?ec:" &amp; E186, "https://www.kegg.jp/dbget-bin/www_bget?ec:" &amp; E186), "")</f>
        <v>https://www.kegg.jp/dbget-bin/www_bget?ec:2.3.1.168</v>
      </c>
      <c r="G186" s="3" t="s">
        <v>7378</v>
      </c>
      <c r="H186" s="1" t="str">
        <f>IF(G186&lt;&gt;"", HYPERLINK("https://www.kegg.jp/entry/" &amp; G186, "https://www.kegg.jp/entry/" &amp; G186), "")</f>
        <v>https://www.kegg.jp/entry/R04097</v>
      </c>
      <c r="I186" t="s">
        <v>8107</v>
      </c>
      <c r="J186" t="s">
        <v>8404</v>
      </c>
    </row>
    <row r="187" spans="1:10" x14ac:dyDescent="0.25">
      <c r="A187" t="s">
        <v>376</v>
      </c>
      <c r="B187">
        <v>454</v>
      </c>
      <c r="C187" t="s">
        <v>377</v>
      </c>
      <c r="E187" s="5" t="s">
        <v>6642</v>
      </c>
      <c r="F187" s="1" t="str">
        <f>IF(E187&lt;&gt;"", HYPERLINK("https://www.kegg.jp/dbget-bin/www_bget?ec:" &amp; E187, "https://www.kegg.jp/dbget-bin/www_bget?ec:" &amp; E187), "")</f>
        <v>https://www.kegg.jp/dbget-bin/www_bget?ec:2.3.1.168</v>
      </c>
      <c r="G187" s="3" t="s">
        <v>7377</v>
      </c>
      <c r="H187" s="1" t="str">
        <f>IF(G187&lt;&gt;"", HYPERLINK("https://www.kegg.jp/entry/" &amp; G187, "https://www.kegg.jp/entry/" &amp; G187), "")</f>
        <v>https://www.kegg.jp/entry/R10998</v>
      </c>
      <c r="I187" t="s">
        <v>8108</v>
      </c>
      <c r="J187" t="s">
        <v>8405</v>
      </c>
    </row>
    <row r="188" spans="1:10" hidden="1" x14ac:dyDescent="0.25">
      <c r="A188" t="s">
        <v>378</v>
      </c>
      <c r="B188">
        <v>65</v>
      </c>
      <c r="C188" t="s">
        <v>379</v>
      </c>
      <c r="F188" s="1" t="str">
        <f>IF(E188&lt;&gt;"", HYPERLINK("https://www.kegg.jp/dbget-bin/www_bget?ec:" &amp; E188, "https://www.kegg.jp/dbget-bin/www_bget?ec:" &amp; E188), "")</f>
        <v/>
      </c>
      <c r="G188" s="3"/>
      <c r="H188" s="1" t="str">
        <f>IF(G188&lt;&gt;"", HYPERLINK("https://www.kegg.jp/entry/" &amp; G188, "https://www.kegg.jp/entry/" &amp; G188), "")</f>
        <v/>
      </c>
    </row>
    <row r="189" spans="1:10" x14ac:dyDescent="0.25">
      <c r="A189" t="s">
        <v>381</v>
      </c>
      <c r="B189">
        <v>324</v>
      </c>
      <c r="C189" t="s">
        <v>382</v>
      </c>
      <c r="E189" s="5" t="s">
        <v>6643</v>
      </c>
      <c r="F189" s="1" t="str">
        <f>IF(E189&lt;&gt;"", HYPERLINK("https://www.kegg.jp/dbget-bin/www_bget?ec:" &amp; E189, "https://www.kegg.jp/dbget-bin/www_bget?ec:" &amp; E189), "")</f>
        <v>https://www.kegg.jp/dbget-bin/www_bget?ec:1.2.4.4</v>
      </c>
      <c r="G189" s="3" t="s">
        <v>7382</v>
      </c>
      <c r="H189" s="1" t="str">
        <f>IF(G189&lt;&gt;"", HYPERLINK("https://www.kegg.jp/entry/" &amp; G189, "https://www.kegg.jp/entry/" &amp; G189), "")</f>
        <v>https://www.kegg.jp/entry/R01701</v>
      </c>
      <c r="I189" t="s">
        <v>8109</v>
      </c>
      <c r="J189" t="s">
        <v>12818</v>
      </c>
    </row>
    <row r="190" spans="1:10" x14ac:dyDescent="0.25">
      <c r="A190" t="s">
        <v>381</v>
      </c>
      <c r="B190">
        <v>324</v>
      </c>
      <c r="C190" t="s">
        <v>382</v>
      </c>
      <c r="E190" s="5" t="s">
        <v>6643</v>
      </c>
      <c r="F190" s="1" t="str">
        <f>IF(E190&lt;&gt;"", HYPERLINK("https://www.kegg.jp/dbget-bin/www_bget?ec:" &amp; E190, "https://www.kegg.jp/dbget-bin/www_bget?ec:" &amp; E190), "")</f>
        <v>https://www.kegg.jp/dbget-bin/www_bget?ec:1.2.4.4</v>
      </c>
      <c r="G190" s="3" t="s">
        <v>7392</v>
      </c>
      <c r="H190" s="1" t="str">
        <f>IF(G190&lt;&gt;"", HYPERLINK("https://www.kegg.jp/entry/" &amp; G190, "https://www.kegg.jp/entry/" &amp; G190), "")</f>
        <v>https://www.kegg.jp/entry/R01702</v>
      </c>
      <c r="I190" t="s">
        <v>8110</v>
      </c>
      <c r="J190" t="s">
        <v>12819</v>
      </c>
    </row>
    <row r="191" spans="1:10" x14ac:dyDescent="0.25">
      <c r="A191" t="s">
        <v>381</v>
      </c>
      <c r="B191">
        <v>324</v>
      </c>
      <c r="C191" t="s">
        <v>382</v>
      </c>
      <c r="E191" s="5" t="s">
        <v>6643</v>
      </c>
      <c r="F191" s="1" t="str">
        <f>IF(E191&lt;&gt;"", HYPERLINK("https://www.kegg.jp/dbget-bin/www_bget?ec:" &amp; E191, "https://www.kegg.jp/dbget-bin/www_bget?ec:" &amp; E191), "")</f>
        <v>https://www.kegg.jp/dbget-bin/www_bget?ec:1.2.4.4</v>
      </c>
      <c r="G191" s="3" t="s">
        <v>7391</v>
      </c>
      <c r="H191" s="1" t="str">
        <f>IF(G191&lt;&gt;"", HYPERLINK("https://www.kegg.jp/entry/" &amp; G191, "https://www.kegg.jp/entry/" &amp; G191), "")</f>
        <v>https://www.kegg.jp/entry/R04225</v>
      </c>
      <c r="I191" t="s">
        <v>8111</v>
      </c>
      <c r="J191" t="s">
        <v>12820</v>
      </c>
    </row>
    <row r="192" spans="1:10" x14ac:dyDescent="0.25">
      <c r="A192" t="s">
        <v>381</v>
      </c>
      <c r="B192">
        <v>324</v>
      </c>
      <c r="C192" t="s">
        <v>382</v>
      </c>
      <c r="E192" s="5" t="s">
        <v>6643</v>
      </c>
      <c r="F192" s="1" t="str">
        <f>IF(E192&lt;&gt;"", HYPERLINK("https://www.kegg.jp/dbget-bin/www_bget?ec:" &amp; E192, "https://www.kegg.jp/dbget-bin/www_bget?ec:" &amp; E192), "")</f>
        <v>https://www.kegg.jp/dbget-bin/www_bget?ec:1.2.4.4</v>
      </c>
      <c r="G192" s="3" t="s">
        <v>7390</v>
      </c>
      <c r="H192" s="1" t="str">
        <f>IF(G192&lt;&gt;"", HYPERLINK("https://www.kegg.jp/entry/" &amp; G192, "https://www.kegg.jp/entry/" &amp; G192), "")</f>
        <v>https://www.kegg.jp/entry/R07599</v>
      </c>
      <c r="I192" t="s">
        <v>12821</v>
      </c>
      <c r="J192" t="s">
        <v>12822</v>
      </c>
    </row>
    <row r="193" spans="1:10" x14ac:dyDescent="0.25">
      <c r="A193" t="s">
        <v>381</v>
      </c>
      <c r="B193">
        <v>324</v>
      </c>
      <c r="C193" t="s">
        <v>382</v>
      </c>
      <c r="E193" s="5" t="s">
        <v>6643</v>
      </c>
      <c r="F193" s="1" t="str">
        <f>IF(E193&lt;&gt;"", HYPERLINK("https://www.kegg.jp/dbget-bin/www_bget?ec:" &amp; E193, "https://www.kegg.jp/dbget-bin/www_bget?ec:" &amp; E193), "")</f>
        <v>https://www.kegg.jp/dbget-bin/www_bget?ec:1.2.4.4</v>
      </c>
      <c r="G193" s="3" t="s">
        <v>7389</v>
      </c>
      <c r="H193" s="1" t="str">
        <f>IF(G193&lt;&gt;"", HYPERLINK("https://www.kegg.jp/entry/" &amp; G193, "https://www.kegg.jp/entry/" &amp; G193), "")</f>
        <v>https://www.kegg.jp/entry/R07600</v>
      </c>
      <c r="I193" t="s">
        <v>12823</v>
      </c>
      <c r="J193" t="s">
        <v>12824</v>
      </c>
    </row>
    <row r="194" spans="1:10" x14ac:dyDescent="0.25">
      <c r="A194" t="s">
        <v>381</v>
      </c>
      <c r="B194">
        <v>324</v>
      </c>
      <c r="C194" t="s">
        <v>382</v>
      </c>
      <c r="E194" s="5" t="s">
        <v>6643</v>
      </c>
      <c r="F194" s="1" t="str">
        <f>IF(E194&lt;&gt;"", HYPERLINK("https://www.kegg.jp/dbget-bin/www_bget?ec:" &amp; E194, "https://www.kegg.jp/dbget-bin/www_bget?ec:" &amp; E194), "")</f>
        <v>https://www.kegg.jp/dbget-bin/www_bget?ec:1.2.4.4</v>
      </c>
      <c r="G194" s="3" t="s">
        <v>7388</v>
      </c>
      <c r="H194" s="1" t="str">
        <f>IF(G194&lt;&gt;"", HYPERLINK("https://www.kegg.jp/entry/" &amp; G194, "https://www.kegg.jp/entry/" &amp; G194), "")</f>
        <v>https://www.kegg.jp/entry/R07601</v>
      </c>
      <c r="I194" t="s">
        <v>12825</v>
      </c>
      <c r="J194" t="s">
        <v>12826</v>
      </c>
    </row>
    <row r="195" spans="1:10" x14ac:dyDescent="0.25">
      <c r="A195" t="s">
        <v>381</v>
      </c>
      <c r="B195">
        <v>324</v>
      </c>
      <c r="C195" t="s">
        <v>382</v>
      </c>
      <c r="E195" s="5" t="s">
        <v>6643</v>
      </c>
      <c r="F195" s="1" t="str">
        <f>IF(E195&lt;&gt;"", HYPERLINK("https://www.kegg.jp/dbget-bin/www_bget?ec:" &amp; E195, "https://www.kegg.jp/dbget-bin/www_bget?ec:" &amp; E195), "")</f>
        <v>https://www.kegg.jp/dbget-bin/www_bget?ec:1.2.4.4</v>
      </c>
      <c r="G195" s="3" t="s">
        <v>7387</v>
      </c>
      <c r="H195" s="1" t="str">
        <f>IF(G195&lt;&gt;"", HYPERLINK("https://www.kegg.jp/entry/" &amp; G195, "https://www.kegg.jp/entry/" &amp; G195), "")</f>
        <v>https://www.kegg.jp/entry/R07602</v>
      </c>
      <c r="I195" t="s">
        <v>12827</v>
      </c>
      <c r="J195" t="s">
        <v>12828</v>
      </c>
    </row>
    <row r="196" spans="1:10" x14ac:dyDescent="0.25">
      <c r="A196" t="s">
        <v>381</v>
      </c>
      <c r="B196">
        <v>324</v>
      </c>
      <c r="C196" t="s">
        <v>382</v>
      </c>
      <c r="E196" s="5" t="s">
        <v>6643</v>
      </c>
      <c r="F196" s="1" t="str">
        <f>IF(E196&lt;&gt;"", HYPERLINK("https://www.kegg.jp/dbget-bin/www_bget?ec:" &amp; E196, "https://www.kegg.jp/dbget-bin/www_bget?ec:" &amp; E196), "")</f>
        <v>https://www.kegg.jp/dbget-bin/www_bget?ec:1.2.4.4</v>
      </c>
      <c r="G196" s="3" t="s">
        <v>7386</v>
      </c>
      <c r="H196" s="1" t="str">
        <f>IF(G196&lt;&gt;"", HYPERLINK("https://www.kegg.jp/entry/" &amp; G196, "https://www.kegg.jp/entry/" &amp; G196), "")</f>
        <v>https://www.kegg.jp/entry/R07603</v>
      </c>
      <c r="I196" t="s">
        <v>12829</v>
      </c>
      <c r="J196" t="s">
        <v>12830</v>
      </c>
    </row>
    <row r="197" spans="1:10" x14ac:dyDescent="0.25">
      <c r="A197" t="s">
        <v>381</v>
      </c>
      <c r="B197">
        <v>324</v>
      </c>
      <c r="C197" t="s">
        <v>382</v>
      </c>
      <c r="E197" s="5" t="s">
        <v>6643</v>
      </c>
      <c r="F197" s="1" t="str">
        <f>IF(E197&lt;&gt;"", HYPERLINK("https://www.kegg.jp/dbget-bin/www_bget?ec:" &amp; E197, "https://www.kegg.jp/dbget-bin/www_bget?ec:" &amp; E197), "")</f>
        <v>https://www.kegg.jp/dbget-bin/www_bget?ec:1.2.4.4</v>
      </c>
      <c r="G197" s="3" t="s">
        <v>7385</v>
      </c>
      <c r="H197" s="1" t="str">
        <f>IF(G197&lt;&gt;"", HYPERLINK("https://www.kegg.jp/entry/" &amp; G197, "https://www.kegg.jp/entry/" &amp; G197), "")</f>
        <v>https://www.kegg.jp/entry/R07604</v>
      </c>
      <c r="I197" t="s">
        <v>12831</v>
      </c>
      <c r="J197" t="s">
        <v>12832</v>
      </c>
    </row>
    <row r="198" spans="1:10" x14ac:dyDescent="0.25">
      <c r="A198" t="s">
        <v>381</v>
      </c>
      <c r="B198">
        <v>324</v>
      </c>
      <c r="C198" t="s">
        <v>382</v>
      </c>
      <c r="E198" s="5" t="s">
        <v>6643</v>
      </c>
      <c r="F198" s="1" t="str">
        <f>IF(E198&lt;&gt;"", HYPERLINK("https://www.kegg.jp/dbget-bin/www_bget?ec:" &amp; E198, "https://www.kegg.jp/dbget-bin/www_bget?ec:" &amp; E198), "")</f>
        <v>https://www.kegg.jp/dbget-bin/www_bget?ec:1.2.4.4</v>
      </c>
      <c r="G198" s="3" t="s">
        <v>7384</v>
      </c>
      <c r="H198" s="1" t="str">
        <f>IF(G198&lt;&gt;"", HYPERLINK("https://www.kegg.jp/entry/" &amp; G198, "https://www.kegg.jp/entry/" &amp; G198), "")</f>
        <v>https://www.kegg.jp/entry/R10996</v>
      </c>
      <c r="I198" t="s">
        <v>12833</v>
      </c>
      <c r="J198" t="s">
        <v>12834</v>
      </c>
    </row>
    <row r="199" spans="1:10" x14ac:dyDescent="0.25">
      <c r="A199" t="s">
        <v>381</v>
      </c>
      <c r="B199">
        <v>324</v>
      </c>
      <c r="C199" t="s">
        <v>382</v>
      </c>
      <c r="E199" s="5" t="s">
        <v>6643</v>
      </c>
      <c r="F199" s="1" t="str">
        <f>IF(E199&lt;&gt;"", HYPERLINK("https://www.kegg.jp/dbget-bin/www_bget?ec:" &amp; E199, "https://www.kegg.jp/dbget-bin/www_bget?ec:" &amp; E199), "")</f>
        <v>https://www.kegg.jp/dbget-bin/www_bget?ec:1.2.4.4</v>
      </c>
      <c r="G199" s="3" t="s">
        <v>7383</v>
      </c>
      <c r="H199" s="1" t="str">
        <f>IF(G199&lt;&gt;"", HYPERLINK("https://www.kegg.jp/entry/" &amp; G199, "https://www.kegg.jp/entry/" &amp; G199), "")</f>
        <v>https://www.kegg.jp/entry/R10997</v>
      </c>
      <c r="I199" t="s">
        <v>12835</v>
      </c>
      <c r="J199" t="s">
        <v>12836</v>
      </c>
    </row>
    <row r="200" spans="1:10" x14ac:dyDescent="0.25">
      <c r="A200" t="s">
        <v>384</v>
      </c>
      <c r="B200">
        <v>367</v>
      </c>
      <c r="C200" t="s">
        <v>385</v>
      </c>
      <c r="E200" s="5" t="s">
        <v>6643</v>
      </c>
      <c r="F200" s="1" t="str">
        <f>IF(E200&lt;&gt;"", HYPERLINK("https://www.kegg.jp/dbget-bin/www_bget?ec:" &amp; E200, "https://www.kegg.jp/dbget-bin/www_bget?ec:" &amp; E200), "")</f>
        <v>https://www.kegg.jp/dbget-bin/www_bget?ec:1.2.4.4</v>
      </c>
      <c r="G200" s="3" t="s">
        <v>7382</v>
      </c>
      <c r="H200" s="1" t="str">
        <f>IF(G200&lt;&gt;"", HYPERLINK("https://www.kegg.jp/entry/" &amp; G200, "https://www.kegg.jp/entry/" &amp; G200), "")</f>
        <v>https://www.kegg.jp/entry/R01701</v>
      </c>
      <c r="I200" t="s">
        <v>8109</v>
      </c>
      <c r="J200" t="s">
        <v>12818</v>
      </c>
    </row>
    <row r="201" spans="1:10" x14ac:dyDescent="0.25">
      <c r="A201" t="s">
        <v>384</v>
      </c>
      <c r="B201">
        <v>367</v>
      </c>
      <c r="C201" t="s">
        <v>385</v>
      </c>
      <c r="E201" s="5" t="s">
        <v>6643</v>
      </c>
      <c r="F201" s="1" t="str">
        <f>IF(E201&lt;&gt;"", HYPERLINK("https://www.kegg.jp/dbget-bin/www_bget?ec:" &amp; E201, "https://www.kegg.jp/dbget-bin/www_bget?ec:" &amp; E201), "")</f>
        <v>https://www.kegg.jp/dbget-bin/www_bget?ec:1.2.4.4</v>
      </c>
      <c r="G201" s="3" t="s">
        <v>7392</v>
      </c>
      <c r="H201" s="1" t="str">
        <f>IF(G201&lt;&gt;"", HYPERLINK("https://www.kegg.jp/entry/" &amp; G201, "https://www.kegg.jp/entry/" &amp; G201), "")</f>
        <v>https://www.kegg.jp/entry/R01702</v>
      </c>
      <c r="I201" t="s">
        <v>8110</v>
      </c>
      <c r="J201" t="s">
        <v>12819</v>
      </c>
    </row>
    <row r="202" spans="1:10" x14ac:dyDescent="0.25">
      <c r="A202" t="s">
        <v>384</v>
      </c>
      <c r="B202">
        <v>367</v>
      </c>
      <c r="C202" t="s">
        <v>385</v>
      </c>
      <c r="E202" s="5" t="s">
        <v>6643</v>
      </c>
      <c r="F202" s="1" t="str">
        <f>IF(E202&lt;&gt;"", HYPERLINK("https://www.kegg.jp/dbget-bin/www_bget?ec:" &amp; E202, "https://www.kegg.jp/dbget-bin/www_bget?ec:" &amp; E202), "")</f>
        <v>https://www.kegg.jp/dbget-bin/www_bget?ec:1.2.4.4</v>
      </c>
      <c r="G202" s="3" t="s">
        <v>7391</v>
      </c>
      <c r="H202" s="1" t="str">
        <f>IF(G202&lt;&gt;"", HYPERLINK("https://www.kegg.jp/entry/" &amp; G202, "https://www.kegg.jp/entry/" &amp; G202), "")</f>
        <v>https://www.kegg.jp/entry/R04225</v>
      </c>
      <c r="I202" t="s">
        <v>8111</v>
      </c>
      <c r="J202" t="s">
        <v>12820</v>
      </c>
    </row>
    <row r="203" spans="1:10" x14ac:dyDescent="0.25">
      <c r="A203" t="s">
        <v>384</v>
      </c>
      <c r="B203">
        <v>367</v>
      </c>
      <c r="C203" t="s">
        <v>385</v>
      </c>
      <c r="E203" s="5" t="s">
        <v>6643</v>
      </c>
      <c r="F203" s="1" t="str">
        <f>IF(E203&lt;&gt;"", HYPERLINK("https://www.kegg.jp/dbget-bin/www_bget?ec:" &amp; E203, "https://www.kegg.jp/dbget-bin/www_bget?ec:" &amp; E203), "")</f>
        <v>https://www.kegg.jp/dbget-bin/www_bget?ec:1.2.4.4</v>
      </c>
      <c r="G203" s="3" t="s">
        <v>7390</v>
      </c>
      <c r="H203" s="1" t="str">
        <f>IF(G203&lt;&gt;"", HYPERLINK("https://www.kegg.jp/entry/" &amp; G203, "https://www.kegg.jp/entry/" &amp; G203), "")</f>
        <v>https://www.kegg.jp/entry/R07599</v>
      </c>
      <c r="I203" t="s">
        <v>12821</v>
      </c>
      <c r="J203" t="s">
        <v>12822</v>
      </c>
    </row>
    <row r="204" spans="1:10" x14ac:dyDescent="0.25">
      <c r="A204" t="s">
        <v>384</v>
      </c>
      <c r="B204">
        <v>367</v>
      </c>
      <c r="C204" t="s">
        <v>385</v>
      </c>
      <c r="E204" s="5" t="s">
        <v>6643</v>
      </c>
      <c r="F204" s="1" t="str">
        <f>IF(E204&lt;&gt;"", HYPERLINK("https://www.kegg.jp/dbget-bin/www_bget?ec:" &amp; E204, "https://www.kegg.jp/dbget-bin/www_bget?ec:" &amp; E204), "")</f>
        <v>https://www.kegg.jp/dbget-bin/www_bget?ec:1.2.4.4</v>
      </c>
      <c r="G204" s="3" t="s">
        <v>7389</v>
      </c>
      <c r="H204" s="1" t="str">
        <f>IF(G204&lt;&gt;"", HYPERLINK("https://www.kegg.jp/entry/" &amp; G204, "https://www.kegg.jp/entry/" &amp; G204), "")</f>
        <v>https://www.kegg.jp/entry/R07600</v>
      </c>
      <c r="I204" t="s">
        <v>12823</v>
      </c>
      <c r="J204" t="s">
        <v>12824</v>
      </c>
    </row>
    <row r="205" spans="1:10" x14ac:dyDescent="0.25">
      <c r="A205" t="s">
        <v>384</v>
      </c>
      <c r="B205">
        <v>367</v>
      </c>
      <c r="C205" t="s">
        <v>385</v>
      </c>
      <c r="E205" s="5" t="s">
        <v>6643</v>
      </c>
      <c r="F205" s="1" t="str">
        <f>IF(E205&lt;&gt;"", HYPERLINK("https://www.kegg.jp/dbget-bin/www_bget?ec:" &amp; E205, "https://www.kegg.jp/dbget-bin/www_bget?ec:" &amp; E205), "")</f>
        <v>https://www.kegg.jp/dbget-bin/www_bget?ec:1.2.4.4</v>
      </c>
      <c r="G205" s="3" t="s">
        <v>7388</v>
      </c>
      <c r="H205" s="1" t="str">
        <f>IF(G205&lt;&gt;"", HYPERLINK("https://www.kegg.jp/entry/" &amp; G205, "https://www.kegg.jp/entry/" &amp; G205), "")</f>
        <v>https://www.kegg.jp/entry/R07601</v>
      </c>
      <c r="I205" t="s">
        <v>12825</v>
      </c>
      <c r="J205" t="s">
        <v>12826</v>
      </c>
    </row>
    <row r="206" spans="1:10" x14ac:dyDescent="0.25">
      <c r="A206" t="s">
        <v>384</v>
      </c>
      <c r="B206">
        <v>367</v>
      </c>
      <c r="C206" t="s">
        <v>385</v>
      </c>
      <c r="E206" s="5" t="s">
        <v>6643</v>
      </c>
      <c r="F206" s="1" t="str">
        <f>IF(E206&lt;&gt;"", HYPERLINK("https://www.kegg.jp/dbget-bin/www_bget?ec:" &amp; E206, "https://www.kegg.jp/dbget-bin/www_bget?ec:" &amp; E206), "")</f>
        <v>https://www.kegg.jp/dbget-bin/www_bget?ec:1.2.4.4</v>
      </c>
      <c r="G206" s="3" t="s">
        <v>7387</v>
      </c>
      <c r="H206" s="1" t="str">
        <f>IF(G206&lt;&gt;"", HYPERLINK("https://www.kegg.jp/entry/" &amp; G206, "https://www.kegg.jp/entry/" &amp; G206), "")</f>
        <v>https://www.kegg.jp/entry/R07602</v>
      </c>
      <c r="I206" t="s">
        <v>12827</v>
      </c>
      <c r="J206" t="s">
        <v>12828</v>
      </c>
    </row>
    <row r="207" spans="1:10" x14ac:dyDescent="0.25">
      <c r="A207" t="s">
        <v>384</v>
      </c>
      <c r="B207">
        <v>367</v>
      </c>
      <c r="C207" t="s">
        <v>385</v>
      </c>
      <c r="E207" s="5" t="s">
        <v>6643</v>
      </c>
      <c r="F207" s="1" t="str">
        <f>IF(E207&lt;&gt;"", HYPERLINK("https://www.kegg.jp/dbget-bin/www_bget?ec:" &amp; E207, "https://www.kegg.jp/dbget-bin/www_bget?ec:" &amp; E207), "")</f>
        <v>https://www.kegg.jp/dbget-bin/www_bget?ec:1.2.4.4</v>
      </c>
      <c r="G207" s="3" t="s">
        <v>7386</v>
      </c>
      <c r="H207" s="1" t="str">
        <f>IF(G207&lt;&gt;"", HYPERLINK("https://www.kegg.jp/entry/" &amp; G207, "https://www.kegg.jp/entry/" &amp; G207), "")</f>
        <v>https://www.kegg.jp/entry/R07603</v>
      </c>
      <c r="I207" t="s">
        <v>12829</v>
      </c>
      <c r="J207" t="s">
        <v>12830</v>
      </c>
    </row>
    <row r="208" spans="1:10" x14ac:dyDescent="0.25">
      <c r="A208" t="s">
        <v>384</v>
      </c>
      <c r="B208">
        <v>367</v>
      </c>
      <c r="C208" t="s">
        <v>385</v>
      </c>
      <c r="E208" s="5" t="s">
        <v>6643</v>
      </c>
      <c r="F208" s="1" t="str">
        <f>IF(E208&lt;&gt;"", HYPERLINK("https://www.kegg.jp/dbget-bin/www_bget?ec:" &amp; E208, "https://www.kegg.jp/dbget-bin/www_bget?ec:" &amp; E208), "")</f>
        <v>https://www.kegg.jp/dbget-bin/www_bget?ec:1.2.4.4</v>
      </c>
      <c r="G208" s="3" t="s">
        <v>7385</v>
      </c>
      <c r="H208" s="1" t="str">
        <f>IF(G208&lt;&gt;"", HYPERLINK("https://www.kegg.jp/entry/" &amp; G208, "https://www.kegg.jp/entry/" &amp; G208), "")</f>
        <v>https://www.kegg.jp/entry/R07604</v>
      </c>
      <c r="I208" t="s">
        <v>12831</v>
      </c>
      <c r="J208" t="s">
        <v>12832</v>
      </c>
    </row>
    <row r="209" spans="1:10" x14ac:dyDescent="0.25">
      <c r="A209" t="s">
        <v>384</v>
      </c>
      <c r="B209">
        <v>367</v>
      </c>
      <c r="C209" t="s">
        <v>385</v>
      </c>
      <c r="E209" s="5" t="s">
        <v>6643</v>
      </c>
      <c r="F209" s="1" t="str">
        <f>IF(E209&lt;&gt;"", HYPERLINK("https://www.kegg.jp/dbget-bin/www_bget?ec:" &amp; E209, "https://www.kegg.jp/dbget-bin/www_bget?ec:" &amp; E209), "")</f>
        <v>https://www.kegg.jp/dbget-bin/www_bget?ec:1.2.4.4</v>
      </c>
      <c r="G209" s="3" t="s">
        <v>7384</v>
      </c>
      <c r="H209" s="1" t="str">
        <f>IF(G209&lt;&gt;"", HYPERLINK("https://www.kegg.jp/entry/" &amp; G209, "https://www.kegg.jp/entry/" &amp; G209), "")</f>
        <v>https://www.kegg.jp/entry/R10996</v>
      </c>
      <c r="I209" t="s">
        <v>12833</v>
      </c>
      <c r="J209" t="s">
        <v>12834</v>
      </c>
    </row>
    <row r="210" spans="1:10" x14ac:dyDescent="0.25">
      <c r="A210" t="s">
        <v>384</v>
      </c>
      <c r="B210">
        <v>367</v>
      </c>
      <c r="C210" t="s">
        <v>385</v>
      </c>
      <c r="E210" s="5" t="s">
        <v>6643</v>
      </c>
      <c r="F210" s="1" t="str">
        <f>IF(E210&lt;&gt;"", HYPERLINK("https://www.kegg.jp/dbget-bin/www_bget?ec:" &amp; E210, "https://www.kegg.jp/dbget-bin/www_bget?ec:" &amp; E210), "")</f>
        <v>https://www.kegg.jp/dbget-bin/www_bget?ec:1.2.4.4</v>
      </c>
      <c r="G210" s="3" t="s">
        <v>7383</v>
      </c>
      <c r="H210" s="1" t="str">
        <f>IF(G210&lt;&gt;"", HYPERLINK("https://www.kegg.jp/entry/" &amp; G210, "https://www.kegg.jp/entry/" &amp; G210), "")</f>
        <v>https://www.kegg.jp/entry/R10997</v>
      </c>
      <c r="I210" t="s">
        <v>12835</v>
      </c>
      <c r="J210" t="s">
        <v>12836</v>
      </c>
    </row>
    <row r="211" spans="1:10" hidden="1" x14ac:dyDescent="0.25">
      <c r="A211" t="s">
        <v>387</v>
      </c>
      <c r="B211">
        <v>135</v>
      </c>
      <c r="C211" t="s">
        <v>388</v>
      </c>
      <c r="F211" s="1" t="str">
        <f>IF(E211&lt;&gt;"", HYPERLINK("https://www.kegg.jp/dbget-bin/www_bget?ec:" &amp; E211, "https://www.kegg.jp/dbget-bin/www_bget?ec:" &amp; E211), "")</f>
        <v/>
      </c>
      <c r="G211" s="3"/>
      <c r="H211" s="1" t="str">
        <f>IF(G211&lt;&gt;"", HYPERLINK("https://www.kegg.jp/entry/" &amp; G211, "https://www.kegg.jp/entry/" &amp; G211), "")</f>
        <v/>
      </c>
    </row>
    <row r="212" spans="1:10" hidden="1" x14ac:dyDescent="0.25">
      <c r="A212" t="s">
        <v>389</v>
      </c>
      <c r="B212">
        <v>131</v>
      </c>
      <c r="C212" t="s">
        <v>390</v>
      </c>
      <c r="F212" s="1" t="str">
        <f>IF(E212&lt;&gt;"", HYPERLINK("https://www.kegg.jp/dbget-bin/www_bget?ec:" &amp; E212, "https://www.kegg.jp/dbget-bin/www_bget?ec:" &amp; E212), "")</f>
        <v/>
      </c>
      <c r="G212" s="3"/>
      <c r="H212" s="1" t="str">
        <f>IF(G212&lt;&gt;"", HYPERLINK("https://www.kegg.jp/entry/" &amp; G212, "https://www.kegg.jp/entry/" &amp; G212), "")</f>
        <v/>
      </c>
    </row>
    <row r="213" spans="1:10" hidden="1" x14ac:dyDescent="0.25">
      <c r="A213" t="s">
        <v>391</v>
      </c>
      <c r="B213">
        <v>141</v>
      </c>
      <c r="C213" t="s">
        <v>392</v>
      </c>
      <c r="F213" s="1" t="str">
        <f>IF(E213&lt;&gt;"", HYPERLINK("https://www.kegg.jp/dbget-bin/www_bget?ec:" &amp; E213, "https://www.kegg.jp/dbget-bin/www_bget?ec:" &amp; E213), "")</f>
        <v/>
      </c>
      <c r="G213" s="3"/>
      <c r="H213" s="1" t="str">
        <f>IF(G213&lt;&gt;"", HYPERLINK("https://www.kegg.jp/entry/" &amp; G213, "https://www.kegg.jp/entry/" &amp; G213), "")</f>
        <v/>
      </c>
    </row>
    <row r="214" spans="1:10" x14ac:dyDescent="0.25">
      <c r="A214" t="s">
        <v>394</v>
      </c>
      <c r="B214">
        <v>294</v>
      </c>
      <c r="C214" t="s">
        <v>395</v>
      </c>
      <c r="E214" s="5" t="s">
        <v>6644</v>
      </c>
      <c r="F214" s="1" t="str">
        <f>IF(E214&lt;&gt;"", HYPERLINK("https://www.kegg.jp/dbget-bin/www_bget?ec:" &amp; E214, "https://www.kegg.jp/dbget-bin/www_bget?ec:" &amp; E214), "")</f>
        <v>https://www.kegg.jp/dbget-bin/www_bget?ec:6.3.4.9</v>
      </c>
      <c r="G214" s="3" t="s">
        <v>7393</v>
      </c>
      <c r="H214" s="1" t="str">
        <f>IF(G214&lt;&gt;"", HYPERLINK("https://www.kegg.jp/entry/" &amp; G214, "https://www.kegg.jp/entry/" &amp; G214), "")</f>
        <v>https://www.kegg.jp/entry/R04563</v>
      </c>
      <c r="I214" t="s">
        <v>8112</v>
      </c>
      <c r="J214" t="s">
        <v>12837</v>
      </c>
    </row>
    <row r="215" spans="1:10" x14ac:dyDescent="0.25">
      <c r="A215" t="s">
        <v>394</v>
      </c>
      <c r="B215">
        <v>294</v>
      </c>
      <c r="C215" t="s">
        <v>395</v>
      </c>
      <c r="E215" s="5" t="s">
        <v>6644</v>
      </c>
      <c r="F215" s="1" t="str">
        <f>IF(E215&lt;&gt;"", HYPERLINK("https://www.kegg.jp/dbget-bin/www_bget?ec:" &amp; E215, "https://www.kegg.jp/dbget-bin/www_bget?ec:" &amp; E215), "")</f>
        <v>https://www.kegg.jp/dbget-bin/www_bget?ec:6.3.4.9</v>
      </c>
      <c r="G215" s="3" t="s">
        <v>7394</v>
      </c>
      <c r="H215" s="1" t="str">
        <f>IF(G215&lt;&gt;"", HYPERLINK("https://www.kegg.jp/entry/" &amp; G215, "https://www.kegg.jp/entry/" &amp; G215), "")</f>
        <v>https://www.kegg.jp/entry/R01074</v>
      </c>
      <c r="I215" t="s">
        <v>8113</v>
      </c>
      <c r="J215" t="s">
        <v>8406</v>
      </c>
    </row>
    <row r="216" spans="1:10" x14ac:dyDescent="0.25">
      <c r="A216" t="s">
        <v>394</v>
      </c>
      <c r="B216">
        <v>294</v>
      </c>
      <c r="C216" t="s">
        <v>395</v>
      </c>
      <c r="E216" s="5" t="s">
        <v>6644</v>
      </c>
      <c r="F216" s="1" t="str">
        <f>IF(E216&lt;&gt;"", HYPERLINK("https://www.kegg.jp/dbget-bin/www_bget?ec:" &amp; E216, "https://www.kegg.jp/dbget-bin/www_bget?ec:" &amp; E216), "")</f>
        <v>https://www.kegg.jp/dbget-bin/www_bget?ec:6.3.4.9</v>
      </c>
      <c r="G216" s="3" t="s">
        <v>7395</v>
      </c>
      <c r="H216" s="1" t="str">
        <f>IF(G216&lt;&gt;"", HYPERLINK("https://www.kegg.jp/entry/" &amp; G216, "https://www.kegg.jp/entry/" &amp; G216), "")</f>
        <v>https://www.kegg.jp/entry/R05145</v>
      </c>
      <c r="I216" t="s">
        <v>8114</v>
      </c>
      <c r="J216" t="s">
        <v>8407</v>
      </c>
    </row>
    <row r="217" spans="1:10" x14ac:dyDescent="0.25">
      <c r="A217" t="s">
        <v>397</v>
      </c>
      <c r="B217">
        <v>348</v>
      </c>
      <c r="C217" t="s">
        <v>398</v>
      </c>
      <c r="E217" s="5" t="s">
        <v>6645</v>
      </c>
      <c r="F217" s="1" t="str">
        <f>IF(E217&lt;&gt;"", HYPERLINK("https://www.kegg.jp/dbget-bin/www_bget?ec:" &amp; E217, "https://www.kegg.jp/dbget-bin/www_bget?ec:" &amp; E217), "")</f>
        <v>https://www.kegg.jp/dbget-bin/www_bget?ec:2.7.7.24</v>
      </c>
      <c r="G217" s="3" t="s">
        <v>7101</v>
      </c>
      <c r="H217" s="1" t="str">
        <f>IF(G217&lt;&gt;"", HYPERLINK("https://www.kegg.jp/entry/" &amp; G217, "https://www.kegg.jp/entry/" &amp; G217), "")</f>
        <v>https://www.kegg.jp/entry/R02328</v>
      </c>
      <c r="I217" t="s">
        <v>12838</v>
      </c>
      <c r="J217" t="s">
        <v>8408</v>
      </c>
    </row>
    <row r="218" spans="1:10" hidden="1" x14ac:dyDescent="0.25">
      <c r="A218" t="s">
        <v>400</v>
      </c>
      <c r="B218">
        <v>267</v>
      </c>
      <c r="C218" t="s">
        <v>401</v>
      </c>
      <c r="F218" s="1" t="str">
        <f>IF(E218&lt;&gt;"", HYPERLINK("https://www.kegg.jp/dbget-bin/www_bget?ec:" &amp; E218, "https://www.kegg.jp/dbget-bin/www_bget?ec:" &amp; E218), "")</f>
        <v/>
      </c>
      <c r="G218" s="3"/>
      <c r="H218" s="1" t="str">
        <f>IF(G218&lt;&gt;"", HYPERLINK("https://www.kegg.jp/entry/" &amp; G218, "https://www.kegg.jp/entry/" &amp; G218), "")</f>
        <v/>
      </c>
    </row>
    <row r="219" spans="1:10" hidden="1" x14ac:dyDescent="0.25">
      <c r="A219" t="s">
        <v>403</v>
      </c>
      <c r="B219">
        <v>126</v>
      </c>
      <c r="C219" t="s">
        <v>404</v>
      </c>
      <c r="F219" s="1" t="str">
        <f>IF(E219&lt;&gt;"", HYPERLINK("https://www.kegg.jp/dbget-bin/www_bget?ec:" &amp; E219, "https://www.kegg.jp/dbget-bin/www_bget?ec:" &amp; E219), "")</f>
        <v/>
      </c>
      <c r="G219" s="3"/>
      <c r="H219" s="1" t="str">
        <f>IF(G219&lt;&gt;"", HYPERLINK("https://www.kegg.jp/entry/" &amp; G219, "https://www.kegg.jp/entry/" &amp; G219), "")</f>
        <v/>
      </c>
    </row>
    <row r="220" spans="1:10" x14ac:dyDescent="0.25">
      <c r="A220" t="s">
        <v>406</v>
      </c>
      <c r="B220">
        <v>726</v>
      </c>
      <c r="C220" t="s">
        <v>407</v>
      </c>
      <c r="E220" s="5" t="s">
        <v>6646</v>
      </c>
      <c r="F220" s="1" t="str">
        <f>IF(E220&lt;&gt;"", HYPERLINK("https://www.kegg.jp/dbget-bin/www_bget?ec:" &amp; E220, "https://www.kegg.jp/dbget-bin/www_bget?ec:" &amp; E220), "")</f>
        <v>https://www.kegg.jp/dbget-bin/www_bget?ec:2.7.6.5</v>
      </c>
      <c r="G220" s="3" t="s">
        <v>7102</v>
      </c>
      <c r="H220" s="1" t="str">
        <f>IF(G220&lt;&gt;"", HYPERLINK("https://www.kegg.jp/entry/" &amp; G220, "https://www.kegg.jp/entry/" &amp; G220), "")</f>
        <v>https://www.kegg.jp/entry/R00429</v>
      </c>
      <c r="I220" t="s">
        <v>8115</v>
      </c>
      <c r="J220" t="s">
        <v>8409</v>
      </c>
    </row>
    <row r="221" spans="1:10" hidden="1" x14ac:dyDescent="0.25">
      <c r="A221" t="s">
        <v>409</v>
      </c>
      <c r="B221">
        <v>746</v>
      </c>
      <c r="C221" t="s">
        <v>410</v>
      </c>
      <c r="F221" s="1" t="str">
        <f>IF(E221&lt;&gt;"", HYPERLINK("https://www.kegg.jp/dbget-bin/www_bget?ec:" &amp; E221, "https://www.kegg.jp/dbget-bin/www_bget?ec:" &amp; E221), "")</f>
        <v/>
      </c>
      <c r="G221" s="3"/>
      <c r="H221" s="1" t="str">
        <f>IF(G221&lt;&gt;"", HYPERLINK("https://www.kegg.jp/entry/" &amp; G221, "https://www.kegg.jp/entry/" &amp; G221), "")</f>
        <v/>
      </c>
    </row>
    <row r="222" spans="1:10" hidden="1" x14ac:dyDescent="0.25">
      <c r="A222" t="s">
        <v>412</v>
      </c>
      <c r="B222">
        <v>369</v>
      </c>
      <c r="C222" t="s">
        <v>413</v>
      </c>
      <c r="F222" s="1" t="str">
        <f>IF(E222&lt;&gt;"", HYPERLINK("https://www.kegg.jp/dbget-bin/www_bget?ec:" &amp; E222, "https://www.kegg.jp/dbget-bin/www_bget?ec:" &amp; E222), "")</f>
        <v/>
      </c>
      <c r="G222" s="3"/>
      <c r="H222" s="1" t="str">
        <f>IF(G222&lt;&gt;"", HYPERLINK("https://www.kegg.jp/entry/" &amp; G222, "https://www.kegg.jp/entry/" &amp; G222), "")</f>
        <v/>
      </c>
    </row>
    <row r="223" spans="1:10" hidden="1" x14ac:dyDescent="0.25">
      <c r="A223" t="s">
        <v>415</v>
      </c>
      <c r="B223">
        <v>246</v>
      </c>
      <c r="C223" t="s">
        <v>416</v>
      </c>
      <c r="F223" s="1" t="str">
        <f>IF(E223&lt;&gt;"", HYPERLINK("https://www.kegg.jp/dbget-bin/www_bget?ec:" &amp; E223, "https://www.kegg.jp/dbget-bin/www_bget?ec:" &amp; E223), "")</f>
        <v/>
      </c>
      <c r="G223" s="3"/>
      <c r="H223" s="1" t="str">
        <f>IF(G223&lt;&gt;"", HYPERLINK("https://www.kegg.jp/entry/" &amp; G223, "https://www.kegg.jp/entry/" &amp; G223), "")</f>
        <v/>
      </c>
    </row>
    <row r="224" spans="1:10" hidden="1" x14ac:dyDescent="0.25">
      <c r="A224" t="s">
        <v>418</v>
      </c>
      <c r="B224">
        <v>164</v>
      </c>
      <c r="C224" t="s">
        <v>419</v>
      </c>
      <c r="F224" s="1" t="str">
        <f>IF(E224&lt;&gt;"", HYPERLINK("https://www.kegg.jp/dbget-bin/www_bget?ec:" &amp; E224, "https://www.kegg.jp/dbget-bin/www_bget?ec:" &amp; E224), "")</f>
        <v/>
      </c>
      <c r="G224" s="3"/>
      <c r="H224" s="1" t="str">
        <f>IF(G224&lt;&gt;"", HYPERLINK("https://www.kegg.jp/entry/" &amp; G224, "https://www.kegg.jp/entry/" &amp; G224), "")</f>
        <v/>
      </c>
    </row>
    <row r="225" spans="1:10" hidden="1" x14ac:dyDescent="0.25">
      <c r="A225" t="s">
        <v>421</v>
      </c>
      <c r="B225">
        <v>191</v>
      </c>
      <c r="C225" t="s">
        <v>422</v>
      </c>
      <c r="F225" s="1" t="str">
        <f>IF(E225&lt;&gt;"", HYPERLINK("https://www.kegg.jp/dbget-bin/www_bget?ec:" &amp; E225, "https://www.kegg.jp/dbget-bin/www_bget?ec:" &amp; E225), "")</f>
        <v/>
      </c>
      <c r="G225" s="3"/>
      <c r="H225" s="1" t="str">
        <f>IF(G225&lt;&gt;"", HYPERLINK("https://www.kegg.jp/entry/" &amp; G225, "https://www.kegg.jp/entry/" &amp; G225), "")</f>
        <v/>
      </c>
    </row>
    <row r="226" spans="1:10" x14ac:dyDescent="0.25">
      <c r="A226" t="s">
        <v>424</v>
      </c>
      <c r="B226">
        <v>261</v>
      </c>
      <c r="C226" t="s">
        <v>425</v>
      </c>
      <c r="E226" s="5" t="s">
        <v>6647</v>
      </c>
      <c r="F226" s="1" t="str">
        <f>IF(E226&lt;&gt;"", HYPERLINK("https://www.kegg.jp/dbget-bin/www_bget?ec:" &amp; E226, "https://www.kegg.jp/dbget-bin/www_bget?ec:" &amp; E226), "")</f>
        <v>https://www.kegg.jp/dbget-bin/www_bget?ec:4.2.1.17</v>
      </c>
      <c r="G226" s="3" t="s">
        <v>7396</v>
      </c>
      <c r="H226" s="1" t="str">
        <f>IF(G226&lt;&gt;"", HYPERLINK("https://www.kegg.jp/entry/" &amp; G226, "https://www.kegg.jp/entry/" &amp; G226), "")</f>
        <v>https://www.kegg.jp/entry/R02685</v>
      </c>
      <c r="I226" t="s">
        <v>8116</v>
      </c>
      <c r="J226" t="s">
        <v>12839</v>
      </c>
    </row>
    <row r="227" spans="1:10" x14ac:dyDescent="0.25">
      <c r="A227" t="s">
        <v>424</v>
      </c>
      <c r="B227">
        <v>261</v>
      </c>
      <c r="C227" t="s">
        <v>425</v>
      </c>
      <c r="E227" s="5" t="s">
        <v>6647</v>
      </c>
      <c r="F227" s="1" t="str">
        <f>IF(E227&lt;&gt;"", HYPERLINK("https://www.kegg.jp/dbget-bin/www_bget?ec:" &amp; E227, "https://www.kegg.jp/dbget-bin/www_bget?ec:" &amp; E227), "")</f>
        <v>https://www.kegg.jp/dbget-bin/www_bget?ec:4.2.1.17</v>
      </c>
      <c r="G227" s="3" t="s">
        <v>7417</v>
      </c>
      <c r="H227" s="1" t="str">
        <f>IF(G227&lt;&gt;"", HYPERLINK("https://www.kegg.jp/entry/" &amp; G227, "https://www.kegg.jp/entry/" &amp; G227), "")</f>
        <v>https://www.kegg.jp/entry/R03026</v>
      </c>
      <c r="I227" t="s">
        <v>8117</v>
      </c>
      <c r="J227" t="s">
        <v>12840</v>
      </c>
    </row>
    <row r="228" spans="1:10" x14ac:dyDescent="0.25">
      <c r="A228" t="s">
        <v>424</v>
      </c>
      <c r="B228">
        <v>261</v>
      </c>
      <c r="C228" t="s">
        <v>425</v>
      </c>
      <c r="E228" s="5" t="s">
        <v>6647</v>
      </c>
      <c r="F228" s="1" t="str">
        <f>IF(E228&lt;&gt;"", HYPERLINK("https://www.kegg.jp/dbget-bin/www_bget?ec:" &amp; E228, "https://www.kegg.jp/dbget-bin/www_bget?ec:" &amp; E228), "")</f>
        <v>https://www.kegg.jp/dbget-bin/www_bget?ec:4.2.1.17</v>
      </c>
      <c r="G228" s="3" t="s">
        <v>7416</v>
      </c>
      <c r="H228" s="1" t="str">
        <f>IF(G228&lt;&gt;"", HYPERLINK("https://www.kegg.jp/entry/" &amp; G228, "https://www.kegg.jp/entry/" &amp; G228), "")</f>
        <v>https://www.kegg.jp/entry/R03045</v>
      </c>
      <c r="I228" t="s">
        <v>8118</v>
      </c>
      <c r="J228" t="s">
        <v>12841</v>
      </c>
    </row>
    <row r="229" spans="1:10" x14ac:dyDescent="0.25">
      <c r="A229" t="s">
        <v>424</v>
      </c>
      <c r="B229">
        <v>261</v>
      </c>
      <c r="C229" t="s">
        <v>425</v>
      </c>
      <c r="E229" s="5" t="s">
        <v>6647</v>
      </c>
      <c r="F229" s="1" t="str">
        <f>IF(E229&lt;&gt;"", HYPERLINK("https://www.kegg.jp/dbget-bin/www_bget?ec:" &amp; E229, "https://www.kegg.jp/dbget-bin/www_bget?ec:" &amp; E229), "")</f>
        <v>https://www.kegg.jp/dbget-bin/www_bget?ec:4.2.1.17</v>
      </c>
      <c r="G229" s="3" t="s">
        <v>7415</v>
      </c>
      <c r="H229" s="1" t="str">
        <f>IF(G229&lt;&gt;"", HYPERLINK("https://www.kegg.jp/entry/" &amp; G229, "https://www.kegg.jp/entry/" &amp; G229), "")</f>
        <v>https://www.kegg.jp/entry/R04170</v>
      </c>
      <c r="I229" t="s">
        <v>8119</v>
      </c>
      <c r="J229" t="s">
        <v>12842</v>
      </c>
    </row>
    <row r="230" spans="1:10" x14ac:dyDescent="0.25">
      <c r="A230" t="s">
        <v>424</v>
      </c>
      <c r="B230">
        <v>261</v>
      </c>
      <c r="C230" t="s">
        <v>425</v>
      </c>
      <c r="E230" s="5" t="s">
        <v>6647</v>
      </c>
      <c r="F230" s="1" t="str">
        <f>IF(E230&lt;&gt;"", HYPERLINK("https://www.kegg.jp/dbget-bin/www_bget?ec:" &amp; E230, "https://www.kegg.jp/dbget-bin/www_bget?ec:" &amp; E230), "")</f>
        <v>https://www.kegg.jp/dbget-bin/www_bget?ec:4.2.1.17</v>
      </c>
      <c r="G230" s="3" t="s">
        <v>7414</v>
      </c>
      <c r="H230" s="1" t="str">
        <f>IF(G230&lt;&gt;"", HYPERLINK("https://www.kegg.jp/entry/" &amp; G230, "https://www.kegg.jp/entry/" &amp; G230), "")</f>
        <v>https://www.kegg.jp/entry/R04204</v>
      </c>
      <c r="I230" t="s">
        <v>8120</v>
      </c>
      <c r="J230" t="s">
        <v>12843</v>
      </c>
    </row>
    <row r="231" spans="1:10" x14ac:dyDescent="0.25">
      <c r="A231" t="s">
        <v>424</v>
      </c>
      <c r="B231">
        <v>261</v>
      </c>
      <c r="C231" t="s">
        <v>425</v>
      </c>
      <c r="E231" s="5" t="s">
        <v>6647</v>
      </c>
      <c r="F231" s="1" t="str">
        <f>IF(E231&lt;&gt;"", HYPERLINK("https://www.kegg.jp/dbget-bin/www_bget?ec:" &amp; E231, "https://www.kegg.jp/dbget-bin/www_bget?ec:" &amp; E231), "")</f>
        <v>https://www.kegg.jp/dbget-bin/www_bget?ec:4.2.1.17</v>
      </c>
      <c r="G231" s="3" t="s">
        <v>7413</v>
      </c>
      <c r="H231" s="1" t="str">
        <f>IF(G231&lt;&gt;"", HYPERLINK("https://www.kegg.jp/entry/" &amp; G231, "https://www.kegg.jp/entry/" &amp; G231), "")</f>
        <v>https://www.kegg.jp/entry/R04224</v>
      </c>
      <c r="I231" t="s">
        <v>12844</v>
      </c>
      <c r="J231" t="s">
        <v>8410</v>
      </c>
    </row>
    <row r="232" spans="1:10" x14ac:dyDescent="0.25">
      <c r="A232" t="s">
        <v>424</v>
      </c>
      <c r="B232">
        <v>261</v>
      </c>
      <c r="C232" t="s">
        <v>425</v>
      </c>
      <c r="E232" s="5" t="s">
        <v>6647</v>
      </c>
      <c r="F232" s="1" t="str">
        <f>IF(E232&lt;&gt;"", HYPERLINK("https://www.kegg.jp/dbget-bin/www_bget?ec:" &amp; E232, "https://www.kegg.jp/dbget-bin/www_bget?ec:" &amp; E232), "")</f>
        <v>https://www.kegg.jp/dbget-bin/www_bget?ec:4.2.1.17</v>
      </c>
      <c r="G232" s="3" t="s">
        <v>7412</v>
      </c>
      <c r="H232" s="1" t="str">
        <f>IF(G232&lt;&gt;"", HYPERLINK("https://www.kegg.jp/entry/" &amp; G232, "https://www.kegg.jp/entry/" &amp; G232), "")</f>
        <v>https://www.kegg.jp/entry/R04738</v>
      </c>
      <c r="I232" t="s">
        <v>8121</v>
      </c>
      <c r="J232" t="s">
        <v>12845</v>
      </c>
    </row>
    <row r="233" spans="1:10" x14ac:dyDescent="0.25">
      <c r="A233" t="s">
        <v>424</v>
      </c>
      <c r="B233">
        <v>261</v>
      </c>
      <c r="C233" t="s">
        <v>425</v>
      </c>
      <c r="E233" s="5" t="s">
        <v>6647</v>
      </c>
      <c r="F233" s="1" t="str">
        <f>IF(E233&lt;&gt;"", HYPERLINK("https://www.kegg.jp/dbget-bin/www_bget?ec:" &amp; E233, "https://www.kegg.jp/dbget-bin/www_bget?ec:" &amp; E233), "")</f>
        <v>https://www.kegg.jp/dbget-bin/www_bget?ec:4.2.1.17</v>
      </c>
      <c r="G233" s="3" t="s">
        <v>7411</v>
      </c>
      <c r="H233" s="1" t="str">
        <f>IF(G233&lt;&gt;"", HYPERLINK("https://www.kegg.jp/entry/" &amp; G233, "https://www.kegg.jp/entry/" &amp; G233), "")</f>
        <v>https://www.kegg.jp/entry/R04740</v>
      </c>
      <c r="I233" t="s">
        <v>8122</v>
      </c>
      <c r="J233" t="s">
        <v>12846</v>
      </c>
    </row>
    <row r="234" spans="1:10" x14ac:dyDescent="0.25">
      <c r="A234" t="s">
        <v>424</v>
      </c>
      <c r="B234">
        <v>261</v>
      </c>
      <c r="C234" t="s">
        <v>425</v>
      </c>
      <c r="E234" s="5" t="s">
        <v>6647</v>
      </c>
      <c r="F234" s="1" t="str">
        <f>IF(E234&lt;&gt;"", HYPERLINK("https://www.kegg.jp/dbget-bin/www_bget?ec:" &amp; E234, "https://www.kegg.jp/dbget-bin/www_bget?ec:" &amp; E234), "")</f>
        <v>https://www.kegg.jp/dbget-bin/www_bget?ec:4.2.1.17</v>
      </c>
      <c r="G234" s="3" t="s">
        <v>7410</v>
      </c>
      <c r="H234" s="1" t="str">
        <f>IF(G234&lt;&gt;"", HYPERLINK("https://www.kegg.jp/entry/" &amp; G234, "https://www.kegg.jp/entry/" &amp; G234), "")</f>
        <v>https://www.kegg.jp/entry/R04744</v>
      </c>
      <c r="I234" t="s">
        <v>8123</v>
      </c>
      <c r="J234" t="s">
        <v>12847</v>
      </c>
    </row>
    <row r="235" spans="1:10" x14ac:dyDescent="0.25">
      <c r="A235" t="s">
        <v>424</v>
      </c>
      <c r="B235">
        <v>261</v>
      </c>
      <c r="C235" t="s">
        <v>425</v>
      </c>
      <c r="E235" s="5" t="s">
        <v>6647</v>
      </c>
      <c r="F235" s="1" t="str">
        <f>IF(E235&lt;&gt;"", HYPERLINK("https://www.kegg.jp/dbget-bin/www_bget?ec:" &amp; E235, "https://www.kegg.jp/dbget-bin/www_bget?ec:" &amp; E235), "")</f>
        <v>https://www.kegg.jp/dbget-bin/www_bget?ec:4.2.1.17</v>
      </c>
      <c r="G235" s="3" t="s">
        <v>7409</v>
      </c>
      <c r="H235" s="1" t="str">
        <f>IF(G235&lt;&gt;"", HYPERLINK("https://www.kegg.jp/entry/" &amp; G235, "https://www.kegg.jp/entry/" &amp; G235), "")</f>
        <v>https://www.kegg.jp/entry/R04746</v>
      </c>
      <c r="I235" t="s">
        <v>8124</v>
      </c>
      <c r="J235" t="s">
        <v>12848</v>
      </c>
    </row>
    <row r="236" spans="1:10" x14ac:dyDescent="0.25">
      <c r="A236" t="s">
        <v>424</v>
      </c>
      <c r="B236">
        <v>261</v>
      </c>
      <c r="C236" t="s">
        <v>425</v>
      </c>
      <c r="E236" s="5" t="s">
        <v>6647</v>
      </c>
      <c r="F236" s="1" t="str">
        <f>IF(E236&lt;&gt;"", HYPERLINK("https://www.kegg.jp/dbget-bin/www_bget?ec:" &amp; E236, "https://www.kegg.jp/dbget-bin/www_bget?ec:" &amp; E236), "")</f>
        <v>https://www.kegg.jp/dbget-bin/www_bget?ec:4.2.1.17</v>
      </c>
      <c r="G236" s="3" t="s">
        <v>7408</v>
      </c>
      <c r="H236" s="1" t="str">
        <f>IF(G236&lt;&gt;"", HYPERLINK("https://www.kegg.jp/entry/" &amp; G236, "https://www.kegg.jp/entry/" &amp; G236), "")</f>
        <v>https://www.kegg.jp/entry/R04749</v>
      </c>
      <c r="I236" t="s">
        <v>8125</v>
      </c>
      <c r="J236" t="s">
        <v>12849</v>
      </c>
    </row>
    <row r="237" spans="1:10" x14ac:dyDescent="0.25">
      <c r="A237" t="s">
        <v>424</v>
      </c>
      <c r="B237">
        <v>261</v>
      </c>
      <c r="C237" t="s">
        <v>425</v>
      </c>
      <c r="E237" s="5" t="s">
        <v>6647</v>
      </c>
      <c r="F237" s="1" t="str">
        <f>IF(E237&lt;&gt;"", HYPERLINK("https://www.kegg.jp/dbget-bin/www_bget?ec:" &amp; E237, "https://www.kegg.jp/dbget-bin/www_bget?ec:" &amp; E237), "")</f>
        <v>https://www.kegg.jp/dbget-bin/www_bget?ec:4.2.1.17</v>
      </c>
      <c r="G237" s="3" t="s">
        <v>7407</v>
      </c>
      <c r="H237" s="1" t="str">
        <f>IF(G237&lt;&gt;"", HYPERLINK("https://www.kegg.jp/entry/" &amp; G237, "https://www.kegg.jp/entry/" &amp; G237), "")</f>
        <v>https://www.kegg.jp/entry/R07889</v>
      </c>
      <c r="I237" t="s">
        <v>8126</v>
      </c>
      <c r="J237" t="s">
        <v>12850</v>
      </c>
    </row>
    <row r="238" spans="1:10" x14ac:dyDescent="0.25">
      <c r="A238" t="s">
        <v>424</v>
      </c>
      <c r="B238">
        <v>261</v>
      </c>
      <c r="C238" t="s">
        <v>425</v>
      </c>
      <c r="E238" s="5" t="s">
        <v>6647</v>
      </c>
      <c r="F238" s="1" t="str">
        <f>IF(E238&lt;&gt;"", HYPERLINK("https://www.kegg.jp/dbget-bin/www_bget?ec:" &amp; E238, "https://www.kegg.jp/dbget-bin/www_bget?ec:" &amp; E238), "")</f>
        <v>https://www.kegg.jp/dbget-bin/www_bget?ec:4.2.1.17</v>
      </c>
      <c r="G238" s="3" t="s">
        <v>7406</v>
      </c>
      <c r="H238" s="1" t="str">
        <f>IF(G238&lt;&gt;"", HYPERLINK("https://www.kegg.jp/entry/" &amp; G238, "https://www.kegg.jp/entry/" &amp; G238), "")</f>
        <v>https://www.kegg.jp/entry/R07893</v>
      </c>
      <c r="I238" t="s">
        <v>8127</v>
      </c>
      <c r="J238" t="s">
        <v>12851</v>
      </c>
    </row>
    <row r="239" spans="1:10" x14ac:dyDescent="0.25">
      <c r="A239" t="s">
        <v>424</v>
      </c>
      <c r="B239">
        <v>261</v>
      </c>
      <c r="C239" t="s">
        <v>425</v>
      </c>
      <c r="E239" s="5" t="s">
        <v>6647</v>
      </c>
      <c r="F239" s="1" t="str">
        <f>IF(E239&lt;&gt;"", HYPERLINK("https://www.kegg.jp/dbget-bin/www_bget?ec:" &amp; E239, "https://www.kegg.jp/dbget-bin/www_bget?ec:" &amp; E239), "")</f>
        <v>https://www.kegg.jp/dbget-bin/www_bget?ec:4.2.1.17</v>
      </c>
      <c r="G239" s="3" t="s">
        <v>7405</v>
      </c>
      <c r="H239" s="1" t="str">
        <f>IF(G239&lt;&gt;"", HYPERLINK("https://www.kegg.jp/entry/" &amp; G239, "https://www.kegg.jp/entry/" &amp; G239), "")</f>
        <v>https://www.kegg.jp/entry/R07897</v>
      </c>
      <c r="I239" t="s">
        <v>8128</v>
      </c>
      <c r="J239" t="s">
        <v>12852</v>
      </c>
    </row>
    <row r="240" spans="1:10" x14ac:dyDescent="0.25">
      <c r="A240" t="s">
        <v>424</v>
      </c>
      <c r="B240">
        <v>261</v>
      </c>
      <c r="C240" t="s">
        <v>425</v>
      </c>
      <c r="E240" s="5" t="s">
        <v>6647</v>
      </c>
      <c r="F240" s="1" t="str">
        <f>IF(E240&lt;&gt;"", HYPERLINK("https://www.kegg.jp/dbget-bin/www_bget?ec:" &amp; E240, "https://www.kegg.jp/dbget-bin/www_bget?ec:" &amp; E240), "")</f>
        <v>https://www.kegg.jp/dbget-bin/www_bget?ec:4.2.1.17</v>
      </c>
      <c r="G240" s="3" t="s">
        <v>7404</v>
      </c>
      <c r="H240" s="1" t="str">
        <f>IF(G240&lt;&gt;"", HYPERLINK("https://www.kegg.jp/entry/" &amp; G240, "https://www.kegg.jp/entry/" &amp; G240), "")</f>
        <v>https://www.kegg.jp/entry/R07314</v>
      </c>
      <c r="I240" t="s">
        <v>8116</v>
      </c>
      <c r="J240" t="s">
        <v>12853</v>
      </c>
    </row>
    <row r="241" spans="1:10" x14ac:dyDescent="0.25">
      <c r="A241" t="s">
        <v>424</v>
      </c>
      <c r="B241">
        <v>261</v>
      </c>
      <c r="C241" t="s">
        <v>425</v>
      </c>
      <c r="E241" s="5" t="s">
        <v>6647</v>
      </c>
      <c r="F241" s="1" t="str">
        <f>IF(E241&lt;&gt;"", HYPERLINK("https://www.kegg.jp/dbget-bin/www_bget?ec:" &amp; E241, "https://www.kegg.jp/dbget-bin/www_bget?ec:" &amp; E241), "")</f>
        <v>https://www.kegg.jp/dbget-bin/www_bget?ec:4.2.1.17</v>
      </c>
      <c r="G241" s="3" t="s">
        <v>7403</v>
      </c>
      <c r="H241" s="1" t="str">
        <f>IF(G241&lt;&gt;"", HYPERLINK("https://www.kegg.jp/entry/" &amp; G241, "https://www.kegg.jp/entry/" &amp; G241), "")</f>
        <v>https://www.kegg.jp/entry/R03224</v>
      </c>
      <c r="I241" t="s">
        <v>8129</v>
      </c>
      <c r="J241" t="s">
        <v>12854</v>
      </c>
    </row>
    <row r="242" spans="1:10" x14ac:dyDescent="0.25">
      <c r="A242" t="s">
        <v>424</v>
      </c>
      <c r="B242">
        <v>261</v>
      </c>
      <c r="C242" t="s">
        <v>425</v>
      </c>
      <c r="E242" s="5" t="s">
        <v>6647</v>
      </c>
      <c r="F242" s="1" t="str">
        <f>IF(E242&lt;&gt;"", HYPERLINK("https://www.kegg.jp/dbget-bin/www_bget?ec:" &amp; E242, "https://www.kegg.jp/dbget-bin/www_bget?ec:" &amp; E242), "")</f>
        <v>https://www.kegg.jp/dbget-bin/www_bget?ec:4.2.1.17</v>
      </c>
      <c r="G242" s="3" t="s">
        <v>7402</v>
      </c>
      <c r="H242" s="1" t="str">
        <f>IF(G242&lt;&gt;"", HYPERLINK("https://www.kegg.jp/entry/" &amp; G242, "https://www.kegg.jp/entry/" &amp; G242), "")</f>
        <v>https://www.kegg.jp/entry/R04137</v>
      </c>
      <c r="I242" t="s">
        <v>8130</v>
      </c>
      <c r="J242" t="s">
        <v>12855</v>
      </c>
    </row>
    <row r="243" spans="1:10" x14ac:dyDescent="0.25">
      <c r="A243" t="s">
        <v>424</v>
      </c>
      <c r="B243">
        <v>261</v>
      </c>
      <c r="C243" t="s">
        <v>425</v>
      </c>
      <c r="E243" s="5" t="s">
        <v>6647</v>
      </c>
      <c r="F243" s="1" t="str">
        <f>IF(E243&lt;&gt;"", HYPERLINK("https://www.kegg.jp/dbget-bin/www_bget?ec:" &amp; E243, "https://www.kegg.jp/dbget-bin/www_bget?ec:" &amp; E243), "")</f>
        <v>https://www.kegg.jp/dbget-bin/www_bget?ec:4.2.1.17</v>
      </c>
      <c r="G243" s="3" t="s">
        <v>7401</v>
      </c>
      <c r="H243" s="1" t="str">
        <f>IF(G243&lt;&gt;"", HYPERLINK("https://www.kegg.jp/entry/" &amp; G243, "https://www.kegg.jp/entry/" &amp; G243), "")</f>
        <v>https://www.kegg.jp/entry/R05595</v>
      </c>
      <c r="I243" t="s">
        <v>12840</v>
      </c>
      <c r="J243" t="s">
        <v>8411</v>
      </c>
    </row>
    <row r="244" spans="1:10" x14ac:dyDescent="0.25">
      <c r="A244" t="s">
        <v>424</v>
      </c>
      <c r="B244">
        <v>261</v>
      </c>
      <c r="C244" t="s">
        <v>425</v>
      </c>
      <c r="E244" s="5" t="s">
        <v>6647</v>
      </c>
      <c r="F244" s="1" t="str">
        <f>IF(E244&lt;&gt;"", HYPERLINK("https://www.kegg.jp/dbget-bin/www_bget?ec:" &amp; E244, "https://www.kegg.jp/dbget-bin/www_bget?ec:" &amp; E244), "")</f>
        <v>https://www.kegg.jp/dbget-bin/www_bget?ec:4.2.1.17</v>
      </c>
      <c r="G244" s="3" t="s">
        <v>7400</v>
      </c>
      <c r="H244" s="1" t="str">
        <f>IF(G244&lt;&gt;"", HYPERLINK("https://www.kegg.jp/entry/" &amp; G244, "https://www.kegg.jp/entry/" &amp; G244), "")</f>
        <v>https://www.kegg.jp/entry/R06411</v>
      </c>
      <c r="I244" t="s">
        <v>12856</v>
      </c>
      <c r="J244" t="s">
        <v>8412</v>
      </c>
    </row>
    <row r="245" spans="1:10" x14ac:dyDescent="0.25">
      <c r="A245" t="s">
        <v>424</v>
      </c>
      <c r="B245">
        <v>261</v>
      </c>
      <c r="C245" t="s">
        <v>425</v>
      </c>
      <c r="E245" s="5" t="s">
        <v>6647</v>
      </c>
      <c r="F245" s="1" t="str">
        <f>IF(E245&lt;&gt;"", HYPERLINK("https://www.kegg.jp/dbget-bin/www_bget?ec:" &amp; E245, "https://www.kegg.jp/dbget-bin/www_bget?ec:" &amp; E245), "")</f>
        <v>https://www.kegg.jp/dbget-bin/www_bget?ec:4.2.1.17</v>
      </c>
      <c r="G245" s="3" t="s">
        <v>7399</v>
      </c>
      <c r="H245" s="1" t="str">
        <f>IF(G245&lt;&gt;"", HYPERLINK("https://www.kegg.jp/entry/" &amp; G245, "https://www.kegg.jp/entry/" &amp; G245), "")</f>
        <v>https://www.kegg.jp/entry/R06412</v>
      </c>
      <c r="I245" t="s">
        <v>12857</v>
      </c>
      <c r="J245" t="s">
        <v>8412</v>
      </c>
    </row>
    <row r="246" spans="1:10" x14ac:dyDescent="0.25">
      <c r="A246" t="s">
        <v>424</v>
      </c>
      <c r="B246">
        <v>261</v>
      </c>
      <c r="C246" t="s">
        <v>425</v>
      </c>
      <c r="E246" s="5" t="s">
        <v>6647</v>
      </c>
      <c r="F246" s="1" t="str">
        <f>IF(E246&lt;&gt;"", HYPERLINK("https://www.kegg.jp/dbget-bin/www_bget?ec:" &amp; E246, "https://www.kegg.jp/dbget-bin/www_bget?ec:" &amp; E246), "")</f>
        <v>https://www.kegg.jp/dbget-bin/www_bget?ec:4.2.1.17</v>
      </c>
      <c r="G246" s="3" t="s">
        <v>7398</v>
      </c>
      <c r="H246" s="1" t="str">
        <f>IF(G246&lt;&gt;"", HYPERLINK("https://www.kegg.jp/entry/" &amp; G246, "https://www.kegg.jp/entry/" &amp; G246), "")</f>
        <v>https://www.kegg.jp/entry/R06942</v>
      </c>
      <c r="I246" t="s">
        <v>12858</v>
      </c>
      <c r="J246" t="s">
        <v>8413</v>
      </c>
    </row>
    <row r="247" spans="1:10" x14ac:dyDescent="0.25">
      <c r="A247" t="s">
        <v>424</v>
      </c>
      <c r="B247">
        <v>261</v>
      </c>
      <c r="C247" t="s">
        <v>425</v>
      </c>
      <c r="E247" s="5" t="s">
        <v>6647</v>
      </c>
      <c r="F247" s="1" t="str">
        <f>IF(E247&lt;&gt;"", HYPERLINK("https://www.kegg.jp/dbget-bin/www_bget?ec:" &amp; E247, "https://www.kegg.jp/dbget-bin/www_bget?ec:" &amp; E247), "")</f>
        <v>https://www.kegg.jp/dbget-bin/www_bget?ec:4.2.1.17</v>
      </c>
      <c r="G247" s="3" t="s">
        <v>7397</v>
      </c>
      <c r="H247" s="1" t="str">
        <f>IF(G247&lt;&gt;"", HYPERLINK("https://www.kegg.jp/entry/" &amp; G247, "https://www.kegg.jp/entry/" &amp; G247), "")</f>
        <v>https://www.kegg.jp/entry/R08093</v>
      </c>
      <c r="I247" t="s">
        <v>12859</v>
      </c>
      <c r="J247" t="s">
        <v>8414</v>
      </c>
    </row>
    <row r="248" spans="1:10" x14ac:dyDescent="0.25">
      <c r="A248" t="s">
        <v>427</v>
      </c>
      <c r="B248">
        <v>894</v>
      </c>
      <c r="C248" t="s">
        <v>428</v>
      </c>
      <c r="E248" s="5" t="s">
        <v>6648</v>
      </c>
      <c r="F248" s="1" t="str">
        <f>IF(E248&lt;&gt;"", HYPERLINK("https://www.kegg.jp/dbget-bin/www_bget?ec:" &amp; E248, "https://www.kegg.jp/dbget-bin/www_bget?ec:" &amp; E248), "")</f>
        <v>https://www.kegg.jp/dbget-bin/www_bget?ec:1.2.4.2</v>
      </c>
      <c r="G248" s="3" t="s">
        <v>7418</v>
      </c>
      <c r="H248" s="1" t="str">
        <f>IF(G248&lt;&gt;"", HYPERLINK("https://www.kegg.jp/entry/" &amp; G248, "https://www.kegg.jp/entry/" &amp; G248), "")</f>
        <v>https://www.kegg.jp/entry/R01700</v>
      </c>
      <c r="I248" t="s">
        <v>8131</v>
      </c>
      <c r="J248" t="s">
        <v>12860</v>
      </c>
    </row>
    <row r="249" spans="1:10" x14ac:dyDescent="0.25">
      <c r="A249" t="s">
        <v>427</v>
      </c>
      <c r="B249">
        <v>894</v>
      </c>
      <c r="C249" t="s">
        <v>428</v>
      </c>
      <c r="E249" s="5" t="s">
        <v>6648</v>
      </c>
      <c r="F249" s="1" t="str">
        <f>IF(E249&lt;&gt;"", HYPERLINK("https://www.kegg.jp/dbget-bin/www_bget?ec:" &amp; E249, "https://www.kegg.jp/dbget-bin/www_bget?ec:" &amp; E249), "")</f>
        <v>https://www.kegg.jp/dbget-bin/www_bget?ec:1.2.4.2</v>
      </c>
      <c r="G249" s="3" t="s">
        <v>7419</v>
      </c>
      <c r="H249" s="1" t="str">
        <f>IF(G249&lt;&gt;"", HYPERLINK("https://www.kegg.jp/entry/" &amp; G249, "https://www.kegg.jp/entry/" &amp; G249), "")</f>
        <v>https://www.kegg.jp/entry/R00621</v>
      </c>
      <c r="I249" t="s">
        <v>8132</v>
      </c>
      <c r="J249" t="s">
        <v>12861</v>
      </c>
    </row>
    <row r="250" spans="1:10" x14ac:dyDescent="0.25">
      <c r="A250" t="s">
        <v>427</v>
      </c>
      <c r="B250">
        <v>894</v>
      </c>
      <c r="C250" t="s">
        <v>428</v>
      </c>
      <c r="E250" s="5" t="s">
        <v>6648</v>
      </c>
      <c r="F250" s="1" t="str">
        <f>IF(E250&lt;&gt;"", HYPERLINK("https://www.kegg.jp/dbget-bin/www_bget?ec:" &amp; E250, "https://www.kegg.jp/dbget-bin/www_bget?ec:" &amp; E250), "")</f>
        <v>https://www.kegg.jp/dbget-bin/www_bget?ec:1.2.4.2</v>
      </c>
      <c r="G250" s="3" t="s">
        <v>7420</v>
      </c>
      <c r="H250" s="1" t="str">
        <f>IF(G250&lt;&gt;"", HYPERLINK("https://www.kegg.jp/entry/" &amp; G250, "https://www.kegg.jp/entry/" &amp; G250), "")</f>
        <v>https://www.kegg.jp/entry/R03316</v>
      </c>
      <c r="I250" t="s">
        <v>8133</v>
      </c>
      <c r="J250" t="s">
        <v>12862</v>
      </c>
    </row>
    <row r="251" spans="1:10" x14ac:dyDescent="0.25">
      <c r="A251" t="s">
        <v>430</v>
      </c>
      <c r="B251">
        <v>394</v>
      </c>
      <c r="C251" t="s">
        <v>431</v>
      </c>
      <c r="E251" s="5" t="s">
        <v>6649</v>
      </c>
      <c r="F251" s="1" t="str">
        <f>IF(E251&lt;&gt;"", HYPERLINK("https://www.kegg.jp/dbget-bin/www_bget?ec:" &amp; E251, "https://www.kegg.jp/dbget-bin/www_bget?ec:" &amp; E251), "")</f>
        <v>https://www.kegg.jp/dbget-bin/www_bget?ec:2.3.1.61</v>
      </c>
      <c r="G251" s="3" t="s">
        <v>7421</v>
      </c>
      <c r="H251" s="1" t="str">
        <f>IF(G251&lt;&gt;"", HYPERLINK("https://www.kegg.jp/entry/" &amp; G251, "https://www.kegg.jp/entry/" &amp; G251), "")</f>
        <v>https://www.kegg.jp/entry/R02570</v>
      </c>
      <c r="I251" t="s">
        <v>8134</v>
      </c>
      <c r="J251" t="s">
        <v>8415</v>
      </c>
    </row>
    <row r="252" spans="1:10" x14ac:dyDescent="0.25">
      <c r="A252" t="s">
        <v>430</v>
      </c>
      <c r="B252">
        <v>394</v>
      </c>
      <c r="C252" t="s">
        <v>431</v>
      </c>
      <c r="E252" s="5" t="s">
        <v>6649</v>
      </c>
      <c r="F252" s="1" t="str">
        <f>IF(E252&lt;&gt;"", HYPERLINK("https://www.kegg.jp/dbget-bin/www_bget?ec:" &amp; E252, "https://www.kegg.jp/dbget-bin/www_bget?ec:" &amp; E252), "")</f>
        <v>https://www.kegg.jp/dbget-bin/www_bget?ec:2.3.1.61</v>
      </c>
      <c r="G252" s="3" t="s">
        <v>7422</v>
      </c>
      <c r="H252" s="1" t="str">
        <f>IF(G252&lt;&gt;"", HYPERLINK("https://www.kegg.jp/entry/" &amp; G252, "https://www.kegg.jp/entry/" &amp; G252), "")</f>
        <v>https://www.kegg.jp/entry/R02571</v>
      </c>
      <c r="I252" t="s">
        <v>8135</v>
      </c>
      <c r="J252" t="s">
        <v>8416</v>
      </c>
    </row>
    <row r="253" spans="1:10" x14ac:dyDescent="0.25">
      <c r="A253" t="s">
        <v>433</v>
      </c>
      <c r="B253">
        <v>455</v>
      </c>
      <c r="C253" t="s">
        <v>434</v>
      </c>
      <c r="E253" s="5" t="s">
        <v>6641</v>
      </c>
      <c r="F253" s="1" t="str">
        <f>IF(E253&lt;&gt;"", HYPERLINK("https://www.kegg.jp/dbget-bin/www_bget?ec:" &amp; E253, "https://www.kegg.jp/dbget-bin/www_bget?ec:" &amp; E253), "")</f>
        <v>https://www.kegg.jp/dbget-bin/www_bget?ec:1.8.1.4</v>
      </c>
      <c r="G253" s="3" t="s">
        <v>7372</v>
      </c>
      <c r="H253" s="1" t="str">
        <f>IF(G253&lt;&gt;"", HYPERLINK("https://www.kegg.jp/entry/" &amp; G253, "https://www.kegg.jp/entry/" &amp; G253), "")</f>
        <v>https://www.kegg.jp/entry/R08550</v>
      </c>
      <c r="I253" t="s">
        <v>12809</v>
      </c>
      <c r="J253" t="s">
        <v>12810</v>
      </c>
    </row>
    <row r="254" spans="1:10" x14ac:dyDescent="0.25">
      <c r="A254" t="s">
        <v>433</v>
      </c>
      <c r="B254">
        <v>455</v>
      </c>
      <c r="C254" t="s">
        <v>434</v>
      </c>
      <c r="E254" s="5" t="s">
        <v>6641</v>
      </c>
      <c r="F254" s="1" t="str">
        <f>IF(E254&lt;&gt;"", HYPERLINK("https://www.kegg.jp/dbget-bin/www_bget?ec:" &amp; E254, "https://www.kegg.jp/dbget-bin/www_bget?ec:" &amp; E254), "")</f>
        <v>https://www.kegg.jp/dbget-bin/www_bget?ec:1.8.1.4</v>
      </c>
      <c r="G254" s="3" t="s">
        <v>7375</v>
      </c>
      <c r="H254" s="1" t="str">
        <f>IF(G254&lt;&gt;"", HYPERLINK("https://www.kegg.jp/entry/" &amp; G254, "https://www.kegg.jp/entry/" &amp; G254), "")</f>
        <v>https://www.kegg.jp/entry/R03815</v>
      </c>
      <c r="I254" t="s">
        <v>12811</v>
      </c>
      <c r="J254" t="s">
        <v>12812</v>
      </c>
    </row>
    <row r="255" spans="1:10" x14ac:dyDescent="0.25">
      <c r="A255" t="s">
        <v>433</v>
      </c>
      <c r="B255">
        <v>455</v>
      </c>
      <c r="C255" t="s">
        <v>434</v>
      </c>
      <c r="E255" s="5" t="s">
        <v>6641</v>
      </c>
      <c r="F255" s="1" t="str">
        <f>IF(E255&lt;&gt;"", HYPERLINK("https://www.kegg.jp/dbget-bin/www_bget?ec:" &amp; E255, "https://www.kegg.jp/dbget-bin/www_bget?ec:" &amp; E255), "")</f>
        <v>https://www.kegg.jp/dbget-bin/www_bget?ec:1.8.1.4</v>
      </c>
      <c r="G255" s="3" t="s">
        <v>7374</v>
      </c>
      <c r="H255" s="1" t="str">
        <f>IF(G255&lt;&gt;"", HYPERLINK("https://www.kegg.jp/entry/" &amp; G255, "https://www.kegg.jp/entry/" &amp; G255), "")</f>
        <v>https://www.kegg.jp/entry/R07618</v>
      </c>
      <c r="I255" t="s">
        <v>12813</v>
      </c>
      <c r="J255" t="s">
        <v>12814</v>
      </c>
    </row>
    <row r="256" spans="1:10" x14ac:dyDescent="0.25">
      <c r="A256" t="s">
        <v>433</v>
      </c>
      <c r="B256">
        <v>455</v>
      </c>
      <c r="C256" t="s">
        <v>434</v>
      </c>
      <c r="E256" s="5" t="s">
        <v>6641</v>
      </c>
      <c r="F256" s="1" t="str">
        <f>IF(E256&lt;&gt;"", HYPERLINK("https://www.kegg.jp/dbget-bin/www_bget?ec:" &amp; E256, "https://www.kegg.jp/dbget-bin/www_bget?ec:" &amp; E256), "")</f>
        <v>https://www.kegg.jp/dbget-bin/www_bget?ec:1.8.1.4</v>
      </c>
      <c r="G256" s="3" t="s">
        <v>7373</v>
      </c>
      <c r="H256" s="1" t="str">
        <f>IF(G256&lt;&gt;"", HYPERLINK("https://www.kegg.jp/entry/" &amp; G256, "https://www.kegg.jp/entry/" &amp; G256), "")</f>
        <v>https://www.kegg.jp/entry/R01698</v>
      </c>
      <c r="I256" t="s">
        <v>12815</v>
      </c>
      <c r="J256" t="s">
        <v>12816</v>
      </c>
    </row>
    <row r="257" spans="1:10" hidden="1" x14ac:dyDescent="0.25">
      <c r="A257" t="s">
        <v>436</v>
      </c>
      <c r="B257">
        <v>549</v>
      </c>
      <c r="C257" t="s">
        <v>437</v>
      </c>
      <c r="F257" s="1" t="str">
        <f>IF(E257&lt;&gt;"", HYPERLINK("https://www.kegg.jp/dbget-bin/www_bget?ec:" &amp; E257, "https://www.kegg.jp/dbget-bin/www_bget?ec:" &amp; E257), "")</f>
        <v/>
      </c>
      <c r="G257" s="3"/>
      <c r="H257" s="1" t="str">
        <f>IF(G257&lt;&gt;"", HYPERLINK("https://www.kegg.jp/entry/" &amp; G257, "https://www.kegg.jp/entry/" &amp; G257), "")</f>
        <v/>
      </c>
    </row>
    <row r="258" spans="1:10" hidden="1" x14ac:dyDescent="0.25">
      <c r="A258" t="s">
        <v>438</v>
      </c>
      <c r="B258">
        <v>675</v>
      </c>
      <c r="C258" t="s">
        <v>439</v>
      </c>
      <c r="F258" s="1" t="str">
        <f>IF(E258&lt;&gt;"", HYPERLINK("https://www.kegg.jp/dbget-bin/www_bget?ec:" &amp; E258, "https://www.kegg.jp/dbget-bin/www_bget?ec:" &amp; E258), "")</f>
        <v/>
      </c>
      <c r="G258" s="3"/>
      <c r="H258" s="1" t="str">
        <f>IF(G258&lt;&gt;"", HYPERLINK("https://www.kegg.jp/entry/" &amp; G258, "https://www.kegg.jp/entry/" &amp; G258), "")</f>
        <v/>
      </c>
    </row>
    <row r="259" spans="1:10" x14ac:dyDescent="0.25">
      <c r="A259" t="s">
        <v>441</v>
      </c>
      <c r="B259">
        <v>400</v>
      </c>
      <c r="C259" t="s">
        <v>442</v>
      </c>
      <c r="E259" s="5" t="s">
        <v>6650</v>
      </c>
      <c r="F259" s="1" t="str">
        <f>IF(E259&lt;&gt;"", HYPERLINK("https://www.kegg.jp/dbget-bin/www_bget?ec:" &amp; E259, "https://www.kegg.jp/dbget-bin/www_bget?ec:" &amp; E259), "")</f>
        <v>https://www.kegg.jp/dbget-bin/www_bget?ec:6.3.4.5</v>
      </c>
      <c r="G259" s="3" t="s">
        <v>7103</v>
      </c>
      <c r="H259" s="1" t="str">
        <f>IF(G259&lt;&gt;"", HYPERLINK("https://www.kegg.jp/entry/" &amp; G259, "https://www.kegg.jp/entry/" &amp; G259), "")</f>
        <v>https://www.kegg.jp/entry/R01954</v>
      </c>
      <c r="I259" t="s">
        <v>12863</v>
      </c>
      <c r="J259" t="s">
        <v>12864</v>
      </c>
    </row>
    <row r="260" spans="1:10" x14ac:dyDescent="0.25">
      <c r="A260" t="s">
        <v>444</v>
      </c>
      <c r="B260">
        <v>462</v>
      </c>
      <c r="C260" t="s">
        <v>445</v>
      </c>
      <c r="E260" s="5" t="s">
        <v>6651</v>
      </c>
      <c r="F260" s="1" t="str">
        <f>IF(E260&lt;&gt;"", HYPERLINK("https://www.kegg.jp/dbget-bin/www_bget?ec:" &amp; E260, "https://www.kegg.jp/dbget-bin/www_bget?ec:" &amp; E260), "")</f>
        <v>https://www.kegg.jp/dbget-bin/www_bget?ec:4.3.2.1</v>
      </c>
      <c r="G260" s="3" t="s">
        <v>7104</v>
      </c>
      <c r="H260" s="1" t="str">
        <f>IF(G260&lt;&gt;"", HYPERLINK("https://www.kegg.jp/entry/" &amp; G260, "https://www.kegg.jp/entry/" &amp; G260), "")</f>
        <v>https://www.kegg.jp/entry/R01086</v>
      </c>
      <c r="I260" t="s">
        <v>8136</v>
      </c>
      <c r="J260" t="s">
        <v>12865</v>
      </c>
    </row>
    <row r="261" spans="1:10" x14ac:dyDescent="0.25">
      <c r="A261" t="s">
        <v>447</v>
      </c>
      <c r="B261">
        <v>180</v>
      </c>
      <c r="C261" t="s">
        <v>448</v>
      </c>
      <c r="E261" s="5" t="s">
        <v>6652</v>
      </c>
      <c r="F261" s="1" t="str">
        <f>IF(E261&lt;&gt;"", HYPERLINK("https://www.kegg.jp/dbget-bin/www_bget?ec:" &amp; E261, "https://www.kegg.jp/dbget-bin/www_bget?ec:" &amp; E261), "")</f>
        <v>https://www.kegg.jp/dbget-bin/www_bget?ec:2.3.1.1</v>
      </c>
      <c r="G261" s="3" t="s">
        <v>7105</v>
      </c>
      <c r="H261" s="1" t="str">
        <f>IF(G261&lt;&gt;"", HYPERLINK("https://www.kegg.jp/entry/" &amp; G261, "https://www.kegg.jp/entry/" &amp; G261), "")</f>
        <v>https://www.kegg.jp/entry/R00259</v>
      </c>
      <c r="I261" t="s">
        <v>8137</v>
      </c>
      <c r="J261" t="s">
        <v>8417</v>
      </c>
    </row>
    <row r="262" spans="1:10" hidden="1" x14ac:dyDescent="0.25">
      <c r="A262" t="s">
        <v>449</v>
      </c>
      <c r="B262">
        <v>84</v>
      </c>
      <c r="C262" t="s">
        <v>450</v>
      </c>
      <c r="F262" s="1" t="str">
        <f>IF(E262&lt;&gt;"", HYPERLINK("https://www.kegg.jp/dbget-bin/www_bget?ec:" &amp; E262, "https://www.kegg.jp/dbget-bin/www_bget?ec:" &amp; E262), "")</f>
        <v/>
      </c>
      <c r="G262" s="3"/>
      <c r="H262" s="1" t="str">
        <f>IF(G262&lt;&gt;"", HYPERLINK("https://www.kegg.jp/entry/" &amp; G262, "https://www.kegg.jp/entry/" &amp; G262), "")</f>
        <v/>
      </c>
    </row>
    <row r="263" spans="1:10" hidden="1" x14ac:dyDescent="0.25">
      <c r="A263" t="s">
        <v>451</v>
      </c>
      <c r="B263">
        <v>92</v>
      </c>
      <c r="C263" t="s">
        <v>452</v>
      </c>
      <c r="F263" s="1" t="str">
        <f>IF(E263&lt;&gt;"", HYPERLINK("https://www.kegg.jp/dbget-bin/www_bget?ec:" &amp; E263, "https://www.kegg.jp/dbget-bin/www_bget?ec:" &amp; E263), "")</f>
        <v/>
      </c>
      <c r="G263" s="3"/>
      <c r="H263" s="1" t="str">
        <f>IF(G263&lt;&gt;"", HYPERLINK("https://www.kegg.jp/entry/" &amp; G263, "https://www.kegg.jp/entry/" &amp; G263), "")</f>
        <v/>
      </c>
    </row>
    <row r="264" spans="1:10" x14ac:dyDescent="0.25">
      <c r="A264" t="s">
        <v>454</v>
      </c>
      <c r="B264">
        <v>388</v>
      </c>
      <c r="C264" t="s">
        <v>455</v>
      </c>
      <c r="E264" s="5" t="s">
        <v>6653</v>
      </c>
      <c r="F264" s="1" t="str">
        <f>IF(E264&lt;&gt;"", HYPERLINK("https://www.kegg.jp/dbget-bin/www_bget?ec:" &amp; E264, "https://www.kegg.jp/dbget-bin/www_bget?ec:" &amp; E264), "")</f>
        <v>https://www.kegg.jp/dbget-bin/www_bget?ec:6.3.5.5</v>
      </c>
      <c r="G264" s="3" t="s">
        <v>7423</v>
      </c>
      <c r="H264" s="1" t="str">
        <f>IF(G264&lt;&gt;"", HYPERLINK("https://www.kegg.jp/entry/" &amp; G264, "https://www.kegg.jp/entry/" &amp; G264), "")</f>
        <v>https://www.kegg.jp/entry/R00256</v>
      </c>
      <c r="I264" t="s">
        <v>12866</v>
      </c>
      <c r="J264" t="s">
        <v>12867</v>
      </c>
    </row>
    <row r="265" spans="1:10" x14ac:dyDescent="0.25">
      <c r="A265" t="s">
        <v>454</v>
      </c>
      <c r="B265">
        <v>388</v>
      </c>
      <c r="C265" t="s">
        <v>455</v>
      </c>
      <c r="E265" s="5" t="s">
        <v>6653</v>
      </c>
      <c r="F265" s="1" t="str">
        <f>IF(E265&lt;&gt;"", HYPERLINK("https://www.kegg.jp/dbget-bin/www_bget?ec:" &amp; E265, "https://www.kegg.jp/dbget-bin/www_bget?ec:" &amp; E265), "")</f>
        <v>https://www.kegg.jp/dbget-bin/www_bget?ec:6.3.5.5</v>
      </c>
      <c r="G265" s="3" t="s">
        <v>7428</v>
      </c>
      <c r="H265" s="1" t="str">
        <f>IF(G265&lt;&gt;"", HYPERLINK("https://www.kegg.jp/entry/" &amp; G265, "https://www.kegg.jp/entry/" &amp; G265), "")</f>
        <v>https://www.kegg.jp/entry/R00575</v>
      </c>
      <c r="I265" t="s">
        <v>12868</v>
      </c>
      <c r="J265" t="s">
        <v>8418</v>
      </c>
    </row>
    <row r="266" spans="1:10" x14ac:dyDescent="0.25">
      <c r="A266" t="s">
        <v>454</v>
      </c>
      <c r="B266">
        <v>388</v>
      </c>
      <c r="C266" t="s">
        <v>455</v>
      </c>
      <c r="E266" s="5" t="s">
        <v>6653</v>
      </c>
      <c r="F266" s="1" t="str">
        <f>IF(E266&lt;&gt;"", HYPERLINK("https://www.kegg.jp/dbget-bin/www_bget?ec:" &amp; E266, "https://www.kegg.jp/dbget-bin/www_bget?ec:" &amp; E266), "")</f>
        <v>https://www.kegg.jp/dbget-bin/www_bget?ec:6.3.5.5</v>
      </c>
      <c r="G266" s="3" t="s">
        <v>7427</v>
      </c>
      <c r="H266" s="1" t="str">
        <f>IF(G266&lt;&gt;"", HYPERLINK("https://www.kegg.jp/entry/" &amp; G266, "https://www.kegg.jp/entry/" &amp; G266), "")</f>
        <v>https://www.kegg.jp/entry/R01395</v>
      </c>
      <c r="I266" t="s">
        <v>8138</v>
      </c>
      <c r="J266" t="s">
        <v>8419</v>
      </c>
    </row>
    <row r="267" spans="1:10" x14ac:dyDescent="0.25">
      <c r="A267" t="s">
        <v>454</v>
      </c>
      <c r="B267">
        <v>388</v>
      </c>
      <c r="C267" t="s">
        <v>455</v>
      </c>
      <c r="E267" s="5" t="s">
        <v>6653</v>
      </c>
      <c r="F267" s="1" t="str">
        <f>IF(E267&lt;&gt;"", HYPERLINK("https://www.kegg.jp/dbget-bin/www_bget?ec:" &amp; E267, "https://www.kegg.jp/dbget-bin/www_bget?ec:" &amp; E267), "")</f>
        <v>https://www.kegg.jp/dbget-bin/www_bget?ec:6.3.5.5</v>
      </c>
      <c r="G267" s="3" t="s">
        <v>7426</v>
      </c>
      <c r="H267" s="1" t="str">
        <f>IF(G267&lt;&gt;"", HYPERLINK("https://www.kegg.jp/entry/" &amp; G267, "https://www.kegg.jp/entry/" &amp; G267), "")</f>
        <v>https://www.kegg.jp/entry/R10948</v>
      </c>
      <c r="I267" t="s">
        <v>8139</v>
      </c>
      <c r="J267" t="s">
        <v>8420</v>
      </c>
    </row>
    <row r="268" spans="1:10" x14ac:dyDescent="0.25">
      <c r="A268" t="s">
        <v>454</v>
      </c>
      <c r="B268">
        <v>388</v>
      </c>
      <c r="C268" t="s">
        <v>455</v>
      </c>
      <c r="E268" s="5" t="s">
        <v>6653</v>
      </c>
      <c r="F268" s="1" t="str">
        <f>IF(E268&lt;&gt;"", HYPERLINK("https://www.kegg.jp/dbget-bin/www_bget?ec:" &amp; E268, "https://www.kegg.jp/dbget-bin/www_bget?ec:" &amp; E268), "")</f>
        <v>https://www.kegg.jp/dbget-bin/www_bget?ec:6.3.5.5</v>
      </c>
      <c r="G268" s="3" t="s">
        <v>7425</v>
      </c>
      <c r="H268" s="1" t="str">
        <f>IF(G268&lt;&gt;"", HYPERLINK("https://www.kegg.jp/entry/" &amp; G268, "https://www.kegg.jp/entry/" &amp; G268), "")</f>
        <v>https://www.kegg.jp/entry/R10949</v>
      </c>
      <c r="I268" t="s">
        <v>8140</v>
      </c>
      <c r="J268" t="s">
        <v>12869</v>
      </c>
    </row>
    <row r="269" spans="1:10" x14ac:dyDescent="0.25">
      <c r="A269" t="s">
        <v>454</v>
      </c>
      <c r="B269">
        <v>388</v>
      </c>
      <c r="C269" t="s">
        <v>455</v>
      </c>
      <c r="E269" s="5" t="s">
        <v>6653</v>
      </c>
      <c r="F269" s="1" t="str">
        <f>IF(E269&lt;&gt;"", HYPERLINK("https://www.kegg.jp/dbget-bin/www_bget?ec:" &amp; E269, "https://www.kegg.jp/dbget-bin/www_bget?ec:" &amp; E269), "")</f>
        <v>https://www.kegg.jp/dbget-bin/www_bget?ec:6.3.5.5</v>
      </c>
      <c r="G269" s="3" t="s">
        <v>7424</v>
      </c>
      <c r="H269" s="1" t="str">
        <f>IF(G269&lt;&gt;"", HYPERLINK("https://www.kegg.jp/entry/" &amp; G269, "https://www.kegg.jp/entry/" &amp; G269), "")</f>
        <v>https://www.kegg.jp/entry/R07641</v>
      </c>
      <c r="I269" t="s">
        <v>12870</v>
      </c>
      <c r="J269" t="s">
        <v>8421</v>
      </c>
    </row>
    <row r="270" spans="1:10" x14ac:dyDescent="0.25">
      <c r="A270" t="s">
        <v>457</v>
      </c>
      <c r="B270">
        <v>543</v>
      </c>
      <c r="C270" t="s">
        <v>458</v>
      </c>
      <c r="E270" s="5" t="s">
        <v>6654</v>
      </c>
      <c r="F270" s="1" t="str">
        <f>IF(E270&lt;&gt;"", HYPERLINK("https://www.kegg.jp/dbget-bin/www_bget?ec:" &amp; E270, "https://www.kegg.jp/dbget-bin/www_bget?ec:" &amp; E270), "")</f>
        <v>https://www.kegg.jp/dbget-bin/www_bget?ec:6.3.4.3</v>
      </c>
      <c r="G270" s="3" t="s">
        <v>7106</v>
      </c>
      <c r="H270" s="1" t="str">
        <f>IF(G270&lt;&gt;"", HYPERLINK("https://www.kegg.jp/entry/" &amp; G270, "https://www.kegg.jp/entry/" &amp; G270), "")</f>
        <v>https://www.kegg.jp/entry/R00943</v>
      </c>
      <c r="I270" t="s">
        <v>12871</v>
      </c>
      <c r="J270" t="s">
        <v>8422</v>
      </c>
    </row>
    <row r="271" spans="1:10" x14ac:dyDescent="0.25">
      <c r="A271" t="s">
        <v>460</v>
      </c>
      <c r="B271">
        <v>310</v>
      </c>
      <c r="C271" t="s">
        <v>461</v>
      </c>
      <c r="E271" s="5" t="s">
        <v>6655</v>
      </c>
      <c r="F271" s="1" t="str">
        <f>IF(E271&lt;&gt;"", HYPERLINK("https://www.kegg.jp/dbget-bin/www_bget?ec:" &amp; E271, "https://www.kegg.jp/dbget-bin/www_bget?ec:" &amp; E271), "")</f>
        <v>https://www.kegg.jp/dbget-bin/www_bget?ec:4.3.1.19</v>
      </c>
      <c r="G271" s="3" t="s">
        <v>7429</v>
      </c>
      <c r="H271" s="1" t="str">
        <f>IF(G271&lt;&gt;"", HYPERLINK("https://www.kegg.jp/entry/" &amp; G271, "https://www.kegg.jp/entry/" &amp; G271), "")</f>
        <v>https://www.kegg.jp/entry/R00996</v>
      </c>
      <c r="I271" t="s">
        <v>8141</v>
      </c>
      <c r="J271" t="s">
        <v>12872</v>
      </c>
    </row>
    <row r="272" spans="1:10" x14ac:dyDescent="0.25">
      <c r="A272" t="s">
        <v>460</v>
      </c>
      <c r="B272">
        <v>310</v>
      </c>
      <c r="C272" t="s">
        <v>461</v>
      </c>
      <c r="E272" s="5" t="s">
        <v>6655</v>
      </c>
      <c r="F272" s="1" t="str">
        <f>IF(E272&lt;&gt;"", HYPERLINK("https://www.kegg.jp/dbget-bin/www_bget?ec:" &amp; E272, "https://www.kegg.jp/dbget-bin/www_bget?ec:" &amp; E272), "")</f>
        <v>https://www.kegg.jp/dbget-bin/www_bget?ec:4.3.1.19</v>
      </c>
      <c r="G272" s="3" t="s">
        <v>7433</v>
      </c>
      <c r="H272" s="1" t="str">
        <f>IF(G272&lt;&gt;"", HYPERLINK("https://www.kegg.jp/entry/" &amp; G272, "https://www.kegg.jp/entry/" &amp; G272), "")</f>
        <v>https://www.kegg.jp/entry/R11098</v>
      </c>
      <c r="I272" t="s">
        <v>12873</v>
      </c>
      <c r="J272" t="s">
        <v>12872</v>
      </c>
    </row>
    <row r="273" spans="1:10" x14ac:dyDescent="0.25">
      <c r="A273" t="s">
        <v>460</v>
      </c>
      <c r="B273">
        <v>310</v>
      </c>
      <c r="C273" t="s">
        <v>461</v>
      </c>
      <c r="E273" s="5" t="s">
        <v>6655</v>
      </c>
      <c r="F273" s="1" t="str">
        <f>IF(E273&lt;&gt;"", HYPERLINK("https://www.kegg.jp/dbget-bin/www_bget?ec:" &amp; E273, "https://www.kegg.jp/dbget-bin/www_bget?ec:" &amp; E273), "")</f>
        <v>https://www.kegg.jp/dbget-bin/www_bget?ec:4.3.1.19</v>
      </c>
      <c r="G273" s="3" t="s">
        <v>7432</v>
      </c>
      <c r="H273" s="1" t="str">
        <f>IF(G273&lt;&gt;"", HYPERLINK("https://www.kegg.jp/entry/" &amp; G273, "https://www.kegg.jp/entry/" &amp; G273), "")</f>
        <v>https://www.kegg.jp/entry/R11101</v>
      </c>
      <c r="I273" t="s">
        <v>8142</v>
      </c>
      <c r="J273" t="s">
        <v>8423</v>
      </c>
    </row>
    <row r="274" spans="1:10" x14ac:dyDescent="0.25">
      <c r="A274" t="s">
        <v>460</v>
      </c>
      <c r="B274">
        <v>310</v>
      </c>
      <c r="C274" t="s">
        <v>461</v>
      </c>
      <c r="E274" s="5" t="s">
        <v>6655</v>
      </c>
      <c r="F274" s="1" t="str">
        <f>IF(E274&lt;&gt;"", HYPERLINK("https://www.kegg.jp/dbget-bin/www_bget?ec:" &amp; E274, "https://www.kegg.jp/dbget-bin/www_bget?ec:" &amp; E274), "")</f>
        <v>https://www.kegg.jp/dbget-bin/www_bget?ec:4.3.1.19</v>
      </c>
      <c r="G274" s="3" t="s">
        <v>7431</v>
      </c>
      <c r="H274" s="1" t="str">
        <f>IF(G274&lt;&gt;"", HYPERLINK("https://www.kegg.jp/entry/" &amp; G274, "https://www.kegg.jp/entry/" &amp; G274), "")</f>
        <v>https://www.kegg.jp/entry/R00220</v>
      </c>
      <c r="I274" t="s">
        <v>8143</v>
      </c>
      <c r="J274" t="s">
        <v>12874</v>
      </c>
    </row>
    <row r="275" spans="1:10" x14ac:dyDescent="0.25">
      <c r="A275" t="s">
        <v>460</v>
      </c>
      <c r="B275">
        <v>310</v>
      </c>
      <c r="C275" t="s">
        <v>461</v>
      </c>
      <c r="E275" s="5" t="s">
        <v>6655</v>
      </c>
      <c r="F275" s="1" t="str">
        <f>IF(E275&lt;&gt;"", HYPERLINK("https://www.kegg.jp/dbget-bin/www_bget?ec:" &amp; E275, "https://www.kegg.jp/dbget-bin/www_bget?ec:" &amp; E275), "")</f>
        <v>https://www.kegg.jp/dbget-bin/www_bget?ec:4.3.1.19</v>
      </c>
      <c r="G275" s="3" t="s">
        <v>7430</v>
      </c>
      <c r="H275" s="1" t="str">
        <f>IF(G275&lt;&gt;"", HYPERLINK("https://www.kegg.jp/entry/" &amp; G275, "https://www.kegg.jp/entry/" &amp; G275), "")</f>
        <v>https://www.kegg.jp/entry/R06131</v>
      </c>
      <c r="I275" t="s">
        <v>8144</v>
      </c>
      <c r="J275" t="s">
        <v>12875</v>
      </c>
    </row>
    <row r="276" spans="1:10" hidden="1" x14ac:dyDescent="0.25">
      <c r="A276" t="s">
        <v>462</v>
      </c>
      <c r="B276">
        <v>75</v>
      </c>
      <c r="C276" t="s">
        <v>463</v>
      </c>
      <c r="F276" s="1" t="str">
        <f>IF(E276&lt;&gt;"", HYPERLINK("https://www.kegg.jp/dbget-bin/www_bget?ec:" &amp; E276, "https://www.kegg.jp/dbget-bin/www_bget?ec:" &amp; E276), "")</f>
        <v/>
      </c>
      <c r="G276" s="3"/>
      <c r="H276" s="1" t="str">
        <f>IF(G276&lt;&gt;"", HYPERLINK("https://www.kegg.jp/entry/" &amp; G276, "https://www.kegg.jp/entry/" &amp; G276), "")</f>
        <v/>
      </c>
    </row>
    <row r="277" spans="1:10" hidden="1" x14ac:dyDescent="0.25">
      <c r="C277" t="s">
        <v>465</v>
      </c>
      <c r="F277" s="1" t="str">
        <f>IF(E277&lt;&gt;"", HYPERLINK("https://www.kegg.jp/dbget-bin/www_bget?ec:" &amp; E277, "https://www.kegg.jp/dbget-bin/www_bget?ec:" &amp; E277), "")</f>
        <v/>
      </c>
      <c r="G277" s="3"/>
      <c r="H277" s="1" t="str">
        <f>IF(G277&lt;&gt;"", HYPERLINK("https://www.kegg.jp/entry/" &amp; G277, "https://www.kegg.jp/entry/" &amp; G277), "")</f>
        <v/>
      </c>
    </row>
    <row r="278" spans="1:10" hidden="1" x14ac:dyDescent="0.25">
      <c r="A278" t="s">
        <v>467</v>
      </c>
      <c r="B278">
        <v>377</v>
      </c>
      <c r="C278" t="s">
        <v>468</v>
      </c>
      <c r="F278" s="1" t="str">
        <f>IF(E278&lt;&gt;"", HYPERLINK("https://www.kegg.jp/dbget-bin/www_bget?ec:" &amp; E278, "https://www.kegg.jp/dbget-bin/www_bget?ec:" &amp; E278), "")</f>
        <v/>
      </c>
      <c r="G278" s="3"/>
      <c r="H278" s="1" t="str">
        <f>IF(G278&lt;&gt;"", HYPERLINK("https://www.kegg.jp/entry/" &amp; G278, "https://www.kegg.jp/entry/" &amp; G278), "")</f>
        <v/>
      </c>
    </row>
    <row r="279" spans="1:10" hidden="1" x14ac:dyDescent="0.25">
      <c r="A279" t="s">
        <v>469</v>
      </c>
      <c r="B279">
        <v>122</v>
      </c>
      <c r="C279" t="s">
        <v>470</v>
      </c>
      <c r="F279" s="1" t="str">
        <f>IF(E279&lt;&gt;"", HYPERLINK("https://www.kegg.jp/dbget-bin/www_bget?ec:" &amp; E279, "https://www.kegg.jp/dbget-bin/www_bget?ec:" &amp; E279), "")</f>
        <v/>
      </c>
      <c r="G279" s="3"/>
      <c r="H279" s="1" t="str">
        <f>IF(G279&lt;&gt;"", HYPERLINK("https://www.kegg.jp/entry/" &amp; G279, "https://www.kegg.jp/entry/" &amp; G279), "")</f>
        <v/>
      </c>
    </row>
    <row r="280" spans="1:10" hidden="1" x14ac:dyDescent="0.25">
      <c r="A280" t="s">
        <v>472</v>
      </c>
      <c r="B280">
        <v>110</v>
      </c>
      <c r="C280" t="s">
        <v>473</v>
      </c>
      <c r="E280" s="5" t="s">
        <v>6656</v>
      </c>
      <c r="F280" s="1" t="str">
        <f>IF(E280&lt;&gt;"", HYPERLINK("https://www.kegg.jp/dbget-bin/www_bget?ec:" &amp; E280, "https://www.kegg.jp/dbget-bin/www_bget?ec:" &amp; E280), "")</f>
        <v>https://www.kegg.jp/dbget-bin/www_bget?ec:3.4.21.89</v>
      </c>
      <c r="G280" s="3"/>
      <c r="H280" s="1" t="str">
        <f>IF(G280&lt;&gt;"", HYPERLINK("https://www.kegg.jp/entry/" &amp; G280, "https://www.kegg.jp/entry/" &amp; G280), "")</f>
        <v/>
      </c>
    </row>
    <row r="281" spans="1:10" hidden="1" x14ac:dyDescent="0.25">
      <c r="A281" t="s">
        <v>474</v>
      </c>
      <c r="B281">
        <v>77</v>
      </c>
      <c r="C281" t="s">
        <v>475</v>
      </c>
      <c r="F281" s="1" t="str">
        <f>IF(E281&lt;&gt;"", HYPERLINK("https://www.kegg.jp/dbget-bin/www_bget?ec:" &amp; E281, "https://www.kegg.jp/dbget-bin/www_bget?ec:" &amp; E281), "")</f>
        <v/>
      </c>
      <c r="G281" s="3"/>
      <c r="H281" s="1" t="str">
        <f>IF(G281&lt;&gt;"", HYPERLINK("https://www.kegg.jp/entry/" &amp; G281, "https://www.kegg.jp/entry/" &amp; G281), "")</f>
        <v/>
      </c>
    </row>
    <row r="282" spans="1:10" hidden="1" x14ac:dyDescent="0.25">
      <c r="A282" t="s">
        <v>476</v>
      </c>
      <c r="B282">
        <v>85</v>
      </c>
      <c r="C282" t="s">
        <v>477</v>
      </c>
      <c r="F282" s="1" t="str">
        <f>IF(E282&lt;&gt;"", HYPERLINK("https://www.kegg.jp/dbget-bin/www_bget?ec:" &amp; E282, "https://www.kegg.jp/dbget-bin/www_bget?ec:" &amp; E282), "")</f>
        <v/>
      </c>
      <c r="G282" s="3"/>
      <c r="H282" s="1" t="str">
        <f>IF(G282&lt;&gt;"", HYPERLINK("https://www.kegg.jp/entry/" &amp; G282, "https://www.kegg.jp/entry/" &amp; G282), "")</f>
        <v/>
      </c>
    </row>
    <row r="283" spans="1:10" hidden="1" x14ac:dyDescent="0.25">
      <c r="A283" t="s">
        <v>479</v>
      </c>
      <c r="B283">
        <v>126</v>
      </c>
      <c r="C283" t="s">
        <v>480</v>
      </c>
      <c r="F283" s="1" t="str">
        <f>IF(E283&lt;&gt;"", HYPERLINK("https://www.kegg.jp/dbget-bin/www_bget?ec:" &amp; E283, "https://www.kegg.jp/dbget-bin/www_bget?ec:" &amp; E283), "")</f>
        <v/>
      </c>
      <c r="G283" s="3"/>
      <c r="H283" s="1" t="str">
        <f>IF(G283&lt;&gt;"", HYPERLINK("https://www.kegg.jp/entry/" &amp; G283, "https://www.kegg.jp/entry/" &amp; G283), "")</f>
        <v/>
      </c>
    </row>
    <row r="284" spans="1:10" hidden="1" x14ac:dyDescent="0.25">
      <c r="A284" t="s">
        <v>481</v>
      </c>
      <c r="B284">
        <v>191</v>
      </c>
      <c r="C284" t="s">
        <v>482</v>
      </c>
      <c r="F284" s="1" t="str">
        <f>IF(E284&lt;&gt;"", HYPERLINK("https://www.kegg.jp/dbget-bin/www_bget?ec:" &amp; E284, "https://www.kegg.jp/dbget-bin/www_bget?ec:" &amp; E284), "")</f>
        <v/>
      </c>
      <c r="G284" s="3"/>
      <c r="H284" s="1" t="str">
        <f>IF(G284&lt;&gt;"", HYPERLINK("https://www.kegg.jp/entry/" &amp; G284, "https://www.kegg.jp/entry/" &amp; G284), "")</f>
        <v/>
      </c>
    </row>
    <row r="285" spans="1:10" hidden="1" x14ac:dyDescent="0.25">
      <c r="A285" t="s">
        <v>484</v>
      </c>
      <c r="B285">
        <v>208</v>
      </c>
      <c r="C285" t="s">
        <v>485</v>
      </c>
      <c r="F285" s="1" t="str">
        <f>IF(E285&lt;&gt;"", HYPERLINK("https://www.kegg.jp/dbget-bin/www_bget?ec:" &amp; E285, "https://www.kegg.jp/dbget-bin/www_bget?ec:" &amp; E285), "")</f>
        <v/>
      </c>
      <c r="G285" s="3"/>
      <c r="H285" s="1" t="str">
        <f>IF(G285&lt;&gt;"", HYPERLINK("https://www.kegg.jp/entry/" &amp; G285, "https://www.kegg.jp/entry/" &amp; G285), "")</f>
        <v/>
      </c>
    </row>
    <row r="286" spans="1:10" hidden="1" x14ac:dyDescent="0.25">
      <c r="A286" t="s">
        <v>486</v>
      </c>
      <c r="B286">
        <v>312</v>
      </c>
      <c r="C286" t="s">
        <v>487</v>
      </c>
      <c r="F286" s="1" t="str">
        <f>IF(E286&lt;&gt;"", HYPERLINK("https://www.kegg.jp/dbget-bin/www_bget?ec:" &amp; E286, "https://www.kegg.jp/dbget-bin/www_bget?ec:" &amp; E286), "")</f>
        <v/>
      </c>
      <c r="G286" s="3"/>
      <c r="H286" s="1" t="str">
        <f>IF(G286&lt;&gt;"", HYPERLINK("https://www.kegg.jp/entry/" &amp; G286, "https://www.kegg.jp/entry/" &amp; G286), "")</f>
        <v/>
      </c>
    </row>
    <row r="287" spans="1:10" hidden="1" x14ac:dyDescent="0.25">
      <c r="A287" t="s">
        <v>489</v>
      </c>
      <c r="B287">
        <v>542</v>
      </c>
      <c r="C287" t="s">
        <v>490</v>
      </c>
      <c r="F287" s="1" t="str">
        <f>IF(E287&lt;&gt;"", HYPERLINK("https://www.kegg.jp/dbget-bin/www_bget?ec:" &amp; E287, "https://www.kegg.jp/dbget-bin/www_bget?ec:" &amp; E287), "")</f>
        <v/>
      </c>
      <c r="G287" s="3"/>
      <c r="H287" s="1" t="str">
        <f>IF(G287&lt;&gt;"", HYPERLINK("https://www.kegg.jp/entry/" &amp; G287, "https://www.kegg.jp/entry/" &amp; G287), "")</f>
        <v/>
      </c>
    </row>
    <row r="288" spans="1:10" hidden="1" x14ac:dyDescent="0.25">
      <c r="A288" t="s">
        <v>491</v>
      </c>
      <c r="B288">
        <v>225</v>
      </c>
      <c r="C288" t="s">
        <v>492</v>
      </c>
      <c r="F288" s="1" t="str">
        <f>IF(E288&lt;&gt;"", HYPERLINK("https://www.kegg.jp/dbget-bin/www_bget?ec:" &amp; E288, "https://www.kegg.jp/dbget-bin/www_bget?ec:" &amp; E288), "")</f>
        <v/>
      </c>
      <c r="G288" s="3"/>
      <c r="H288" s="1" t="str">
        <f>IF(G288&lt;&gt;"", HYPERLINK("https://www.kegg.jp/entry/" &amp; G288, "https://www.kegg.jp/entry/" &amp; G288), "")</f>
        <v/>
      </c>
    </row>
    <row r="289" spans="1:8" hidden="1" x14ac:dyDescent="0.25">
      <c r="A289" t="s">
        <v>494</v>
      </c>
      <c r="B289">
        <v>370</v>
      </c>
      <c r="C289" t="s">
        <v>495</v>
      </c>
      <c r="F289" s="1" t="str">
        <f>IF(E289&lt;&gt;"", HYPERLINK("https://www.kegg.jp/dbget-bin/www_bget?ec:" &amp; E289, "https://www.kegg.jp/dbget-bin/www_bget?ec:" &amp; E289), "")</f>
        <v/>
      </c>
      <c r="G289" s="3"/>
      <c r="H289" s="1" t="str">
        <f>IF(G289&lt;&gt;"", HYPERLINK("https://www.kegg.jp/entry/" &amp; G289, "https://www.kegg.jp/entry/" &amp; G289), "")</f>
        <v/>
      </c>
    </row>
    <row r="290" spans="1:8" hidden="1" x14ac:dyDescent="0.25">
      <c r="A290" t="s">
        <v>496</v>
      </c>
      <c r="B290">
        <v>55</v>
      </c>
      <c r="C290" t="s">
        <v>497</v>
      </c>
      <c r="F290" s="1" t="str">
        <f>IF(E290&lt;&gt;"", HYPERLINK("https://www.kegg.jp/dbget-bin/www_bget?ec:" &amp; E290, "https://www.kegg.jp/dbget-bin/www_bget?ec:" &amp; E290), "")</f>
        <v/>
      </c>
      <c r="G290" s="3"/>
      <c r="H290" s="1" t="str">
        <f>IF(G290&lt;&gt;"", HYPERLINK("https://www.kegg.jp/entry/" &amp; G290, "https://www.kegg.jp/entry/" &amp; G290), "")</f>
        <v/>
      </c>
    </row>
    <row r="291" spans="1:8" hidden="1" x14ac:dyDescent="0.25">
      <c r="A291" t="s">
        <v>499</v>
      </c>
      <c r="B291">
        <v>118</v>
      </c>
      <c r="C291" t="s">
        <v>500</v>
      </c>
      <c r="E291" s="5" t="s">
        <v>6657</v>
      </c>
      <c r="F291" s="1" t="str">
        <f>IF(E291&lt;&gt;"", HYPERLINK("https://www.kegg.jp/dbget-bin/www_bget?ec:" &amp; E291, "https://www.kegg.jp/dbget-bin/www_bget?ec:" &amp; E291), "")</f>
        <v>https://www.kegg.jp/dbget-bin/www_bget?ec:3.1.22.-</v>
      </c>
      <c r="G291" s="3"/>
      <c r="H291" s="1" t="str">
        <f>IF(G291&lt;&gt;"", HYPERLINK("https://www.kegg.jp/entry/" &amp; G291, "https://www.kegg.jp/entry/" &amp; G291), "")</f>
        <v/>
      </c>
    </row>
    <row r="292" spans="1:8" hidden="1" x14ac:dyDescent="0.25">
      <c r="A292" t="s">
        <v>502</v>
      </c>
      <c r="B292">
        <v>106</v>
      </c>
      <c r="C292" t="s">
        <v>503</v>
      </c>
      <c r="F292" s="1" t="str">
        <f>IF(E292&lt;&gt;"", HYPERLINK("https://www.kegg.jp/dbget-bin/www_bget?ec:" &amp; E292, "https://www.kegg.jp/dbget-bin/www_bget?ec:" &amp; E292), "")</f>
        <v/>
      </c>
      <c r="G292" s="3"/>
      <c r="H292" s="1" t="str">
        <f>IF(G292&lt;&gt;"", HYPERLINK("https://www.kegg.jp/entry/" &amp; G292, "https://www.kegg.jp/entry/" &amp; G292), "")</f>
        <v/>
      </c>
    </row>
    <row r="293" spans="1:8" hidden="1" x14ac:dyDescent="0.25">
      <c r="A293" t="s">
        <v>505</v>
      </c>
      <c r="B293">
        <v>426</v>
      </c>
      <c r="C293" t="s">
        <v>506</v>
      </c>
      <c r="F293" s="1" t="str">
        <f>IF(E293&lt;&gt;"", HYPERLINK("https://www.kegg.jp/dbget-bin/www_bget?ec:" &amp; E293, "https://www.kegg.jp/dbget-bin/www_bget?ec:" &amp; E293), "")</f>
        <v/>
      </c>
      <c r="G293" s="3"/>
      <c r="H293" s="1" t="str">
        <f>IF(G293&lt;&gt;"", HYPERLINK("https://www.kegg.jp/entry/" &amp; G293, "https://www.kegg.jp/entry/" &amp; G293), "")</f>
        <v/>
      </c>
    </row>
    <row r="294" spans="1:8" hidden="1" x14ac:dyDescent="0.25">
      <c r="A294" t="s">
        <v>507</v>
      </c>
      <c r="B294">
        <v>66</v>
      </c>
      <c r="C294" t="s">
        <v>508</v>
      </c>
      <c r="F294" s="1" t="str">
        <f>IF(E294&lt;&gt;"", HYPERLINK("https://www.kegg.jp/dbget-bin/www_bget?ec:" &amp; E294, "https://www.kegg.jp/dbget-bin/www_bget?ec:" &amp; E294), "")</f>
        <v/>
      </c>
      <c r="G294" s="3"/>
      <c r="H294" s="1" t="str">
        <f>IF(G294&lt;&gt;"", HYPERLINK("https://www.kegg.jp/entry/" &amp; G294, "https://www.kegg.jp/entry/" &amp; G294), "")</f>
        <v/>
      </c>
    </row>
    <row r="295" spans="1:8" hidden="1" x14ac:dyDescent="0.25">
      <c r="A295" t="s">
        <v>510</v>
      </c>
      <c r="B295">
        <v>493</v>
      </c>
      <c r="C295" t="s">
        <v>511</v>
      </c>
      <c r="F295" s="1" t="str">
        <f>IF(E295&lt;&gt;"", HYPERLINK("https://www.kegg.jp/dbget-bin/www_bget?ec:" &amp; E295, "https://www.kegg.jp/dbget-bin/www_bget?ec:" &amp; E295), "")</f>
        <v/>
      </c>
      <c r="G295" s="3"/>
      <c r="H295" s="1" t="str">
        <f>IF(G295&lt;&gt;"", HYPERLINK("https://www.kegg.jp/entry/" &amp; G295, "https://www.kegg.jp/entry/" &amp; G295), "")</f>
        <v/>
      </c>
    </row>
    <row r="296" spans="1:8" hidden="1" x14ac:dyDescent="0.25">
      <c r="A296" t="s">
        <v>513</v>
      </c>
      <c r="B296">
        <v>480</v>
      </c>
      <c r="C296" t="s">
        <v>514</v>
      </c>
      <c r="F296" s="1" t="str">
        <f>IF(E296&lt;&gt;"", HYPERLINK("https://www.kegg.jp/dbget-bin/www_bget?ec:" &amp; E296, "https://www.kegg.jp/dbget-bin/www_bget?ec:" &amp; E296), "")</f>
        <v/>
      </c>
      <c r="G296" s="3"/>
      <c r="H296" s="1" t="str">
        <f>IF(G296&lt;&gt;"", HYPERLINK("https://www.kegg.jp/entry/" &amp; G296, "https://www.kegg.jp/entry/" &amp; G296), "")</f>
        <v/>
      </c>
    </row>
    <row r="297" spans="1:8" hidden="1" x14ac:dyDescent="0.25">
      <c r="A297" t="s">
        <v>515</v>
      </c>
      <c r="B297">
        <v>103</v>
      </c>
      <c r="C297" t="s">
        <v>516</v>
      </c>
      <c r="F297" s="1" t="str">
        <f>IF(E297&lt;&gt;"", HYPERLINK("https://www.kegg.jp/dbget-bin/www_bget?ec:" &amp; E297, "https://www.kegg.jp/dbget-bin/www_bget?ec:" &amp; E297), "")</f>
        <v/>
      </c>
      <c r="G297" s="3"/>
      <c r="H297" s="1" t="str">
        <f>IF(G297&lt;&gt;"", HYPERLINK("https://www.kegg.jp/entry/" &amp; G297, "https://www.kegg.jp/entry/" &amp; G297), "")</f>
        <v/>
      </c>
    </row>
    <row r="298" spans="1:8" hidden="1" x14ac:dyDescent="0.25">
      <c r="A298" t="s">
        <v>518</v>
      </c>
      <c r="B298">
        <v>432</v>
      </c>
      <c r="C298" t="s">
        <v>519</v>
      </c>
      <c r="F298" s="1" t="str">
        <f>IF(E298&lt;&gt;"", HYPERLINK("https://www.kegg.jp/dbget-bin/www_bget?ec:" &amp; E298, "https://www.kegg.jp/dbget-bin/www_bget?ec:" &amp; E298), "")</f>
        <v/>
      </c>
      <c r="G298" s="3"/>
      <c r="H298" s="1" t="str">
        <f>IF(G298&lt;&gt;"", HYPERLINK("https://www.kegg.jp/entry/" &amp; G298, "https://www.kegg.jp/entry/" &amp; G298), "")</f>
        <v/>
      </c>
    </row>
    <row r="299" spans="1:8" hidden="1" x14ac:dyDescent="0.25">
      <c r="A299" t="s">
        <v>521</v>
      </c>
      <c r="B299">
        <v>285</v>
      </c>
      <c r="C299" t="s">
        <v>522</v>
      </c>
      <c r="F299" s="1" t="str">
        <f>IF(E299&lt;&gt;"", HYPERLINK("https://www.kegg.jp/dbget-bin/www_bget?ec:" &amp; E299, "https://www.kegg.jp/dbget-bin/www_bget?ec:" &amp; E299), "")</f>
        <v/>
      </c>
      <c r="G299" s="3"/>
      <c r="H299" s="1" t="str">
        <f>IF(G299&lt;&gt;"", HYPERLINK("https://www.kegg.jp/entry/" &amp; G299, "https://www.kegg.jp/entry/" &amp; G299), "")</f>
        <v/>
      </c>
    </row>
    <row r="300" spans="1:8" hidden="1" x14ac:dyDescent="0.25">
      <c r="A300" t="s">
        <v>524</v>
      </c>
      <c r="B300">
        <v>82</v>
      </c>
      <c r="C300" t="s">
        <v>525</v>
      </c>
      <c r="F300" s="1" t="str">
        <f>IF(E300&lt;&gt;"", HYPERLINK("https://www.kegg.jp/dbget-bin/www_bget?ec:" &amp; E300, "https://www.kegg.jp/dbget-bin/www_bget?ec:" &amp; E300), "")</f>
        <v/>
      </c>
      <c r="G300" s="3"/>
      <c r="H300" s="1" t="str">
        <f>IF(G300&lt;&gt;"", HYPERLINK("https://www.kegg.jp/entry/" &amp; G300, "https://www.kegg.jp/entry/" &amp; G300), "")</f>
        <v/>
      </c>
    </row>
    <row r="301" spans="1:8" hidden="1" x14ac:dyDescent="0.25">
      <c r="A301" t="s">
        <v>527</v>
      </c>
      <c r="B301">
        <v>94</v>
      </c>
      <c r="C301" t="s">
        <v>528</v>
      </c>
      <c r="F301" s="1" t="str">
        <f>IF(E301&lt;&gt;"", HYPERLINK("https://www.kegg.jp/dbget-bin/www_bget?ec:" &amp; E301, "https://www.kegg.jp/dbget-bin/www_bget?ec:" &amp; E301), "")</f>
        <v/>
      </c>
      <c r="G301" s="3"/>
      <c r="H301" s="1" t="str">
        <f>IF(G301&lt;&gt;"", HYPERLINK("https://www.kegg.jp/entry/" &amp; G301, "https://www.kegg.jp/entry/" &amp; G301), "")</f>
        <v/>
      </c>
    </row>
    <row r="302" spans="1:8" hidden="1" x14ac:dyDescent="0.25">
      <c r="A302" t="s">
        <v>530</v>
      </c>
      <c r="B302">
        <v>173</v>
      </c>
      <c r="C302" t="s">
        <v>531</v>
      </c>
      <c r="F302" s="1" t="str">
        <f>IF(E302&lt;&gt;"", HYPERLINK("https://www.kegg.jp/dbget-bin/www_bget?ec:" &amp; E302, "https://www.kegg.jp/dbget-bin/www_bget?ec:" &amp; E302), "")</f>
        <v/>
      </c>
      <c r="G302" s="3"/>
      <c r="H302" s="1" t="str">
        <f>IF(G302&lt;&gt;"", HYPERLINK("https://www.kegg.jp/entry/" &amp; G302, "https://www.kegg.jp/entry/" &amp; G302), "")</f>
        <v/>
      </c>
    </row>
    <row r="303" spans="1:8" hidden="1" x14ac:dyDescent="0.25">
      <c r="A303" t="s">
        <v>532</v>
      </c>
      <c r="B303">
        <v>144</v>
      </c>
      <c r="C303" t="s">
        <v>533</v>
      </c>
      <c r="F303" s="1" t="str">
        <f>IF(E303&lt;&gt;"", HYPERLINK("https://www.kegg.jp/dbget-bin/www_bget?ec:" &amp; E303, "https://www.kegg.jp/dbget-bin/www_bget?ec:" &amp; E303), "")</f>
        <v/>
      </c>
      <c r="G303" s="3"/>
      <c r="H303" s="1" t="str">
        <f>IF(G303&lt;&gt;"", HYPERLINK("https://www.kegg.jp/entry/" &amp; G303, "https://www.kegg.jp/entry/" &amp; G303), "")</f>
        <v/>
      </c>
    </row>
    <row r="304" spans="1:8" hidden="1" x14ac:dyDescent="0.25">
      <c r="A304" t="s">
        <v>534</v>
      </c>
      <c r="B304">
        <v>68</v>
      </c>
      <c r="C304" t="s">
        <v>535</v>
      </c>
      <c r="F304" s="1" t="str">
        <f>IF(E304&lt;&gt;"", HYPERLINK("https://www.kegg.jp/dbget-bin/www_bget?ec:" &amp; E304, "https://www.kegg.jp/dbget-bin/www_bget?ec:" &amp; E304), "")</f>
        <v/>
      </c>
      <c r="G304" s="3"/>
      <c r="H304" s="1" t="str">
        <f>IF(G304&lt;&gt;"", HYPERLINK("https://www.kegg.jp/entry/" &amp; G304, "https://www.kegg.jp/entry/" &amp; G304), "")</f>
        <v/>
      </c>
    </row>
    <row r="305" spans="1:8" hidden="1" x14ac:dyDescent="0.25">
      <c r="A305" t="s">
        <v>537</v>
      </c>
      <c r="B305">
        <v>471</v>
      </c>
      <c r="C305" t="s">
        <v>538</v>
      </c>
      <c r="F305" s="1" t="str">
        <f>IF(E305&lt;&gt;"", HYPERLINK("https://www.kegg.jp/dbget-bin/www_bget?ec:" &amp; E305, "https://www.kegg.jp/dbget-bin/www_bget?ec:" &amp; E305), "")</f>
        <v/>
      </c>
      <c r="G305" s="3"/>
      <c r="H305" s="1" t="str">
        <f>IF(G305&lt;&gt;"", HYPERLINK("https://www.kegg.jp/entry/" &amp; G305, "https://www.kegg.jp/entry/" &amp; G305), "")</f>
        <v/>
      </c>
    </row>
    <row r="306" spans="1:8" hidden="1" x14ac:dyDescent="0.25">
      <c r="A306" t="s">
        <v>539</v>
      </c>
      <c r="B306">
        <v>145</v>
      </c>
      <c r="C306" t="s">
        <v>540</v>
      </c>
      <c r="F306" s="1" t="str">
        <f>IF(E306&lt;&gt;"", HYPERLINK("https://www.kegg.jp/dbget-bin/www_bget?ec:" &amp; E306, "https://www.kegg.jp/dbget-bin/www_bget?ec:" &amp; E306), "")</f>
        <v/>
      </c>
      <c r="G306" s="3"/>
      <c r="H306" s="1" t="str">
        <f>IF(G306&lt;&gt;"", HYPERLINK("https://www.kegg.jp/entry/" &amp; G306, "https://www.kegg.jp/entry/" &amp; G306), "")</f>
        <v/>
      </c>
    </row>
    <row r="307" spans="1:8" hidden="1" x14ac:dyDescent="0.25">
      <c r="A307" t="s">
        <v>541</v>
      </c>
      <c r="B307">
        <v>107</v>
      </c>
      <c r="C307" t="s">
        <v>542</v>
      </c>
      <c r="F307" s="1" t="str">
        <f>IF(E307&lt;&gt;"", HYPERLINK("https://www.kegg.jp/dbget-bin/www_bget?ec:" &amp; E307, "https://www.kegg.jp/dbget-bin/www_bget?ec:" &amp; E307), "")</f>
        <v/>
      </c>
      <c r="G307" s="3"/>
      <c r="H307" s="1" t="str">
        <f>IF(G307&lt;&gt;"", HYPERLINK("https://www.kegg.jp/entry/" &amp; G307, "https://www.kegg.jp/entry/" &amp; G307), "")</f>
        <v/>
      </c>
    </row>
    <row r="308" spans="1:8" hidden="1" x14ac:dyDescent="0.25">
      <c r="A308" t="s">
        <v>543</v>
      </c>
      <c r="B308">
        <v>39</v>
      </c>
      <c r="C308" t="s">
        <v>544</v>
      </c>
      <c r="F308" s="1" t="str">
        <f>IF(E308&lt;&gt;"", HYPERLINK("https://www.kegg.jp/dbget-bin/www_bget?ec:" &amp; E308, "https://www.kegg.jp/dbget-bin/www_bget?ec:" &amp; E308), "")</f>
        <v/>
      </c>
      <c r="G308" s="3"/>
      <c r="H308" s="1" t="str">
        <f>IF(G308&lt;&gt;"", HYPERLINK("https://www.kegg.jp/entry/" &amp; G308, "https://www.kegg.jp/entry/" &amp; G308), "")</f>
        <v/>
      </c>
    </row>
    <row r="309" spans="1:8" hidden="1" x14ac:dyDescent="0.25">
      <c r="A309" t="s">
        <v>546</v>
      </c>
      <c r="B309">
        <v>821</v>
      </c>
      <c r="C309" t="s">
        <v>547</v>
      </c>
      <c r="F309" s="1" t="str">
        <f>IF(E309&lt;&gt;"", HYPERLINK("https://www.kegg.jp/dbget-bin/www_bget?ec:" &amp; E309, "https://www.kegg.jp/dbget-bin/www_bget?ec:" &amp; E309), "")</f>
        <v/>
      </c>
      <c r="G309" s="3"/>
      <c r="H309" s="1" t="str">
        <f>IF(G309&lt;&gt;"", HYPERLINK("https://www.kegg.jp/entry/" &amp; G309, "https://www.kegg.jp/entry/" &amp; G309), "")</f>
        <v/>
      </c>
    </row>
    <row r="310" spans="1:8" hidden="1" x14ac:dyDescent="0.25">
      <c r="A310" t="s">
        <v>549</v>
      </c>
      <c r="B310">
        <v>181</v>
      </c>
      <c r="C310" t="s">
        <v>550</v>
      </c>
      <c r="F310" s="1" t="str">
        <f>IF(E310&lt;&gt;"", HYPERLINK("https://www.kegg.jp/dbget-bin/www_bget?ec:" &amp; E310, "https://www.kegg.jp/dbget-bin/www_bget?ec:" &amp; E310), "")</f>
        <v/>
      </c>
      <c r="G310" s="3"/>
      <c r="H310" s="1" t="str">
        <f>IF(G310&lt;&gt;"", HYPERLINK("https://www.kegg.jp/entry/" &amp; G310, "https://www.kegg.jp/entry/" &amp; G310), "")</f>
        <v/>
      </c>
    </row>
    <row r="311" spans="1:8" hidden="1" x14ac:dyDescent="0.25">
      <c r="A311" t="s">
        <v>551</v>
      </c>
      <c r="B311">
        <v>223</v>
      </c>
      <c r="C311" t="s">
        <v>552</v>
      </c>
      <c r="F311" s="1" t="str">
        <f>IF(E311&lt;&gt;"", HYPERLINK("https://www.kegg.jp/dbget-bin/www_bget?ec:" &amp; E311, "https://www.kegg.jp/dbget-bin/www_bget?ec:" &amp; E311), "")</f>
        <v/>
      </c>
      <c r="G311" s="3"/>
      <c r="H311" s="1" t="str">
        <f>IF(G311&lt;&gt;"", HYPERLINK("https://www.kegg.jp/entry/" &amp; G311, "https://www.kegg.jp/entry/" &amp; G311), "")</f>
        <v/>
      </c>
    </row>
    <row r="312" spans="1:8" hidden="1" x14ac:dyDescent="0.25">
      <c r="A312" t="s">
        <v>553</v>
      </c>
      <c r="B312">
        <v>165</v>
      </c>
      <c r="C312" t="s">
        <v>554</v>
      </c>
      <c r="F312" s="1" t="str">
        <f>IF(E312&lt;&gt;"", HYPERLINK("https://www.kegg.jp/dbget-bin/www_bget?ec:" &amp; E312, "https://www.kegg.jp/dbget-bin/www_bget?ec:" &amp; E312), "")</f>
        <v/>
      </c>
      <c r="G312" s="3"/>
      <c r="H312" s="1" t="str">
        <f>IF(G312&lt;&gt;"", HYPERLINK("https://www.kegg.jp/entry/" &amp; G312, "https://www.kegg.jp/entry/" &amp; G312), "")</f>
        <v/>
      </c>
    </row>
    <row r="313" spans="1:8" hidden="1" x14ac:dyDescent="0.25">
      <c r="A313" t="s">
        <v>556</v>
      </c>
      <c r="B313">
        <v>125</v>
      </c>
      <c r="C313" t="s">
        <v>557</v>
      </c>
      <c r="F313" s="1" t="str">
        <f>IF(E313&lt;&gt;"", HYPERLINK("https://www.kegg.jp/dbget-bin/www_bget?ec:" &amp; E313, "https://www.kegg.jp/dbget-bin/www_bget?ec:" &amp; E313), "")</f>
        <v/>
      </c>
      <c r="G313" s="3"/>
      <c r="H313" s="1" t="str">
        <f>IF(G313&lt;&gt;"", HYPERLINK("https://www.kegg.jp/entry/" &amp; G313, "https://www.kegg.jp/entry/" &amp; G313), "")</f>
        <v/>
      </c>
    </row>
    <row r="314" spans="1:8" hidden="1" x14ac:dyDescent="0.25">
      <c r="A314" t="s">
        <v>559</v>
      </c>
      <c r="B314">
        <v>366</v>
      </c>
      <c r="C314" t="s">
        <v>560</v>
      </c>
      <c r="F314" s="1" t="str">
        <f>IF(E314&lt;&gt;"", HYPERLINK("https://www.kegg.jp/dbget-bin/www_bget?ec:" &amp; E314, "https://www.kegg.jp/dbget-bin/www_bget?ec:" &amp; E314), "")</f>
        <v/>
      </c>
      <c r="G314" s="3"/>
      <c r="H314" s="1" t="str">
        <f>IF(G314&lt;&gt;"", HYPERLINK("https://www.kegg.jp/entry/" &amp; G314, "https://www.kegg.jp/entry/" &amp; G314), "")</f>
        <v/>
      </c>
    </row>
    <row r="315" spans="1:8" hidden="1" x14ac:dyDescent="0.25">
      <c r="A315" t="s">
        <v>561</v>
      </c>
      <c r="B315">
        <v>244</v>
      </c>
      <c r="C315" t="s">
        <v>562</v>
      </c>
      <c r="F315" s="1" t="str">
        <f>IF(E315&lt;&gt;"", HYPERLINK("https://www.kegg.jp/dbget-bin/www_bget?ec:" &amp; E315, "https://www.kegg.jp/dbget-bin/www_bget?ec:" &amp; E315), "")</f>
        <v/>
      </c>
      <c r="G315" s="3"/>
      <c r="H315" s="1" t="str">
        <f>IF(G315&lt;&gt;"", HYPERLINK("https://www.kegg.jp/entry/" &amp; G315, "https://www.kegg.jp/entry/" &amp; G315), "")</f>
        <v/>
      </c>
    </row>
    <row r="316" spans="1:8" hidden="1" x14ac:dyDescent="0.25">
      <c r="A316" t="s">
        <v>563</v>
      </c>
      <c r="B316">
        <v>70</v>
      </c>
      <c r="C316" t="s">
        <v>564</v>
      </c>
      <c r="F316" s="1" t="str">
        <f>IF(E316&lt;&gt;"", HYPERLINK("https://www.kegg.jp/dbget-bin/www_bget?ec:" &amp; E316, "https://www.kegg.jp/dbget-bin/www_bget?ec:" &amp; E316), "")</f>
        <v/>
      </c>
      <c r="G316" s="3"/>
      <c r="H316" s="1" t="str">
        <f>IF(G316&lt;&gt;"", HYPERLINK("https://www.kegg.jp/entry/" &amp; G316, "https://www.kegg.jp/entry/" &amp; G316), "")</f>
        <v/>
      </c>
    </row>
    <row r="317" spans="1:8" hidden="1" x14ac:dyDescent="0.25">
      <c r="A317" t="s">
        <v>565</v>
      </c>
      <c r="B317">
        <v>103</v>
      </c>
      <c r="C317" t="s">
        <v>566</v>
      </c>
      <c r="F317" s="1" t="str">
        <f>IF(E317&lt;&gt;"", HYPERLINK("https://www.kegg.jp/dbget-bin/www_bget?ec:" &amp; E317, "https://www.kegg.jp/dbget-bin/www_bget?ec:" &amp; E317), "")</f>
        <v/>
      </c>
      <c r="G317" s="3"/>
      <c r="H317" s="1" t="str">
        <f>IF(G317&lt;&gt;"", HYPERLINK("https://www.kegg.jp/entry/" &amp; G317, "https://www.kegg.jp/entry/" &amp; G317), "")</f>
        <v/>
      </c>
    </row>
    <row r="318" spans="1:8" hidden="1" x14ac:dyDescent="0.25">
      <c r="A318" t="s">
        <v>567</v>
      </c>
      <c r="B318">
        <v>287</v>
      </c>
      <c r="C318" t="s">
        <v>568</v>
      </c>
      <c r="F318" s="1" t="str">
        <f>IF(E318&lt;&gt;"", HYPERLINK("https://www.kegg.jp/dbget-bin/www_bget?ec:" &amp; E318, "https://www.kegg.jp/dbget-bin/www_bget?ec:" &amp; E318), "")</f>
        <v/>
      </c>
      <c r="G318" s="3"/>
      <c r="H318" s="1" t="str">
        <f>IF(G318&lt;&gt;"", HYPERLINK("https://www.kegg.jp/entry/" &amp; G318, "https://www.kegg.jp/entry/" &amp; G318), "")</f>
        <v/>
      </c>
    </row>
    <row r="319" spans="1:8" hidden="1" x14ac:dyDescent="0.25">
      <c r="A319" t="s">
        <v>569</v>
      </c>
      <c r="B319">
        <v>120</v>
      </c>
      <c r="C319" t="s">
        <v>570</v>
      </c>
      <c r="F319" s="1" t="str">
        <f>IF(E319&lt;&gt;"", HYPERLINK("https://www.kegg.jp/dbget-bin/www_bget?ec:" &amp; E319, "https://www.kegg.jp/dbget-bin/www_bget?ec:" &amp; E319), "")</f>
        <v/>
      </c>
      <c r="G319" s="3"/>
      <c r="H319" s="1" t="str">
        <f>IF(G319&lt;&gt;"", HYPERLINK("https://www.kegg.jp/entry/" &amp; G319, "https://www.kegg.jp/entry/" &amp; G319), "")</f>
        <v/>
      </c>
    </row>
    <row r="320" spans="1:8" hidden="1" x14ac:dyDescent="0.25">
      <c r="A320" t="s">
        <v>571</v>
      </c>
      <c r="B320">
        <v>358</v>
      </c>
      <c r="C320" t="s">
        <v>572</v>
      </c>
      <c r="F320" s="1" t="str">
        <f>IF(E320&lt;&gt;"", HYPERLINK("https://www.kegg.jp/dbget-bin/www_bget?ec:" &amp; E320, "https://www.kegg.jp/dbget-bin/www_bget?ec:" &amp; E320), "")</f>
        <v/>
      </c>
      <c r="G320" s="3"/>
      <c r="H320" s="1" t="str">
        <f>IF(G320&lt;&gt;"", HYPERLINK("https://www.kegg.jp/entry/" &amp; G320, "https://www.kegg.jp/entry/" &amp; G320), "")</f>
        <v/>
      </c>
    </row>
    <row r="321" spans="1:10" hidden="1" x14ac:dyDescent="0.25">
      <c r="A321" t="s">
        <v>573</v>
      </c>
      <c r="B321">
        <v>100</v>
      </c>
      <c r="C321" t="s">
        <v>574</v>
      </c>
      <c r="F321" s="1" t="str">
        <f>IF(E321&lt;&gt;"", HYPERLINK("https://www.kegg.jp/dbget-bin/www_bget?ec:" &amp; E321, "https://www.kegg.jp/dbget-bin/www_bget?ec:" &amp; E321), "")</f>
        <v/>
      </c>
      <c r="G321" s="3"/>
      <c r="H321" s="1" t="str">
        <f>IF(G321&lt;&gt;"", HYPERLINK("https://www.kegg.jp/entry/" &amp; G321, "https://www.kegg.jp/entry/" &amp; G321), "")</f>
        <v/>
      </c>
    </row>
    <row r="322" spans="1:10" hidden="1" x14ac:dyDescent="0.25">
      <c r="A322" t="s">
        <v>575</v>
      </c>
      <c r="B322">
        <v>52</v>
      </c>
      <c r="C322" t="s">
        <v>576</v>
      </c>
      <c r="F322" s="1" t="str">
        <f>IF(E322&lt;&gt;"", HYPERLINK("https://www.kegg.jp/dbget-bin/www_bget?ec:" &amp; E322, "https://www.kegg.jp/dbget-bin/www_bget?ec:" &amp; E322), "")</f>
        <v/>
      </c>
      <c r="G322" s="3"/>
      <c r="H322" s="1" t="str">
        <f>IF(G322&lt;&gt;"", HYPERLINK("https://www.kegg.jp/entry/" &amp; G322, "https://www.kegg.jp/entry/" &amp; G322), "")</f>
        <v/>
      </c>
    </row>
    <row r="323" spans="1:10" hidden="1" x14ac:dyDescent="0.25">
      <c r="A323" t="s">
        <v>577</v>
      </c>
      <c r="B323">
        <v>62</v>
      </c>
      <c r="C323" t="s">
        <v>578</v>
      </c>
      <c r="F323" s="1" t="str">
        <f>IF(E323&lt;&gt;"", HYPERLINK("https://www.kegg.jp/dbget-bin/www_bget?ec:" &amp; E323, "https://www.kegg.jp/dbget-bin/www_bget?ec:" &amp; E323), "")</f>
        <v/>
      </c>
      <c r="G323" s="3"/>
      <c r="H323" s="1" t="str">
        <f>IF(G323&lt;&gt;"", HYPERLINK("https://www.kegg.jp/entry/" &amp; G323, "https://www.kegg.jp/entry/" &amp; G323), "")</f>
        <v/>
      </c>
    </row>
    <row r="324" spans="1:10" hidden="1" x14ac:dyDescent="0.25">
      <c r="A324" t="s">
        <v>579</v>
      </c>
      <c r="B324">
        <v>101</v>
      </c>
      <c r="C324" t="s">
        <v>580</v>
      </c>
      <c r="F324" s="1" t="str">
        <f>IF(E324&lt;&gt;"", HYPERLINK("https://www.kegg.jp/dbget-bin/www_bget?ec:" &amp; E324, "https://www.kegg.jp/dbget-bin/www_bget?ec:" &amp; E324), "")</f>
        <v/>
      </c>
      <c r="G324" s="3"/>
      <c r="H324" s="1" t="str">
        <f>IF(G324&lt;&gt;"", HYPERLINK("https://www.kegg.jp/entry/" &amp; G324, "https://www.kegg.jp/entry/" &amp; G324), "")</f>
        <v/>
      </c>
    </row>
    <row r="325" spans="1:10" hidden="1" x14ac:dyDescent="0.25">
      <c r="A325" t="s">
        <v>582</v>
      </c>
      <c r="B325">
        <v>218</v>
      </c>
      <c r="C325" t="s">
        <v>583</v>
      </c>
      <c r="F325" s="1" t="str">
        <f>IF(E325&lt;&gt;"", HYPERLINK("https://www.kegg.jp/dbget-bin/www_bget?ec:" &amp; E325, "https://www.kegg.jp/dbget-bin/www_bget?ec:" &amp; E325), "")</f>
        <v/>
      </c>
      <c r="G325" s="3"/>
      <c r="H325" s="1" t="str">
        <f>IF(G325&lt;&gt;"", HYPERLINK("https://www.kegg.jp/entry/" &amp; G325, "https://www.kegg.jp/entry/" &amp; G325), "")</f>
        <v/>
      </c>
    </row>
    <row r="326" spans="1:10" hidden="1" x14ac:dyDescent="0.25">
      <c r="A326" t="s">
        <v>585</v>
      </c>
      <c r="B326">
        <v>88</v>
      </c>
      <c r="C326" t="s">
        <v>586</v>
      </c>
      <c r="F326" s="1" t="str">
        <f>IF(E326&lt;&gt;"", HYPERLINK("https://www.kegg.jp/dbget-bin/www_bget?ec:" &amp; E326, "https://www.kegg.jp/dbget-bin/www_bget?ec:" &amp; E326), "")</f>
        <v/>
      </c>
      <c r="G326" s="3"/>
      <c r="H326" s="1" t="str">
        <f>IF(G326&lt;&gt;"", HYPERLINK("https://www.kegg.jp/entry/" &amp; G326, "https://www.kegg.jp/entry/" &amp; G326), "")</f>
        <v/>
      </c>
    </row>
    <row r="327" spans="1:10" hidden="1" x14ac:dyDescent="0.25">
      <c r="A327" t="s">
        <v>588</v>
      </c>
      <c r="B327">
        <v>85</v>
      </c>
      <c r="C327" t="s">
        <v>589</v>
      </c>
      <c r="F327" s="1" t="str">
        <f>IF(E327&lt;&gt;"", HYPERLINK("https://www.kegg.jp/dbget-bin/www_bget?ec:" &amp; E327, "https://www.kegg.jp/dbget-bin/www_bget?ec:" &amp; E327), "")</f>
        <v/>
      </c>
      <c r="G327" s="3"/>
      <c r="H327" s="1" t="str">
        <f>IF(G327&lt;&gt;"", HYPERLINK("https://www.kegg.jp/entry/" &amp; G327, "https://www.kegg.jp/entry/" &amp; G327), "")</f>
        <v/>
      </c>
    </row>
    <row r="328" spans="1:10" hidden="1" x14ac:dyDescent="0.25">
      <c r="A328" t="s">
        <v>591</v>
      </c>
      <c r="B328">
        <v>417</v>
      </c>
      <c r="C328" t="s">
        <v>592</v>
      </c>
      <c r="F328" s="1" t="str">
        <f>IF(E328&lt;&gt;"", HYPERLINK("https://www.kegg.jp/dbget-bin/www_bget?ec:" &amp; E328, "https://www.kegg.jp/dbget-bin/www_bget?ec:" &amp; E328), "")</f>
        <v/>
      </c>
      <c r="G328" s="3"/>
      <c r="H328" s="1" t="str">
        <f>IF(G328&lt;&gt;"", HYPERLINK("https://www.kegg.jp/entry/" &amp; G328, "https://www.kegg.jp/entry/" &amp; G328), "")</f>
        <v/>
      </c>
    </row>
    <row r="329" spans="1:10" x14ac:dyDescent="0.25">
      <c r="A329" t="s">
        <v>594</v>
      </c>
      <c r="B329">
        <v>186</v>
      </c>
      <c r="C329" t="s">
        <v>595</v>
      </c>
      <c r="E329" s="5" t="s">
        <v>6658</v>
      </c>
      <c r="F329" s="1" t="str">
        <f>IF(E329&lt;&gt;"", HYPERLINK("https://www.kegg.jp/dbget-bin/www_bget?ec:" &amp; E329, "https://www.kegg.jp/dbget-bin/www_bget?ec:" &amp; E329), "")</f>
        <v>https://www.kegg.jp/dbget-bin/www_bget?ec:2.7.7.18</v>
      </c>
      <c r="G329" s="3" t="s">
        <v>7434</v>
      </c>
      <c r="H329" s="1" t="str">
        <f>IF(G329&lt;&gt;"", HYPERLINK("https://www.kegg.jp/entry/" &amp; G329, "https://www.kegg.jp/entry/" &amp; G329), "")</f>
        <v>https://www.kegg.jp/entry/R03005</v>
      </c>
      <c r="I329" t="s">
        <v>8145</v>
      </c>
      <c r="J329" t="s">
        <v>8424</v>
      </c>
    </row>
    <row r="330" spans="1:10" x14ac:dyDescent="0.25">
      <c r="A330" t="s">
        <v>594</v>
      </c>
      <c r="B330">
        <v>186</v>
      </c>
      <c r="C330" t="s">
        <v>595</v>
      </c>
      <c r="E330" s="5" t="s">
        <v>6658</v>
      </c>
      <c r="F330" s="1" t="str">
        <f>IF(E330&lt;&gt;"", HYPERLINK("https://www.kegg.jp/dbget-bin/www_bget?ec:" &amp; E330, "https://www.kegg.jp/dbget-bin/www_bget?ec:" &amp; E330), "")</f>
        <v>https://www.kegg.jp/dbget-bin/www_bget?ec:2.7.7.18</v>
      </c>
      <c r="G330" s="3" t="s">
        <v>7435</v>
      </c>
      <c r="H330" s="1" t="str">
        <f>IF(G330&lt;&gt;"", HYPERLINK("https://www.kegg.jp/entry/" &amp; G330, "https://www.kegg.jp/entry/" &amp; G330), "")</f>
        <v>https://www.kegg.jp/entry/R00137</v>
      </c>
      <c r="I330" t="s">
        <v>8146</v>
      </c>
      <c r="J330" t="s">
        <v>12876</v>
      </c>
    </row>
    <row r="331" spans="1:10" hidden="1" x14ac:dyDescent="0.25">
      <c r="A331" t="s">
        <v>597</v>
      </c>
      <c r="B331">
        <v>185</v>
      </c>
      <c r="C331" t="s">
        <v>598</v>
      </c>
      <c r="F331" s="1" t="str">
        <f>IF(E331&lt;&gt;"", HYPERLINK("https://www.kegg.jp/dbget-bin/www_bget?ec:" &amp; E331, "https://www.kegg.jp/dbget-bin/www_bget?ec:" &amp; E331), "")</f>
        <v/>
      </c>
      <c r="G331" s="3"/>
      <c r="H331" s="1" t="str">
        <f>IF(G331&lt;&gt;"", HYPERLINK("https://www.kegg.jp/entry/" &amp; G331, "https://www.kegg.jp/entry/" &amp; G331), "")</f>
        <v/>
      </c>
    </row>
    <row r="332" spans="1:10" hidden="1" x14ac:dyDescent="0.25">
      <c r="A332" t="s">
        <v>600</v>
      </c>
      <c r="B332">
        <v>365</v>
      </c>
      <c r="C332" t="s">
        <v>601</v>
      </c>
      <c r="F332" s="1" t="str">
        <f>IF(E332&lt;&gt;"", HYPERLINK("https://www.kegg.jp/dbget-bin/www_bget?ec:" &amp; E332, "https://www.kegg.jp/dbget-bin/www_bget?ec:" &amp; E332), "")</f>
        <v/>
      </c>
      <c r="G332" s="3"/>
      <c r="H332" s="1" t="str">
        <f>IF(G332&lt;&gt;"", HYPERLINK("https://www.kegg.jp/entry/" &amp; G332, "https://www.kegg.jp/entry/" &amp; G332), "")</f>
        <v/>
      </c>
    </row>
    <row r="333" spans="1:10" hidden="1" x14ac:dyDescent="0.25">
      <c r="A333" t="s">
        <v>603</v>
      </c>
      <c r="B333">
        <v>113</v>
      </c>
      <c r="C333" t="s">
        <v>604</v>
      </c>
      <c r="F333" s="1" t="str">
        <f>IF(E333&lt;&gt;"", HYPERLINK("https://www.kegg.jp/dbget-bin/www_bget?ec:" &amp; E333, "https://www.kegg.jp/dbget-bin/www_bget?ec:" &amp; E333), "")</f>
        <v/>
      </c>
      <c r="G333" s="3"/>
      <c r="H333" s="1" t="str">
        <f>IF(G333&lt;&gt;"", HYPERLINK("https://www.kegg.jp/entry/" &amp; G333, "https://www.kegg.jp/entry/" &amp; G333), "")</f>
        <v/>
      </c>
    </row>
    <row r="334" spans="1:10" hidden="1" x14ac:dyDescent="0.25">
      <c r="A334" t="s">
        <v>605</v>
      </c>
      <c r="B334">
        <v>93</v>
      </c>
      <c r="C334" t="s">
        <v>606</v>
      </c>
      <c r="F334" s="1" t="str">
        <f>IF(E334&lt;&gt;"", HYPERLINK("https://www.kegg.jp/dbget-bin/www_bget?ec:" &amp; E334, "https://www.kegg.jp/dbget-bin/www_bget?ec:" &amp; E334), "")</f>
        <v/>
      </c>
      <c r="G334" s="3"/>
      <c r="H334" s="1" t="str">
        <f>IF(G334&lt;&gt;"", HYPERLINK("https://www.kegg.jp/entry/" &amp; G334, "https://www.kegg.jp/entry/" &amp; G334), "")</f>
        <v/>
      </c>
    </row>
    <row r="335" spans="1:10" x14ac:dyDescent="0.25">
      <c r="A335" t="s">
        <v>608</v>
      </c>
      <c r="B335">
        <v>276</v>
      </c>
      <c r="C335" t="s">
        <v>609</v>
      </c>
      <c r="E335" s="5" t="s">
        <v>6659</v>
      </c>
      <c r="F335" s="1" t="str">
        <f>IF(E335&lt;&gt;"", HYPERLINK("https://www.kegg.jp/dbget-bin/www_bget?ec:" &amp; E335, "https://www.kegg.jp/dbget-bin/www_bget?ec:" &amp; E335), "")</f>
        <v>https://www.kegg.jp/dbget-bin/www_bget?ec:6.3.2.1</v>
      </c>
      <c r="G335" s="3" t="s">
        <v>7107</v>
      </c>
      <c r="H335" s="1" t="str">
        <f>IF(G335&lt;&gt;"", HYPERLINK("https://www.kegg.jp/entry/" &amp; G335, "https://www.kegg.jp/entry/" &amp; G335), "")</f>
        <v>https://www.kegg.jp/entry/R02473</v>
      </c>
      <c r="I335" t="s">
        <v>12877</v>
      </c>
      <c r="J335" t="s">
        <v>12878</v>
      </c>
    </row>
    <row r="336" spans="1:10" hidden="1" x14ac:dyDescent="0.25">
      <c r="A336" t="s">
        <v>610</v>
      </c>
      <c r="B336">
        <v>368</v>
      </c>
      <c r="C336" t="s">
        <v>611</v>
      </c>
      <c r="F336" s="1" t="str">
        <f>IF(E336&lt;&gt;"", HYPERLINK("https://www.kegg.jp/dbget-bin/www_bget?ec:" &amp; E336, "https://www.kegg.jp/dbget-bin/www_bget?ec:" &amp; E336), "")</f>
        <v/>
      </c>
      <c r="G336" s="3"/>
      <c r="H336" s="1" t="str">
        <f>IF(G336&lt;&gt;"", HYPERLINK("https://www.kegg.jp/entry/" &amp; G336, "https://www.kegg.jp/entry/" &amp; G336), "")</f>
        <v/>
      </c>
    </row>
    <row r="337" spans="1:10" x14ac:dyDescent="0.25">
      <c r="A337" t="s">
        <v>613</v>
      </c>
      <c r="B337">
        <v>305</v>
      </c>
      <c r="C337" t="s">
        <v>614</v>
      </c>
      <c r="E337" s="5" t="s">
        <v>6660</v>
      </c>
      <c r="F337" s="1" t="str">
        <f>IF(E337&lt;&gt;"", HYPERLINK("https://www.kegg.jp/dbget-bin/www_bget?ec:" &amp; E337, "https://www.kegg.jp/dbget-bin/www_bget?ec:" &amp; E337), "")</f>
        <v>https://www.kegg.jp/dbget-bin/www_bget?ec:4.1.2.13</v>
      </c>
      <c r="G337" s="3" t="s">
        <v>7436</v>
      </c>
      <c r="H337" s="1" t="str">
        <f>IF(G337&lt;&gt;"", HYPERLINK("https://www.kegg.jp/entry/" &amp; G337, "https://www.kegg.jp/entry/" &amp; G337), "")</f>
        <v>https://www.kegg.jp/entry/R01068</v>
      </c>
      <c r="I337" t="s">
        <v>8147</v>
      </c>
      <c r="J337" t="s">
        <v>8425</v>
      </c>
    </row>
    <row r="338" spans="1:10" x14ac:dyDescent="0.25">
      <c r="A338" t="s">
        <v>613</v>
      </c>
      <c r="B338">
        <v>305</v>
      </c>
      <c r="C338" t="s">
        <v>614</v>
      </c>
      <c r="E338" s="5" t="s">
        <v>6660</v>
      </c>
      <c r="F338" s="1" t="str">
        <f>IF(E338&lt;&gt;"", HYPERLINK("https://www.kegg.jp/dbget-bin/www_bget?ec:" &amp; E338, "https://www.kegg.jp/dbget-bin/www_bget?ec:" &amp; E338), "")</f>
        <v>https://www.kegg.jp/dbget-bin/www_bget?ec:4.1.2.13</v>
      </c>
      <c r="G338" s="3" t="s">
        <v>7439</v>
      </c>
      <c r="H338" s="1" t="str">
        <f>IF(G338&lt;&gt;"", HYPERLINK("https://www.kegg.jp/entry/" &amp; G338, "https://www.kegg.jp/entry/" &amp; G338), "")</f>
        <v>https://www.kegg.jp/entry/R01070</v>
      </c>
      <c r="I338" t="s">
        <v>8148</v>
      </c>
      <c r="J338" t="s">
        <v>8425</v>
      </c>
    </row>
    <row r="339" spans="1:10" x14ac:dyDescent="0.25">
      <c r="A339" t="s">
        <v>613</v>
      </c>
      <c r="B339">
        <v>305</v>
      </c>
      <c r="C339" t="s">
        <v>614</v>
      </c>
      <c r="E339" s="5" t="s">
        <v>6660</v>
      </c>
      <c r="F339" s="1" t="str">
        <f>IF(E339&lt;&gt;"", HYPERLINK("https://www.kegg.jp/dbget-bin/www_bget?ec:" &amp; E339, "https://www.kegg.jp/dbget-bin/www_bget?ec:" &amp; E339), "")</f>
        <v>https://www.kegg.jp/dbget-bin/www_bget?ec:4.1.2.13</v>
      </c>
      <c r="G339" s="3" t="s">
        <v>7438</v>
      </c>
      <c r="H339" s="1" t="str">
        <f>IF(G339&lt;&gt;"", HYPERLINK("https://www.kegg.jp/entry/" &amp; G339, "https://www.kegg.jp/entry/" &amp; G339), "")</f>
        <v>https://www.kegg.jp/entry/R01829</v>
      </c>
      <c r="I339" t="s">
        <v>8149</v>
      </c>
      <c r="J339" t="s">
        <v>8426</v>
      </c>
    </row>
    <row r="340" spans="1:10" x14ac:dyDescent="0.25">
      <c r="A340" t="s">
        <v>613</v>
      </c>
      <c r="B340">
        <v>305</v>
      </c>
      <c r="C340" t="s">
        <v>614</v>
      </c>
      <c r="E340" s="5" t="s">
        <v>6660</v>
      </c>
      <c r="F340" s="1" t="str">
        <f>IF(E340&lt;&gt;"", HYPERLINK("https://www.kegg.jp/dbget-bin/www_bget?ec:" &amp; E340, "https://www.kegg.jp/dbget-bin/www_bget?ec:" &amp; E340), "")</f>
        <v>https://www.kegg.jp/dbget-bin/www_bget?ec:4.1.2.13</v>
      </c>
      <c r="G340" s="3" t="s">
        <v>7437</v>
      </c>
      <c r="H340" s="1" t="str">
        <f>IF(G340&lt;&gt;"", HYPERLINK("https://www.kegg.jp/entry/" &amp; G340, "https://www.kegg.jp/entry/" &amp; G340), "")</f>
        <v>https://www.kegg.jp/entry/R02568</v>
      </c>
      <c r="I340" t="s">
        <v>8150</v>
      </c>
      <c r="J340" t="s">
        <v>8427</v>
      </c>
    </row>
    <row r="341" spans="1:10" hidden="1" x14ac:dyDescent="0.25">
      <c r="A341" t="s">
        <v>616</v>
      </c>
      <c r="B341">
        <v>172</v>
      </c>
      <c r="C341" t="s">
        <v>617</v>
      </c>
      <c r="F341" s="1" t="str">
        <f>IF(E341&lt;&gt;"", HYPERLINK("https://www.kegg.jp/dbget-bin/www_bget?ec:" &amp; E341, "https://www.kegg.jp/dbget-bin/www_bget?ec:" &amp; E341), "")</f>
        <v/>
      </c>
      <c r="G341" s="3"/>
      <c r="H341" s="1" t="str">
        <f>IF(G341&lt;&gt;"", HYPERLINK("https://www.kegg.jp/entry/" &amp; G341, "https://www.kegg.jp/entry/" &amp; G341), "")</f>
        <v/>
      </c>
    </row>
    <row r="342" spans="1:10" x14ac:dyDescent="0.25">
      <c r="A342" t="s">
        <v>619</v>
      </c>
      <c r="B342">
        <v>423</v>
      </c>
      <c r="C342" t="s">
        <v>620</v>
      </c>
      <c r="E342" s="5" t="s">
        <v>6661</v>
      </c>
      <c r="F342" s="1" t="str">
        <f>IF(E342&lt;&gt;"", HYPERLINK("https://www.kegg.jp/dbget-bin/www_bget?ec:" &amp; E342, "https://www.kegg.jp/dbget-bin/www_bget?ec:" &amp; E342), "")</f>
        <v>https://www.kegg.jp/dbget-bin/www_bget?ec:2.4.2.2</v>
      </c>
      <c r="G342" s="3" t="s">
        <v>7440</v>
      </c>
      <c r="H342" s="1" t="str">
        <f>IF(G342&lt;&gt;"", HYPERLINK("https://www.kegg.jp/entry/" &amp; G342, "https://www.kegg.jp/entry/" &amp; G342), "")</f>
        <v>https://www.kegg.jp/entry/R01570</v>
      </c>
      <c r="I342" t="s">
        <v>12751</v>
      </c>
      <c r="J342" t="s">
        <v>8428</v>
      </c>
    </row>
    <row r="343" spans="1:10" x14ac:dyDescent="0.25">
      <c r="A343" t="s">
        <v>619</v>
      </c>
      <c r="B343">
        <v>423</v>
      </c>
      <c r="C343" t="s">
        <v>620</v>
      </c>
      <c r="E343" s="5" t="s">
        <v>6661</v>
      </c>
      <c r="F343" s="1" t="str">
        <f>IF(E343&lt;&gt;"", HYPERLINK("https://www.kegg.jp/dbget-bin/www_bget?ec:" &amp; E343, "https://www.kegg.jp/dbget-bin/www_bget?ec:" &amp; E343), "")</f>
        <v>https://www.kegg.jp/dbget-bin/www_bget?ec:2.4.2.2</v>
      </c>
      <c r="G343" s="3" t="s">
        <v>7444</v>
      </c>
      <c r="H343" s="1" t="str">
        <f>IF(G343&lt;&gt;"", HYPERLINK("https://www.kegg.jp/entry/" &amp; G343, "https://www.kegg.jp/entry/" &amp; G343), "")</f>
        <v>https://www.kegg.jp/entry/R01876</v>
      </c>
      <c r="I343" t="s">
        <v>12739</v>
      </c>
      <c r="J343" t="s">
        <v>8429</v>
      </c>
    </row>
    <row r="344" spans="1:10" x14ac:dyDescent="0.25">
      <c r="A344" t="s">
        <v>619</v>
      </c>
      <c r="B344">
        <v>423</v>
      </c>
      <c r="C344" t="s">
        <v>620</v>
      </c>
      <c r="E344" s="5" t="s">
        <v>6661</v>
      </c>
      <c r="F344" s="1" t="str">
        <f>IF(E344&lt;&gt;"", HYPERLINK("https://www.kegg.jp/dbget-bin/www_bget?ec:" &amp; E344, "https://www.kegg.jp/dbget-bin/www_bget?ec:" &amp; E344), "")</f>
        <v>https://www.kegg.jp/dbget-bin/www_bget?ec:2.4.2.2</v>
      </c>
      <c r="G344" s="3" t="s">
        <v>7443</v>
      </c>
      <c r="H344" s="1" t="str">
        <f>IF(G344&lt;&gt;"", HYPERLINK("https://www.kegg.jp/entry/" &amp; G344, "https://www.kegg.jp/entry/" &amp; G344), "")</f>
        <v>https://www.kegg.jp/entry/R02296</v>
      </c>
      <c r="I344" t="s">
        <v>12737</v>
      </c>
      <c r="J344" t="s">
        <v>8430</v>
      </c>
    </row>
    <row r="345" spans="1:10" x14ac:dyDescent="0.25">
      <c r="A345" t="s">
        <v>619</v>
      </c>
      <c r="B345">
        <v>423</v>
      </c>
      <c r="C345" t="s">
        <v>620</v>
      </c>
      <c r="E345" s="5" t="s">
        <v>6661</v>
      </c>
      <c r="F345" s="1" t="str">
        <f>IF(E345&lt;&gt;"", HYPERLINK("https://www.kegg.jp/dbget-bin/www_bget?ec:" &amp; E345, "https://www.kegg.jp/dbget-bin/www_bget?ec:" &amp; E345), "")</f>
        <v>https://www.kegg.jp/dbget-bin/www_bget?ec:2.4.2.2</v>
      </c>
      <c r="G345" s="3" t="s">
        <v>7442</v>
      </c>
      <c r="H345" s="1" t="str">
        <f>IF(G345&lt;&gt;"", HYPERLINK("https://www.kegg.jp/entry/" &amp; G345, "https://www.kegg.jp/entry/" &amp; G345), "")</f>
        <v>https://www.kegg.jp/entry/R02484</v>
      </c>
      <c r="I345" t="s">
        <v>12759</v>
      </c>
      <c r="J345" t="s">
        <v>8431</v>
      </c>
    </row>
    <row r="346" spans="1:10" x14ac:dyDescent="0.25">
      <c r="A346" t="s">
        <v>619</v>
      </c>
      <c r="B346">
        <v>423</v>
      </c>
      <c r="C346" t="s">
        <v>620</v>
      </c>
      <c r="E346" s="5" t="s">
        <v>6661</v>
      </c>
      <c r="F346" s="1" t="str">
        <f>IF(E346&lt;&gt;"", HYPERLINK("https://www.kegg.jp/dbget-bin/www_bget?ec:" &amp; E346, "https://www.kegg.jp/dbget-bin/www_bget?ec:" &amp; E346), "")</f>
        <v>https://www.kegg.jp/dbget-bin/www_bget?ec:2.4.2.2</v>
      </c>
      <c r="G346" s="3" t="s">
        <v>7441</v>
      </c>
      <c r="H346" s="1" t="str">
        <f>IF(G346&lt;&gt;"", HYPERLINK("https://www.kegg.jp/entry/" &amp; G346, "https://www.kegg.jp/entry/" &amp; G346), "")</f>
        <v>https://www.kegg.jp/entry/R02298</v>
      </c>
      <c r="I346" t="s">
        <v>12879</v>
      </c>
      <c r="J346" t="s">
        <v>12880</v>
      </c>
    </row>
    <row r="347" spans="1:10" hidden="1" x14ac:dyDescent="0.25">
      <c r="A347" t="s">
        <v>622</v>
      </c>
      <c r="B347">
        <v>299</v>
      </c>
      <c r="C347" t="s">
        <v>623</v>
      </c>
      <c r="F347" s="1" t="str">
        <f>IF(E347&lt;&gt;"", HYPERLINK("https://www.kegg.jp/dbget-bin/www_bget?ec:" &amp; E347, "https://www.kegg.jp/dbget-bin/www_bget?ec:" &amp; E347), "")</f>
        <v/>
      </c>
      <c r="G347" s="3"/>
      <c r="H347" s="1" t="str">
        <f>IF(G347&lt;&gt;"", HYPERLINK("https://www.kegg.jp/entry/" &amp; G347, "https://www.kegg.jp/entry/" &amp; G347), "")</f>
        <v/>
      </c>
    </row>
    <row r="348" spans="1:10" hidden="1" x14ac:dyDescent="0.25">
      <c r="A348" t="s">
        <v>625</v>
      </c>
      <c r="B348">
        <v>120</v>
      </c>
      <c r="C348" t="s">
        <v>626</v>
      </c>
      <c r="F348" s="1" t="str">
        <f>IF(E348&lt;&gt;"", HYPERLINK("https://www.kegg.jp/dbget-bin/www_bget?ec:" &amp; E348, "https://www.kegg.jp/dbget-bin/www_bget?ec:" &amp; E348), "")</f>
        <v/>
      </c>
      <c r="G348" s="3"/>
      <c r="H348" s="1" t="str">
        <f>IF(G348&lt;&gt;"", HYPERLINK("https://www.kegg.jp/entry/" &amp; G348, "https://www.kegg.jp/entry/" &amp; G348), "")</f>
        <v/>
      </c>
    </row>
    <row r="349" spans="1:10" x14ac:dyDescent="0.25">
      <c r="A349" t="s">
        <v>628</v>
      </c>
      <c r="B349">
        <v>285</v>
      </c>
      <c r="C349" t="s">
        <v>629</v>
      </c>
      <c r="E349" s="5" t="s">
        <v>6662</v>
      </c>
      <c r="F349" s="1" t="str">
        <f>IF(E349&lt;&gt;"", HYPERLINK("https://www.kegg.jp/dbget-bin/www_bget?ec:" &amp; E349, "https://www.kegg.jp/dbget-bin/www_bget?ec:" &amp; E349), "")</f>
        <v>https://www.kegg.jp/dbget-bin/www_bget?ec:6.4.1.2</v>
      </c>
      <c r="G349" s="3" t="s">
        <v>7108</v>
      </c>
      <c r="H349" s="1" t="str">
        <f>IF(G349&lt;&gt;"", HYPERLINK("https://www.kegg.jp/entry/" &amp; G349, "https://www.kegg.jp/entry/" &amp; G349), "")</f>
        <v>https://www.kegg.jp/entry/R00742</v>
      </c>
      <c r="I349" t="s">
        <v>8151</v>
      </c>
      <c r="J349" t="s">
        <v>8432</v>
      </c>
    </row>
    <row r="350" spans="1:10" x14ac:dyDescent="0.25">
      <c r="A350" t="s">
        <v>631</v>
      </c>
      <c r="B350">
        <v>316</v>
      </c>
      <c r="C350" t="s">
        <v>632</v>
      </c>
      <c r="E350" s="5" t="s">
        <v>6662</v>
      </c>
      <c r="F350" s="1" t="str">
        <f>IF(E350&lt;&gt;"", HYPERLINK("https://www.kegg.jp/dbget-bin/www_bget?ec:" &amp; E350, "https://www.kegg.jp/dbget-bin/www_bget?ec:" &amp; E350), "")</f>
        <v>https://www.kegg.jp/dbget-bin/www_bget?ec:6.4.1.2</v>
      </c>
      <c r="G350" s="3" t="s">
        <v>7108</v>
      </c>
      <c r="H350" s="1" t="str">
        <f>IF(G350&lt;&gt;"", HYPERLINK("https://www.kegg.jp/entry/" &amp; G350, "https://www.kegg.jp/entry/" &amp; G350), "")</f>
        <v>https://www.kegg.jp/entry/R00742</v>
      </c>
      <c r="I350" t="s">
        <v>8151</v>
      </c>
      <c r="J350" t="s">
        <v>8432</v>
      </c>
    </row>
    <row r="351" spans="1:10" hidden="1" x14ac:dyDescent="0.25">
      <c r="A351" t="s">
        <v>634</v>
      </c>
      <c r="B351">
        <v>534</v>
      </c>
      <c r="C351" t="s">
        <v>635</v>
      </c>
      <c r="F351" s="1" t="str">
        <f>IF(E351&lt;&gt;"", HYPERLINK("https://www.kegg.jp/dbget-bin/www_bget?ec:" &amp; E351, "https://www.kegg.jp/dbget-bin/www_bget?ec:" &amp; E351), "")</f>
        <v/>
      </c>
      <c r="G351" s="3"/>
      <c r="H351" s="1" t="str">
        <f>IF(G351&lt;&gt;"", HYPERLINK("https://www.kegg.jp/entry/" &amp; G351, "https://www.kegg.jp/entry/" &amp; G351), "")</f>
        <v/>
      </c>
    </row>
    <row r="352" spans="1:10" hidden="1" x14ac:dyDescent="0.25">
      <c r="A352" t="s">
        <v>636</v>
      </c>
      <c r="B352">
        <v>205</v>
      </c>
      <c r="C352" t="s">
        <v>637</v>
      </c>
      <c r="F352" s="1" t="str">
        <f>IF(E352&lt;&gt;"", HYPERLINK("https://www.kegg.jp/dbget-bin/www_bget?ec:" &amp; E352, "https://www.kegg.jp/dbget-bin/www_bget?ec:" &amp; E352), "")</f>
        <v/>
      </c>
      <c r="G352" s="3"/>
      <c r="H352" s="1" t="str">
        <f>IF(G352&lt;&gt;"", HYPERLINK("https://www.kegg.jp/entry/" &amp; G352, "https://www.kegg.jp/entry/" &amp; G352), "")</f>
        <v/>
      </c>
    </row>
    <row r="353" spans="1:10" hidden="1" x14ac:dyDescent="0.25">
      <c r="A353" t="s">
        <v>638</v>
      </c>
      <c r="B353">
        <v>225</v>
      </c>
      <c r="C353" t="s">
        <v>639</v>
      </c>
      <c r="F353" s="1" t="str">
        <f>IF(E353&lt;&gt;"", HYPERLINK("https://www.kegg.jp/dbget-bin/www_bget?ec:" &amp; E353, "https://www.kegg.jp/dbget-bin/www_bget?ec:" &amp; E353), "")</f>
        <v/>
      </c>
      <c r="G353" s="3"/>
      <c r="H353" s="1" t="str">
        <f>IF(G353&lt;&gt;"", HYPERLINK("https://www.kegg.jp/entry/" &amp; G353, "https://www.kegg.jp/entry/" &amp; G353), "")</f>
        <v/>
      </c>
    </row>
    <row r="354" spans="1:10" hidden="1" x14ac:dyDescent="0.25">
      <c r="A354" t="s">
        <v>640</v>
      </c>
      <c r="B354">
        <v>178</v>
      </c>
      <c r="C354" t="s">
        <v>641</v>
      </c>
      <c r="F354" s="1" t="str">
        <f>IF(E354&lt;&gt;"", HYPERLINK("https://www.kegg.jp/dbget-bin/www_bget?ec:" &amp; E354, "https://www.kegg.jp/dbget-bin/www_bget?ec:" &amp; E354), "")</f>
        <v/>
      </c>
      <c r="G354" s="3"/>
      <c r="H354" s="1" t="str">
        <f>IF(G354&lt;&gt;"", HYPERLINK("https://www.kegg.jp/entry/" &amp; G354, "https://www.kegg.jp/entry/" &amp; G354), "")</f>
        <v/>
      </c>
    </row>
    <row r="355" spans="1:10" hidden="1" x14ac:dyDescent="0.25">
      <c r="A355" t="s">
        <v>643</v>
      </c>
      <c r="B355">
        <v>76</v>
      </c>
      <c r="C355" t="s">
        <v>644</v>
      </c>
      <c r="F355" s="1" t="str">
        <f>IF(E355&lt;&gt;"", HYPERLINK("https://www.kegg.jp/dbget-bin/www_bget?ec:" &amp; E355, "https://www.kegg.jp/dbget-bin/www_bget?ec:" &amp; E355), "")</f>
        <v/>
      </c>
      <c r="G355" s="3"/>
      <c r="H355" s="1" t="str">
        <f>IF(G355&lt;&gt;"", HYPERLINK("https://www.kegg.jp/entry/" &amp; G355, "https://www.kegg.jp/entry/" &amp; G355), "")</f>
        <v/>
      </c>
    </row>
    <row r="356" spans="1:10" hidden="1" x14ac:dyDescent="0.25">
      <c r="A356" t="s">
        <v>646</v>
      </c>
      <c r="B356">
        <v>166</v>
      </c>
      <c r="C356" t="s">
        <v>647</v>
      </c>
      <c r="F356" s="1" t="str">
        <f>IF(E356&lt;&gt;"", HYPERLINK("https://www.kegg.jp/dbget-bin/www_bget?ec:" &amp; E356, "https://www.kegg.jp/dbget-bin/www_bget?ec:" &amp; E356), "")</f>
        <v/>
      </c>
      <c r="G356" s="3"/>
      <c r="H356" s="1" t="str">
        <f>IF(G356&lt;&gt;"", HYPERLINK("https://www.kegg.jp/entry/" &amp; G356, "https://www.kegg.jp/entry/" &amp; G356), "")</f>
        <v/>
      </c>
    </row>
    <row r="357" spans="1:10" hidden="1" x14ac:dyDescent="0.25">
      <c r="A357" t="s">
        <v>649</v>
      </c>
      <c r="B357">
        <v>73</v>
      </c>
      <c r="C357" t="s">
        <v>650</v>
      </c>
      <c r="F357" s="1" t="str">
        <f>IF(E357&lt;&gt;"", HYPERLINK("https://www.kegg.jp/dbget-bin/www_bget?ec:" &amp; E357, "https://www.kegg.jp/dbget-bin/www_bget?ec:" &amp; E357), "")</f>
        <v/>
      </c>
      <c r="G357" s="3"/>
      <c r="H357" s="1" t="str">
        <f>IF(G357&lt;&gt;"", HYPERLINK("https://www.kegg.jp/entry/" &amp; G357, "https://www.kegg.jp/entry/" &amp; G357), "")</f>
        <v/>
      </c>
    </row>
    <row r="358" spans="1:10" hidden="1" x14ac:dyDescent="0.25">
      <c r="A358" t="s">
        <v>652</v>
      </c>
      <c r="B358">
        <v>347</v>
      </c>
      <c r="C358" t="s">
        <v>653</v>
      </c>
      <c r="F358" s="1" t="str">
        <f>IF(E358&lt;&gt;"", HYPERLINK("https://www.kegg.jp/dbget-bin/www_bget?ec:" &amp; E358, "https://www.kegg.jp/dbget-bin/www_bget?ec:" &amp; E358), "")</f>
        <v/>
      </c>
      <c r="G358" s="3"/>
      <c r="H358" s="1" t="str">
        <f>IF(G358&lt;&gt;"", HYPERLINK("https://www.kegg.jp/entry/" &amp; G358, "https://www.kegg.jp/entry/" &amp; G358), "")</f>
        <v/>
      </c>
    </row>
    <row r="359" spans="1:10" x14ac:dyDescent="0.25">
      <c r="A359" t="s">
        <v>655</v>
      </c>
      <c r="B359">
        <v>353</v>
      </c>
      <c r="C359" t="s">
        <v>656</v>
      </c>
      <c r="E359" s="5" t="s">
        <v>6663</v>
      </c>
      <c r="F359" s="1" t="str">
        <f>IF(E359&lt;&gt;"", HYPERLINK("https://www.kegg.jp/dbget-bin/www_bget?ec:" &amp; E359, "https://www.kegg.jp/dbget-bin/www_bget?ec:" &amp; E359), "")</f>
        <v>https://www.kegg.jp/dbget-bin/www_bget?ec:2.6.1.51</v>
      </c>
      <c r="G359" s="3" t="s">
        <v>7109</v>
      </c>
      <c r="H359" s="1" t="str">
        <f>IF(G359&lt;&gt;"", HYPERLINK("https://www.kegg.jp/entry/" &amp; G359, "https://www.kegg.jp/entry/" &amp; G359), "")</f>
        <v>https://www.kegg.jp/entry/R00585</v>
      </c>
      <c r="I359" t="s">
        <v>12881</v>
      </c>
      <c r="J359" t="s">
        <v>12882</v>
      </c>
    </row>
    <row r="360" spans="1:10" x14ac:dyDescent="0.25">
      <c r="A360" t="s">
        <v>658</v>
      </c>
      <c r="B360">
        <v>258</v>
      </c>
      <c r="C360" t="s">
        <v>659</v>
      </c>
      <c r="E360" s="5" t="s">
        <v>6664</v>
      </c>
      <c r="F360" s="1" t="str">
        <f>IF(E360&lt;&gt;"", HYPERLINK("https://www.kegg.jp/dbget-bin/www_bget?ec:" &amp; E360, "https://www.kegg.jp/dbget-bin/www_bget?ec:" &amp; E360), "")</f>
        <v>https://www.kegg.jp/dbget-bin/www_bget?ec:3.6.1.27</v>
      </c>
      <c r="G360" s="3" t="s">
        <v>7110</v>
      </c>
      <c r="H360" s="1" t="str">
        <f>IF(G360&lt;&gt;"", HYPERLINK("https://www.kegg.jp/entry/" &amp; G360, "https://www.kegg.jp/entry/" &amp; G360), "")</f>
        <v>https://www.kegg.jp/entry/R05627</v>
      </c>
      <c r="I360" t="s">
        <v>12883</v>
      </c>
      <c r="J360" t="s">
        <v>12884</v>
      </c>
    </row>
    <row r="361" spans="1:10" x14ac:dyDescent="0.25">
      <c r="A361" t="s">
        <v>661</v>
      </c>
      <c r="B361">
        <v>216</v>
      </c>
      <c r="C361" t="s">
        <v>662</v>
      </c>
      <c r="E361" s="5" t="s">
        <v>6665</v>
      </c>
      <c r="F361" s="1" t="str">
        <f>IF(E361&lt;&gt;"", HYPERLINK("https://www.kegg.jp/dbget-bin/www_bget?ec:" &amp; E361, "https://www.kegg.jp/dbget-bin/www_bget?ec:" &amp; E361), "")</f>
        <v>https://www.kegg.jp/dbget-bin/www_bget?ec:2.7.7.60</v>
      </c>
      <c r="G361" s="3" t="s">
        <v>7111</v>
      </c>
      <c r="H361" s="1" t="str">
        <f>IF(G361&lt;&gt;"", HYPERLINK("https://www.kegg.jp/entry/" &amp; G361, "https://www.kegg.jp/entry/" &amp; G361), "")</f>
        <v>https://www.kegg.jp/entry/R05633</v>
      </c>
      <c r="I361" t="s">
        <v>12885</v>
      </c>
      <c r="J361" t="s">
        <v>12886</v>
      </c>
    </row>
    <row r="362" spans="1:10" x14ac:dyDescent="0.25">
      <c r="A362" t="s">
        <v>664</v>
      </c>
      <c r="B362">
        <v>272</v>
      </c>
      <c r="C362" t="s">
        <v>665</v>
      </c>
      <c r="E362" s="5" t="s">
        <v>6666</v>
      </c>
      <c r="F362" s="1" t="str">
        <f>IF(E362&lt;&gt;"", HYPERLINK("https://www.kegg.jp/dbget-bin/www_bget?ec:" &amp; E362, "https://www.kegg.jp/dbget-bin/www_bget?ec:" &amp; E362), "")</f>
        <v>https://www.kegg.jp/dbget-bin/www_bget?ec:2.7.1.148</v>
      </c>
      <c r="G362" s="3" t="s">
        <v>7112</v>
      </c>
      <c r="H362" s="1" t="str">
        <f>IF(G362&lt;&gt;"", HYPERLINK("https://www.kegg.jp/entry/" &amp; G362, "https://www.kegg.jp/entry/" &amp; G362), "")</f>
        <v>https://www.kegg.jp/entry/R05634</v>
      </c>
      <c r="I362" t="s">
        <v>12887</v>
      </c>
      <c r="J362" t="s">
        <v>12888</v>
      </c>
    </row>
    <row r="363" spans="1:10" x14ac:dyDescent="0.25">
      <c r="A363" t="s">
        <v>667</v>
      </c>
      <c r="B363">
        <v>189</v>
      </c>
      <c r="C363" t="s">
        <v>668</v>
      </c>
      <c r="E363" s="5" t="s">
        <v>6667</v>
      </c>
      <c r="F363" s="1" t="str">
        <f>IF(E363&lt;&gt;"", HYPERLINK("https://www.kegg.jp/dbget-bin/www_bget?ec:" &amp; E363, "https://www.kegg.jp/dbget-bin/www_bget?ec:" &amp; E363), "")</f>
        <v>https://www.kegg.jp/dbget-bin/www_bget?ec:3.5.99.2</v>
      </c>
      <c r="G363" s="3" t="s">
        <v>7446</v>
      </c>
      <c r="H363" s="1" t="str">
        <f>IF(G363&lt;&gt;"", HYPERLINK("https://www.kegg.jp/entry/" &amp; G363, "https://www.kegg.jp/entry/" &amp; G363), "")</f>
        <v>https://www.kegg.jp/entry/R09993</v>
      </c>
      <c r="I363" t="s">
        <v>12889</v>
      </c>
      <c r="J363" t="s">
        <v>12890</v>
      </c>
    </row>
    <row r="364" spans="1:10" x14ac:dyDescent="0.25">
      <c r="A364" t="s">
        <v>667</v>
      </c>
      <c r="B364">
        <v>189</v>
      </c>
      <c r="C364" t="s">
        <v>668</v>
      </c>
      <c r="E364" s="5" t="s">
        <v>6667</v>
      </c>
      <c r="F364" s="1" t="str">
        <f>IF(E364&lt;&gt;"", HYPERLINK("https://www.kegg.jp/dbget-bin/www_bget?ec:" &amp; E364, "https://www.kegg.jp/dbget-bin/www_bget?ec:" &amp; E364), "")</f>
        <v>https://www.kegg.jp/dbget-bin/www_bget?ec:3.5.99.2</v>
      </c>
      <c r="G364" s="3" t="s">
        <v>7445</v>
      </c>
      <c r="H364" s="1" t="str">
        <f>IF(G364&lt;&gt;"", HYPERLINK("https://www.kegg.jp/entry/" &amp; G364, "https://www.kegg.jp/entry/" &amp; G364), "")</f>
        <v>https://www.kegg.jp/entry/R02133</v>
      </c>
      <c r="I364" t="s">
        <v>12891</v>
      </c>
      <c r="J364" t="s">
        <v>12892</v>
      </c>
    </row>
    <row r="365" spans="1:10" hidden="1" x14ac:dyDescent="0.25">
      <c r="A365" t="s">
        <v>670</v>
      </c>
      <c r="B365">
        <v>164</v>
      </c>
      <c r="C365" t="s">
        <v>671</v>
      </c>
      <c r="F365" s="1" t="str">
        <f>IF(E365&lt;&gt;"", HYPERLINK("https://www.kegg.jp/dbget-bin/www_bget?ec:" &amp; E365, "https://www.kegg.jp/dbget-bin/www_bget?ec:" &amp; E365), "")</f>
        <v/>
      </c>
      <c r="G365" s="3"/>
      <c r="H365" s="1" t="str">
        <f>IF(G365&lt;&gt;"", HYPERLINK("https://www.kegg.jp/entry/" &amp; G365, "https://www.kegg.jp/entry/" &amp; G365), "")</f>
        <v/>
      </c>
    </row>
    <row r="366" spans="1:10" hidden="1" x14ac:dyDescent="0.25">
      <c r="A366" t="s">
        <v>673</v>
      </c>
      <c r="B366">
        <v>186</v>
      </c>
      <c r="C366" t="s">
        <v>674</v>
      </c>
      <c r="F366" s="1" t="str">
        <f>IF(E366&lt;&gt;"", HYPERLINK("https://www.kegg.jp/dbget-bin/www_bget?ec:" &amp; E366, "https://www.kegg.jp/dbget-bin/www_bget?ec:" &amp; E366), "")</f>
        <v/>
      </c>
      <c r="G366" s="3"/>
      <c r="H366" s="1" t="str">
        <f>IF(G366&lt;&gt;"", HYPERLINK("https://www.kegg.jp/entry/" &amp; G366, "https://www.kegg.jp/entry/" &amp; G366), "")</f>
        <v/>
      </c>
    </row>
    <row r="367" spans="1:10" x14ac:dyDescent="0.25">
      <c r="A367" t="s">
        <v>676</v>
      </c>
      <c r="B367">
        <v>237</v>
      </c>
      <c r="C367" t="s">
        <v>677</v>
      </c>
      <c r="E367" s="5" t="s">
        <v>6668</v>
      </c>
      <c r="F367" s="1" t="str">
        <f>IF(E367&lt;&gt;"", HYPERLINK("https://www.kegg.jp/dbget-bin/www_bget?ec:" &amp; E367, "https://www.kegg.jp/dbget-bin/www_bget?ec:" &amp; E367), "")</f>
        <v>https://www.kegg.jp/dbget-bin/www_bget?ec:3.4.15.6</v>
      </c>
      <c r="G367" s="3" t="s">
        <v>7113</v>
      </c>
      <c r="H367" s="1" t="str">
        <f>IF(G367&lt;&gt;"", HYPERLINK("https://www.kegg.jp/entry/" &amp; G367, "https://www.kegg.jp/entry/" &amp; G367), "")</f>
        <v>https://www.kegg.jp/entry/R09722</v>
      </c>
      <c r="I367" t="s">
        <v>12893</v>
      </c>
      <c r="J367" t="s">
        <v>8433</v>
      </c>
    </row>
    <row r="368" spans="1:10" hidden="1" x14ac:dyDescent="0.25">
      <c r="A368" t="s">
        <v>678</v>
      </c>
      <c r="B368">
        <v>166</v>
      </c>
      <c r="C368" t="s">
        <v>679</v>
      </c>
      <c r="F368" s="1" t="str">
        <f>IF(E368&lt;&gt;"", HYPERLINK("https://www.kegg.jp/dbget-bin/www_bget?ec:" &amp; E368, "https://www.kegg.jp/dbget-bin/www_bget?ec:" &amp; E368), "")</f>
        <v/>
      </c>
      <c r="G368" s="3"/>
      <c r="H368" s="1" t="str">
        <f>IF(G368&lt;&gt;"", HYPERLINK("https://www.kegg.jp/entry/" &amp; G368, "https://www.kegg.jp/entry/" &amp; G368), "")</f>
        <v/>
      </c>
    </row>
    <row r="369" spans="1:10" hidden="1" x14ac:dyDescent="0.25">
      <c r="A369" t="s">
        <v>681</v>
      </c>
      <c r="B369">
        <v>161</v>
      </c>
      <c r="C369" t="s">
        <v>682</v>
      </c>
      <c r="F369" s="1" t="str">
        <f>IF(E369&lt;&gt;"", HYPERLINK("https://www.kegg.jp/dbget-bin/www_bget?ec:" &amp; E369, "https://www.kegg.jp/dbget-bin/www_bget?ec:" &amp; E369), "")</f>
        <v/>
      </c>
      <c r="G369" s="3"/>
      <c r="H369" s="1" t="str">
        <f>IF(G369&lt;&gt;"", HYPERLINK("https://www.kegg.jp/entry/" &amp; G369, "https://www.kegg.jp/entry/" &amp; G369), "")</f>
        <v/>
      </c>
    </row>
    <row r="370" spans="1:10" hidden="1" x14ac:dyDescent="0.25">
      <c r="A370" t="s">
        <v>684</v>
      </c>
      <c r="B370">
        <v>145</v>
      </c>
      <c r="C370" t="s">
        <v>685</v>
      </c>
      <c r="F370" s="1" t="str">
        <f>IF(E370&lt;&gt;"", HYPERLINK("https://www.kegg.jp/dbget-bin/www_bget?ec:" &amp; E370, "https://www.kegg.jp/dbget-bin/www_bget?ec:" &amp; E370), "")</f>
        <v/>
      </c>
      <c r="G370" s="3"/>
      <c r="H370" s="1" t="str">
        <f>IF(G370&lt;&gt;"", HYPERLINK("https://www.kegg.jp/entry/" &amp; G370, "https://www.kegg.jp/entry/" &amp; G370), "")</f>
        <v/>
      </c>
    </row>
    <row r="371" spans="1:10" hidden="1" x14ac:dyDescent="0.25">
      <c r="C371" t="s">
        <v>687</v>
      </c>
      <c r="F371" s="1" t="str">
        <f>IF(E371&lt;&gt;"", HYPERLINK("https://www.kegg.jp/dbget-bin/www_bget?ec:" &amp; E371, "https://www.kegg.jp/dbget-bin/www_bget?ec:" &amp; E371), "")</f>
        <v/>
      </c>
      <c r="G371" s="3"/>
      <c r="H371" s="1" t="str">
        <f>IF(G371&lt;&gt;"", HYPERLINK("https://www.kegg.jp/entry/" &amp; G371, "https://www.kegg.jp/entry/" &amp; G371), "")</f>
        <v/>
      </c>
    </row>
    <row r="372" spans="1:10" hidden="1" x14ac:dyDescent="0.25">
      <c r="A372" t="s">
        <v>689</v>
      </c>
      <c r="B372">
        <v>196</v>
      </c>
      <c r="C372" t="s">
        <v>690</v>
      </c>
      <c r="F372" s="1" t="str">
        <f>IF(E372&lt;&gt;"", HYPERLINK("https://www.kegg.jp/dbget-bin/www_bget?ec:" &amp; E372, "https://www.kegg.jp/dbget-bin/www_bget?ec:" &amp; E372), "")</f>
        <v/>
      </c>
      <c r="G372" s="3"/>
      <c r="H372" s="1" t="str">
        <f>IF(G372&lt;&gt;"", HYPERLINK("https://www.kegg.jp/entry/" &amp; G372, "https://www.kegg.jp/entry/" &amp; G372), "")</f>
        <v/>
      </c>
    </row>
    <row r="373" spans="1:10" hidden="1" x14ac:dyDescent="0.25">
      <c r="A373" t="s">
        <v>692</v>
      </c>
      <c r="B373">
        <v>854</v>
      </c>
      <c r="C373" t="s">
        <v>693</v>
      </c>
      <c r="E373" s="5" t="s">
        <v>6669</v>
      </c>
      <c r="F373" s="1" t="str">
        <f>IF(E373&lt;&gt;"", HYPERLINK("https://www.kegg.jp/dbget-bin/www_bget?ec:" &amp; E373, "https://www.kegg.jp/dbget-bin/www_bget?ec:" &amp; E373), "")</f>
        <v>https://www.kegg.jp/dbget-bin/www_bget?ec:1.2.7.-</v>
      </c>
      <c r="G373" s="3"/>
      <c r="H373" s="1" t="str">
        <f>IF(G373&lt;&gt;"", HYPERLINK("https://www.kegg.jp/entry/" &amp; G373, "https://www.kegg.jp/entry/" &amp; G373), "")</f>
        <v/>
      </c>
    </row>
    <row r="374" spans="1:10" hidden="1" x14ac:dyDescent="0.25">
      <c r="A374" t="s">
        <v>695</v>
      </c>
      <c r="B374">
        <v>449</v>
      </c>
      <c r="C374" t="s">
        <v>696</v>
      </c>
      <c r="E374" s="5" t="s">
        <v>6669</v>
      </c>
      <c r="F374" s="1" t="str">
        <f>IF(E374&lt;&gt;"", HYPERLINK("https://www.kegg.jp/dbget-bin/www_bget?ec:" &amp; E374, "https://www.kegg.jp/dbget-bin/www_bget?ec:" &amp; E374), "")</f>
        <v>https://www.kegg.jp/dbget-bin/www_bget?ec:1.2.7.-</v>
      </c>
      <c r="G374" s="3"/>
      <c r="H374" s="1" t="str">
        <f>IF(G374&lt;&gt;"", HYPERLINK("https://www.kegg.jp/entry/" &amp; G374, "https://www.kegg.jp/entry/" &amp; G374), "")</f>
        <v/>
      </c>
    </row>
    <row r="375" spans="1:10" hidden="1" x14ac:dyDescent="0.25">
      <c r="A375" t="s">
        <v>698</v>
      </c>
      <c r="B375">
        <v>172</v>
      </c>
      <c r="C375" t="s">
        <v>699</v>
      </c>
      <c r="F375" s="1" t="str">
        <f>IF(E375&lt;&gt;"", HYPERLINK("https://www.kegg.jp/dbget-bin/www_bget?ec:" &amp; E375, "https://www.kegg.jp/dbget-bin/www_bget?ec:" &amp; E375), "")</f>
        <v/>
      </c>
      <c r="G375" s="3"/>
      <c r="H375" s="1" t="str">
        <f>IF(G375&lt;&gt;"", HYPERLINK("https://www.kegg.jp/entry/" &amp; G375, "https://www.kegg.jp/entry/" &amp; G375), "")</f>
        <v/>
      </c>
    </row>
    <row r="376" spans="1:10" hidden="1" x14ac:dyDescent="0.25">
      <c r="A376" t="s">
        <v>700</v>
      </c>
      <c r="B376">
        <v>169</v>
      </c>
      <c r="C376" t="s">
        <v>701</v>
      </c>
      <c r="F376" s="1" t="str">
        <f>IF(E376&lt;&gt;"", HYPERLINK("https://www.kegg.jp/dbget-bin/www_bget?ec:" &amp; E376, "https://www.kegg.jp/dbget-bin/www_bget?ec:" &amp; E376), "")</f>
        <v/>
      </c>
      <c r="G376" s="3"/>
      <c r="H376" s="1" t="str">
        <f>IF(G376&lt;&gt;"", HYPERLINK("https://www.kegg.jp/entry/" &amp; G376, "https://www.kegg.jp/entry/" &amp; G376), "")</f>
        <v/>
      </c>
    </row>
    <row r="377" spans="1:10" hidden="1" x14ac:dyDescent="0.25">
      <c r="A377" t="s">
        <v>702</v>
      </c>
      <c r="B377">
        <v>333</v>
      </c>
      <c r="C377" t="s">
        <v>703</v>
      </c>
      <c r="F377" s="1" t="str">
        <f>IF(E377&lt;&gt;"", HYPERLINK("https://www.kegg.jp/dbget-bin/www_bget?ec:" &amp; E377, "https://www.kegg.jp/dbget-bin/www_bget?ec:" &amp; E377), "")</f>
        <v/>
      </c>
      <c r="G377" s="3"/>
      <c r="H377" s="1" t="str">
        <f>IF(G377&lt;&gt;"", HYPERLINK("https://www.kegg.jp/entry/" &amp; G377, "https://www.kegg.jp/entry/" &amp; G377), "")</f>
        <v/>
      </c>
    </row>
    <row r="378" spans="1:10" hidden="1" x14ac:dyDescent="0.25">
      <c r="A378" t="s">
        <v>704</v>
      </c>
      <c r="B378">
        <v>536</v>
      </c>
      <c r="C378" t="s">
        <v>705</v>
      </c>
      <c r="F378" s="1" t="str">
        <f>IF(E378&lt;&gt;"", HYPERLINK("https://www.kegg.jp/dbget-bin/www_bget?ec:" &amp; E378, "https://www.kegg.jp/dbget-bin/www_bget?ec:" &amp; E378), "")</f>
        <v/>
      </c>
      <c r="G378" s="3"/>
      <c r="H378" s="1" t="str">
        <f>IF(G378&lt;&gt;"", HYPERLINK("https://www.kegg.jp/entry/" &amp; G378, "https://www.kegg.jp/entry/" &amp; G378), "")</f>
        <v/>
      </c>
    </row>
    <row r="379" spans="1:10" hidden="1" x14ac:dyDescent="0.25">
      <c r="A379" t="s">
        <v>707</v>
      </c>
      <c r="B379">
        <v>358</v>
      </c>
      <c r="C379" t="s">
        <v>708</v>
      </c>
      <c r="E379" s="5" t="s">
        <v>6670</v>
      </c>
      <c r="F379" s="1" t="str">
        <f>IF(E379&lt;&gt;"", HYPERLINK("https://www.kegg.jp/dbget-bin/www_bget?ec:" &amp; E379, "https://www.kegg.jp/dbget-bin/www_bget?ec:" &amp; E379), "")</f>
        <v>https://www.kegg.jp/dbget-bin/www_bget?ec:3.5.1.-</v>
      </c>
      <c r="G379" s="3"/>
      <c r="H379" s="1" t="str">
        <f>IF(G379&lt;&gt;"", HYPERLINK("https://www.kegg.jp/entry/" &amp; G379, "https://www.kegg.jp/entry/" &amp; G379), "")</f>
        <v/>
      </c>
    </row>
    <row r="380" spans="1:10" hidden="1" x14ac:dyDescent="0.25">
      <c r="A380" t="s">
        <v>710</v>
      </c>
      <c r="B380">
        <v>396</v>
      </c>
      <c r="C380" t="s">
        <v>711</v>
      </c>
      <c r="E380" s="5" t="s">
        <v>6671</v>
      </c>
      <c r="F380" s="1" t="str">
        <f>IF(E380&lt;&gt;"", HYPERLINK("https://www.kegg.jp/dbget-bin/www_bget?ec:" &amp; E380, "https://www.kegg.jp/dbget-bin/www_bget?ec:" &amp; E380), "")</f>
        <v>https://www.kegg.jp/dbget-bin/www_bget?ec:2.6.1.-</v>
      </c>
      <c r="G380" s="3"/>
      <c r="H380" s="1" t="str">
        <f>IF(G380&lt;&gt;"", HYPERLINK("https://www.kegg.jp/entry/" &amp; G380, "https://www.kegg.jp/entry/" &amp; G380), "")</f>
        <v/>
      </c>
    </row>
    <row r="381" spans="1:10" hidden="1" x14ac:dyDescent="0.25">
      <c r="A381" t="s">
        <v>713</v>
      </c>
      <c r="B381">
        <v>379</v>
      </c>
      <c r="C381" t="s">
        <v>714</v>
      </c>
      <c r="F381" s="1" t="str">
        <f>IF(E381&lt;&gt;"", HYPERLINK("https://www.kegg.jp/dbget-bin/www_bget?ec:" &amp; E381, "https://www.kegg.jp/dbget-bin/www_bget?ec:" &amp; E381), "")</f>
        <v/>
      </c>
      <c r="G381" s="3"/>
      <c r="H381" s="1" t="str">
        <f>IF(G381&lt;&gt;"", HYPERLINK("https://www.kegg.jp/entry/" &amp; G381, "https://www.kegg.jp/entry/" &amp; G381), "")</f>
        <v/>
      </c>
    </row>
    <row r="382" spans="1:10" hidden="1" x14ac:dyDescent="0.25">
      <c r="A382" t="s">
        <v>716</v>
      </c>
      <c r="B382">
        <v>327</v>
      </c>
      <c r="C382" t="s">
        <v>717</v>
      </c>
      <c r="F382" s="1" t="str">
        <f>IF(E382&lt;&gt;"", HYPERLINK("https://www.kegg.jp/dbget-bin/www_bget?ec:" &amp; E382, "https://www.kegg.jp/dbget-bin/www_bget?ec:" &amp; E382), "")</f>
        <v/>
      </c>
      <c r="G382" s="3"/>
      <c r="H382" s="1" t="str">
        <f>IF(G382&lt;&gt;"", HYPERLINK("https://www.kegg.jp/entry/" &amp; G382, "https://www.kegg.jp/entry/" &amp; G382), "")</f>
        <v/>
      </c>
    </row>
    <row r="383" spans="1:10" hidden="1" x14ac:dyDescent="0.25">
      <c r="A383" t="s">
        <v>719</v>
      </c>
      <c r="B383">
        <v>336</v>
      </c>
      <c r="C383" t="s">
        <v>720</v>
      </c>
      <c r="F383" s="1" t="str">
        <f>IF(E383&lt;&gt;"", HYPERLINK("https://www.kegg.jp/dbget-bin/www_bget?ec:" &amp; E383, "https://www.kegg.jp/dbget-bin/www_bget?ec:" &amp; E383), "")</f>
        <v/>
      </c>
      <c r="G383" s="3"/>
      <c r="H383" s="1" t="str">
        <f>IF(G383&lt;&gt;"", HYPERLINK("https://www.kegg.jp/entry/" &amp; G383, "https://www.kegg.jp/entry/" &amp; G383), "")</f>
        <v/>
      </c>
    </row>
    <row r="384" spans="1:10" x14ac:dyDescent="0.25">
      <c r="A384" t="s">
        <v>722</v>
      </c>
      <c r="B384">
        <v>336</v>
      </c>
      <c r="C384" t="s">
        <v>723</v>
      </c>
      <c r="E384" s="5" t="s">
        <v>6672</v>
      </c>
      <c r="F384" s="1" t="str">
        <f>IF(E384&lt;&gt;"", HYPERLINK("https://www.kegg.jp/dbget-bin/www_bget?ec:" &amp; E384, "https://www.kegg.jp/dbget-bin/www_bget?ec:" &amp; E384), "")</f>
        <v>https://www.kegg.jp/dbget-bin/www_bget?ec:2.7.7.22</v>
      </c>
      <c r="G384" s="3" t="s">
        <v>7114</v>
      </c>
      <c r="H384" s="1" t="str">
        <f>IF(G384&lt;&gt;"", HYPERLINK("https://www.kegg.jp/entry/" &amp; G384, "https://www.kegg.jp/entry/" &amp; G384), "")</f>
        <v>https://www.kegg.jp/entry/R00883</v>
      </c>
      <c r="I384" t="s">
        <v>8152</v>
      </c>
      <c r="J384" t="s">
        <v>8434</v>
      </c>
    </row>
    <row r="385" spans="1:10" x14ac:dyDescent="0.25">
      <c r="A385" t="s">
        <v>725</v>
      </c>
      <c r="B385">
        <v>159</v>
      </c>
      <c r="C385" t="s">
        <v>726</v>
      </c>
      <c r="E385" s="5" t="s">
        <v>6673</v>
      </c>
      <c r="F385" s="1" t="str">
        <f>IF(E385&lt;&gt;"", HYPERLINK("https://www.kegg.jp/dbget-bin/www_bget?ec:" &amp; E385, "https://www.kegg.jp/dbget-bin/www_bget?ec:" &amp; E385), "")</f>
        <v>https://www.kegg.jp/dbget-bin/www_bget?ec:2.7.6.3</v>
      </c>
      <c r="G385" s="3" t="s">
        <v>7115</v>
      </c>
      <c r="H385" s="1" t="str">
        <f>IF(G385&lt;&gt;"", HYPERLINK("https://www.kegg.jp/entry/" &amp; G385, "https://www.kegg.jp/entry/" &amp; G385), "")</f>
        <v>https://www.kegg.jp/entry/R03503</v>
      </c>
      <c r="I385" t="s">
        <v>8153</v>
      </c>
      <c r="J385" t="s">
        <v>8435</v>
      </c>
    </row>
    <row r="386" spans="1:10" x14ac:dyDescent="0.25">
      <c r="A386" t="s">
        <v>728</v>
      </c>
      <c r="B386">
        <v>125</v>
      </c>
      <c r="C386" t="s">
        <v>729</v>
      </c>
      <c r="E386" s="5" t="s">
        <v>6674</v>
      </c>
      <c r="F386" s="1" t="str">
        <f>IF(E386&lt;&gt;"", HYPERLINK("https://www.kegg.jp/dbget-bin/www_bget?ec:" &amp; E386, "https://www.kegg.jp/dbget-bin/www_bget?ec:" &amp; E386), "")</f>
        <v>https://www.kegg.jp/dbget-bin/www_bget?ec:2.7.7.8</v>
      </c>
      <c r="G386" s="3" t="s">
        <v>7447</v>
      </c>
      <c r="H386" s="1" t="str">
        <f>IF(G386&lt;&gt;"", HYPERLINK("https://www.kegg.jp/entry/" &amp; G386, "https://www.kegg.jp/entry/" &amp; G386), "")</f>
        <v>https://www.kegg.jp/entry/R07282</v>
      </c>
      <c r="I386" t="s">
        <v>12894</v>
      </c>
      <c r="J386" t="s">
        <v>8436</v>
      </c>
    </row>
    <row r="387" spans="1:10" x14ac:dyDescent="0.25">
      <c r="A387" t="s">
        <v>728</v>
      </c>
      <c r="B387">
        <v>125</v>
      </c>
      <c r="C387" t="s">
        <v>729</v>
      </c>
      <c r="E387" s="5" t="s">
        <v>6674</v>
      </c>
      <c r="F387" s="1" t="str">
        <f>IF(E387&lt;&gt;"", HYPERLINK("https://www.kegg.jp/dbget-bin/www_bget?ec:" &amp; E387, "https://www.kegg.jp/dbget-bin/www_bget?ec:" &amp; E387), "")</f>
        <v>https://www.kegg.jp/dbget-bin/www_bget?ec:2.7.7.8</v>
      </c>
      <c r="G387" s="3" t="s">
        <v>7451</v>
      </c>
      <c r="H387" s="1" t="str">
        <f>IF(G387&lt;&gt;"", HYPERLINK("https://www.kegg.jp/entry/" &amp; G387, "https://www.kegg.jp/entry/" &amp; G387), "")</f>
        <v>https://www.kegg.jp/entry/R00437</v>
      </c>
      <c r="I387" t="s">
        <v>12894</v>
      </c>
      <c r="J387" t="s">
        <v>12895</v>
      </c>
    </row>
    <row r="388" spans="1:10" x14ac:dyDescent="0.25">
      <c r="A388" t="s">
        <v>728</v>
      </c>
      <c r="B388">
        <v>125</v>
      </c>
      <c r="C388" t="s">
        <v>729</v>
      </c>
      <c r="E388" s="5" t="s">
        <v>6674</v>
      </c>
      <c r="F388" s="1" t="str">
        <f>IF(E388&lt;&gt;"", HYPERLINK("https://www.kegg.jp/dbget-bin/www_bget?ec:" &amp; E388, "https://www.kegg.jp/dbget-bin/www_bget?ec:" &amp; E388), "")</f>
        <v>https://www.kegg.jp/dbget-bin/www_bget?ec:2.7.7.8</v>
      </c>
      <c r="G388" s="3" t="s">
        <v>7450</v>
      </c>
      <c r="H388" s="1" t="str">
        <f>IF(G388&lt;&gt;"", HYPERLINK("https://www.kegg.jp/entry/" &amp; G388, "https://www.kegg.jp/entry/" &amp; G388), "")</f>
        <v>https://www.kegg.jp/entry/R00438</v>
      </c>
      <c r="I388" t="s">
        <v>12894</v>
      </c>
      <c r="J388" t="s">
        <v>12896</v>
      </c>
    </row>
    <row r="389" spans="1:10" x14ac:dyDescent="0.25">
      <c r="A389" t="s">
        <v>728</v>
      </c>
      <c r="B389">
        <v>125</v>
      </c>
      <c r="C389" t="s">
        <v>729</v>
      </c>
      <c r="E389" s="5" t="s">
        <v>6674</v>
      </c>
      <c r="F389" s="1" t="str">
        <f>IF(E389&lt;&gt;"", HYPERLINK("https://www.kegg.jp/dbget-bin/www_bget?ec:" &amp; E389, "https://www.kegg.jp/dbget-bin/www_bget?ec:" &amp; E389), "")</f>
        <v>https://www.kegg.jp/dbget-bin/www_bget?ec:2.7.7.8</v>
      </c>
      <c r="G389" s="3" t="s">
        <v>7449</v>
      </c>
      <c r="H389" s="1" t="str">
        <f>IF(G389&lt;&gt;"", HYPERLINK("https://www.kegg.jp/entry/" &amp; G389, "https://www.kegg.jp/entry/" &amp; G389), "")</f>
        <v>https://www.kegg.jp/entry/R00439</v>
      </c>
      <c r="I389" t="s">
        <v>12894</v>
      </c>
      <c r="J389" t="s">
        <v>12897</v>
      </c>
    </row>
    <row r="390" spans="1:10" x14ac:dyDescent="0.25">
      <c r="A390" t="s">
        <v>728</v>
      </c>
      <c r="B390">
        <v>125</v>
      </c>
      <c r="C390" t="s">
        <v>729</v>
      </c>
      <c r="E390" s="5" t="s">
        <v>6674</v>
      </c>
      <c r="F390" s="1" t="str">
        <f>IF(E390&lt;&gt;"", HYPERLINK("https://www.kegg.jp/dbget-bin/www_bget?ec:" &amp; E390, "https://www.kegg.jp/dbget-bin/www_bget?ec:" &amp; E390), "")</f>
        <v>https://www.kegg.jp/dbget-bin/www_bget?ec:2.7.7.8</v>
      </c>
      <c r="G390" s="3" t="s">
        <v>7448</v>
      </c>
      <c r="H390" s="1" t="str">
        <f>IF(G390&lt;&gt;"", HYPERLINK("https://www.kegg.jp/entry/" &amp; G390, "https://www.kegg.jp/entry/" &amp; G390), "")</f>
        <v>https://www.kegg.jp/entry/R00440</v>
      </c>
      <c r="I390" t="s">
        <v>12894</v>
      </c>
      <c r="J390" t="s">
        <v>8437</v>
      </c>
    </row>
    <row r="391" spans="1:10" hidden="1" x14ac:dyDescent="0.25">
      <c r="A391" t="s">
        <v>731</v>
      </c>
      <c r="B391">
        <v>110</v>
      </c>
      <c r="C391" t="s">
        <v>732</v>
      </c>
      <c r="F391" s="1" t="str">
        <f>IF(E391&lt;&gt;"", HYPERLINK("https://www.kegg.jp/dbget-bin/www_bget?ec:" &amp; E391, "https://www.kegg.jp/dbget-bin/www_bget?ec:" &amp; E391), "")</f>
        <v/>
      </c>
      <c r="G391" s="3"/>
      <c r="H391" s="1" t="str">
        <f>IF(G391&lt;&gt;"", HYPERLINK("https://www.kegg.jp/entry/" &amp; G391, "https://www.kegg.jp/entry/" &amp; G391), "")</f>
        <v/>
      </c>
    </row>
    <row r="392" spans="1:10" hidden="1" x14ac:dyDescent="0.25">
      <c r="A392" t="s">
        <v>734</v>
      </c>
      <c r="B392">
        <v>326</v>
      </c>
      <c r="C392" t="s">
        <v>735</v>
      </c>
      <c r="F392" s="1" t="str">
        <f>IF(E392&lt;&gt;"", HYPERLINK("https://www.kegg.jp/dbget-bin/www_bget?ec:" &amp; E392, "https://www.kegg.jp/dbget-bin/www_bget?ec:" &amp; E392), "")</f>
        <v/>
      </c>
      <c r="G392" s="3"/>
      <c r="H392" s="1" t="str">
        <f>IF(G392&lt;&gt;"", HYPERLINK("https://www.kegg.jp/entry/" &amp; G392, "https://www.kegg.jp/entry/" &amp; G392), "")</f>
        <v/>
      </c>
    </row>
    <row r="393" spans="1:10" hidden="1" x14ac:dyDescent="0.25">
      <c r="A393" t="s">
        <v>737</v>
      </c>
      <c r="B393">
        <v>139</v>
      </c>
      <c r="C393" t="s">
        <v>738</v>
      </c>
      <c r="F393" s="1" t="str">
        <f>IF(E393&lt;&gt;"", HYPERLINK("https://www.kegg.jp/dbget-bin/www_bget?ec:" &amp; E393, "https://www.kegg.jp/dbget-bin/www_bget?ec:" &amp; E393), "")</f>
        <v/>
      </c>
      <c r="G393" s="3"/>
      <c r="H393" s="1" t="str">
        <f>IF(G393&lt;&gt;"", HYPERLINK("https://www.kegg.jp/entry/" &amp; G393, "https://www.kegg.jp/entry/" &amp; G393), "")</f>
        <v/>
      </c>
    </row>
    <row r="394" spans="1:10" hidden="1" x14ac:dyDescent="0.25">
      <c r="A394" t="s">
        <v>740</v>
      </c>
      <c r="B394">
        <v>223</v>
      </c>
      <c r="C394" t="s">
        <v>741</v>
      </c>
      <c r="F394" s="1" t="str">
        <f>IF(E394&lt;&gt;"", HYPERLINK("https://www.kegg.jp/dbget-bin/www_bget?ec:" &amp; E394, "https://www.kegg.jp/dbget-bin/www_bget?ec:" &amp; E394), "")</f>
        <v/>
      </c>
      <c r="G394" s="3"/>
      <c r="H394" s="1" t="str">
        <f>IF(G394&lt;&gt;"", HYPERLINK("https://www.kegg.jp/entry/" &amp; G394, "https://www.kegg.jp/entry/" &amp; G394), "")</f>
        <v/>
      </c>
    </row>
    <row r="395" spans="1:10" hidden="1" x14ac:dyDescent="0.25">
      <c r="C395" t="s">
        <v>743</v>
      </c>
      <c r="F395" s="1" t="str">
        <f>IF(E395&lt;&gt;"", HYPERLINK("https://www.kegg.jp/dbget-bin/www_bget?ec:" &amp; E395, "https://www.kegg.jp/dbget-bin/www_bget?ec:" &amp; E395), "")</f>
        <v/>
      </c>
      <c r="G395" s="3"/>
      <c r="H395" s="1" t="str">
        <f>IF(G395&lt;&gt;"", HYPERLINK("https://www.kegg.jp/entry/" &amp; G395, "https://www.kegg.jp/entry/" &amp; G395), "")</f>
        <v/>
      </c>
    </row>
    <row r="396" spans="1:10" hidden="1" x14ac:dyDescent="0.25">
      <c r="A396" t="s">
        <v>744</v>
      </c>
      <c r="B396">
        <v>109</v>
      </c>
      <c r="C396" t="s">
        <v>745</v>
      </c>
      <c r="F396" s="1" t="str">
        <f>IF(E396&lt;&gt;"", HYPERLINK("https://www.kegg.jp/dbget-bin/www_bget?ec:" &amp; E396, "https://www.kegg.jp/dbget-bin/www_bget?ec:" &amp; E396), "")</f>
        <v/>
      </c>
      <c r="G396" s="3"/>
      <c r="H396" s="1" t="str">
        <f>IF(G396&lt;&gt;"", HYPERLINK("https://www.kegg.jp/entry/" &amp; G396, "https://www.kegg.jp/entry/" &amp; G396), "")</f>
        <v/>
      </c>
    </row>
    <row r="397" spans="1:10" x14ac:dyDescent="0.25">
      <c r="A397" t="s">
        <v>747</v>
      </c>
      <c r="B397">
        <v>259</v>
      </c>
      <c r="C397" t="s">
        <v>748</v>
      </c>
      <c r="E397" s="5" t="s">
        <v>6675</v>
      </c>
      <c r="F397" s="1" t="str">
        <f>IF(E397&lt;&gt;"", HYPERLINK("https://www.kegg.jp/dbget-bin/www_bget?ec:" &amp; E397, "https://www.kegg.jp/dbget-bin/www_bget?ec:" &amp; E397), "")</f>
        <v>https://www.kegg.jp/dbget-bin/www_bget?ec:4.1.1.23</v>
      </c>
      <c r="G397" s="3" t="s">
        <v>7116</v>
      </c>
      <c r="H397" s="1" t="str">
        <f>IF(G397&lt;&gt;"", HYPERLINK("https://www.kegg.jp/entry/" &amp; G397, "https://www.kegg.jp/entry/" &amp; G397), "")</f>
        <v>https://www.kegg.jp/entry/R00965</v>
      </c>
      <c r="I397" t="s">
        <v>8154</v>
      </c>
      <c r="J397" t="s">
        <v>12898</v>
      </c>
    </row>
    <row r="398" spans="1:10" x14ac:dyDescent="0.25">
      <c r="A398" t="s">
        <v>750</v>
      </c>
      <c r="B398">
        <v>183</v>
      </c>
      <c r="C398" t="s">
        <v>751</v>
      </c>
      <c r="E398" s="5" t="s">
        <v>6676</v>
      </c>
      <c r="F398" s="1" t="str">
        <f>IF(E398&lt;&gt;"", HYPERLINK("https://www.kegg.jp/dbget-bin/www_bget?ec:" &amp; E398, "https://www.kegg.jp/dbget-bin/www_bget?ec:" &amp; E398), "")</f>
        <v>https://www.kegg.jp/dbget-bin/www_bget?ec:2.4.2.10</v>
      </c>
      <c r="G398" s="3" t="s">
        <v>7452</v>
      </c>
      <c r="H398" s="1" t="str">
        <f>IF(G398&lt;&gt;"", HYPERLINK("https://www.kegg.jp/entry/" &amp; G398, "https://www.kegg.jp/entry/" &amp; G398), "")</f>
        <v>https://www.kegg.jp/entry/R01870</v>
      </c>
      <c r="I398" t="s">
        <v>12899</v>
      </c>
      <c r="J398" t="s">
        <v>12900</v>
      </c>
    </row>
    <row r="399" spans="1:10" x14ac:dyDescent="0.25">
      <c r="A399" t="s">
        <v>750</v>
      </c>
      <c r="B399">
        <v>183</v>
      </c>
      <c r="C399" t="s">
        <v>751</v>
      </c>
      <c r="E399" s="5" t="s">
        <v>6676</v>
      </c>
      <c r="F399" s="1" t="str">
        <f>IF(E399&lt;&gt;"", HYPERLINK("https://www.kegg.jp/dbget-bin/www_bget?ec:" &amp; E399, "https://www.kegg.jp/dbget-bin/www_bget?ec:" &amp; E399), "")</f>
        <v>https://www.kegg.jp/dbget-bin/www_bget?ec:2.4.2.10</v>
      </c>
      <c r="G399" s="3" t="s">
        <v>7453</v>
      </c>
      <c r="H399" s="1" t="str">
        <f>IF(G399&lt;&gt;"", HYPERLINK("https://www.kegg.jp/entry/" &amp; G399, "https://www.kegg.jp/entry/" &amp; G399), "")</f>
        <v>https://www.kegg.jp/entry/R08231</v>
      </c>
      <c r="I399" t="s">
        <v>12901</v>
      </c>
      <c r="J399" t="s">
        <v>12902</v>
      </c>
    </row>
    <row r="400" spans="1:10" hidden="1" x14ac:dyDescent="0.25">
      <c r="A400" t="s">
        <v>752</v>
      </c>
      <c r="B400">
        <v>332</v>
      </c>
      <c r="C400" t="s">
        <v>753</v>
      </c>
      <c r="F400" s="1" t="str">
        <f>IF(E400&lt;&gt;"", HYPERLINK("https://www.kegg.jp/dbget-bin/www_bget?ec:" &amp; E400, "https://www.kegg.jp/dbget-bin/www_bget?ec:" &amp; E400), "")</f>
        <v/>
      </c>
      <c r="G400" s="3"/>
      <c r="H400" s="1" t="str">
        <f>IF(G400&lt;&gt;"", HYPERLINK("https://www.kegg.jp/entry/" &amp; G400, "https://www.kegg.jp/entry/" &amp; G400), "")</f>
        <v/>
      </c>
    </row>
    <row r="401" spans="1:10" x14ac:dyDescent="0.25">
      <c r="A401" t="s">
        <v>755</v>
      </c>
      <c r="B401">
        <v>321</v>
      </c>
      <c r="C401" t="s">
        <v>756</v>
      </c>
      <c r="E401" s="5" t="s">
        <v>6677</v>
      </c>
      <c r="F401" s="1" t="str">
        <f>IF(E401&lt;&gt;"", HYPERLINK("https://www.kegg.jp/dbget-bin/www_bget?ec:" &amp; E401, "https://www.kegg.jp/dbget-bin/www_bget?ec:" &amp; E401), "")</f>
        <v>https://www.kegg.jp/dbget-bin/www_bget?ec:1.1.1.94</v>
      </c>
      <c r="G401" s="3" t="s">
        <v>7454</v>
      </c>
      <c r="H401" s="1" t="str">
        <f>IF(G401&lt;&gt;"", HYPERLINK("https://www.kegg.jp/entry/" &amp; G401, "https://www.kegg.jp/entry/" &amp; G401), "")</f>
        <v>https://www.kegg.jp/entry/R00842</v>
      </c>
      <c r="I401" t="s">
        <v>12903</v>
      </c>
      <c r="J401" t="s">
        <v>12904</v>
      </c>
    </row>
    <row r="402" spans="1:10" x14ac:dyDescent="0.25">
      <c r="A402" t="s">
        <v>755</v>
      </c>
      <c r="B402">
        <v>321</v>
      </c>
      <c r="C402" t="s">
        <v>756</v>
      </c>
      <c r="E402" s="5" t="s">
        <v>6677</v>
      </c>
      <c r="F402" s="1" t="str">
        <f>IF(E402&lt;&gt;"", HYPERLINK("https://www.kegg.jp/dbget-bin/www_bget?ec:" &amp; E402, "https://www.kegg.jp/dbget-bin/www_bget?ec:" &amp; E402), "")</f>
        <v>https://www.kegg.jp/dbget-bin/www_bget?ec:1.1.1.94</v>
      </c>
      <c r="G402" s="3" t="s">
        <v>7455</v>
      </c>
      <c r="H402" s="1" t="str">
        <f>IF(G402&lt;&gt;"", HYPERLINK("https://www.kegg.jp/entry/" &amp; G402, "https://www.kegg.jp/entry/" &amp; G402), "")</f>
        <v>https://www.kegg.jp/entry/R00844</v>
      </c>
      <c r="I402" t="s">
        <v>12905</v>
      </c>
      <c r="J402" t="s">
        <v>12906</v>
      </c>
    </row>
    <row r="403" spans="1:10" hidden="1" x14ac:dyDescent="0.25">
      <c r="A403" t="s">
        <v>757</v>
      </c>
      <c r="B403">
        <v>178</v>
      </c>
      <c r="C403" t="s">
        <v>758</v>
      </c>
      <c r="F403" s="1" t="str">
        <f>IF(E403&lt;&gt;"", HYPERLINK("https://www.kegg.jp/dbget-bin/www_bget?ec:" &amp; E403, "https://www.kegg.jp/dbget-bin/www_bget?ec:" &amp; E403), "")</f>
        <v/>
      </c>
      <c r="G403" s="3"/>
      <c r="H403" s="1" t="str">
        <f>IF(G403&lt;&gt;"", HYPERLINK("https://www.kegg.jp/entry/" &amp; G403, "https://www.kegg.jp/entry/" &amp; G403), "")</f>
        <v/>
      </c>
    </row>
    <row r="404" spans="1:10" x14ac:dyDescent="0.25">
      <c r="A404" t="s">
        <v>760</v>
      </c>
      <c r="B404">
        <v>236</v>
      </c>
      <c r="C404" t="s">
        <v>761</v>
      </c>
      <c r="E404" s="5" t="s">
        <v>6678</v>
      </c>
      <c r="F404" s="1" t="str">
        <f>IF(E404&lt;&gt;"", HYPERLINK("https://www.kegg.jp/dbget-bin/www_bget?ec:" &amp; E404, "https://www.kegg.jp/dbget-bin/www_bget?ec:" &amp; E404), "")</f>
        <v>https://www.kegg.jp/dbget-bin/www_bget?ec:3.1.1.24</v>
      </c>
      <c r="G404" s="3" t="s">
        <v>7117</v>
      </c>
      <c r="H404" s="1" t="str">
        <f>IF(G404&lt;&gt;"", HYPERLINK("https://www.kegg.jp/entry/" &amp; G404, "https://www.kegg.jp/entry/" &amp; G404), "")</f>
        <v>https://www.kegg.jp/entry/R02991</v>
      </c>
      <c r="I404" t="s">
        <v>12907</v>
      </c>
      <c r="J404" t="s">
        <v>8438</v>
      </c>
    </row>
    <row r="405" spans="1:10" hidden="1" x14ac:dyDescent="0.25">
      <c r="A405" t="s">
        <v>762</v>
      </c>
      <c r="B405">
        <v>68</v>
      </c>
      <c r="C405" t="s">
        <v>763</v>
      </c>
      <c r="F405" s="1" t="str">
        <f>IF(E405&lt;&gt;"", HYPERLINK("https://www.kegg.jp/dbget-bin/www_bget?ec:" &amp; E405, "https://www.kegg.jp/dbget-bin/www_bget?ec:" &amp; E405), "")</f>
        <v/>
      </c>
      <c r="G405" s="3"/>
      <c r="H405" s="1" t="str">
        <f>IF(G405&lt;&gt;"", HYPERLINK("https://www.kegg.jp/entry/" &amp; G405, "https://www.kegg.jp/entry/" &amp; G405), "")</f>
        <v/>
      </c>
    </row>
    <row r="406" spans="1:10" hidden="1" x14ac:dyDescent="0.25">
      <c r="A406" t="s">
        <v>765</v>
      </c>
      <c r="B406">
        <v>138</v>
      </c>
      <c r="C406" t="s">
        <v>766</v>
      </c>
      <c r="F406" s="1" t="str">
        <f>IF(E406&lt;&gt;"", HYPERLINK("https://www.kegg.jp/dbget-bin/www_bget?ec:" &amp; E406, "https://www.kegg.jp/dbget-bin/www_bget?ec:" &amp; E406), "")</f>
        <v/>
      </c>
      <c r="G406" s="3"/>
      <c r="H406" s="1" t="str">
        <f>IF(G406&lt;&gt;"", HYPERLINK("https://www.kegg.jp/entry/" &amp; G406, "https://www.kegg.jp/entry/" &amp; G406), "")</f>
        <v/>
      </c>
    </row>
    <row r="407" spans="1:10" x14ac:dyDescent="0.25">
      <c r="A407" t="s">
        <v>768</v>
      </c>
      <c r="B407">
        <v>404</v>
      </c>
      <c r="C407" t="s">
        <v>769</v>
      </c>
      <c r="E407" s="5" t="s">
        <v>6679</v>
      </c>
      <c r="F407" s="1" t="str">
        <f>IF(E407&lt;&gt;"", HYPERLINK("https://www.kegg.jp/dbget-bin/www_bget?ec:" &amp; E407, "https://www.kegg.jp/dbget-bin/www_bget?ec:" &amp; E407), "")</f>
        <v>https://www.kegg.jp/dbget-bin/www_bget?ec:2.8.1.7</v>
      </c>
      <c r="G407" s="3" t="s">
        <v>7456</v>
      </c>
      <c r="H407" s="1" t="str">
        <f>IF(G407&lt;&gt;"", HYPERLINK("https://www.kegg.jp/entry/" &amp; G407, "https://www.kegg.jp/entry/" &amp; G407), "")</f>
        <v>https://www.kegg.jp/entry/R07460</v>
      </c>
      <c r="I407" t="s">
        <v>12908</v>
      </c>
      <c r="J407" t="s">
        <v>12909</v>
      </c>
    </row>
    <row r="408" spans="1:10" x14ac:dyDescent="0.25">
      <c r="A408" t="s">
        <v>768</v>
      </c>
      <c r="B408">
        <v>404</v>
      </c>
      <c r="C408" t="s">
        <v>769</v>
      </c>
      <c r="E408" s="5" t="s">
        <v>6679</v>
      </c>
      <c r="F408" s="1" t="str">
        <f>IF(E408&lt;&gt;"", HYPERLINK("https://www.kegg.jp/dbget-bin/www_bget?ec:" &amp; E408, "https://www.kegg.jp/dbget-bin/www_bget?ec:" &amp; E408), "")</f>
        <v>https://www.kegg.jp/dbget-bin/www_bget?ec:2.8.1.7</v>
      </c>
      <c r="G408" s="3" t="s">
        <v>7458</v>
      </c>
      <c r="H408" s="1" t="str">
        <f>IF(G408&lt;&gt;"", HYPERLINK("https://www.kegg.jp/entry/" &amp; G408, "https://www.kegg.jp/entry/" &amp; G408), "")</f>
        <v>https://www.kegg.jp/entry/R11528</v>
      </c>
      <c r="I408" t="s">
        <v>8155</v>
      </c>
      <c r="J408" t="s">
        <v>8439</v>
      </c>
    </row>
    <row r="409" spans="1:10" x14ac:dyDescent="0.25">
      <c r="A409" t="s">
        <v>768</v>
      </c>
      <c r="B409">
        <v>404</v>
      </c>
      <c r="C409" t="s">
        <v>769</v>
      </c>
      <c r="E409" s="5" t="s">
        <v>6679</v>
      </c>
      <c r="F409" s="1" t="str">
        <f>IF(E409&lt;&gt;"", HYPERLINK("https://www.kegg.jp/dbget-bin/www_bget?ec:" &amp; E409, "https://www.kegg.jp/dbget-bin/www_bget?ec:" &amp; E409), "")</f>
        <v>https://www.kegg.jp/dbget-bin/www_bget?ec:2.8.1.7</v>
      </c>
      <c r="G409" s="3" t="s">
        <v>7457</v>
      </c>
      <c r="H409" s="1" t="str">
        <f>IF(G409&lt;&gt;"", HYPERLINK("https://www.kegg.jp/entry/" &amp; G409, "https://www.kegg.jp/entry/" &amp; G409), "")</f>
        <v>https://www.kegg.jp/entry/R11529</v>
      </c>
      <c r="I409" t="s">
        <v>12910</v>
      </c>
      <c r="J409" t="s">
        <v>8440</v>
      </c>
    </row>
    <row r="410" spans="1:10" hidden="1" x14ac:dyDescent="0.25">
      <c r="A410" t="s">
        <v>770</v>
      </c>
      <c r="B410">
        <v>93</v>
      </c>
      <c r="C410" t="s">
        <v>771</v>
      </c>
      <c r="F410" s="1" t="str">
        <f>IF(E410&lt;&gt;"", HYPERLINK("https://www.kegg.jp/dbget-bin/www_bget?ec:" &amp; E410, "https://www.kegg.jp/dbget-bin/www_bget?ec:" &amp; E410), "")</f>
        <v/>
      </c>
      <c r="G410" s="3"/>
      <c r="H410" s="1" t="str">
        <f>IF(G410&lt;&gt;"", HYPERLINK("https://www.kegg.jp/entry/" &amp; G410, "https://www.kegg.jp/entry/" &amp; G410), "")</f>
        <v/>
      </c>
    </row>
    <row r="411" spans="1:10" hidden="1" x14ac:dyDescent="0.25">
      <c r="A411" t="s">
        <v>773</v>
      </c>
      <c r="B411">
        <v>791</v>
      </c>
      <c r="C411" t="s">
        <v>774</v>
      </c>
      <c r="D411" t="s">
        <v>6680</v>
      </c>
      <c r="E411" s="5" t="s">
        <v>7669</v>
      </c>
      <c r="F411" s="1" t="str">
        <f>IF(E411&lt;&gt;"", HYPERLINK("https://www.kegg.jp/dbget-bin/www_bget?ec:" &amp; E411, "https://www.kegg.jp/dbget-bin/www_bget?ec:" &amp; E411), "")</f>
        <v xml:space="preserve">https://www.kegg.jp/dbget-bin/www_bget?ec:7.2.2.21 </v>
      </c>
      <c r="G411" s="3"/>
      <c r="H411" s="1" t="str">
        <f>IF(G411&lt;&gt;"", HYPERLINK("https://www.kegg.jp/entry/" &amp; G411, "https://www.kegg.jp/entry/" &amp; G411), "")</f>
        <v/>
      </c>
    </row>
    <row r="412" spans="1:10" hidden="1" x14ac:dyDescent="0.25">
      <c r="A412" t="s">
        <v>775</v>
      </c>
      <c r="B412">
        <v>169</v>
      </c>
      <c r="C412" t="s">
        <v>776</v>
      </c>
      <c r="F412" s="1" t="str">
        <f>IF(E412&lt;&gt;"", HYPERLINK("https://www.kegg.jp/dbget-bin/www_bget?ec:" &amp; E412, "https://www.kegg.jp/dbget-bin/www_bget?ec:" &amp; E412), "")</f>
        <v/>
      </c>
      <c r="G412" s="3"/>
      <c r="H412" s="1" t="str">
        <f>IF(G412&lt;&gt;"", HYPERLINK("https://www.kegg.jp/entry/" &amp; G412, "https://www.kegg.jp/entry/" &amp; G412), "")</f>
        <v/>
      </c>
    </row>
    <row r="413" spans="1:10" hidden="1" x14ac:dyDescent="0.25">
      <c r="A413" t="s">
        <v>778</v>
      </c>
      <c r="B413">
        <v>94</v>
      </c>
      <c r="C413" t="s">
        <v>779</v>
      </c>
      <c r="F413" s="1" t="str">
        <f>IF(E413&lt;&gt;"", HYPERLINK("https://www.kegg.jp/dbget-bin/www_bget?ec:" &amp; E413, "https://www.kegg.jp/dbget-bin/www_bget?ec:" &amp; E413), "")</f>
        <v/>
      </c>
      <c r="G413" s="3"/>
      <c r="H413" s="1" t="str">
        <f>IF(G413&lt;&gt;"", HYPERLINK("https://www.kegg.jp/entry/" &amp; G413, "https://www.kegg.jp/entry/" &amp; G413), "")</f>
        <v/>
      </c>
    </row>
    <row r="414" spans="1:10" hidden="1" x14ac:dyDescent="0.25">
      <c r="A414" t="s">
        <v>781</v>
      </c>
      <c r="B414">
        <v>66</v>
      </c>
      <c r="C414" t="s">
        <v>782</v>
      </c>
      <c r="F414" s="1" t="str">
        <f>IF(E414&lt;&gt;"", HYPERLINK("https://www.kegg.jp/dbget-bin/www_bget?ec:" &amp; E414, "https://www.kegg.jp/dbget-bin/www_bget?ec:" &amp; E414), "")</f>
        <v/>
      </c>
      <c r="G414" s="3"/>
      <c r="H414" s="1" t="str">
        <f>IF(G414&lt;&gt;"", HYPERLINK("https://www.kegg.jp/entry/" &amp; G414, "https://www.kegg.jp/entry/" &amp; G414), "")</f>
        <v/>
      </c>
    </row>
    <row r="415" spans="1:10" hidden="1" x14ac:dyDescent="0.25">
      <c r="A415" t="s">
        <v>784</v>
      </c>
      <c r="B415">
        <v>128</v>
      </c>
      <c r="C415" t="s">
        <v>785</v>
      </c>
      <c r="F415" s="1" t="str">
        <f>IF(E415&lt;&gt;"", HYPERLINK("https://www.kegg.jp/dbget-bin/www_bget?ec:" &amp; E415, "https://www.kegg.jp/dbget-bin/www_bget?ec:" &amp; E415), "")</f>
        <v/>
      </c>
      <c r="G415" s="3"/>
      <c r="H415" s="1" t="str">
        <f>IF(G415&lt;&gt;"", HYPERLINK("https://www.kegg.jp/entry/" &amp; G415, "https://www.kegg.jp/entry/" &amp; G415), "")</f>
        <v/>
      </c>
    </row>
    <row r="416" spans="1:10" hidden="1" x14ac:dyDescent="0.25">
      <c r="A416" t="s">
        <v>786</v>
      </c>
      <c r="B416">
        <v>552</v>
      </c>
      <c r="C416" t="s">
        <v>787</v>
      </c>
      <c r="F416" s="1" t="str">
        <f>IF(E416&lt;&gt;"", HYPERLINK("https://www.kegg.jp/dbget-bin/www_bget?ec:" &amp; E416, "https://www.kegg.jp/dbget-bin/www_bget?ec:" &amp; E416), "")</f>
        <v/>
      </c>
      <c r="G416" s="3"/>
      <c r="H416" s="1" t="str">
        <f>IF(G416&lt;&gt;"", HYPERLINK("https://www.kegg.jp/entry/" &amp; G416, "https://www.kegg.jp/entry/" &amp; G416), "")</f>
        <v/>
      </c>
    </row>
    <row r="417" spans="1:10" hidden="1" x14ac:dyDescent="0.25">
      <c r="A417" t="s">
        <v>789</v>
      </c>
      <c r="B417">
        <v>100</v>
      </c>
      <c r="C417" t="s">
        <v>790</v>
      </c>
      <c r="F417" s="1" t="str">
        <f>IF(E417&lt;&gt;"", HYPERLINK("https://www.kegg.jp/dbget-bin/www_bget?ec:" &amp; E417, "https://www.kegg.jp/dbget-bin/www_bget?ec:" &amp; E417), "")</f>
        <v/>
      </c>
      <c r="G417" s="3"/>
      <c r="H417" s="1" t="str">
        <f>IF(G417&lt;&gt;"", HYPERLINK("https://www.kegg.jp/entry/" &amp; G417, "https://www.kegg.jp/entry/" &amp; G417), "")</f>
        <v/>
      </c>
    </row>
    <row r="418" spans="1:10" hidden="1" x14ac:dyDescent="0.25">
      <c r="A418" t="s">
        <v>792</v>
      </c>
      <c r="B418">
        <v>431</v>
      </c>
      <c r="C418" t="s">
        <v>793</v>
      </c>
      <c r="F418" s="1" t="str">
        <f>IF(E418&lt;&gt;"", HYPERLINK("https://www.kegg.jp/dbget-bin/www_bget?ec:" &amp; E418, "https://www.kegg.jp/dbget-bin/www_bget?ec:" &amp; E418), "")</f>
        <v/>
      </c>
      <c r="G418" s="3"/>
      <c r="H418" s="1" t="str">
        <f>IF(G418&lt;&gt;"", HYPERLINK("https://www.kegg.jp/entry/" &amp; G418, "https://www.kegg.jp/entry/" &amp; G418), "")</f>
        <v/>
      </c>
    </row>
    <row r="419" spans="1:10" hidden="1" x14ac:dyDescent="0.25">
      <c r="A419" t="s">
        <v>795</v>
      </c>
      <c r="B419">
        <v>468</v>
      </c>
      <c r="C419" t="s">
        <v>796</v>
      </c>
      <c r="F419" s="1" t="str">
        <f>IF(E419&lt;&gt;"", HYPERLINK("https://www.kegg.jp/dbget-bin/www_bget?ec:" &amp; E419, "https://www.kegg.jp/dbget-bin/www_bget?ec:" &amp; E419), "")</f>
        <v/>
      </c>
      <c r="G419" s="3"/>
      <c r="H419" s="1" t="str">
        <f>IF(G419&lt;&gt;"", HYPERLINK("https://www.kegg.jp/entry/" &amp; G419, "https://www.kegg.jp/entry/" &amp; G419), "")</f>
        <v/>
      </c>
    </row>
    <row r="420" spans="1:10" hidden="1" x14ac:dyDescent="0.25">
      <c r="A420" t="s">
        <v>798</v>
      </c>
      <c r="B420">
        <v>250</v>
      </c>
      <c r="C420" t="s">
        <v>799</v>
      </c>
      <c r="F420" s="1" t="str">
        <f>IF(E420&lt;&gt;"", HYPERLINK("https://www.kegg.jp/dbget-bin/www_bget?ec:" &amp; E420, "https://www.kegg.jp/dbget-bin/www_bget?ec:" &amp; E420), "")</f>
        <v/>
      </c>
      <c r="G420" s="3"/>
      <c r="H420" s="1" t="str">
        <f>IF(G420&lt;&gt;"", HYPERLINK("https://www.kegg.jp/entry/" &amp; G420, "https://www.kegg.jp/entry/" &amp; G420), "")</f>
        <v/>
      </c>
    </row>
    <row r="421" spans="1:10" hidden="1" x14ac:dyDescent="0.25">
      <c r="A421" t="s">
        <v>800</v>
      </c>
      <c r="B421">
        <v>932</v>
      </c>
      <c r="C421" t="s">
        <v>801</v>
      </c>
      <c r="F421" s="1" t="str">
        <f>IF(E421&lt;&gt;"", HYPERLINK("https://www.kegg.jp/dbget-bin/www_bget?ec:" &amp; E421, "https://www.kegg.jp/dbget-bin/www_bget?ec:" &amp; E421), "")</f>
        <v/>
      </c>
      <c r="G421" s="3"/>
      <c r="H421" s="1" t="str">
        <f>IF(G421&lt;&gt;"", HYPERLINK("https://www.kegg.jp/entry/" &amp; G421, "https://www.kegg.jp/entry/" &amp; G421), "")</f>
        <v/>
      </c>
    </row>
    <row r="422" spans="1:10" x14ac:dyDescent="0.25">
      <c r="A422" t="s">
        <v>803</v>
      </c>
      <c r="B422">
        <v>439</v>
      </c>
      <c r="C422" t="s">
        <v>804</v>
      </c>
      <c r="E422" s="5" t="s">
        <v>6681</v>
      </c>
      <c r="F422" s="1" t="str">
        <f>IF(E422&lt;&gt;"", HYPERLINK("https://www.kegg.jp/dbget-bin/www_bget?ec:" &amp; E422, "https://www.kegg.jp/dbget-bin/www_bget?ec:" &amp; E422), "")</f>
        <v>https://www.kegg.jp/dbget-bin/www_bget?ec:4.1.3.1</v>
      </c>
      <c r="G422" s="3" t="s">
        <v>7118</v>
      </c>
      <c r="H422" s="1" t="str">
        <f>IF(G422&lt;&gt;"", HYPERLINK("https://www.kegg.jp/entry/" &amp; G422, "https://www.kegg.jp/entry/" &amp; G422), "")</f>
        <v>https://www.kegg.jp/entry/R00479</v>
      </c>
      <c r="I422" t="s">
        <v>8156</v>
      </c>
      <c r="J422" t="s">
        <v>8441</v>
      </c>
    </row>
    <row r="423" spans="1:10" hidden="1" x14ac:dyDescent="0.25">
      <c r="A423" t="s">
        <v>805</v>
      </c>
      <c r="B423">
        <v>443</v>
      </c>
      <c r="C423" t="s">
        <v>806</v>
      </c>
      <c r="F423" s="1" t="str">
        <f>IF(E423&lt;&gt;"", HYPERLINK("https://www.kegg.jp/dbget-bin/www_bget?ec:" &amp; E423, "https://www.kegg.jp/dbget-bin/www_bget?ec:" &amp; E423), "")</f>
        <v/>
      </c>
      <c r="G423" s="3"/>
      <c r="H423" s="1" t="str">
        <f>IF(G423&lt;&gt;"", HYPERLINK("https://www.kegg.jp/entry/" &amp; G423, "https://www.kegg.jp/entry/" &amp; G423), "")</f>
        <v/>
      </c>
    </row>
    <row r="424" spans="1:10" hidden="1" x14ac:dyDescent="0.25">
      <c r="A424" t="s">
        <v>807</v>
      </c>
      <c r="B424">
        <v>47</v>
      </c>
      <c r="C424" t="s">
        <v>808</v>
      </c>
      <c r="F424" s="1" t="str">
        <f>IF(E424&lt;&gt;"", HYPERLINK("https://www.kegg.jp/dbget-bin/www_bget?ec:" &amp; E424, "https://www.kegg.jp/dbget-bin/www_bget?ec:" &amp; E424), "")</f>
        <v/>
      </c>
      <c r="G424" s="3"/>
      <c r="H424" s="1" t="str">
        <f>IF(G424&lt;&gt;"", HYPERLINK("https://www.kegg.jp/entry/" &amp; G424, "https://www.kegg.jp/entry/" &amp; G424), "")</f>
        <v/>
      </c>
    </row>
    <row r="425" spans="1:10" hidden="1" x14ac:dyDescent="0.25">
      <c r="A425" t="s">
        <v>810</v>
      </c>
      <c r="B425">
        <v>230</v>
      </c>
      <c r="C425" t="s">
        <v>811</v>
      </c>
      <c r="F425" s="1" t="str">
        <f>IF(E425&lt;&gt;"", HYPERLINK("https://www.kegg.jp/dbget-bin/www_bget?ec:" &amp; E425, "https://www.kegg.jp/dbget-bin/www_bget?ec:" &amp; E425), "")</f>
        <v/>
      </c>
      <c r="G425" s="3"/>
      <c r="H425" s="1" t="str">
        <f>IF(G425&lt;&gt;"", HYPERLINK("https://www.kegg.jp/entry/" &amp; G425, "https://www.kegg.jp/entry/" &amp; G425), "")</f>
        <v/>
      </c>
    </row>
    <row r="426" spans="1:10" hidden="1" x14ac:dyDescent="0.25">
      <c r="A426" t="s">
        <v>813</v>
      </c>
      <c r="B426">
        <v>380</v>
      </c>
      <c r="C426" t="s">
        <v>814</v>
      </c>
      <c r="F426" s="1" t="str">
        <f>IF(E426&lt;&gt;"", HYPERLINK("https://www.kegg.jp/dbget-bin/www_bget?ec:" &amp; E426, "https://www.kegg.jp/dbget-bin/www_bget?ec:" &amp; E426), "")</f>
        <v/>
      </c>
      <c r="G426" s="3"/>
      <c r="H426" s="1" t="str">
        <f>IF(G426&lt;&gt;"", HYPERLINK("https://www.kegg.jp/entry/" &amp; G426, "https://www.kegg.jp/entry/" &amp; G426), "")</f>
        <v/>
      </c>
    </row>
    <row r="427" spans="1:10" hidden="1" x14ac:dyDescent="0.25">
      <c r="A427" t="s">
        <v>815</v>
      </c>
      <c r="B427">
        <v>87</v>
      </c>
      <c r="C427" t="s">
        <v>816</v>
      </c>
      <c r="F427" s="1" t="str">
        <f>IF(E427&lt;&gt;"", HYPERLINK("https://www.kegg.jp/dbget-bin/www_bget?ec:" &amp; E427, "https://www.kegg.jp/dbget-bin/www_bget?ec:" &amp; E427), "")</f>
        <v/>
      </c>
      <c r="G427" s="3"/>
      <c r="H427" s="1" t="str">
        <f>IF(G427&lt;&gt;"", HYPERLINK("https://www.kegg.jp/entry/" &amp; G427, "https://www.kegg.jp/entry/" &amp; G427), "")</f>
        <v/>
      </c>
    </row>
    <row r="428" spans="1:10" x14ac:dyDescent="0.25">
      <c r="A428" t="s">
        <v>818</v>
      </c>
      <c r="B428">
        <v>881</v>
      </c>
      <c r="C428" t="s">
        <v>819</v>
      </c>
      <c r="E428" s="5" t="s">
        <v>6682</v>
      </c>
      <c r="F428" s="1" t="str">
        <f>IF(E428&lt;&gt;"", HYPERLINK("https://www.kegg.jp/dbget-bin/www_bget?ec:" &amp; E428, "https://www.kegg.jp/dbget-bin/www_bget?ec:" &amp; E428), "")</f>
        <v>https://www.kegg.jp/dbget-bin/www_bget?ec:6.1.1.7</v>
      </c>
      <c r="G428" s="3" t="s">
        <v>7119</v>
      </c>
      <c r="H428" s="1" t="str">
        <f>IF(G428&lt;&gt;"", HYPERLINK("https://www.kegg.jp/entry/" &amp; G428, "https://www.kegg.jp/entry/" &amp; G428), "")</f>
        <v>https://www.kegg.jp/entry/R03038</v>
      </c>
      <c r="I428" t="s">
        <v>8157</v>
      </c>
      <c r="J428" t="s">
        <v>12911</v>
      </c>
    </row>
    <row r="429" spans="1:10" hidden="1" x14ac:dyDescent="0.25">
      <c r="A429" t="s">
        <v>820</v>
      </c>
      <c r="B429">
        <v>228</v>
      </c>
      <c r="C429" t="s">
        <v>821</v>
      </c>
      <c r="F429" s="1" t="str">
        <f>IF(E429&lt;&gt;"", HYPERLINK("https://www.kegg.jp/dbget-bin/www_bget?ec:" &amp; E429, "https://www.kegg.jp/dbget-bin/www_bget?ec:" &amp; E429), "")</f>
        <v/>
      </c>
      <c r="G429" s="3"/>
      <c r="H429" s="1" t="str">
        <f>IF(G429&lt;&gt;"", HYPERLINK("https://www.kegg.jp/entry/" &amp; G429, "https://www.kegg.jp/entry/" &amp; G429), "")</f>
        <v/>
      </c>
    </row>
    <row r="430" spans="1:10" hidden="1" x14ac:dyDescent="0.25">
      <c r="A430" t="s">
        <v>823</v>
      </c>
      <c r="B430">
        <v>128</v>
      </c>
      <c r="C430" t="s">
        <v>824</v>
      </c>
      <c r="F430" s="1" t="str">
        <f>IF(E430&lt;&gt;"", HYPERLINK("https://www.kegg.jp/dbget-bin/www_bget?ec:" &amp; E430, "https://www.kegg.jp/dbget-bin/www_bget?ec:" &amp; E430), "")</f>
        <v/>
      </c>
      <c r="G430" s="3"/>
      <c r="H430" s="1" t="str">
        <f>IF(G430&lt;&gt;"", HYPERLINK("https://www.kegg.jp/entry/" &amp; G430, "https://www.kegg.jp/entry/" &amp; G430), "")</f>
        <v/>
      </c>
    </row>
    <row r="431" spans="1:10" hidden="1" x14ac:dyDescent="0.25">
      <c r="A431" t="s">
        <v>826</v>
      </c>
      <c r="B431">
        <v>337</v>
      </c>
      <c r="C431" t="s">
        <v>827</v>
      </c>
      <c r="F431" s="1" t="str">
        <f>IF(E431&lt;&gt;"", HYPERLINK("https://www.kegg.jp/dbget-bin/www_bget?ec:" &amp; E431, "https://www.kegg.jp/dbget-bin/www_bget?ec:" &amp; E431), "")</f>
        <v/>
      </c>
      <c r="G431" s="3"/>
      <c r="H431" s="1" t="str">
        <f>IF(G431&lt;&gt;"", HYPERLINK("https://www.kegg.jp/entry/" &amp; G431, "https://www.kegg.jp/entry/" &amp; G431), "")</f>
        <v/>
      </c>
    </row>
    <row r="432" spans="1:10" hidden="1" x14ac:dyDescent="0.25">
      <c r="A432" t="s">
        <v>829</v>
      </c>
      <c r="B432">
        <v>279</v>
      </c>
      <c r="C432" t="s">
        <v>830</v>
      </c>
      <c r="F432" s="1" t="str">
        <f>IF(E432&lt;&gt;"", HYPERLINK("https://www.kegg.jp/dbget-bin/www_bget?ec:" &amp; E432, "https://www.kegg.jp/dbget-bin/www_bget?ec:" &amp; E432), "")</f>
        <v/>
      </c>
      <c r="G432" s="3"/>
      <c r="H432" s="1" t="str">
        <f>IF(G432&lt;&gt;"", HYPERLINK("https://www.kegg.jp/entry/" &amp; G432, "https://www.kegg.jp/entry/" &amp; G432), "")</f>
        <v/>
      </c>
    </row>
    <row r="433" spans="1:10" hidden="1" x14ac:dyDescent="0.25">
      <c r="A433" t="s">
        <v>831</v>
      </c>
      <c r="B433">
        <v>163</v>
      </c>
      <c r="C433" t="s">
        <v>832</v>
      </c>
      <c r="F433" s="1" t="str">
        <f>IF(E433&lt;&gt;"", HYPERLINK("https://www.kegg.jp/dbget-bin/www_bget?ec:" &amp; E433, "https://www.kegg.jp/dbget-bin/www_bget?ec:" &amp; E433), "")</f>
        <v/>
      </c>
      <c r="G433" s="3"/>
      <c r="H433" s="1" t="str">
        <f>IF(G433&lt;&gt;"", HYPERLINK("https://www.kegg.jp/entry/" &amp; G433, "https://www.kegg.jp/entry/" &amp; G433), "")</f>
        <v/>
      </c>
    </row>
    <row r="434" spans="1:10" hidden="1" x14ac:dyDescent="0.25">
      <c r="A434" t="s">
        <v>833</v>
      </c>
      <c r="B434">
        <v>87</v>
      </c>
      <c r="C434" t="s">
        <v>834</v>
      </c>
      <c r="F434" s="1" t="str">
        <f>IF(E434&lt;&gt;"", HYPERLINK("https://www.kegg.jp/dbget-bin/www_bget?ec:" &amp; E434, "https://www.kegg.jp/dbget-bin/www_bget?ec:" &amp; E434), "")</f>
        <v/>
      </c>
      <c r="G434" s="3"/>
      <c r="H434" s="1" t="str">
        <f>IF(G434&lt;&gt;"", HYPERLINK("https://www.kegg.jp/entry/" &amp; G434, "https://www.kegg.jp/entry/" &amp; G434), "")</f>
        <v/>
      </c>
    </row>
    <row r="435" spans="1:10" hidden="1" x14ac:dyDescent="0.25">
      <c r="A435" t="s">
        <v>835</v>
      </c>
      <c r="B435">
        <v>238</v>
      </c>
      <c r="C435" t="s">
        <v>836</v>
      </c>
      <c r="F435" s="1" t="str">
        <f>IF(E435&lt;&gt;"", HYPERLINK("https://www.kegg.jp/dbget-bin/www_bget?ec:" &amp; E435, "https://www.kegg.jp/dbget-bin/www_bget?ec:" &amp; E435), "")</f>
        <v/>
      </c>
      <c r="G435" s="3"/>
      <c r="H435" s="1" t="str">
        <f>IF(G435&lt;&gt;"", HYPERLINK("https://www.kegg.jp/entry/" &amp; G435, "https://www.kegg.jp/entry/" &amp; G435), "")</f>
        <v/>
      </c>
    </row>
    <row r="436" spans="1:10" x14ac:dyDescent="0.25">
      <c r="A436" t="s">
        <v>838</v>
      </c>
      <c r="B436">
        <v>362</v>
      </c>
      <c r="C436" t="s">
        <v>839</v>
      </c>
      <c r="E436" s="5" t="s">
        <v>6683</v>
      </c>
      <c r="F436" s="1" t="str">
        <f>IF(E436&lt;&gt;"", HYPERLINK("https://www.kegg.jp/dbget-bin/www_bget?ec:" &amp; E436, "https://www.kegg.jp/dbget-bin/www_bget?ec:" &amp; E436), "")</f>
        <v>https://www.kegg.jp/dbget-bin/www_bget?ec:5.5.1.1</v>
      </c>
      <c r="G436" s="3" t="s">
        <v>7459</v>
      </c>
      <c r="H436" s="1" t="str">
        <f>IF(G436&lt;&gt;"", HYPERLINK("https://www.kegg.jp/entry/" &amp; G436, "https://www.kegg.jp/entry/" &amp; G436), "")</f>
        <v>https://www.kegg.jp/entry/R03959</v>
      </c>
      <c r="I436" t="s">
        <v>8158</v>
      </c>
      <c r="J436" t="s">
        <v>8159</v>
      </c>
    </row>
    <row r="437" spans="1:10" x14ac:dyDescent="0.25">
      <c r="A437" t="s">
        <v>838</v>
      </c>
      <c r="B437">
        <v>362</v>
      </c>
      <c r="C437" t="s">
        <v>839</v>
      </c>
      <c r="E437" s="5" t="s">
        <v>6683</v>
      </c>
      <c r="F437" s="1" t="str">
        <f>IF(E437&lt;&gt;"", HYPERLINK("https://www.kegg.jp/dbget-bin/www_bget?ec:" &amp; E437, "https://www.kegg.jp/dbget-bin/www_bget?ec:" &amp; E437), "")</f>
        <v>https://www.kegg.jp/dbget-bin/www_bget?ec:5.5.1.1</v>
      </c>
      <c r="G437" s="3" t="s">
        <v>7464</v>
      </c>
      <c r="H437" s="1" t="str">
        <f>IF(G437&lt;&gt;"", HYPERLINK("https://www.kegg.jp/entry/" &amp; G437, "https://www.kegg.jp/entry/" &amp; G437), "")</f>
        <v>https://www.kegg.jp/entry/R06989</v>
      </c>
      <c r="I437" t="s">
        <v>8159</v>
      </c>
      <c r="J437" t="s">
        <v>8442</v>
      </c>
    </row>
    <row r="438" spans="1:10" x14ac:dyDescent="0.25">
      <c r="A438" t="s">
        <v>838</v>
      </c>
      <c r="B438">
        <v>362</v>
      </c>
      <c r="C438" t="s">
        <v>839</v>
      </c>
      <c r="E438" s="5" t="s">
        <v>6683</v>
      </c>
      <c r="F438" s="1" t="str">
        <f>IF(E438&lt;&gt;"", HYPERLINK("https://www.kegg.jp/dbget-bin/www_bget?ec:" &amp; E438, "https://www.kegg.jp/dbget-bin/www_bget?ec:" &amp; E438), "")</f>
        <v>https://www.kegg.jp/dbget-bin/www_bget?ec:5.5.1.1</v>
      </c>
      <c r="G438" s="3" t="s">
        <v>7463</v>
      </c>
      <c r="H438" s="1" t="str">
        <f>IF(G438&lt;&gt;"", HYPERLINK("https://www.kegg.jp/entry/" &amp; G438, "https://www.kegg.jp/entry/" &amp; G438), "")</f>
        <v>https://www.kegg.jp/entry/R05300</v>
      </c>
      <c r="I438" t="s">
        <v>8160</v>
      </c>
      <c r="J438" t="s">
        <v>8163</v>
      </c>
    </row>
    <row r="439" spans="1:10" x14ac:dyDescent="0.25">
      <c r="A439" t="s">
        <v>838</v>
      </c>
      <c r="B439">
        <v>362</v>
      </c>
      <c r="C439" t="s">
        <v>839</v>
      </c>
      <c r="E439" s="5" t="s">
        <v>6683</v>
      </c>
      <c r="F439" s="1" t="str">
        <f>IF(E439&lt;&gt;"", HYPERLINK("https://www.kegg.jp/dbget-bin/www_bget?ec:" &amp; E439, "https://www.kegg.jp/dbget-bin/www_bget?ec:" &amp; E439), "")</f>
        <v>https://www.kegg.jp/dbget-bin/www_bget?ec:5.5.1.1</v>
      </c>
      <c r="G439" s="3" t="s">
        <v>7462</v>
      </c>
      <c r="H439" s="1" t="str">
        <f>IF(G439&lt;&gt;"", HYPERLINK("https://www.kegg.jp/entry/" &amp; G439, "https://www.kegg.jp/entry/" &amp; G439), "")</f>
        <v>https://www.kegg.jp/entry/R05390</v>
      </c>
      <c r="I439" t="s">
        <v>8161</v>
      </c>
      <c r="J439" t="s">
        <v>12912</v>
      </c>
    </row>
    <row r="440" spans="1:10" x14ac:dyDescent="0.25">
      <c r="A440" t="s">
        <v>838</v>
      </c>
      <c r="B440">
        <v>362</v>
      </c>
      <c r="C440" t="s">
        <v>839</v>
      </c>
      <c r="E440" s="5" t="s">
        <v>6683</v>
      </c>
      <c r="F440" s="1" t="str">
        <f>IF(E440&lt;&gt;"", HYPERLINK("https://www.kegg.jp/dbget-bin/www_bget?ec:" &amp; E440, "https://www.kegg.jp/dbget-bin/www_bget?ec:" &amp; E440), "")</f>
        <v>https://www.kegg.jp/dbget-bin/www_bget?ec:5.5.1.1</v>
      </c>
      <c r="G440" s="3" t="s">
        <v>7461</v>
      </c>
      <c r="H440" s="1" t="str">
        <f>IF(G440&lt;&gt;"", HYPERLINK("https://www.kegg.jp/entry/" &amp; G440, "https://www.kegg.jp/entry/" &amp; G440), "")</f>
        <v>https://www.kegg.jp/entry/R08116</v>
      </c>
      <c r="I440" t="s">
        <v>8162</v>
      </c>
      <c r="J440" t="s">
        <v>8443</v>
      </c>
    </row>
    <row r="441" spans="1:10" x14ac:dyDescent="0.25">
      <c r="A441" t="s">
        <v>838</v>
      </c>
      <c r="B441">
        <v>362</v>
      </c>
      <c r="C441" t="s">
        <v>839</v>
      </c>
      <c r="E441" s="5" t="s">
        <v>6683</v>
      </c>
      <c r="F441" s="1" t="str">
        <f>IF(E441&lt;&gt;"", HYPERLINK("https://www.kegg.jp/dbget-bin/www_bget?ec:" &amp; E441, "https://www.kegg.jp/dbget-bin/www_bget?ec:" &amp; E441), "")</f>
        <v>https://www.kegg.jp/dbget-bin/www_bget?ec:5.5.1.1</v>
      </c>
      <c r="G441" s="3" t="s">
        <v>7460</v>
      </c>
      <c r="H441" s="1" t="str">
        <f>IF(G441&lt;&gt;"", HYPERLINK("https://www.kegg.jp/entry/" &amp; G441, "https://www.kegg.jp/entry/" &amp; G441), "")</f>
        <v>https://www.kegg.jp/entry/R09229</v>
      </c>
      <c r="I441" t="s">
        <v>8163</v>
      </c>
      <c r="J441" t="s">
        <v>8444</v>
      </c>
    </row>
    <row r="442" spans="1:10" hidden="1" x14ac:dyDescent="0.25">
      <c r="A442" t="s">
        <v>840</v>
      </c>
      <c r="B442">
        <v>82</v>
      </c>
      <c r="C442" t="s">
        <v>841</v>
      </c>
      <c r="F442" s="1" t="str">
        <f>IF(E442&lt;&gt;"", HYPERLINK("https://www.kegg.jp/dbget-bin/www_bget?ec:" &amp; E442, "https://www.kegg.jp/dbget-bin/www_bget?ec:" &amp; E442), "")</f>
        <v/>
      </c>
      <c r="G442" s="3"/>
      <c r="H442" s="1" t="str">
        <f>IF(G442&lt;&gt;"", HYPERLINK("https://www.kegg.jp/entry/" &amp; G442, "https://www.kegg.jp/entry/" &amp; G442), "")</f>
        <v/>
      </c>
    </row>
    <row r="443" spans="1:10" hidden="1" x14ac:dyDescent="0.25">
      <c r="A443" t="s">
        <v>842</v>
      </c>
      <c r="B443">
        <v>263</v>
      </c>
      <c r="C443" t="s">
        <v>843</v>
      </c>
      <c r="F443" s="1" t="str">
        <f>IF(E443&lt;&gt;"", HYPERLINK("https://www.kegg.jp/dbget-bin/www_bget?ec:" &amp; E443, "https://www.kegg.jp/dbget-bin/www_bget?ec:" &amp; E443), "")</f>
        <v/>
      </c>
      <c r="G443" s="3"/>
      <c r="H443" s="1" t="str">
        <f>IF(G443&lt;&gt;"", HYPERLINK("https://www.kegg.jp/entry/" &amp; G443, "https://www.kegg.jp/entry/" &amp; G443), "")</f>
        <v/>
      </c>
    </row>
    <row r="444" spans="1:10" hidden="1" x14ac:dyDescent="0.25">
      <c r="A444" t="s">
        <v>844</v>
      </c>
      <c r="B444">
        <v>72</v>
      </c>
      <c r="C444" t="s">
        <v>845</v>
      </c>
      <c r="F444" s="1" t="str">
        <f>IF(E444&lt;&gt;"", HYPERLINK("https://www.kegg.jp/dbget-bin/www_bget?ec:" &amp; E444, "https://www.kegg.jp/dbget-bin/www_bget?ec:" &amp; E444), "")</f>
        <v/>
      </c>
      <c r="G444" s="3"/>
      <c r="H444" s="1" t="str">
        <f>IF(G444&lt;&gt;"", HYPERLINK("https://www.kegg.jp/entry/" &amp; G444, "https://www.kegg.jp/entry/" &amp; G444), "")</f>
        <v/>
      </c>
    </row>
    <row r="445" spans="1:10" hidden="1" x14ac:dyDescent="0.25">
      <c r="A445" t="s">
        <v>847</v>
      </c>
      <c r="B445">
        <v>209</v>
      </c>
      <c r="C445" t="s">
        <v>848</v>
      </c>
      <c r="F445" s="1" t="str">
        <f>IF(E445&lt;&gt;"", HYPERLINK("https://www.kegg.jp/dbget-bin/www_bget?ec:" &amp; E445, "https://www.kegg.jp/dbget-bin/www_bget?ec:" &amp; E445), "")</f>
        <v/>
      </c>
      <c r="G445" s="3"/>
      <c r="H445" s="1" t="str">
        <f>IF(G445&lt;&gt;"", HYPERLINK("https://www.kegg.jp/entry/" &amp; G445, "https://www.kegg.jp/entry/" &amp; G445), "")</f>
        <v/>
      </c>
    </row>
    <row r="446" spans="1:10" hidden="1" x14ac:dyDescent="0.25">
      <c r="A446" t="s">
        <v>850</v>
      </c>
      <c r="B446">
        <v>342</v>
      </c>
      <c r="C446" t="s">
        <v>851</v>
      </c>
      <c r="F446" s="1" t="str">
        <f>IF(E446&lt;&gt;"", HYPERLINK("https://www.kegg.jp/dbget-bin/www_bget?ec:" &amp; E446, "https://www.kegg.jp/dbget-bin/www_bget?ec:" &amp; E446), "")</f>
        <v/>
      </c>
      <c r="G446" s="3"/>
      <c r="H446" s="1" t="str">
        <f>IF(G446&lt;&gt;"", HYPERLINK("https://www.kegg.jp/entry/" &amp; G446, "https://www.kegg.jp/entry/" &amp; G446), "")</f>
        <v/>
      </c>
    </row>
    <row r="447" spans="1:10" hidden="1" x14ac:dyDescent="0.25">
      <c r="A447" t="s">
        <v>853</v>
      </c>
      <c r="B447">
        <v>257</v>
      </c>
      <c r="C447" t="s">
        <v>854</v>
      </c>
      <c r="F447" s="1" t="str">
        <f>IF(E447&lt;&gt;"", HYPERLINK("https://www.kegg.jp/dbget-bin/www_bget?ec:" &amp; E447, "https://www.kegg.jp/dbget-bin/www_bget?ec:" &amp; E447), "")</f>
        <v/>
      </c>
      <c r="G447" s="3"/>
      <c r="H447" s="1" t="str">
        <f>IF(G447&lt;&gt;"", HYPERLINK("https://www.kegg.jp/entry/" &amp; G447, "https://www.kegg.jp/entry/" &amp; G447), "")</f>
        <v/>
      </c>
    </row>
    <row r="448" spans="1:10" hidden="1" x14ac:dyDescent="0.25">
      <c r="A448" t="s">
        <v>856</v>
      </c>
      <c r="B448">
        <v>394</v>
      </c>
      <c r="C448" t="s">
        <v>857</v>
      </c>
      <c r="F448" s="1" t="str">
        <f>IF(E448&lt;&gt;"", HYPERLINK("https://www.kegg.jp/dbget-bin/www_bget?ec:" &amp; E448, "https://www.kegg.jp/dbget-bin/www_bget?ec:" &amp; E448), "")</f>
        <v/>
      </c>
      <c r="G448" s="3"/>
      <c r="H448" s="1" t="str">
        <f>IF(G448&lt;&gt;"", HYPERLINK("https://www.kegg.jp/entry/" &amp; G448, "https://www.kegg.jp/entry/" &amp; G448), "")</f>
        <v/>
      </c>
    </row>
    <row r="449" spans="1:10" hidden="1" x14ac:dyDescent="0.25">
      <c r="A449" t="s">
        <v>859</v>
      </c>
      <c r="B449">
        <v>197</v>
      </c>
      <c r="C449" t="s">
        <v>860</v>
      </c>
      <c r="F449" s="1" t="str">
        <f>IF(E449&lt;&gt;"", HYPERLINK("https://www.kegg.jp/dbget-bin/www_bget?ec:" &amp; E449, "https://www.kegg.jp/dbget-bin/www_bget?ec:" &amp; E449), "")</f>
        <v/>
      </c>
      <c r="G449" s="3"/>
      <c r="H449" s="1" t="str">
        <f>IF(G449&lt;&gt;"", HYPERLINK("https://www.kegg.jp/entry/" &amp; G449, "https://www.kegg.jp/entry/" &amp; G449), "")</f>
        <v/>
      </c>
    </row>
    <row r="450" spans="1:10" hidden="1" x14ac:dyDescent="0.25">
      <c r="A450" t="s">
        <v>862</v>
      </c>
      <c r="B450">
        <v>340</v>
      </c>
      <c r="C450" t="s">
        <v>863</v>
      </c>
      <c r="F450" s="1" t="str">
        <f>IF(E450&lt;&gt;"", HYPERLINK("https://www.kegg.jp/dbget-bin/www_bget?ec:" &amp; E450, "https://www.kegg.jp/dbget-bin/www_bget?ec:" &amp; E450), "")</f>
        <v/>
      </c>
      <c r="G450" s="3"/>
      <c r="H450" s="1" t="str">
        <f>IF(G450&lt;&gt;"", HYPERLINK("https://www.kegg.jp/entry/" &amp; G450, "https://www.kegg.jp/entry/" &amp; G450), "")</f>
        <v/>
      </c>
    </row>
    <row r="451" spans="1:10" hidden="1" x14ac:dyDescent="0.25">
      <c r="A451" t="s">
        <v>865</v>
      </c>
      <c r="B451">
        <v>575</v>
      </c>
      <c r="C451" t="s">
        <v>866</v>
      </c>
      <c r="F451" s="1" t="str">
        <f>IF(E451&lt;&gt;"", HYPERLINK("https://www.kegg.jp/dbget-bin/www_bget?ec:" &amp; E451, "https://www.kegg.jp/dbget-bin/www_bget?ec:" &amp; E451), "")</f>
        <v/>
      </c>
      <c r="G451" s="3"/>
      <c r="H451" s="1" t="str">
        <f>IF(G451&lt;&gt;"", HYPERLINK("https://www.kegg.jp/entry/" &amp; G451, "https://www.kegg.jp/entry/" &amp; G451), "")</f>
        <v/>
      </c>
    </row>
    <row r="452" spans="1:10" hidden="1" x14ac:dyDescent="0.25">
      <c r="A452" t="s">
        <v>868</v>
      </c>
      <c r="B452">
        <v>343</v>
      </c>
      <c r="C452" t="s">
        <v>869</v>
      </c>
      <c r="F452" s="1" t="str">
        <f>IF(E452&lt;&gt;"", HYPERLINK("https://www.kegg.jp/dbget-bin/www_bget?ec:" &amp; E452, "https://www.kegg.jp/dbget-bin/www_bget?ec:" &amp; E452), "")</f>
        <v/>
      </c>
      <c r="G452" s="3"/>
      <c r="H452" s="1" t="str">
        <f>IF(G452&lt;&gt;"", HYPERLINK("https://www.kegg.jp/entry/" &amp; G452, "https://www.kegg.jp/entry/" &amp; G452), "")</f>
        <v/>
      </c>
    </row>
    <row r="453" spans="1:10" x14ac:dyDescent="0.25">
      <c r="A453" t="s">
        <v>871</v>
      </c>
      <c r="B453">
        <v>143</v>
      </c>
      <c r="C453" t="s">
        <v>872</v>
      </c>
      <c r="E453" s="5" t="s">
        <v>6684</v>
      </c>
      <c r="F453" s="1" t="str">
        <f>IF(E453&lt;&gt;"", HYPERLINK("https://www.kegg.jp/dbget-bin/www_bget?ec:" &amp; E453, "https://www.kegg.jp/dbget-bin/www_bget?ec:" &amp; E453), "")</f>
        <v>https://www.kegg.jp/dbget-bin/www_bget?ec:4.2.1.59</v>
      </c>
      <c r="G453" s="3" t="s">
        <v>7465</v>
      </c>
      <c r="H453" s="1" t="str">
        <f>IF(G453&lt;&gt;"", HYPERLINK("https://www.kegg.jp/entry/" &amp; G453, "https://www.kegg.jp/entry/" &amp; G453), "")</f>
        <v>https://www.kegg.jp/entry/R10208</v>
      </c>
      <c r="I453" t="s">
        <v>8164</v>
      </c>
      <c r="J453" t="s">
        <v>12913</v>
      </c>
    </row>
    <row r="454" spans="1:10" x14ac:dyDescent="0.25">
      <c r="A454" t="s">
        <v>871</v>
      </c>
      <c r="B454">
        <v>143</v>
      </c>
      <c r="C454" t="s">
        <v>872</v>
      </c>
      <c r="E454" s="5" t="s">
        <v>6684</v>
      </c>
      <c r="F454" s="1" t="str">
        <f>IF(E454&lt;&gt;"", HYPERLINK("https://www.kegg.jp/dbget-bin/www_bget?ec:" &amp; E454, "https://www.kegg.jp/dbget-bin/www_bget?ec:" &amp; E454), "")</f>
        <v>https://www.kegg.jp/dbget-bin/www_bget?ec:4.2.1.59</v>
      </c>
      <c r="G454" s="3" t="s">
        <v>7474</v>
      </c>
      <c r="H454" s="1" t="str">
        <f>IF(G454&lt;&gt;"", HYPERLINK("https://www.kegg.jp/entry/" &amp; G454, "https://www.kegg.jp/entry/" &amp; G454), "")</f>
        <v>https://www.kegg.jp/entry/R04428</v>
      </c>
      <c r="I454" t="s">
        <v>8165</v>
      </c>
      <c r="J454" t="s">
        <v>12914</v>
      </c>
    </row>
    <row r="455" spans="1:10" x14ac:dyDescent="0.25">
      <c r="A455" t="s">
        <v>871</v>
      </c>
      <c r="B455">
        <v>143</v>
      </c>
      <c r="C455" t="s">
        <v>872</v>
      </c>
      <c r="E455" s="5" t="s">
        <v>6684</v>
      </c>
      <c r="F455" s="1" t="str">
        <f>IF(E455&lt;&gt;"", HYPERLINK("https://www.kegg.jp/dbget-bin/www_bget?ec:" &amp; E455, "https://www.kegg.jp/dbget-bin/www_bget?ec:" &amp; E455), "")</f>
        <v>https://www.kegg.jp/dbget-bin/www_bget?ec:4.2.1.59</v>
      </c>
      <c r="G455" s="3" t="s">
        <v>7473</v>
      </c>
      <c r="H455" s="1" t="str">
        <f>IF(G455&lt;&gt;"", HYPERLINK("https://www.kegg.jp/entry/" &amp; G455, "https://www.kegg.jp/entry/" &amp; G455), "")</f>
        <v>https://www.kegg.jp/entry/R04535</v>
      </c>
      <c r="I455" t="s">
        <v>8166</v>
      </c>
      <c r="J455" t="s">
        <v>12915</v>
      </c>
    </row>
    <row r="456" spans="1:10" x14ac:dyDescent="0.25">
      <c r="A456" t="s">
        <v>871</v>
      </c>
      <c r="B456">
        <v>143</v>
      </c>
      <c r="C456" t="s">
        <v>872</v>
      </c>
      <c r="E456" s="5" t="s">
        <v>6684</v>
      </c>
      <c r="F456" s="1" t="str">
        <f>IF(E456&lt;&gt;"", HYPERLINK("https://www.kegg.jp/dbget-bin/www_bget?ec:" &amp; E456, "https://www.kegg.jp/dbget-bin/www_bget?ec:" &amp; E456), "")</f>
        <v>https://www.kegg.jp/dbget-bin/www_bget?ec:4.2.1.59</v>
      </c>
      <c r="G456" s="3" t="s">
        <v>7472</v>
      </c>
      <c r="H456" s="1" t="str">
        <f>IF(G456&lt;&gt;"", HYPERLINK("https://www.kegg.jp/entry/" &amp; G456, "https://www.kegg.jp/entry/" &amp; G456), "")</f>
        <v>https://www.kegg.jp/entry/R04537</v>
      </c>
      <c r="I456" t="s">
        <v>8167</v>
      </c>
      <c r="J456" t="s">
        <v>12916</v>
      </c>
    </row>
    <row r="457" spans="1:10" x14ac:dyDescent="0.25">
      <c r="A457" t="s">
        <v>871</v>
      </c>
      <c r="B457">
        <v>143</v>
      </c>
      <c r="C457" t="s">
        <v>872</v>
      </c>
      <c r="E457" s="5" t="s">
        <v>6684</v>
      </c>
      <c r="F457" s="1" t="str">
        <f>IF(E457&lt;&gt;"", HYPERLINK("https://www.kegg.jp/dbget-bin/www_bget?ec:" &amp; E457, "https://www.kegg.jp/dbget-bin/www_bget?ec:" &amp; E457), "")</f>
        <v>https://www.kegg.jp/dbget-bin/www_bget?ec:4.2.1.59</v>
      </c>
      <c r="G457" s="3" t="s">
        <v>7471</v>
      </c>
      <c r="H457" s="1" t="str">
        <f>IF(G457&lt;&gt;"", HYPERLINK("https://www.kegg.jp/entry/" &amp; G457, "https://www.kegg.jp/entry/" &amp; G457), "")</f>
        <v>https://www.kegg.jp/entry/R04544</v>
      </c>
      <c r="I457" t="s">
        <v>8168</v>
      </c>
      <c r="J457" t="s">
        <v>12917</v>
      </c>
    </row>
    <row r="458" spans="1:10" x14ac:dyDescent="0.25">
      <c r="A458" t="s">
        <v>871</v>
      </c>
      <c r="B458">
        <v>143</v>
      </c>
      <c r="C458" t="s">
        <v>872</v>
      </c>
      <c r="E458" s="5" t="s">
        <v>6684</v>
      </c>
      <c r="F458" s="1" t="str">
        <f>IF(E458&lt;&gt;"", HYPERLINK("https://www.kegg.jp/dbget-bin/www_bget?ec:" &amp; E458, "https://www.kegg.jp/dbget-bin/www_bget?ec:" &amp; E458), "")</f>
        <v>https://www.kegg.jp/dbget-bin/www_bget?ec:4.2.1.59</v>
      </c>
      <c r="G458" s="3" t="s">
        <v>7470</v>
      </c>
      <c r="H458" s="1" t="str">
        <f>IF(G458&lt;&gt;"", HYPERLINK("https://www.kegg.jp/entry/" &amp; G458, "https://www.kegg.jp/entry/" &amp; G458), "")</f>
        <v>https://www.kegg.jp/entry/R04568</v>
      </c>
      <c r="I458" t="s">
        <v>8169</v>
      </c>
      <c r="J458" t="s">
        <v>12918</v>
      </c>
    </row>
    <row r="459" spans="1:10" x14ac:dyDescent="0.25">
      <c r="A459" t="s">
        <v>871</v>
      </c>
      <c r="B459">
        <v>143</v>
      </c>
      <c r="C459" t="s">
        <v>872</v>
      </c>
      <c r="E459" s="5" t="s">
        <v>6684</v>
      </c>
      <c r="F459" s="1" t="str">
        <f>IF(E459&lt;&gt;"", HYPERLINK("https://www.kegg.jp/dbget-bin/www_bget?ec:" &amp; E459, "https://www.kegg.jp/dbget-bin/www_bget?ec:" &amp; E459), "")</f>
        <v>https://www.kegg.jp/dbget-bin/www_bget?ec:4.2.1.59</v>
      </c>
      <c r="G459" s="3" t="s">
        <v>7469</v>
      </c>
      <c r="H459" s="1" t="str">
        <f>IF(G459&lt;&gt;"", HYPERLINK("https://www.kegg.jp/entry/" &amp; G459, "https://www.kegg.jp/entry/" &amp; G459), "")</f>
        <v>https://www.kegg.jp/entry/R04954</v>
      </c>
      <c r="I459" t="s">
        <v>8170</v>
      </c>
      <c r="J459" t="s">
        <v>12919</v>
      </c>
    </row>
    <row r="460" spans="1:10" x14ac:dyDescent="0.25">
      <c r="A460" t="s">
        <v>871</v>
      </c>
      <c r="B460">
        <v>143</v>
      </c>
      <c r="C460" t="s">
        <v>872</v>
      </c>
      <c r="E460" s="5" t="s">
        <v>6684</v>
      </c>
      <c r="F460" s="1" t="str">
        <f>IF(E460&lt;&gt;"", HYPERLINK("https://www.kegg.jp/dbget-bin/www_bget?ec:" &amp; E460, "https://www.kegg.jp/dbget-bin/www_bget?ec:" &amp; E460), "")</f>
        <v>https://www.kegg.jp/dbget-bin/www_bget?ec:4.2.1.59</v>
      </c>
      <c r="G460" s="3" t="s">
        <v>7468</v>
      </c>
      <c r="H460" s="1" t="str">
        <f>IF(G460&lt;&gt;"", HYPERLINK("https://www.kegg.jp/entry/" &amp; G460, "https://www.kegg.jp/entry/" &amp; G460), "")</f>
        <v>https://www.kegg.jp/entry/R04965</v>
      </c>
      <c r="I460" t="s">
        <v>8171</v>
      </c>
      <c r="J460" t="s">
        <v>12920</v>
      </c>
    </row>
    <row r="461" spans="1:10" x14ac:dyDescent="0.25">
      <c r="A461" t="s">
        <v>871</v>
      </c>
      <c r="B461">
        <v>143</v>
      </c>
      <c r="C461" t="s">
        <v>872</v>
      </c>
      <c r="E461" s="5" t="s">
        <v>6684</v>
      </c>
      <c r="F461" s="1" t="str">
        <f>IF(E461&lt;&gt;"", HYPERLINK("https://www.kegg.jp/dbget-bin/www_bget?ec:" &amp; E461, "https://www.kegg.jp/dbget-bin/www_bget?ec:" &amp; E461), "")</f>
        <v>https://www.kegg.jp/dbget-bin/www_bget?ec:4.2.1.59</v>
      </c>
      <c r="G461" s="3" t="s">
        <v>7467</v>
      </c>
      <c r="H461" s="1" t="str">
        <f>IF(G461&lt;&gt;"", HYPERLINK("https://www.kegg.jp/entry/" &amp; G461, "https://www.kegg.jp/entry/" &amp; G461), "")</f>
        <v>https://www.kegg.jp/entry/R10117</v>
      </c>
      <c r="I461" t="s">
        <v>8172</v>
      </c>
      <c r="J461" t="s">
        <v>12921</v>
      </c>
    </row>
    <row r="462" spans="1:10" x14ac:dyDescent="0.25">
      <c r="A462" t="s">
        <v>871</v>
      </c>
      <c r="B462">
        <v>143</v>
      </c>
      <c r="C462" t="s">
        <v>872</v>
      </c>
      <c r="E462" s="5" t="s">
        <v>6684</v>
      </c>
      <c r="F462" s="1" t="str">
        <f>IF(E462&lt;&gt;"", HYPERLINK("https://www.kegg.jp/dbget-bin/www_bget?ec:" &amp; E462, "https://www.kegg.jp/dbget-bin/www_bget?ec:" &amp; E462), "")</f>
        <v>https://www.kegg.jp/dbget-bin/www_bget?ec:4.2.1.59</v>
      </c>
      <c r="G462" s="3" t="s">
        <v>7466</v>
      </c>
      <c r="H462" s="1" t="str">
        <f>IF(G462&lt;&gt;"", HYPERLINK("https://www.kegg.jp/entry/" &amp; G462, "https://www.kegg.jp/entry/" &amp; G462), "")</f>
        <v>https://www.kegg.jp/entry/R10121</v>
      </c>
      <c r="I462" t="s">
        <v>8173</v>
      </c>
      <c r="J462" t="s">
        <v>12922</v>
      </c>
    </row>
    <row r="463" spans="1:10" hidden="1" x14ac:dyDescent="0.25">
      <c r="A463" t="s">
        <v>873</v>
      </c>
      <c r="B463">
        <v>210</v>
      </c>
      <c r="C463" t="s">
        <v>874</v>
      </c>
      <c r="F463" s="1" t="str">
        <f>IF(E463&lt;&gt;"", HYPERLINK("https://www.kegg.jp/dbget-bin/www_bget?ec:" &amp; E463, "https://www.kegg.jp/dbget-bin/www_bget?ec:" &amp; E463), "")</f>
        <v/>
      </c>
      <c r="G463" s="3"/>
      <c r="H463" s="1" t="str">
        <f>IF(G463&lt;&gt;"", HYPERLINK("https://www.kegg.jp/entry/" &amp; G463, "https://www.kegg.jp/entry/" &amp; G463), "")</f>
        <v/>
      </c>
    </row>
    <row r="464" spans="1:10" x14ac:dyDescent="0.25">
      <c r="A464" t="s">
        <v>876</v>
      </c>
      <c r="B464">
        <v>1119</v>
      </c>
      <c r="C464" t="s">
        <v>877</v>
      </c>
      <c r="E464" s="5" t="s">
        <v>6685</v>
      </c>
      <c r="F464" s="1" t="str">
        <f>IF(E464&lt;&gt;"", HYPERLINK("https://www.kegg.jp/dbget-bin/www_bget?ec:" &amp; E464, "https://www.kegg.jp/dbget-bin/www_bget?ec:" &amp; E464), "")</f>
        <v>https://www.kegg.jp/dbget-bin/www_bget?ec:2.7.7.6</v>
      </c>
      <c r="G464" s="3" t="s">
        <v>7475</v>
      </c>
      <c r="H464" s="1" t="str">
        <f>IF(G464&lt;&gt;"", HYPERLINK("https://www.kegg.jp/entry/" &amp; G464, "https://www.kegg.jp/entry/" &amp; G464), "")</f>
        <v>https://www.kegg.jp/entry/R00444</v>
      </c>
      <c r="I464" t="s">
        <v>12923</v>
      </c>
      <c r="J464" t="s">
        <v>8445</v>
      </c>
    </row>
    <row r="465" spans="1:10" x14ac:dyDescent="0.25">
      <c r="A465" t="s">
        <v>876</v>
      </c>
      <c r="B465">
        <v>1119</v>
      </c>
      <c r="C465" t="s">
        <v>877</v>
      </c>
      <c r="E465" s="5" t="s">
        <v>6685</v>
      </c>
      <c r="F465" s="1" t="str">
        <f>IF(E465&lt;&gt;"", HYPERLINK("https://www.kegg.jp/dbget-bin/www_bget?ec:" &amp; E465, "https://www.kegg.jp/dbget-bin/www_bget?ec:" &amp; E465), "")</f>
        <v>https://www.kegg.jp/dbget-bin/www_bget?ec:2.7.7.6</v>
      </c>
      <c r="G465" s="3" t="s">
        <v>7480</v>
      </c>
      <c r="H465" s="1" t="str">
        <f>IF(G465&lt;&gt;"", HYPERLINK("https://www.kegg.jp/entry/" &amp; G465, "https://www.kegg.jp/entry/" &amp; G465), "")</f>
        <v>https://www.kegg.jp/entry/R00435</v>
      </c>
      <c r="I465" t="s">
        <v>8174</v>
      </c>
      <c r="J465" t="s">
        <v>8445</v>
      </c>
    </row>
    <row r="466" spans="1:10" x14ac:dyDescent="0.25">
      <c r="A466" t="s">
        <v>876</v>
      </c>
      <c r="B466">
        <v>1119</v>
      </c>
      <c r="C466" t="s">
        <v>877</v>
      </c>
      <c r="E466" s="5" t="s">
        <v>6685</v>
      </c>
      <c r="F466" s="1" t="str">
        <f>IF(E466&lt;&gt;"", HYPERLINK("https://www.kegg.jp/dbget-bin/www_bget?ec:" &amp; E466, "https://www.kegg.jp/dbget-bin/www_bget?ec:" &amp; E466), "")</f>
        <v>https://www.kegg.jp/dbget-bin/www_bget?ec:2.7.7.6</v>
      </c>
      <c r="G466" s="3" t="s">
        <v>7479</v>
      </c>
      <c r="H466" s="1" t="str">
        <f>IF(G466&lt;&gt;"", HYPERLINK("https://www.kegg.jp/entry/" &amp; G466, "https://www.kegg.jp/entry/" &amp; G466), "")</f>
        <v>https://www.kegg.jp/entry/R00441</v>
      </c>
      <c r="I466" t="s">
        <v>8175</v>
      </c>
      <c r="J466" t="s">
        <v>8445</v>
      </c>
    </row>
    <row r="467" spans="1:10" x14ac:dyDescent="0.25">
      <c r="A467" t="s">
        <v>876</v>
      </c>
      <c r="B467">
        <v>1119</v>
      </c>
      <c r="C467" t="s">
        <v>877</v>
      </c>
      <c r="E467" s="5" t="s">
        <v>6685</v>
      </c>
      <c r="F467" s="1" t="str">
        <f>IF(E467&lt;&gt;"", HYPERLINK("https://www.kegg.jp/dbget-bin/www_bget?ec:" &amp; E467, "https://www.kegg.jp/dbget-bin/www_bget?ec:" &amp; E467), "")</f>
        <v>https://www.kegg.jp/dbget-bin/www_bget?ec:2.7.7.6</v>
      </c>
      <c r="G467" s="3" t="s">
        <v>7478</v>
      </c>
      <c r="H467" s="1" t="str">
        <f>IF(G467&lt;&gt;"", HYPERLINK("https://www.kegg.jp/entry/" &amp; G467, "https://www.kegg.jp/entry/" &amp; G467), "")</f>
        <v>https://www.kegg.jp/entry/R00442</v>
      </c>
      <c r="I467" t="s">
        <v>12924</v>
      </c>
      <c r="J467" t="s">
        <v>8445</v>
      </c>
    </row>
    <row r="468" spans="1:10" x14ac:dyDescent="0.25">
      <c r="A468" t="s">
        <v>876</v>
      </c>
      <c r="B468">
        <v>1119</v>
      </c>
      <c r="C468" t="s">
        <v>877</v>
      </c>
      <c r="E468" s="5" t="s">
        <v>6685</v>
      </c>
      <c r="F468" s="1" t="str">
        <f>IF(E468&lt;&gt;"", HYPERLINK("https://www.kegg.jp/dbget-bin/www_bget?ec:" &amp; E468, "https://www.kegg.jp/dbget-bin/www_bget?ec:" &amp; E468), "")</f>
        <v>https://www.kegg.jp/dbget-bin/www_bget?ec:2.7.7.6</v>
      </c>
      <c r="G468" s="3" t="s">
        <v>7477</v>
      </c>
      <c r="H468" s="1" t="str">
        <f>IF(G468&lt;&gt;"", HYPERLINK("https://www.kegg.jp/entry/" &amp; G468, "https://www.kegg.jp/entry/" &amp; G468), "")</f>
        <v>https://www.kegg.jp/entry/R00443</v>
      </c>
      <c r="I468" t="s">
        <v>12925</v>
      </c>
      <c r="J468" t="s">
        <v>8445</v>
      </c>
    </row>
    <row r="469" spans="1:10" x14ac:dyDescent="0.25">
      <c r="A469" t="s">
        <v>876</v>
      </c>
      <c r="B469">
        <v>1119</v>
      </c>
      <c r="C469" t="s">
        <v>877</v>
      </c>
      <c r="E469" s="5" t="s">
        <v>6685</v>
      </c>
      <c r="F469" s="1" t="str">
        <f>IF(E469&lt;&gt;"", HYPERLINK("https://www.kegg.jp/dbget-bin/www_bget?ec:" &amp; E469, "https://www.kegg.jp/dbget-bin/www_bget?ec:" &amp; E469), "")</f>
        <v>https://www.kegg.jp/dbget-bin/www_bget?ec:2.7.7.6</v>
      </c>
      <c r="G469" s="3" t="s">
        <v>7476</v>
      </c>
      <c r="H469" s="1" t="str">
        <f>IF(G469&lt;&gt;"", HYPERLINK("https://www.kegg.jp/entry/" &amp; G469, "https://www.kegg.jp/entry/" &amp; G469), "")</f>
        <v>https://www.kegg.jp/entry/R10813</v>
      </c>
      <c r="I469" t="s">
        <v>8176</v>
      </c>
      <c r="J469" t="s">
        <v>12926</v>
      </c>
    </row>
    <row r="470" spans="1:10" x14ac:dyDescent="0.25">
      <c r="A470" t="s">
        <v>879</v>
      </c>
      <c r="B470">
        <v>1524</v>
      </c>
      <c r="C470" t="s">
        <v>880</v>
      </c>
      <c r="E470" s="5" t="s">
        <v>6685</v>
      </c>
      <c r="F470" s="1" t="str">
        <f>IF(E470&lt;&gt;"", HYPERLINK("https://www.kegg.jp/dbget-bin/www_bget?ec:" &amp; E470, "https://www.kegg.jp/dbget-bin/www_bget?ec:" &amp; E470), "")</f>
        <v>https://www.kegg.jp/dbget-bin/www_bget?ec:2.7.7.6</v>
      </c>
      <c r="G470" s="3" t="s">
        <v>7475</v>
      </c>
      <c r="H470" s="1" t="str">
        <f>IF(G470&lt;&gt;"", HYPERLINK("https://www.kegg.jp/entry/" &amp; G470, "https://www.kegg.jp/entry/" &amp; G470), "")</f>
        <v>https://www.kegg.jp/entry/R00444</v>
      </c>
      <c r="I470" t="s">
        <v>12923</v>
      </c>
      <c r="J470" t="s">
        <v>8445</v>
      </c>
    </row>
    <row r="471" spans="1:10" x14ac:dyDescent="0.25">
      <c r="A471" t="s">
        <v>879</v>
      </c>
      <c r="B471">
        <v>1524</v>
      </c>
      <c r="C471" t="s">
        <v>880</v>
      </c>
      <c r="E471" s="5" t="s">
        <v>6685</v>
      </c>
      <c r="F471" s="1" t="str">
        <f>IF(E471&lt;&gt;"", HYPERLINK("https://www.kegg.jp/dbget-bin/www_bget?ec:" &amp; E471, "https://www.kegg.jp/dbget-bin/www_bget?ec:" &amp; E471), "")</f>
        <v>https://www.kegg.jp/dbget-bin/www_bget?ec:2.7.7.6</v>
      </c>
      <c r="G471" s="3" t="s">
        <v>7480</v>
      </c>
      <c r="H471" s="1" t="str">
        <f>IF(G471&lt;&gt;"", HYPERLINK("https://www.kegg.jp/entry/" &amp; G471, "https://www.kegg.jp/entry/" &amp; G471), "")</f>
        <v>https://www.kegg.jp/entry/R00435</v>
      </c>
      <c r="I471" t="s">
        <v>8174</v>
      </c>
      <c r="J471" t="s">
        <v>8445</v>
      </c>
    </row>
    <row r="472" spans="1:10" x14ac:dyDescent="0.25">
      <c r="A472" t="s">
        <v>879</v>
      </c>
      <c r="B472">
        <v>1524</v>
      </c>
      <c r="C472" t="s">
        <v>880</v>
      </c>
      <c r="E472" s="5" t="s">
        <v>6685</v>
      </c>
      <c r="F472" s="1" t="str">
        <f>IF(E472&lt;&gt;"", HYPERLINK("https://www.kegg.jp/dbget-bin/www_bget?ec:" &amp; E472, "https://www.kegg.jp/dbget-bin/www_bget?ec:" &amp; E472), "")</f>
        <v>https://www.kegg.jp/dbget-bin/www_bget?ec:2.7.7.6</v>
      </c>
      <c r="G472" s="3" t="s">
        <v>7479</v>
      </c>
      <c r="H472" s="1" t="str">
        <f>IF(G472&lt;&gt;"", HYPERLINK("https://www.kegg.jp/entry/" &amp; G472, "https://www.kegg.jp/entry/" &amp; G472), "")</f>
        <v>https://www.kegg.jp/entry/R00441</v>
      </c>
      <c r="I472" t="s">
        <v>8175</v>
      </c>
      <c r="J472" t="s">
        <v>8445</v>
      </c>
    </row>
    <row r="473" spans="1:10" x14ac:dyDescent="0.25">
      <c r="A473" t="s">
        <v>879</v>
      </c>
      <c r="B473">
        <v>1524</v>
      </c>
      <c r="C473" t="s">
        <v>880</v>
      </c>
      <c r="E473" s="5" t="s">
        <v>6685</v>
      </c>
      <c r="F473" s="1" t="str">
        <f>IF(E473&lt;&gt;"", HYPERLINK("https://www.kegg.jp/dbget-bin/www_bget?ec:" &amp; E473, "https://www.kegg.jp/dbget-bin/www_bget?ec:" &amp; E473), "")</f>
        <v>https://www.kegg.jp/dbget-bin/www_bget?ec:2.7.7.6</v>
      </c>
      <c r="G473" s="3" t="s">
        <v>7478</v>
      </c>
      <c r="H473" s="1" t="str">
        <f>IF(G473&lt;&gt;"", HYPERLINK("https://www.kegg.jp/entry/" &amp; G473, "https://www.kegg.jp/entry/" &amp; G473), "")</f>
        <v>https://www.kegg.jp/entry/R00442</v>
      </c>
      <c r="I473" t="s">
        <v>12924</v>
      </c>
      <c r="J473" t="s">
        <v>8445</v>
      </c>
    </row>
    <row r="474" spans="1:10" x14ac:dyDescent="0.25">
      <c r="A474" t="s">
        <v>879</v>
      </c>
      <c r="B474">
        <v>1524</v>
      </c>
      <c r="C474" t="s">
        <v>880</v>
      </c>
      <c r="E474" s="5" t="s">
        <v>6685</v>
      </c>
      <c r="F474" s="1" t="str">
        <f>IF(E474&lt;&gt;"", HYPERLINK("https://www.kegg.jp/dbget-bin/www_bget?ec:" &amp; E474, "https://www.kegg.jp/dbget-bin/www_bget?ec:" &amp; E474), "")</f>
        <v>https://www.kegg.jp/dbget-bin/www_bget?ec:2.7.7.6</v>
      </c>
      <c r="G474" s="3" t="s">
        <v>7477</v>
      </c>
      <c r="H474" s="1" t="str">
        <f>IF(G474&lt;&gt;"", HYPERLINK("https://www.kegg.jp/entry/" &amp; G474, "https://www.kegg.jp/entry/" &amp; G474), "")</f>
        <v>https://www.kegg.jp/entry/R00443</v>
      </c>
      <c r="I474" t="s">
        <v>12925</v>
      </c>
      <c r="J474" t="s">
        <v>8445</v>
      </c>
    </row>
    <row r="475" spans="1:10" x14ac:dyDescent="0.25">
      <c r="A475" t="s">
        <v>879</v>
      </c>
      <c r="B475">
        <v>1524</v>
      </c>
      <c r="C475" t="s">
        <v>880</v>
      </c>
      <c r="E475" s="5" t="s">
        <v>6685</v>
      </c>
      <c r="F475" s="1" t="str">
        <f>IF(E475&lt;&gt;"", HYPERLINK("https://www.kegg.jp/dbget-bin/www_bget?ec:" &amp; E475, "https://www.kegg.jp/dbget-bin/www_bget?ec:" &amp; E475), "")</f>
        <v>https://www.kegg.jp/dbget-bin/www_bget?ec:2.7.7.6</v>
      </c>
      <c r="G475" s="3" t="s">
        <v>7476</v>
      </c>
      <c r="H475" s="1" t="str">
        <f>IF(G475&lt;&gt;"", HYPERLINK("https://www.kegg.jp/entry/" &amp; G475, "https://www.kegg.jp/entry/" &amp; G475), "")</f>
        <v>https://www.kegg.jp/entry/R10813</v>
      </c>
      <c r="I475" t="s">
        <v>8176</v>
      </c>
      <c r="J475" t="s">
        <v>12926</v>
      </c>
    </row>
    <row r="476" spans="1:10" hidden="1" x14ac:dyDescent="0.25">
      <c r="A476" t="s">
        <v>882</v>
      </c>
      <c r="B476">
        <v>192</v>
      </c>
      <c r="C476" t="s">
        <v>883</v>
      </c>
      <c r="F476" s="1" t="str">
        <f>IF(E476&lt;&gt;"", HYPERLINK("https://www.kegg.jp/dbget-bin/www_bget?ec:" &amp; E476, "https://www.kegg.jp/dbget-bin/www_bget?ec:" &amp; E476), "")</f>
        <v/>
      </c>
      <c r="G476" s="3"/>
      <c r="H476" s="1" t="str">
        <f>IF(G476&lt;&gt;"", HYPERLINK("https://www.kegg.jp/entry/" &amp; G476, "https://www.kegg.jp/entry/" &amp; G476), "")</f>
        <v/>
      </c>
    </row>
    <row r="477" spans="1:10" hidden="1" x14ac:dyDescent="0.25">
      <c r="A477" t="s">
        <v>884</v>
      </c>
      <c r="B477">
        <v>79</v>
      </c>
      <c r="C477" t="s">
        <v>885</v>
      </c>
      <c r="F477" s="1" t="str">
        <f>IF(E477&lt;&gt;"", HYPERLINK("https://www.kegg.jp/dbget-bin/www_bget?ec:" &amp; E477, "https://www.kegg.jp/dbget-bin/www_bget?ec:" &amp; E477), "")</f>
        <v/>
      </c>
      <c r="G477" s="3"/>
      <c r="H477" s="1" t="str">
        <f>IF(G477&lt;&gt;"", HYPERLINK("https://www.kegg.jp/entry/" &amp; G477, "https://www.kegg.jp/entry/" &amp; G477), "")</f>
        <v/>
      </c>
    </row>
    <row r="478" spans="1:10" hidden="1" x14ac:dyDescent="0.25">
      <c r="A478" t="s">
        <v>887</v>
      </c>
      <c r="B478">
        <v>280</v>
      </c>
      <c r="C478" t="s">
        <v>888</v>
      </c>
      <c r="F478" s="1" t="str">
        <f>IF(E478&lt;&gt;"", HYPERLINK("https://www.kegg.jp/dbget-bin/www_bget?ec:" &amp; E478, "https://www.kegg.jp/dbget-bin/www_bget?ec:" &amp; E478), "")</f>
        <v/>
      </c>
      <c r="G478" s="3"/>
      <c r="H478" s="1" t="str">
        <f>IF(G478&lt;&gt;"", HYPERLINK("https://www.kegg.jp/entry/" &amp; G478, "https://www.kegg.jp/entry/" &amp; G478), "")</f>
        <v/>
      </c>
    </row>
    <row r="479" spans="1:10" hidden="1" x14ac:dyDescent="0.25">
      <c r="A479" t="s">
        <v>890</v>
      </c>
      <c r="B479">
        <v>344</v>
      </c>
      <c r="C479" t="s">
        <v>891</v>
      </c>
      <c r="F479" s="1" t="str">
        <f>IF(E479&lt;&gt;"", HYPERLINK("https://www.kegg.jp/dbget-bin/www_bget?ec:" &amp; E479, "https://www.kegg.jp/dbget-bin/www_bget?ec:" &amp; E479), "")</f>
        <v/>
      </c>
      <c r="G479" s="3"/>
      <c r="H479" s="1" t="str">
        <f>IF(G479&lt;&gt;"", HYPERLINK("https://www.kegg.jp/entry/" &amp; G479, "https://www.kegg.jp/entry/" &amp; G479), "")</f>
        <v/>
      </c>
    </row>
    <row r="480" spans="1:10" hidden="1" x14ac:dyDescent="0.25">
      <c r="A480" t="s">
        <v>893</v>
      </c>
      <c r="B480">
        <v>502</v>
      </c>
      <c r="C480" t="s">
        <v>894</v>
      </c>
      <c r="F480" s="1" t="str">
        <f>IF(E480&lt;&gt;"", HYPERLINK("https://www.kegg.jp/dbget-bin/www_bget?ec:" &amp; E480, "https://www.kegg.jp/dbget-bin/www_bget?ec:" &amp; E480), "")</f>
        <v/>
      </c>
      <c r="G480" s="3"/>
      <c r="H480" s="1" t="str">
        <f>IF(G480&lt;&gt;"", HYPERLINK("https://www.kegg.jp/entry/" &amp; G480, "https://www.kegg.jp/entry/" &amp; G480), "")</f>
        <v/>
      </c>
    </row>
    <row r="481" spans="1:10" hidden="1" x14ac:dyDescent="0.25">
      <c r="A481" t="s">
        <v>896</v>
      </c>
      <c r="B481">
        <v>264</v>
      </c>
      <c r="C481" t="s">
        <v>897</v>
      </c>
      <c r="E481" s="5" t="s">
        <v>6686</v>
      </c>
      <c r="F481" s="1" t="str">
        <f>IF(E481&lt;&gt;"", HYPERLINK("https://www.kegg.jp/dbget-bin/www_bget?ec:" &amp; E481, "https://www.kegg.jp/dbget-bin/www_bget?ec:" &amp; E481), "")</f>
        <v>https://www.kegg.jp/dbget-bin/www_bget?ec:3.2.2.23</v>
      </c>
      <c r="G481" s="3"/>
      <c r="H481" s="1" t="str">
        <f>IF(G481&lt;&gt;"", HYPERLINK("https://www.kegg.jp/entry/" &amp; G481, "https://www.kegg.jp/entry/" &amp; G481), "")</f>
        <v/>
      </c>
    </row>
    <row r="482" spans="1:10" hidden="1" x14ac:dyDescent="0.25">
      <c r="A482" t="s">
        <v>898</v>
      </c>
      <c r="B482">
        <v>101</v>
      </c>
      <c r="C482" t="s">
        <v>899</v>
      </c>
      <c r="F482" s="1" t="str">
        <f>IF(E482&lt;&gt;"", HYPERLINK("https://www.kegg.jp/dbget-bin/www_bget?ec:" &amp; E482, "https://www.kegg.jp/dbget-bin/www_bget?ec:" &amp; E482), "")</f>
        <v/>
      </c>
      <c r="G482" s="3"/>
      <c r="H482" s="1" t="str">
        <f>IF(G482&lt;&gt;"", HYPERLINK("https://www.kegg.jp/entry/" &amp; G482, "https://www.kegg.jp/entry/" &amp; G482), "")</f>
        <v/>
      </c>
    </row>
    <row r="483" spans="1:10" x14ac:dyDescent="0.25">
      <c r="A483" t="s">
        <v>901</v>
      </c>
      <c r="B483">
        <v>124</v>
      </c>
      <c r="C483" t="s">
        <v>902</v>
      </c>
      <c r="E483" s="5" t="s">
        <v>6687</v>
      </c>
      <c r="F483" s="1" t="str">
        <f>IF(E483&lt;&gt;"", HYPERLINK("https://www.kegg.jp/dbget-bin/www_bget?ec:" &amp; E483, "https://www.kegg.jp/dbget-bin/www_bget?ec:" &amp; E483), "")</f>
        <v>https://www.kegg.jp/dbget-bin/www_bget?ec:3.1.2.20</v>
      </c>
      <c r="G483" s="3" t="s">
        <v>7120</v>
      </c>
      <c r="H483" s="1" t="str">
        <f>IF(G483&lt;&gt;"", HYPERLINK("https://www.kegg.jp/entry/" &amp; G483, "https://www.kegg.jp/entry/" &amp; G483), "")</f>
        <v>https://www.kegg.jp/entry/R00383</v>
      </c>
      <c r="I483" t="s">
        <v>12927</v>
      </c>
      <c r="J483" t="s">
        <v>8446</v>
      </c>
    </row>
    <row r="484" spans="1:10" x14ac:dyDescent="0.25">
      <c r="A484" t="s">
        <v>904</v>
      </c>
      <c r="B484">
        <v>80</v>
      </c>
      <c r="C484" t="s">
        <v>905</v>
      </c>
      <c r="E484" s="5" t="s">
        <v>6688</v>
      </c>
      <c r="F484" s="1" t="str">
        <f>IF(E484&lt;&gt;"", HYPERLINK("https://www.kegg.jp/dbget-bin/www_bget?ec:" &amp; E484, "https://www.kegg.jp/dbget-bin/www_bget?ec:" &amp; E484), "")</f>
        <v>https://www.kegg.jp/dbget-bin/www_bget?ec:4.2.1.96</v>
      </c>
      <c r="G484" s="3" t="s">
        <v>7121</v>
      </c>
      <c r="H484" s="1" t="str">
        <f>IF(G484&lt;&gt;"", HYPERLINK("https://www.kegg.jp/entry/" &amp; G484, "https://www.kegg.jp/entry/" &amp; G484), "")</f>
        <v>https://www.kegg.jp/entry/R04734</v>
      </c>
      <c r="I484" t="s">
        <v>8177</v>
      </c>
      <c r="J484" t="s">
        <v>12928</v>
      </c>
    </row>
    <row r="485" spans="1:10" hidden="1" x14ac:dyDescent="0.25">
      <c r="C485" t="s">
        <v>907</v>
      </c>
      <c r="F485" s="1" t="str">
        <f>IF(E485&lt;&gt;"", HYPERLINK("https://www.kegg.jp/dbget-bin/www_bget?ec:" &amp; E485, "https://www.kegg.jp/dbget-bin/www_bget?ec:" &amp; E485), "")</f>
        <v/>
      </c>
      <c r="G485" s="3"/>
      <c r="H485" s="1" t="str">
        <f>IF(G485&lt;&gt;"", HYPERLINK("https://www.kegg.jp/entry/" &amp; G485, "https://www.kegg.jp/entry/" &amp; G485), "")</f>
        <v/>
      </c>
    </row>
    <row r="486" spans="1:10" x14ac:dyDescent="0.25">
      <c r="A486" t="s">
        <v>909</v>
      </c>
      <c r="B486">
        <v>458</v>
      </c>
      <c r="C486" t="s">
        <v>910</v>
      </c>
      <c r="E486" s="5" t="s">
        <v>6689</v>
      </c>
      <c r="F486" s="1" t="str">
        <f>IF(E486&lt;&gt;"", HYPERLINK("https://www.kegg.jp/dbget-bin/www_bget?ec:" &amp; E486, "https://www.kegg.jp/dbget-bin/www_bget?ec:" &amp; E486), "")</f>
        <v>https://www.kegg.jp/dbget-bin/www_bget?ec:1.1.2.4</v>
      </c>
      <c r="G486" s="3" t="s">
        <v>7122</v>
      </c>
      <c r="H486" s="1" t="str">
        <f>IF(G486&lt;&gt;"", HYPERLINK("https://www.kegg.jp/entry/" &amp; G486, "https://www.kegg.jp/entry/" &amp; G486), "")</f>
        <v>https://www.kegg.jp/entry/R00197</v>
      </c>
      <c r="I486" t="s">
        <v>12929</v>
      </c>
      <c r="J486" t="s">
        <v>12930</v>
      </c>
    </row>
    <row r="487" spans="1:10" hidden="1" x14ac:dyDescent="0.25">
      <c r="A487" t="s">
        <v>911</v>
      </c>
      <c r="B487">
        <v>377</v>
      </c>
      <c r="C487" t="s">
        <v>912</v>
      </c>
      <c r="F487" s="1" t="str">
        <f>IF(E487&lt;&gt;"", HYPERLINK("https://www.kegg.jp/dbget-bin/www_bget?ec:" &amp; E487, "https://www.kegg.jp/dbget-bin/www_bget?ec:" &amp; E487), "")</f>
        <v/>
      </c>
      <c r="G487" s="3"/>
      <c r="H487" s="1" t="str">
        <f>IF(G487&lt;&gt;"", HYPERLINK("https://www.kegg.jp/entry/" &amp; G487, "https://www.kegg.jp/entry/" &amp; G487), "")</f>
        <v/>
      </c>
    </row>
    <row r="488" spans="1:10" hidden="1" x14ac:dyDescent="0.25">
      <c r="A488" t="s">
        <v>913</v>
      </c>
      <c r="B488">
        <v>40</v>
      </c>
      <c r="C488" t="s">
        <v>914</v>
      </c>
      <c r="F488" s="1" t="str">
        <f>IF(E488&lt;&gt;"", HYPERLINK("https://www.kegg.jp/dbget-bin/www_bget?ec:" &amp; E488, "https://www.kegg.jp/dbget-bin/www_bget?ec:" &amp; E488), "")</f>
        <v/>
      </c>
      <c r="G488" s="3"/>
      <c r="H488" s="1" t="str">
        <f>IF(G488&lt;&gt;"", HYPERLINK("https://www.kegg.jp/entry/" &amp; G488, "https://www.kegg.jp/entry/" &amp; G488), "")</f>
        <v/>
      </c>
    </row>
    <row r="489" spans="1:10" hidden="1" x14ac:dyDescent="0.25">
      <c r="A489" t="s">
        <v>915</v>
      </c>
      <c r="B489">
        <v>190</v>
      </c>
      <c r="C489" t="s">
        <v>916</v>
      </c>
      <c r="F489" s="1" t="str">
        <f>IF(E489&lt;&gt;"", HYPERLINK("https://www.kegg.jp/dbget-bin/www_bget?ec:" &amp; E489, "https://www.kegg.jp/dbget-bin/www_bget?ec:" &amp; E489), "")</f>
        <v/>
      </c>
      <c r="G489" s="3"/>
      <c r="H489" s="1" t="str">
        <f>IF(G489&lt;&gt;"", HYPERLINK("https://www.kegg.jp/entry/" &amp; G489, "https://www.kegg.jp/entry/" &amp; G489), "")</f>
        <v/>
      </c>
    </row>
    <row r="490" spans="1:10" hidden="1" x14ac:dyDescent="0.25">
      <c r="A490" t="s">
        <v>917</v>
      </c>
      <c r="B490">
        <v>542</v>
      </c>
      <c r="C490" t="s">
        <v>918</v>
      </c>
      <c r="F490" s="1" t="str">
        <f>IF(E490&lt;&gt;"", HYPERLINK("https://www.kegg.jp/dbget-bin/www_bget?ec:" &amp; E490, "https://www.kegg.jp/dbget-bin/www_bget?ec:" &amp; E490), "")</f>
        <v/>
      </c>
      <c r="G490" s="3"/>
      <c r="H490" s="1" t="str">
        <f>IF(G490&lt;&gt;"", HYPERLINK("https://www.kegg.jp/entry/" &amp; G490, "https://www.kegg.jp/entry/" &amp; G490), "")</f>
        <v/>
      </c>
    </row>
    <row r="491" spans="1:10" hidden="1" x14ac:dyDescent="0.25">
      <c r="A491" t="s">
        <v>919</v>
      </c>
      <c r="B491">
        <v>200</v>
      </c>
      <c r="C491" t="s">
        <v>920</v>
      </c>
      <c r="F491" s="1" t="str">
        <f>IF(E491&lt;&gt;"", HYPERLINK("https://www.kegg.jp/dbget-bin/www_bget?ec:" &amp; E491, "https://www.kegg.jp/dbget-bin/www_bget?ec:" &amp; E491), "")</f>
        <v/>
      </c>
      <c r="G491" s="3"/>
      <c r="H491" s="1" t="str">
        <f>IF(G491&lt;&gt;"", HYPERLINK("https://www.kegg.jp/entry/" &amp; G491, "https://www.kegg.jp/entry/" &amp; G491), "")</f>
        <v/>
      </c>
    </row>
    <row r="492" spans="1:10" hidden="1" x14ac:dyDescent="0.25">
      <c r="A492" t="s">
        <v>922</v>
      </c>
      <c r="B492">
        <v>398</v>
      </c>
      <c r="C492" t="s">
        <v>923</v>
      </c>
      <c r="F492" s="1" t="str">
        <f>IF(E492&lt;&gt;"", HYPERLINK("https://www.kegg.jp/dbget-bin/www_bget?ec:" &amp; E492, "https://www.kegg.jp/dbget-bin/www_bget?ec:" &amp; E492), "")</f>
        <v/>
      </c>
      <c r="G492" s="3"/>
      <c r="H492" s="1" t="str">
        <f>IF(G492&lt;&gt;"", HYPERLINK("https://www.kegg.jp/entry/" &amp; G492, "https://www.kegg.jp/entry/" &amp; G492), "")</f>
        <v/>
      </c>
    </row>
    <row r="493" spans="1:10" hidden="1" x14ac:dyDescent="0.25">
      <c r="A493" t="s">
        <v>924</v>
      </c>
      <c r="B493">
        <v>491</v>
      </c>
      <c r="C493" t="s">
        <v>925</v>
      </c>
      <c r="F493" s="1" t="str">
        <f>IF(E493&lt;&gt;"", HYPERLINK("https://www.kegg.jp/dbget-bin/www_bget?ec:" &amp; E493, "https://www.kegg.jp/dbget-bin/www_bget?ec:" &amp; E493), "")</f>
        <v/>
      </c>
      <c r="G493" s="3"/>
      <c r="H493" s="1" t="str">
        <f>IF(G493&lt;&gt;"", HYPERLINK("https://www.kegg.jp/entry/" &amp; G493, "https://www.kegg.jp/entry/" &amp; G493), "")</f>
        <v/>
      </c>
    </row>
    <row r="494" spans="1:10" hidden="1" x14ac:dyDescent="0.25">
      <c r="A494" t="s">
        <v>926</v>
      </c>
      <c r="B494">
        <v>494</v>
      </c>
      <c r="C494" t="s">
        <v>927</v>
      </c>
      <c r="F494" s="1" t="str">
        <f>IF(E494&lt;&gt;"", HYPERLINK("https://www.kegg.jp/dbget-bin/www_bget?ec:" &amp; E494, "https://www.kegg.jp/dbget-bin/www_bget?ec:" &amp; E494), "")</f>
        <v/>
      </c>
      <c r="G494" s="3"/>
      <c r="H494" s="1" t="str">
        <f>IF(G494&lt;&gt;"", HYPERLINK("https://www.kegg.jp/entry/" &amp; G494, "https://www.kegg.jp/entry/" &amp; G494), "")</f>
        <v/>
      </c>
    </row>
    <row r="495" spans="1:10" hidden="1" x14ac:dyDescent="0.25">
      <c r="A495" t="s">
        <v>929</v>
      </c>
      <c r="B495">
        <v>198</v>
      </c>
      <c r="C495" t="s">
        <v>930</v>
      </c>
      <c r="F495" s="1" t="str">
        <f>IF(E495&lt;&gt;"", HYPERLINK("https://www.kegg.jp/dbget-bin/www_bget?ec:" &amp; E495, "https://www.kegg.jp/dbget-bin/www_bget?ec:" &amp; E495), "")</f>
        <v/>
      </c>
      <c r="G495" s="3"/>
      <c r="H495" s="1" t="str">
        <f>IF(G495&lt;&gt;"", HYPERLINK("https://www.kegg.jp/entry/" &amp; G495, "https://www.kegg.jp/entry/" &amp; G495), "")</f>
        <v/>
      </c>
    </row>
    <row r="496" spans="1:10" hidden="1" x14ac:dyDescent="0.25">
      <c r="A496" t="s">
        <v>931</v>
      </c>
      <c r="B496">
        <v>173</v>
      </c>
      <c r="C496" t="s">
        <v>932</v>
      </c>
      <c r="F496" s="1" t="str">
        <f>IF(E496&lt;&gt;"", HYPERLINK("https://www.kegg.jp/dbget-bin/www_bget?ec:" &amp; E496, "https://www.kegg.jp/dbget-bin/www_bget?ec:" &amp; E496), "")</f>
        <v/>
      </c>
      <c r="G496" s="3"/>
      <c r="H496" s="1" t="str">
        <f>IF(G496&lt;&gt;"", HYPERLINK("https://www.kegg.jp/entry/" &amp; G496, "https://www.kegg.jp/entry/" &amp; G496), "")</f>
        <v/>
      </c>
    </row>
    <row r="497" spans="1:10" hidden="1" x14ac:dyDescent="0.25">
      <c r="A497" t="s">
        <v>934</v>
      </c>
      <c r="B497">
        <v>316</v>
      </c>
      <c r="C497" t="s">
        <v>935</v>
      </c>
      <c r="F497" s="1" t="str">
        <f>IF(E497&lt;&gt;"", HYPERLINK("https://www.kegg.jp/dbget-bin/www_bget?ec:" &amp; E497, "https://www.kegg.jp/dbget-bin/www_bget?ec:" &amp; E497), "")</f>
        <v/>
      </c>
      <c r="G497" s="3"/>
      <c r="H497" s="1" t="str">
        <f>IF(G497&lt;&gt;"", HYPERLINK("https://www.kegg.jp/entry/" &amp; G497, "https://www.kegg.jp/entry/" &amp; G497), "")</f>
        <v/>
      </c>
    </row>
    <row r="498" spans="1:10" hidden="1" x14ac:dyDescent="0.25">
      <c r="A498" t="s">
        <v>936</v>
      </c>
      <c r="B498">
        <v>69</v>
      </c>
      <c r="C498" t="s">
        <v>937</v>
      </c>
      <c r="F498" s="1" t="str">
        <f>IF(E498&lt;&gt;"", HYPERLINK("https://www.kegg.jp/dbget-bin/www_bget?ec:" &amp; E498, "https://www.kegg.jp/dbget-bin/www_bget?ec:" &amp; E498), "")</f>
        <v/>
      </c>
      <c r="G498" s="3"/>
      <c r="H498" s="1" t="str">
        <f>IF(G498&lt;&gt;"", HYPERLINK("https://www.kegg.jp/entry/" &amp; G498, "https://www.kegg.jp/entry/" &amp; G498), "")</f>
        <v/>
      </c>
    </row>
    <row r="499" spans="1:10" hidden="1" x14ac:dyDescent="0.25">
      <c r="A499" t="s">
        <v>938</v>
      </c>
      <c r="B499">
        <v>157</v>
      </c>
      <c r="C499" t="s">
        <v>939</v>
      </c>
      <c r="F499" s="1" t="str">
        <f>IF(E499&lt;&gt;"", HYPERLINK("https://www.kegg.jp/dbget-bin/www_bget?ec:" &amp; E499, "https://www.kegg.jp/dbget-bin/www_bget?ec:" &amp; E499), "")</f>
        <v/>
      </c>
      <c r="G499" s="3"/>
      <c r="H499" s="1" t="str">
        <f>IF(G499&lt;&gt;"", HYPERLINK("https://www.kegg.jp/entry/" &amp; G499, "https://www.kegg.jp/entry/" &amp; G499), "")</f>
        <v/>
      </c>
    </row>
    <row r="500" spans="1:10" x14ac:dyDescent="0.25">
      <c r="A500" t="s">
        <v>941</v>
      </c>
      <c r="B500">
        <v>767</v>
      </c>
      <c r="C500" t="s">
        <v>942</v>
      </c>
      <c r="E500" s="5" t="s">
        <v>6690</v>
      </c>
      <c r="F500" s="1" t="str">
        <f>IF(E500&lt;&gt;"", HYPERLINK("https://www.kegg.jp/dbget-bin/www_bget?ec:" &amp; E500, "https://www.kegg.jp/dbget-bin/www_bget?ec:" &amp; E500), "")</f>
        <v>https://www.kegg.jp/dbget-bin/www_bget?ec:3.5.1.11</v>
      </c>
      <c r="G500" s="3" t="s">
        <v>7481</v>
      </c>
      <c r="H500" s="1" t="str">
        <f>IF(G500&lt;&gt;"", HYPERLINK("https://www.kegg.jp/entry/" &amp; G500, "https://www.kegg.jp/entry/" &amp; G500), "")</f>
        <v>https://www.kegg.jp/entry/R02170</v>
      </c>
      <c r="I500" t="s">
        <v>12931</v>
      </c>
      <c r="J500" t="s">
        <v>8447</v>
      </c>
    </row>
    <row r="501" spans="1:10" x14ac:dyDescent="0.25">
      <c r="A501" t="s">
        <v>941</v>
      </c>
      <c r="B501">
        <v>767</v>
      </c>
      <c r="C501" t="s">
        <v>942</v>
      </c>
      <c r="E501" s="5" t="s">
        <v>6690</v>
      </c>
      <c r="F501" s="1" t="str">
        <f>IF(E501&lt;&gt;"", HYPERLINK("https://www.kegg.jp/dbget-bin/www_bget?ec:" &amp; E501, "https://www.kegg.jp/dbget-bin/www_bget?ec:" &amp; E501), "")</f>
        <v>https://www.kegg.jp/dbget-bin/www_bget?ec:3.5.1.11</v>
      </c>
      <c r="G501" s="3" t="s">
        <v>7482</v>
      </c>
      <c r="H501" s="1" t="str">
        <f>IF(G501&lt;&gt;"", HYPERLINK("https://www.kegg.jp/entry/" &amp; G501, "https://www.kegg.jp/entry/" &amp; G501), "")</f>
        <v>https://www.kegg.jp/entry/R04103</v>
      </c>
      <c r="I501" t="s">
        <v>12932</v>
      </c>
      <c r="J501" t="s">
        <v>8448</v>
      </c>
    </row>
    <row r="502" spans="1:10" hidden="1" x14ac:dyDescent="0.25">
      <c r="A502" t="s">
        <v>944</v>
      </c>
      <c r="B502">
        <v>696</v>
      </c>
      <c r="C502" t="s">
        <v>945</v>
      </c>
      <c r="E502" s="5" t="s">
        <v>6691</v>
      </c>
      <c r="F502" s="1" t="str">
        <f>IF(E502&lt;&gt;"", HYPERLINK("https://www.kegg.jp/dbget-bin/www_bget?ec:" &amp; E502, "https://www.kegg.jp/dbget-bin/www_bget?ec:" &amp; E502), "")</f>
        <v>https://www.kegg.jp/dbget-bin/www_bget?ec:3.4.21.53</v>
      </c>
      <c r="G502" s="3"/>
      <c r="H502" s="1" t="str">
        <f>IF(G502&lt;&gt;"", HYPERLINK("https://www.kegg.jp/entry/" &amp; G502, "https://www.kegg.jp/entry/" &amp; G502), "")</f>
        <v/>
      </c>
    </row>
    <row r="503" spans="1:10" x14ac:dyDescent="0.25">
      <c r="A503" t="s">
        <v>947</v>
      </c>
      <c r="B503">
        <v>414</v>
      </c>
      <c r="C503" t="s">
        <v>948</v>
      </c>
      <c r="E503" s="5" t="s">
        <v>6692</v>
      </c>
      <c r="F503" s="1" t="str">
        <f>IF(E503&lt;&gt;"", HYPERLINK("https://www.kegg.jp/dbget-bin/www_bget?ec:" &amp; E503, "https://www.kegg.jp/dbget-bin/www_bget?ec:" &amp; E503), "")</f>
        <v>https://www.kegg.jp/dbget-bin/www_bget?ec:2.7.7.27</v>
      </c>
      <c r="G503" s="3" t="s">
        <v>7123</v>
      </c>
      <c r="H503" s="1" t="str">
        <f>IF(G503&lt;&gt;"", HYPERLINK("https://www.kegg.jp/entry/" &amp; G503, "https://www.kegg.jp/entry/" &amp; G503), "")</f>
        <v>https://www.kegg.jp/entry/R00948</v>
      </c>
      <c r="I503" t="s">
        <v>8178</v>
      </c>
      <c r="J503" t="s">
        <v>8449</v>
      </c>
    </row>
    <row r="504" spans="1:10" hidden="1" x14ac:dyDescent="0.25">
      <c r="A504" t="s">
        <v>949</v>
      </c>
      <c r="B504">
        <v>228</v>
      </c>
      <c r="C504" t="s">
        <v>950</v>
      </c>
      <c r="F504" s="1" t="str">
        <f>IF(E504&lt;&gt;"", HYPERLINK("https://www.kegg.jp/dbget-bin/www_bget?ec:" &amp; E504, "https://www.kegg.jp/dbget-bin/www_bget?ec:" &amp; E504), "")</f>
        <v/>
      </c>
      <c r="G504" s="3"/>
      <c r="H504" s="1" t="str">
        <f>IF(G504&lt;&gt;"", HYPERLINK("https://www.kegg.jp/entry/" &amp; G504, "https://www.kegg.jp/entry/" &amp; G504), "")</f>
        <v/>
      </c>
    </row>
    <row r="505" spans="1:10" hidden="1" x14ac:dyDescent="0.25">
      <c r="A505" t="s">
        <v>952</v>
      </c>
      <c r="B505">
        <v>224</v>
      </c>
      <c r="C505" t="s">
        <v>953</v>
      </c>
      <c r="F505" s="1" t="str">
        <f>IF(E505&lt;&gt;"", HYPERLINK("https://www.kegg.jp/dbget-bin/www_bget?ec:" &amp; E505, "https://www.kegg.jp/dbget-bin/www_bget?ec:" &amp; E505), "")</f>
        <v/>
      </c>
      <c r="G505" s="3"/>
      <c r="H505" s="1" t="str">
        <f>IF(G505&lt;&gt;"", HYPERLINK("https://www.kegg.jp/entry/" &amp; G505, "https://www.kegg.jp/entry/" &amp; G505), "")</f>
        <v/>
      </c>
    </row>
    <row r="506" spans="1:10" hidden="1" x14ac:dyDescent="0.25">
      <c r="A506" t="s">
        <v>954</v>
      </c>
      <c r="B506">
        <v>124</v>
      </c>
      <c r="C506" t="s">
        <v>955</v>
      </c>
      <c r="F506" s="1" t="str">
        <f>IF(E506&lt;&gt;"", HYPERLINK("https://www.kegg.jp/dbget-bin/www_bget?ec:" &amp; E506, "https://www.kegg.jp/dbget-bin/www_bget?ec:" &amp; E506), "")</f>
        <v/>
      </c>
      <c r="G506" s="3"/>
      <c r="H506" s="1" t="str">
        <f>IF(G506&lt;&gt;"", HYPERLINK("https://www.kegg.jp/entry/" &amp; G506, "https://www.kegg.jp/entry/" &amp; G506), "")</f>
        <v/>
      </c>
    </row>
    <row r="507" spans="1:10" x14ac:dyDescent="0.25">
      <c r="A507" t="s">
        <v>957</v>
      </c>
      <c r="B507">
        <v>440</v>
      </c>
      <c r="C507" t="s">
        <v>958</v>
      </c>
      <c r="E507" s="5" t="s">
        <v>6693</v>
      </c>
      <c r="F507" s="1" t="str">
        <f>IF(E507&lt;&gt;"", HYPERLINK("https://www.kegg.jp/dbget-bin/www_bget?ec:" &amp; E507, "https://www.kegg.jp/dbget-bin/www_bget?ec:" &amp; E507), "")</f>
        <v>https://www.kegg.jp/dbget-bin/www_bget?ec:2.4.1.21</v>
      </c>
      <c r="G507" s="3" t="s">
        <v>7483</v>
      </c>
      <c r="H507" s="1" t="str">
        <f>IF(G507&lt;&gt;"", HYPERLINK("https://www.kegg.jp/entry/" &amp; G507, "https://www.kegg.jp/entry/" &amp; G507), "")</f>
        <v>https://www.kegg.jp/entry/R02421</v>
      </c>
      <c r="I507" t="s">
        <v>8179</v>
      </c>
      <c r="J507" t="s">
        <v>8450</v>
      </c>
    </row>
    <row r="508" spans="1:10" x14ac:dyDescent="0.25">
      <c r="A508" t="s">
        <v>3404</v>
      </c>
      <c r="B508">
        <v>818</v>
      </c>
      <c r="C508" t="s">
        <v>3405</v>
      </c>
      <c r="E508" s="5" t="s">
        <v>6887</v>
      </c>
      <c r="F508" s="1" t="str">
        <f>IF(E508&lt;&gt;"", HYPERLINK("https://www.kegg.jp/dbget-bin/www_bget?ec:" &amp; E508, "https://www.kegg.jp/dbget-bin/www_bget?ec:" &amp; E508), "")</f>
        <v>https://www.kegg.jp/dbget-bin/www_bget?ec:2.4.1.1</v>
      </c>
      <c r="G508" s="3" t="s">
        <v>7786</v>
      </c>
      <c r="H508" s="1" t="str">
        <f>IF(G508&lt;&gt;"", HYPERLINK("https://www.kegg.jp/entry/" &amp; G508, "https://www.kegg.jp/entry/" &amp; G508), "")</f>
        <v>https://www.kegg.jp/entry/R06185</v>
      </c>
      <c r="I508" t="s">
        <v>13429</v>
      </c>
      <c r="J508" t="s">
        <v>13427</v>
      </c>
    </row>
    <row r="509" spans="1:10" hidden="1" x14ac:dyDescent="0.25">
      <c r="A509" t="s">
        <v>960</v>
      </c>
      <c r="B509">
        <v>193</v>
      </c>
      <c r="C509" t="s">
        <v>961</v>
      </c>
      <c r="F509" s="1" t="str">
        <f>IF(E509&lt;&gt;"", HYPERLINK("https://www.kegg.jp/dbget-bin/www_bget?ec:" &amp; E509, "https://www.kegg.jp/dbget-bin/www_bget?ec:" &amp; E509), "")</f>
        <v/>
      </c>
      <c r="G509" s="3"/>
      <c r="H509" s="1" t="str">
        <f>IF(G509&lt;&gt;"", HYPERLINK("https://www.kegg.jp/entry/" &amp; G509, "https://www.kegg.jp/entry/" &amp; G509), "")</f>
        <v/>
      </c>
    </row>
    <row r="510" spans="1:10" hidden="1" x14ac:dyDescent="0.25">
      <c r="A510" t="s">
        <v>963</v>
      </c>
      <c r="B510">
        <v>342</v>
      </c>
      <c r="C510" t="s">
        <v>964</v>
      </c>
      <c r="F510" s="1" t="str">
        <f>IF(E510&lt;&gt;"", HYPERLINK("https://www.kegg.jp/dbget-bin/www_bget?ec:" &amp; E510, "https://www.kegg.jp/dbget-bin/www_bget?ec:" &amp; E510), "")</f>
        <v/>
      </c>
      <c r="G510" s="3"/>
      <c r="H510" s="1" t="str">
        <f>IF(G510&lt;&gt;"", HYPERLINK("https://www.kegg.jp/entry/" &amp; G510, "https://www.kegg.jp/entry/" &amp; G510), "")</f>
        <v/>
      </c>
    </row>
    <row r="511" spans="1:10" x14ac:dyDescent="0.25">
      <c r="A511" t="s">
        <v>966</v>
      </c>
      <c r="B511">
        <v>340</v>
      </c>
      <c r="C511" t="s">
        <v>967</v>
      </c>
      <c r="D511" t="s">
        <v>7485</v>
      </c>
      <c r="E511" s="5" t="s">
        <v>7486</v>
      </c>
      <c r="F511" s="1" t="str">
        <f>IF(E511&lt;&gt;"", HYPERLINK("https://www.kegg.jp/dbget-bin/www_bget?ec:" &amp; E511, "https://www.kegg.jp/dbget-bin/www_bget?ec:" &amp; E511), "")</f>
        <v>https://www.kegg.jp/dbget-bin/www_bget?ec:1.17.7.4</v>
      </c>
      <c r="G511" s="9" t="s">
        <v>7487</v>
      </c>
      <c r="H511" s="1" t="str">
        <f>IF(G511&lt;&gt;"", HYPERLINK("https://www.kegg.jp/entry/" &amp; G511, "https://www.kegg.jp/entry/" &amp; G511), "")</f>
        <v>https://www.kegg.jp/entry/R05884</v>
      </c>
      <c r="I511" t="s">
        <v>12935</v>
      </c>
      <c r="J511" t="s">
        <v>12936</v>
      </c>
    </row>
    <row r="512" spans="1:10" x14ac:dyDescent="0.25">
      <c r="A512" t="s">
        <v>966</v>
      </c>
      <c r="B512">
        <v>340</v>
      </c>
      <c r="C512" t="s">
        <v>967</v>
      </c>
      <c r="D512" t="s">
        <v>7485</v>
      </c>
      <c r="E512" s="5" t="s">
        <v>7486</v>
      </c>
      <c r="F512" s="1" t="str">
        <f>IF(E512&lt;&gt;"", HYPERLINK("https://www.kegg.jp/dbget-bin/www_bget?ec:" &amp; E512, "https://www.kegg.jp/dbget-bin/www_bget?ec:" &amp; E512), "")</f>
        <v>https://www.kegg.jp/dbget-bin/www_bget?ec:1.17.7.4</v>
      </c>
      <c r="G512" s="9" t="s">
        <v>7488</v>
      </c>
      <c r="H512" s="1" t="str">
        <f>IF(G512&lt;&gt;"", HYPERLINK("https://www.kegg.jp/entry/" &amp; G512, "https://www.kegg.jp/entry/" &amp; G512), "")</f>
        <v>https://www.kegg.jp/entry/R08210</v>
      </c>
      <c r="I512" t="s">
        <v>12937</v>
      </c>
      <c r="J512" t="s">
        <v>12935</v>
      </c>
    </row>
    <row r="513" spans="1:10" hidden="1" x14ac:dyDescent="0.25">
      <c r="A513" t="s">
        <v>968</v>
      </c>
      <c r="B513">
        <v>196</v>
      </c>
      <c r="C513" t="s">
        <v>969</v>
      </c>
      <c r="F513" s="1" t="str">
        <f>IF(E513&lt;&gt;"", HYPERLINK("https://www.kegg.jp/dbget-bin/www_bget?ec:" &amp; E513, "https://www.kegg.jp/dbget-bin/www_bget?ec:" &amp; E513), "")</f>
        <v/>
      </c>
      <c r="G513" s="3"/>
      <c r="H513" s="1" t="str">
        <f>IF(G513&lt;&gt;"", HYPERLINK("https://www.kegg.jp/entry/" &amp; G513, "https://www.kegg.jp/entry/" &amp; G513), "")</f>
        <v/>
      </c>
    </row>
    <row r="514" spans="1:10" hidden="1" x14ac:dyDescent="0.25">
      <c r="A514" t="s">
        <v>970</v>
      </c>
      <c r="B514">
        <v>63</v>
      </c>
      <c r="C514" t="s">
        <v>971</v>
      </c>
      <c r="F514" s="1" t="str">
        <f>IF(E514&lt;&gt;"", HYPERLINK("https://www.kegg.jp/dbget-bin/www_bget?ec:" &amp; E514, "https://www.kegg.jp/dbget-bin/www_bget?ec:" &amp; E514), "")</f>
        <v/>
      </c>
      <c r="G514" s="3"/>
      <c r="H514" s="1" t="str">
        <f>IF(G514&lt;&gt;"", HYPERLINK("https://www.kegg.jp/entry/" &amp; G514, "https://www.kegg.jp/entry/" &amp; G514), "")</f>
        <v/>
      </c>
    </row>
    <row r="515" spans="1:10" x14ac:dyDescent="0.25">
      <c r="A515" t="s">
        <v>973</v>
      </c>
      <c r="B515">
        <v>330</v>
      </c>
      <c r="C515" t="s">
        <v>974</v>
      </c>
      <c r="E515" s="5" t="s">
        <v>6694</v>
      </c>
      <c r="F515" s="1" t="str">
        <f>IF(E515&lt;&gt;"", HYPERLINK("https://www.kegg.jp/dbget-bin/www_bget?ec:" &amp; E515, "https://www.kegg.jp/dbget-bin/www_bget?ec:" &amp; E515), "")</f>
        <v>https://www.kegg.jp/dbget-bin/www_bget?ec:2.5.1.90</v>
      </c>
      <c r="G515" s="3" t="s">
        <v>7124</v>
      </c>
      <c r="H515" s="1" t="str">
        <f>IF(G515&lt;&gt;"", HYPERLINK("https://www.kegg.jp/entry/" &amp; G515, "https://www.kegg.jp/entry/" &amp; G515), "")</f>
        <v>https://www.kegg.jp/entry/R09248</v>
      </c>
      <c r="I515" t="s">
        <v>12792</v>
      </c>
      <c r="J515" t="s">
        <v>12938</v>
      </c>
    </row>
    <row r="516" spans="1:10" hidden="1" x14ac:dyDescent="0.25">
      <c r="A516" t="s">
        <v>976</v>
      </c>
      <c r="B516">
        <v>276</v>
      </c>
      <c r="C516" t="s">
        <v>977</v>
      </c>
      <c r="F516" s="1" t="str">
        <f>IF(E516&lt;&gt;"", HYPERLINK("https://www.kegg.jp/dbget-bin/www_bget?ec:" &amp; E516, "https://www.kegg.jp/dbget-bin/www_bget?ec:" &amp; E516), "")</f>
        <v/>
      </c>
      <c r="G516" s="3"/>
      <c r="H516" s="1" t="str">
        <f>IF(G516&lt;&gt;"", HYPERLINK("https://www.kegg.jp/entry/" &amp; G516, "https://www.kegg.jp/entry/" &amp; G516), "")</f>
        <v/>
      </c>
    </row>
    <row r="517" spans="1:10" hidden="1" x14ac:dyDescent="0.25">
      <c r="A517" t="s">
        <v>979</v>
      </c>
      <c r="B517">
        <v>334</v>
      </c>
      <c r="C517" t="s">
        <v>980</v>
      </c>
      <c r="F517" s="1" t="str">
        <f>IF(E517&lt;&gt;"", HYPERLINK("https://www.kegg.jp/dbget-bin/www_bget?ec:" &amp; E517, "https://www.kegg.jp/dbget-bin/www_bget?ec:" &amp; E517), "")</f>
        <v/>
      </c>
      <c r="G517" s="3"/>
      <c r="H517" s="1" t="str">
        <f>IF(G517&lt;&gt;"", HYPERLINK("https://www.kegg.jp/entry/" &amp; G517, "https://www.kegg.jp/entry/" &amp; G517), "")</f>
        <v/>
      </c>
    </row>
    <row r="518" spans="1:10" hidden="1" x14ac:dyDescent="0.25">
      <c r="A518" t="s">
        <v>981</v>
      </c>
      <c r="B518">
        <v>58</v>
      </c>
      <c r="C518" t="s">
        <v>982</v>
      </c>
      <c r="F518" s="1" t="str">
        <f>IF(E518&lt;&gt;"", HYPERLINK("https://www.kegg.jp/dbget-bin/www_bget?ec:" &amp; E518, "https://www.kegg.jp/dbget-bin/www_bget?ec:" &amp; E518), "")</f>
        <v/>
      </c>
      <c r="G518" s="3"/>
      <c r="H518" s="1" t="str">
        <f>IF(G518&lt;&gt;"", HYPERLINK("https://www.kegg.jp/entry/" &amp; G518, "https://www.kegg.jp/entry/" &amp; G518), "")</f>
        <v/>
      </c>
    </row>
    <row r="519" spans="1:10" hidden="1" x14ac:dyDescent="0.25">
      <c r="A519" t="s">
        <v>983</v>
      </c>
      <c r="B519">
        <v>324</v>
      </c>
      <c r="C519" t="s">
        <v>984</v>
      </c>
      <c r="F519" s="1" t="str">
        <f>IF(E519&lt;&gt;"", HYPERLINK("https://www.kegg.jp/dbget-bin/www_bget?ec:" &amp; E519, "https://www.kegg.jp/dbget-bin/www_bget?ec:" &amp; E519), "")</f>
        <v/>
      </c>
      <c r="G519" s="3"/>
      <c r="H519" s="1" t="str">
        <f>IF(G519&lt;&gt;"", HYPERLINK("https://www.kegg.jp/entry/" &amp; G519, "https://www.kegg.jp/entry/" &amp; G519), "")</f>
        <v/>
      </c>
    </row>
    <row r="520" spans="1:10" hidden="1" x14ac:dyDescent="0.25">
      <c r="A520" t="s">
        <v>985</v>
      </c>
      <c r="B520">
        <v>123</v>
      </c>
      <c r="C520" t="s">
        <v>986</v>
      </c>
      <c r="F520" s="1" t="str">
        <f>IF(E520&lt;&gt;"", HYPERLINK("https://www.kegg.jp/dbget-bin/www_bget?ec:" &amp; E520, "https://www.kegg.jp/dbget-bin/www_bget?ec:" &amp; E520), "")</f>
        <v/>
      </c>
      <c r="G520" s="3"/>
      <c r="H520" s="1" t="str">
        <f>IF(G520&lt;&gt;"", HYPERLINK("https://www.kegg.jp/entry/" &amp; G520, "https://www.kegg.jp/entry/" &amp; G520), "")</f>
        <v/>
      </c>
    </row>
    <row r="521" spans="1:10" hidden="1" x14ac:dyDescent="0.25">
      <c r="A521" t="s">
        <v>987</v>
      </c>
      <c r="B521">
        <v>145</v>
      </c>
      <c r="C521" t="s">
        <v>988</v>
      </c>
      <c r="F521" s="1" t="str">
        <f>IF(E521&lt;&gt;"", HYPERLINK("https://www.kegg.jp/dbget-bin/www_bget?ec:" &amp; E521, "https://www.kegg.jp/dbget-bin/www_bget?ec:" &amp; E521), "")</f>
        <v/>
      </c>
      <c r="G521" s="3"/>
      <c r="H521" s="1" t="str">
        <f>IF(G521&lt;&gt;"", HYPERLINK("https://www.kegg.jp/entry/" &amp; G521, "https://www.kegg.jp/entry/" &amp; G521), "")</f>
        <v/>
      </c>
    </row>
    <row r="522" spans="1:10" hidden="1" x14ac:dyDescent="0.25">
      <c r="A522" t="s">
        <v>990</v>
      </c>
      <c r="B522">
        <v>371</v>
      </c>
      <c r="C522" t="s">
        <v>991</v>
      </c>
      <c r="F522" s="1" t="str">
        <f>IF(E522&lt;&gt;"", HYPERLINK("https://www.kegg.jp/dbget-bin/www_bget?ec:" &amp; E522, "https://www.kegg.jp/dbget-bin/www_bget?ec:" &amp; E522), "")</f>
        <v/>
      </c>
      <c r="G522" s="3"/>
      <c r="H522" s="1" t="str">
        <f>IF(G522&lt;&gt;"", HYPERLINK("https://www.kegg.jp/entry/" &amp; G522, "https://www.kegg.jp/entry/" &amp; G522), "")</f>
        <v/>
      </c>
    </row>
    <row r="523" spans="1:10" hidden="1" x14ac:dyDescent="0.25">
      <c r="C523" t="s">
        <v>992</v>
      </c>
      <c r="F523" s="1" t="str">
        <f>IF(E523&lt;&gt;"", HYPERLINK("https://www.kegg.jp/dbget-bin/www_bget?ec:" &amp; E523, "https://www.kegg.jp/dbget-bin/www_bget?ec:" &amp; E523), "")</f>
        <v/>
      </c>
      <c r="G523" s="3"/>
      <c r="H523" s="1" t="str">
        <f>IF(G523&lt;&gt;"", HYPERLINK("https://www.kegg.jp/entry/" &amp; G523, "https://www.kegg.jp/entry/" &amp; G523), "")</f>
        <v/>
      </c>
    </row>
    <row r="524" spans="1:10" hidden="1" x14ac:dyDescent="0.25">
      <c r="A524" t="s">
        <v>994</v>
      </c>
      <c r="B524">
        <v>136</v>
      </c>
      <c r="C524" t="s">
        <v>995</v>
      </c>
      <c r="F524" s="1" t="str">
        <f>IF(E524&lt;&gt;"", HYPERLINK("https://www.kegg.jp/dbget-bin/www_bget?ec:" &amp; E524, "https://www.kegg.jp/dbget-bin/www_bget?ec:" &amp; E524), "")</f>
        <v/>
      </c>
      <c r="G524" s="3"/>
      <c r="H524" s="1" t="str">
        <f>IF(G524&lt;&gt;"", HYPERLINK("https://www.kegg.jp/entry/" &amp; G524, "https://www.kegg.jp/entry/" &amp; G524), "")</f>
        <v/>
      </c>
    </row>
    <row r="525" spans="1:10" hidden="1" x14ac:dyDescent="0.25">
      <c r="A525" t="s">
        <v>997</v>
      </c>
      <c r="B525">
        <v>155</v>
      </c>
      <c r="C525" t="s">
        <v>998</v>
      </c>
      <c r="F525" s="1" t="str">
        <f>IF(E525&lt;&gt;"", HYPERLINK("https://www.kegg.jp/dbget-bin/www_bget?ec:" &amp; E525, "https://www.kegg.jp/dbget-bin/www_bget?ec:" &amp; E525), "")</f>
        <v/>
      </c>
      <c r="G525" s="3"/>
      <c r="H525" s="1" t="str">
        <f>IF(G525&lt;&gt;"", HYPERLINK("https://www.kegg.jp/entry/" &amp; G525, "https://www.kegg.jp/entry/" &amp; G525), "")</f>
        <v/>
      </c>
    </row>
    <row r="526" spans="1:10" hidden="1" x14ac:dyDescent="0.25">
      <c r="A526" t="s">
        <v>1000</v>
      </c>
      <c r="B526">
        <v>691</v>
      </c>
      <c r="C526" t="s">
        <v>1001</v>
      </c>
      <c r="F526" s="1" t="str">
        <f>IF(E526&lt;&gt;"", HYPERLINK("https://www.kegg.jp/dbget-bin/www_bget?ec:" &amp; E526, "https://www.kegg.jp/dbget-bin/www_bget?ec:" &amp; E526), "")</f>
        <v/>
      </c>
      <c r="G526" s="3"/>
      <c r="H526" s="1" t="str">
        <f>IF(G526&lt;&gt;"", HYPERLINK("https://www.kegg.jp/entry/" &amp; G526, "https://www.kegg.jp/entry/" &amp; G526), "")</f>
        <v/>
      </c>
    </row>
    <row r="527" spans="1:10" hidden="1" x14ac:dyDescent="0.25">
      <c r="A527" t="s">
        <v>1002</v>
      </c>
      <c r="B527">
        <v>406</v>
      </c>
      <c r="C527" t="s">
        <v>1003</v>
      </c>
      <c r="F527" s="1" t="str">
        <f>IF(E527&lt;&gt;"", HYPERLINK("https://www.kegg.jp/dbget-bin/www_bget?ec:" &amp; E527, "https://www.kegg.jp/dbget-bin/www_bget?ec:" &amp; E527), "")</f>
        <v/>
      </c>
      <c r="G527" s="3"/>
      <c r="H527" s="1" t="str">
        <f>IF(G527&lt;&gt;"", HYPERLINK("https://www.kegg.jp/entry/" &amp; G527, "https://www.kegg.jp/entry/" &amp; G527), "")</f>
        <v/>
      </c>
    </row>
    <row r="528" spans="1:10" hidden="1" x14ac:dyDescent="0.25">
      <c r="A528" t="s">
        <v>1005</v>
      </c>
      <c r="B528">
        <v>105</v>
      </c>
      <c r="C528" t="s">
        <v>1006</v>
      </c>
      <c r="F528" s="1" t="str">
        <f>IF(E528&lt;&gt;"", HYPERLINK("https://www.kegg.jp/dbget-bin/www_bget?ec:" &amp; E528, "https://www.kegg.jp/dbget-bin/www_bget?ec:" &amp; E528), "")</f>
        <v/>
      </c>
      <c r="G528" s="3"/>
      <c r="H528" s="1" t="str">
        <f>IF(G528&lt;&gt;"", HYPERLINK("https://www.kegg.jp/entry/" &amp; G528, "https://www.kegg.jp/entry/" &amp; G528), "")</f>
        <v/>
      </c>
    </row>
    <row r="529" spans="1:8" hidden="1" x14ac:dyDescent="0.25">
      <c r="A529" t="s">
        <v>1008</v>
      </c>
      <c r="B529">
        <v>206</v>
      </c>
      <c r="C529" t="s">
        <v>1009</v>
      </c>
      <c r="F529" s="1" t="str">
        <f>IF(E529&lt;&gt;"", HYPERLINK("https://www.kegg.jp/dbget-bin/www_bget?ec:" &amp; E529, "https://www.kegg.jp/dbget-bin/www_bget?ec:" &amp; E529), "")</f>
        <v/>
      </c>
      <c r="G529" s="3"/>
      <c r="H529" s="1" t="str">
        <f>IF(G529&lt;&gt;"", HYPERLINK("https://www.kegg.jp/entry/" &amp; G529, "https://www.kegg.jp/entry/" &amp; G529), "")</f>
        <v/>
      </c>
    </row>
    <row r="530" spans="1:8" hidden="1" x14ac:dyDescent="0.25">
      <c r="A530" t="s">
        <v>1011</v>
      </c>
      <c r="B530">
        <v>213</v>
      </c>
      <c r="C530" t="s">
        <v>1012</v>
      </c>
      <c r="F530" s="1" t="str">
        <f>IF(E530&lt;&gt;"", HYPERLINK("https://www.kegg.jp/dbget-bin/www_bget?ec:" &amp; E530, "https://www.kegg.jp/dbget-bin/www_bget?ec:" &amp; E530), "")</f>
        <v/>
      </c>
      <c r="G530" s="3"/>
      <c r="H530" s="1" t="str">
        <f>IF(G530&lt;&gt;"", HYPERLINK("https://www.kegg.jp/entry/" &amp; G530, "https://www.kegg.jp/entry/" &amp; G530), "")</f>
        <v/>
      </c>
    </row>
    <row r="531" spans="1:8" hidden="1" x14ac:dyDescent="0.25">
      <c r="A531" t="s">
        <v>1014</v>
      </c>
      <c r="B531">
        <v>96</v>
      </c>
      <c r="C531" t="s">
        <v>1015</v>
      </c>
      <c r="F531" s="1" t="str">
        <f>IF(E531&lt;&gt;"", HYPERLINK("https://www.kegg.jp/dbget-bin/www_bget?ec:" &amp; E531, "https://www.kegg.jp/dbget-bin/www_bget?ec:" &amp; E531), "")</f>
        <v/>
      </c>
      <c r="G531" s="3"/>
      <c r="H531" s="1" t="str">
        <f>IF(G531&lt;&gt;"", HYPERLINK("https://www.kegg.jp/entry/" &amp; G531, "https://www.kegg.jp/entry/" &amp; G531), "")</f>
        <v/>
      </c>
    </row>
    <row r="532" spans="1:8" hidden="1" x14ac:dyDescent="0.25">
      <c r="A532" t="s">
        <v>1017</v>
      </c>
      <c r="B532">
        <v>276</v>
      </c>
      <c r="C532" t="s">
        <v>1018</v>
      </c>
      <c r="F532" s="1" t="str">
        <f>IF(E532&lt;&gt;"", HYPERLINK("https://www.kegg.jp/dbget-bin/www_bget?ec:" &amp; E532, "https://www.kegg.jp/dbget-bin/www_bget?ec:" &amp; E532), "")</f>
        <v/>
      </c>
      <c r="G532" s="3"/>
      <c r="H532" s="1" t="str">
        <f>IF(G532&lt;&gt;"", HYPERLINK("https://www.kegg.jp/entry/" &amp; G532, "https://www.kegg.jp/entry/" &amp; G532), "")</f>
        <v/>
      </c>
    </row>
    <row r="533" spans="1:8" hidden="1" x14ac:dyDescent="0.25">
      <c r="A533" t="s">
        <v>1020</v>
      </c>
      <c r="B533">
        <v>93</v>
      </c>
      <c r="C533" t="s">
        <v>1021</v>
      </c>
      <c r="F533" s="1" t="str">
        <f>IF(E533&lt;&gt;"", HYPERLINK("https://www.kegg.jp/dbget-bin/www_bget?ec:" &amp; E533, "https://www.kegg.jp/dbget-bin/www_bget?ec:" &amp; E533), "")</f>
        <v/>
      </c>
      <c r="G533" s="3"/>
      <c r="H533" s="1" t="str">
        <f>IF(G533&lt;&gt;"", HYPERLINK("https://www.kegg.jp/entry/" &amp; G533, "https://www.kegg.jp/entry/" &amp; G533), "")</f>
        <v/>
      </c>
    </row>
    <row r="534" spans="1:8" hidden="1" x14ac:dyDescent="0.25">
      <c r="A534" t="s">
        <v>1023</v>
      </c>
      <c r="B534">
        <v>113</v>
      </c>
      <c r="C534" t="s">
        <v>1024</v>
      </c>
      <c r="F534" s="1" t="str">
        <f>IF(E534&lt;&gt;"", HYPERLINK("https://www.kegg.jp/dbget-bin/www_bget?ec:" &amp; E534, "https://www.kegg.jp/dbget-bin/www_bget?ec:" &amp; E534), "")</f>
        <v/>
      </c>
      <c r="G534" s="3"/>
      <c r="H534" s="1" t="str">
        <f>IF(G534&lt;&gt;"", HYPERLINK("https://www.kegg.jp/entry/" &amp; G534, "https://www.kegg.jp/entry/" &amp; G534), "")</f>
        <v/>
      </c>
    </row>
    <row r="535" spans="1:8" hidden="1" x14ac:dyDescent="0.25">
      <c r="A535" t="s">
        <v>1026</v>
      </c>
      <c r="B535">
        <v>239</v>
      </c>
      <c r="C535" t="s">
        <v>1027</v>
      </c>
      <c r="F535" s="1" t="str">
        <f>IF(E535&lt;&gt;"", HYPERLINK("https://www.kegg.jp/dbget-bin/www_bget?ec:" &amp; E535, "https://www.kegg.jp/dbget-bin/www_bget?ec:" &amp; E535), "")</f>
        <v/>
      </c>
      <c r="G535" s="3"/>
      <c r="H535" s="1" t="str">
        <f>IF(G535&lt;&gt;"", HYPERLINK("https://www.kegg.jp/entry/" &amp; G535, "https://www.kegg.jp/entry/" &amp; G535), "")</f>
        <v/>
      </c>
    </row>
    <row r="536" spans="1:8" hidden="1" x14ac:dyDescent="0.25">
      <c r="A536" t="s">
        <v>1029</v>
      </c>
      <c r="B536">
        <v>141</v>
      </c>
      <c r="C536" t="s">
        <v>1030</v>
      </c>
      <c r="F536" s="1" t="str">
        <f>IF(E536&lt;&gt;"", HYPERLINK("https://www.kegg.jp/dbget-bin/www_bget?ec:" &amp; E536, "https://www.kegg.jp/dbget-bin/www_bget?ec:" &amp; E536), "")</f>
        <v/>
      </c>
      <c r="G536" s="3"/>
      <c r="H536" s="1" t="str">
        <f>IF(G536&lt;&gt;"", HYPERLINK("https://www.kegg.jp/entry/" &amp; G536, "https://www.kegg.jp/entry/" &amp; G536), "")</f>
        <v/>
      </c>
    </row>
    <row r="537" spans="1:8" hidden="1" x14ac:dyDescent="0.25">
      <c r="A537" t="s">
        <v>1032</v>
      </c>
      <c r="B537">
        <v>72</v>
      </c>
      <c r="C537" t="s">
        <v>1033</v>
      </c>
      <c r="F537" s="1" t="str">
        <f>IF(E537&lt;&gt;"", HYPERLINK("https://www.kegg.jp/dbget-bin/www_bget?ec:" &amp; E537, "https://www.kegg.jp/dbget-bin/www_bget?ec:" &amp; E537), "")</f>
        <v/>
      </c>
      <c r="G537" s="3"/>
      <c r="H537" s="1" t="str">
        <f>IF(G537&lt;&gt;"", HYPERLINK("https://www.kegg.jp/entry/" &amp; G537, "https://www.kegg.jp/entry/" &amp; G537), "")</f>
        <v/>
      </c>
    </row>
    <row r="538" spans="1:8" hidden="1" x14ac:dyDescent="0.25">
      <c r="A538" t="s">
        <v>1035</v>
      </c>
      <c r="B538">
        <v>105</v>
      </c>
      <c r="C538" t="s">
        <v>1036</v>
      </c>
      <c r="F538" s="1" t="str">
        <f>IF(E538&lt;&gt;"", HYPERLINK("https://www.kegg.jp/dbget-bin/www_bget?ec:" &amp; E538, "https://www.kegg.jp/dbget-bin/www_bget?ec:" &amp; E538), "")</f>
        <v/>
      </c>
      <c r="G538" s="3"/>
      <c r="H538" s="1" t="str">
        <f>IF(G538&lt;&gt;"", HYPERLINK("https://www.kegg.jp/entry/" &amp; G538, "https://www.kegg.jp/entry/" &amp; G538), "")</f>
        <v/>
      </c>
    </row>
    <row r="539" spans="1:8" hidden="1" x14ac:dyDescent="0.25">
      <c r="A539" t="s">
        <v>1038</v>
      </c>
      <c r="B539">
        <v>122</v>
      </c>
      <c r="C539" t="s">
        <v>1039</v>
      </c>
      <c r="F539" s="1" t="str">
        <f>IF(E539&lt;&gt;"", HYPERLINK("https://www.kegg.jp/dbget-bin/www_bget?ec:" &amp; E539, "https://www.kegg.jp/dbget-bin/www_bget?ec:" &amp; E539), "")</f>
        <v/>
      </c>
      <c r="G539" s="3"/>
      <c r="H539" s="1" t="str">
        <f>IF(G539&lt;&gt;"", HYPERLINK("https://www.kegg.jp/entry/" &amp; G539, "https://www.kegg.jp/entry/" &amp; G539), "")</f>
        <v/>
      </c>
    </row>
    <row r="540" spans="1:8" hidden="1" x14ac:dyDescent="0.25">
      <c r="A540" t="s">
        <v>1041</v>
      </c>
      <c r="B540">
        <v>110</v>
      </c>
      <c r="C540" t="s">
        <v>1042</v>
      </c>
      <c r="F540" s="1" t="str">
        <f>IF(E540&lt;&gt;"", HYPERLINK("https://www.kegg.jp/dbget-bin/www_bget?ec:" &amp; E540, "https://www.kegg.jp/dbget-bin/www_bget?ec:" &amp; E540), "")</f>
        <v/>
      </c>
      <c r="G540" s="3"/>
      <c r="H540" s="1" t="str">
        <f>IF(G540&lt;&gt;"", HYPERLINK("https://www.kegg.jp/entry/" &amp; G540, "https://www.kegg.jp/entry/" &amp; G540), "")</f>
        <v/>
      </c>
    </row>
    <row r="541" spans="1:8" hidden="1" x14ac:dyDescent="0.25">
      <c r="A541" t="s">
        <v>1044</v>
      </c>
      <c r="B541">
        <v>182</v>
      </c>
      <c r="C541" t="s">
        <v>1045</v>
      </c>
      <c r="F541" s="1" t="str">
        <f>IF(E541&lt;&gt;"", HYPERLINK("https://www.kegg.jp/dbget-bin/www_bget?ec:" &amp; E541, "https://www.kegg.jp/dbget-bin/www_bget?ec:" &amp; E541), "")</f>
        <v/>
      </c>
      <c r="G541" s="3"/>
      <c r="H541" s="1" t="str">
        <f>IF(G541&lt;&gt;"", HYPERLINK("https://www.kegg.jp/entry/" &amp; G541, "https://www.kegg.jp/entry/" &amp; G541), "")</f>
        <v/>
      </c>
    </row>
    <row r="542" spans="1:8" hidden="1" x14ac:dyDescent="0.25">
      <c r="A542" t="s">
        <v>1047</v>
      </c>
      <c r="B542">
        <v>61</v>
      </c>
      <c r="C542" t="s">
        <v>1048</v>
      </c>
      <c r="F542" s="1" t="str">
        <f>IF(E542&lt;&gt;"", HYPERLINK("https://www.kegg.jp/dbget-bin/www_bget?ec:" &amp; E542, "https://www.kegg.jp/dbget-bin/www_bget?ec:" &amp; E542), "")</f>
        <v/>
      </c>
      <c r="G542" s="3"/>
      <c r="H542" s="1" t="str">
        <f>IF(G542&lt;&gt;"", HYPERLINK("https://www.kegg.jp/entry/" &amp; G542, "https://www.kegg.jp/entry/" &amp; G542), "")</f>
        <v/>
      </c>
    </row>
    <row r="543" spans="1:8" hidden="1" x14ac:dyDescent="0.25">
      <c r="A543" t="s">
        <v>1050</v>
      </c>
      <c r="B543">
        <v>138</v>
      </c>
      <c r="C543" t="s">
        <v>1051</v>
      </c>
      <c r="F543" s="1" t="str">
        <f>IF(E543&lt;&gt;"", HYPERLINK("https://www.kegg.jp/dbget-bin/www_bget?ec:" &amp; E543, "https://www.kegg.jp/dbget-bin/www_bget?ec:" &amp; E543), "")</f>
        <v/>
      </c>
      <c r="G543" s="3"/>
      <c r="H543" s="1" t="str">
        <f>IF(G543&lt;&gt;"", HYPERLINK("https://www.kegg.jp/entry/" &amp; G543, "https://www.kegg.jp/entry/" &amp; G543), "")</f>
        <v/>
      </c>
    </row>
    <row r="544" spans="1:8" hidden="1" x14ac:dyDescent="0.25">
      <c r="A544" t="s">
        <v>1053</v>
      </c>
      <c r="B544">
        <v>180</v>
      </c>
      <c r="C544" t="s">
        <v>1054</v>
      </c>
      <c r="F544" s="1" t="str">
        <f>IF(E544&lt;&gt;"", HYPERLINK("https://www.kegg.jp/dbget-bin/www_bget?ec:" &amp; E544, "https://www.kegg.jp/dbget-bin/www_bget?ec:" &amp; E544), "")</f>
        <v/>
      </c>
      <c r="G544" s="3"/>
      <c r="H544" s="1" t="str">
        <f>IF(G544&lt;&gt;"", HYPERLINK("https://www.kegg.jp/entry/" &amp; G544, "https://www.kegg.jp/entry/" &amp; G544), "")</f>
        <v/>
      </c>
    </row>
    <row r="545" spans="1:10" hidden="1" x14ac:dyDescent="0.25">
      <c r="A545" t="s">
        <v>1056</v>
      </c>
      <c r="B545">
        <v>112</v>
      </c>
      <c r="C545" t="s">
        <v>1057</v>
      </c>
      <c r="F545" s="1" t="str">
        <f>IF(E545&lt;&gt;"", HYPERLINK("https://www.kegg.jp/dbget-bin/www_bget?ec:" &amp; E545, "https://www.kegg.jp/dbget-bin/www_bget?ec:" &amp; E545), "")</f>
        <v/>
      </c>
      <c r="G545" s="3"/>
      <c r="H545" s="1" t="str">
        <f>IF(G545&lt;&gt;"", HYPERLINK("https://www.kegg.jp/entry/" &amp; G545, "https://www.kegg.jp/entry/" &amp; G545), "")</f>
        <v/>
      </c>
    </row>
    <row r="546" spans="1:10" hidden="1" x14ac:dyDescent="0.25">
      <c r="A546" t="s">
        <v>1059</v>
      </c>
      <c r="B546">
        <v>157</v>
      </c>
      <c r="C546" t="s">
        <v>1060</v>
      </c>
      <c r="F546" s="1" t="str">
        <f>IF(E546&lt;&gt;"", HYPERLINK("https://www.kegg.jp/dbget-bin/www_bget?ec:" &amp; E546, "https://www.kegg.jp/dbget-bin/www_bget?ec:" &amp; E546), "")</f>
        <v/>
      </c>
      <c r="G546" s="3"/>
      <c r="H546" s="1" t="str">
        <f>IF(G546&lt;&gt;"", HYPERLINK("https://www.kegg.jp/entry/" &amp; G546, "https://www.kegg.jp/entry/" &amp; G546), "")</f>
        <v/>
      </c>
    </row>
    <row r="547" spans="1:10" hidden="1" x14ac:dyDescent="0.25">
      <c r="A547" t="s">
        <v>1062</v>
      </c>
      <c r="B547">
        <v>60</v>
      </c>
      <c r="C547" t="s">
        <v>1063</v>
      </c>
      <c r="F547" s="1" t="str">
        <f>IF(E547&lt;&gt;"", HYPERLINK("https://www.kegg.jp/dbget-bin/www_bget?ec:" &amp; E547, "https://www.kegg.jp/dbget-bin/www_bget?ec:" &amp; E547), "")</f>
        <v/>
      </c>
      <c r="G547" s="3"/>
      <c r="H547" s="1" t="str">
        <f>IF(G547&lt;&gt;"", HYPERLINK("https://www.kegg.jp/entry/" &amp; G547, "https://www.kegg.jp/entry/" &amp; G547), "")</f>
        <v/>
      </c>
    </row>
    <row r="548" spans="1:10" hidden="1" x14ac:dyDescent="0.25">
      <c r="A548" t="s">
        <v>1065</v>
      </c>
      <c r="B548">
        <v>150</v>
      </c>
      <c r="C548" t="s">
        <v>1066</v>
      </c>
      <c r="F548" s="1" t="str">
        <f>IF(E548&lt;&gt;"", HYPERLINK("https://www.kegg.jp/dbget-bin/www_bget?ec:" &amp; E548, "https://www.kegg.jp/dbget-bin/www_bget?ec:" &amp; E548), "")</f>
        <v/>
      </c>
      <c r="G548" s="3"/>
      <c r="H548" s="1" t="str">
        <f>IF(G548&lt;&gt;"", HYPERLINK("https://www.kegg.jp/entry/" &amp; G548, "https://www.kegg.jp/entry/" &amp; G548), "")</f>
        <v/>
      </c>
    </row>
    <row r="549" spans="1:10" hidden="1" x14ac:dyDescent="0.25">
      <c r="A549" t="s">
        <v>1068</v>
      </c>
      <c r="B549">
        <v>438</v>
      </c>
      <c r="C549" t="s">
        <v>1069</v>
      </c>
      <c r="F549" s="1" t="str">
        <f>IF(E549&lt;&gt;"", HYPERLINK("https://www.kegg.jp/dbget-bin/www_bget?ec:" &amp; E549, "https://www.kegg.jp/dbget-bin/www_bget?ec:" &amp; E549), "")</f>
        <v/>
      </c>
      <c r="G549" s="3"/>
      <c r="H549" s="1" t="str">
        <f>IF(G549&lt;&gt;"", HYPERLINK("https://www.kegg.jp/entry/" &amp; G549, "https://www.kegg.jp/entry/" &amp; G549), "")</f>
        <v/>
      </c>
    </row>
    <row r="550" spans="1:10" x14ac:dyDescent="0.25">
      <c r="A550" t="s">
        <v>1071</v>
      </c>
      <c r="B550">
        <v>184</v>
      </c>
      <c r="C550" t="s">
        <v>1072</v>
      </c>
      <c r="E550" s="5" t="s">
        <v>6695</v>
      </c>
      <c r="F550" s="1" t="str">
        <f>IF(E550&lt;&gt;"", HYPERLINK("https://www.kegg.jp/dbget-bin/www_bget?ec:" &amp; E550, "https://www.kegg.jp/dbget-bin/www_bget?ec:" &amp; E550), "")</f>
        <v>https://www.kegg.jp/dbget-bin/www_bget?ec:2.7.4.3</v>
      </c>
      <c r="G550" s="9" t="s">
        <v>7490</v>
      </c>
      <c r="H550" s="1" t="str">
        <f>IF(G550&lt;&gt;"", HYPERLINK("https://www.kegg.jp/entry/" &amp; G550, "https://www.kegg.jp/entry/" &amp; G550), "")</f>
        <v>https://www.kegg.jp/entry/R00127</v>
      </c>
      <c r="I550" t="s">
        <v>8180</v>
      </c>
      <c r="J550" t="s">
        <v>8451</v>
      </c>
    </row>
    <row r="551" spans="1:10" x14ac:dyDescent="0.25">
      <c r="A551" t="s">
        <v>1071</v>
      </c>
      <c r="B551">
        <v>184</v>
      </c>
      <c r="C551" t="s">
        <v>1072</v>
      </c>
      <c r="E551" s="5" t="s">
        <v>6695</v>
      </c>
      <c r="F551" s="1" t="str">
        <f>IF(E551&lt;&gt;"", HYPERLINK("https://www.kegg.jp/dbget-bin/www_bget?ec:" &amp; E551, "https://www.kegg.jp/dbget-bin/www_bget?ec:" &amp; E551), "")</f>
        <v>https://www.kegg.jp/dbget-bin/www_bget?ec:2.7.4.3</v>
      </c>
      <c r="G551" s="9" t="s">
        <v>7492</v>
      </c>
      <c r="H551" s="1" t="str">
        <f>IF(G551&lt;&gt;"", HYPERLINK("https://www.kegg.jp/entry/" &amp; G551, "https://www.kegg.jp/entry/" &amp; G551), "")</f>
        <v>https://www.kegg.jp/entry/R01547</v>
      </c>
      <c r="I551" t="s">
        <v>8181</v>
      </c>
      <c r="J551" t="s">
        <v>8452</v>
      </c>
    </row>
    <row r="552" spans="1:10" x14ac:dyDescent="0.25">
      <c r="A552" t="s">
        <v>1071</v>
      </c>
      <c r="B552">
        <v>184</v>
      </c>
      <c r="C552" t="s">
        <v>1072</v>
      </c>
      <c r="E552" s="5" t="s">
        <v>6695</v>
      </c>
      <c r="F552" s="1" t="str">
        <f>IF(E552&lt;&gt;"", HYPERLINK("https://www.kegg.jp/dbget-bin/www_bget?ec:" &amp; E552, "https://www.kegg.jp/dbget-bin/www_bget?ec:" &amp; E552), "")</f>
        <v>https://www.kegg.jp/dbget-bin/www_bget?ec:2.7.4.3</v>
      </c>
      <c r="G552" s="9" t="s">
        <v>7491</v>
      </c>
      <c r="H552" s="1" t="str">
        <f>IF(G552&lt;&gt;"", HYPERLINK("https://www.kegg.jp/entry/" &amp; G552, "https://www.kegg.jp/entry/" &amp; G552), "")</f>
        <v>https://www.kegg.jp/entry/R11319</v>
      </c>
      <c r="I552" t="s">
        <v>8589</v>
      </c>
      <c r="J552" t="s">
        <v>12939</v>
      </c>
    </row>
    <row r="553" spans="1:10" hidden="1" x14ac:dyDescent="0.25">
      <c r="A553" t="s">
        <v>1074</v>
      </c>
      <c r="B553">
        <v>255</v>
      </c>
      <c r="C553" t="s">
        <v>1075</v>
      </c>
      <c r="E553" s="5" t="s">
        <v>6696</v>
      </c>
      <c r="F553" s="1" t="str">
        <f>IF(E553&lt;&gt;"", HYPERLINK("https://www.kegg.jp/dbget-bin/www_bget?ec:" &amp; E553, "https://www.kegg.jp/dbget-bin/www_bget?ec:" &amp; E553), "")</f>
        <v>https://www.kegg.jp/dbget-bin/www_bget?ec:3.4.11.18</v>
      </c>
      <c r="G553" s="3"/>
      <c r="H553" s="1" t="str">
        <f>IF(G553&lt;&gt;"", HYPERLINK("https://www.kegg.jp/entry/" &amp; G553, "https://www.kegg.jp/entry/" &amp; G553), "")</f>
        <v/>
      </c>
    </row>
    <row r="554" spans="1:10" hidden="1" x14ac:dyDescent="0.25">
      <c r="A554" t="s">
        <v>1077</v>
      </c>
      <c r="B554">
        <v>72</v>
      </c>
      <c r="C554" t="s">
        <v>1078</v>
      </c>
      <c r="F554" s="1" t="str">
        <f>IF(E554&lt;&gt;"", HYPERLINK("https://www.kegg.jp/dbget-bin/www_bget?ec:" &amp; E554, "https://www.kegg.jp/dbget-bin/www_bget?ec:" &amp; E554), "")</f>
        <v/>
      </c>
      <c r="G554" s="3"/>
      <c r="H554" s="1" t="str">
        <f>IF(G554&lt;&gt;"", HYPERLINK("https://www.kegg.jp/entry/" &amp; G554, "https://www.kegg.jp/entry/" &amp; G554), "")</f>
        <v/>
      </c>
    </row>
    <row r="555" spans="1:10" hidden="1" x14ac:dyDescent="0.25">
      <c r="A555" t="s">
        <v>1080</v>
      </c>
      <c r="B555">
        <v>37</v>
      </c>
      <c r="C555" t="s">
        <v>1081</v>
      </c>
      <c r="F555" s="1" t="str">
        <f>IF(E555&lt;&gt;"", HYPERLINK("https://www.kegg.jp/dbget-bin/www_bget?ec:" &amp; E555, "https://www.kegg.jp/dbget-bin/www_bget?ec:" &amp; E555), "")</f>
        <v/>
      </c>
      <c r="G555" s="3"/>
      <c r="H555" s="1" t="str">
        <f>IF(G555&lt;&gt;"", HYPERLINK("https://www.kegg.jp/entry/" &amp; G555, "https://www.kegg.jp/entry/" &amp; G555), "")</f>
        <v/>
      </c>
    </row>
    <row r="556" spans="1:10" hidden="1" x14ac:dyDescent="0.25">
      <c r="A556" t="s">
        <v>1083</v>
      </c>
      <c r="B556">
        <v>126</v>
      </c>
      <c r="C556" t="s">
        <v>1084</v>
      </c>
      <c r="F556" s="1" t="str">
        <f>IF(E556&lt;&gt;"", HYPERLINK("https://www.kegg.jp/dbget-bin/www_bget?ec:" &amp; E556, "https://www.kegg.jp/dbget-bin/www_bget?ec:" &amp; E556), "")</f>
        <v/>
      </c>
      <c r="G556" s="3"/>
      <c r="H556" s="1" t="str">
        <f>IF(G556&lt;&gt;"", HYPERLINK("https://www.kegg.jp/entry/" &amp; G556, "https://www.kegg.jp/entry/" &amp; G556), "")</f>
        <v/>
      </c>
    </row>
    <row r="557" spans="1:10" hidden="1" x14ac:dyDescent="0.25">
      <c r="A557" t="s">
        <v>1086</v>
      </c>
      <c r="B557">
        <v>116</v>
      </c>
      <c r="C557" t="s">
        <v>1087</v>
      </c>
      <c r="F557" s="1" t="str">
        <f>IF(E557&lt;&gt;"", HYPERLINK("https://www.kegg.jp/dbget-bin/www_bget?ec:" &amp; E557, "https://www.kegg.jp/dbget-bin/www_bget?ec:" &amp; E557), "")</f>
        <v/>
      </c>
      <c r="G557" s="3"/>
      <c r="H557" s="1" t="str">
        <f>IF(G557&lt;&gt;"", HYPERLINK("https://www.kegg.jp/entry/" &amp; G557, "https://www.kegg.jp/entry/" &amp; G557), "")</f>
        <v/>
      </c>
    </row>
    <row r="558" spans="1:10" hidden="1" x14ac:dyDescent="0.25">
      <c r="A558" t="s">
        <v>1089</v>
      </c>
      <c r="B558">
        <v>193</v>
      </c>
      <c r="C558" t="s">
        <v>1090</v>
      </c>
      <c r="F558" s="1" t="str">
        <f>IF(E558&lt;&gt;"", HYPERLINK("https://www.kegg.jp/dbget-bin/www_bget?ec:" &amp; E558, "https://www.kegg.jp/dbget-bin/www_bget?ec:" &amp; E558), "")</f>
        <v/>
      </c>
      <c r="G558" s="3"/>
      <c r="H558" s="1" t="str">
        <f>IF(G558&lt;&gt;"", HYPERLINK("https://www.kegg.jp/entry/" &amp; G558, "https://www.kegg.jp/entry/" &amp; G558), "")</f>
        <v/>
      </c>
    </row>
    <row r="559" spans="1:10" x14ac:dyDescent="0.25">
      <c r="A559" t="s">
        <v>1092</v>
      </c>
      <c r="B559">
        <v>314</v>
      </c>
      <c r="C559" t="s">
        <v>1093</v>
      </c>
      <c r="E559" s="5" t="s">
        <v>6685</v>
      </c>
      <c r="F559" s="1" t="str">
        <f>IF(E559&lt;&gt;"", HYPERLINK("https://www.kegg.jp/dbget-bin/www_bget?ec:" &amp; E559, "https://www.kegg.jp/dbget-bin/www_bget?ec:" &amp; E559), "")</f>
        <v>https://www.kegg.jp/dbget-bin/www_bget?ec:2.7.7.6</v>
      </c>
      <c r="G559" s="9" t="s">
        <v>7475</v>
      </c>
      <c r="H559" s="1" t="str">
        <f>IF(G559&lt;&gt;"", HYPERLINK("https://www.kegg.jp/entry/" &amp; G559, "https://www.kegg.jp/entry/" &amp; G559), "")</f>
        <v>https://www.kegg.jp/entry/R00444</v>
      </c>
      <c r="I559" t="s">
        <v>12923</v>
      </c>
      <c r="J559" t="s">
        <v>8445</v>
      </c>
    </row>
    <row r="560" spans="1:10" x14ac:dyDescent="0.25">
      <c r="A560" t="s">
        <v>1092</v>
      </c>
      <c r="B560">
        <v>314</v>
      </c>
      <c r="C560" t="s">
        <v>1093</v>
      </c>
      <c r="E560" s="5" t="s">
        <v>6685</v>
      </c>
      <c r="F560" s="1" t="str">
        <f>IF(E560&lt;&gt;"", HYPERLINK("https://www.kegg.jp/dbget-bin/www_bget?ec:" &amp; E560, "https://www.kegg.jp/dbget-bin/www_bget?ec:" &amp; E560), "")</f>
        <v>https://www.kegg.jp/dbget-bin/www_bget?ec:2.7.7.6</v>
      </c>
      <c r="G560" s="9" t="s">
        <v>7480</v>
      </c>
      <c r="H560" s="1" t="str">
        <f>IF(G560&lt;&gt;"", HYPERLINK("https://www.kegg.jp/entry/" &amp; G560, "https://www.kegg.jp/entry/" &amp; G560), "")</f>
        <v>https://www.kegg.jp/entry/R00435</v>
      </c>
      <c r="I560" t="s">
        <v>8174</v>
      </c>
      <c r="J560" t="s">
        <v>8445</v>
      </c>
    </row>
    <row r="561" spans="1:10" x14ac:dyDescent="0.25">
      <c r="A561" t="s">
        <v>1092</v>
      </c>
      <c r="B561">
        <v>314</v>
      </c>
      <c r="C561" t="s">
        <v>1093</v>
      </c>
      <c r="E561" s="5" t="s">
        <v>6685</v>
      </c>
      <c r="F561" s="1" t="str">
        <f>IF(E561&lt;&gt;"", HYPERLINK("https://www.kegg.jp/dbget-bin/www_bget?ec:" &amp; E561, "https://www.kegg.jp/dbget-bin/www_bget?ec:" &amp; E561), "")</f>
        <v>https://www.kegg.jp/dbget-bin/www_bget?ec:2.7.7.6</v>
      </c>
      <c r="G561" s="9" t="s">
        <v>7479</v>
      </c>
      <c r="H561" s="1" t="str">
        <f>IF(G561&lt;&gt;"", HYPERLINK("https://www.kegg.jp/entry/" &amp; G561, "https://www.kegg.jp/entry/" &amp; G561), "")</f>
        <v>https://www.kegg.jp/entry/R00441</v>
      </c>
      <c r="I561" t="s">
        <v>8175</v>
      </c>
      <c r="J561" t="s">
        <v>8445</v>
      </c>
    </row>
    <row r="562" spans="1:10" x14ac:dyDescent="0.25">
      <c r="A562" t="s">
        <v>1092</v>
      </c>
      <c r="B562">
        <v>314</v>
      </c>
      <c r="C562" t="s">
        <v>1093</v>
      </c>
      <c r="E562" s="5" t="s">
        <v>6685</v>
      </c>
      <c r="F562" s="1" t="str">
        <f>IF(E562&lt;&gt;"", HYPERLINK("https://www.kegg.jp/dbget-bin/www_bget?ec:" &amp; E562, "https://www.kegg.jp/dbget-bin/www_bget?ec:" &amp; E562), "")</f>
        <v>https://www.kegg.jp/dbget-bin/www_bget?ec:2.7.7.6</v>
      </c>
      <c r="G562" s="9" t="s">
        <v>7478</v>
      </c>
      <c r="H562" s="1" t="str">
        <f>IF(G562&lt;&gt;"", HYPERLINK("https://www.kegg.jp/entry/" &amp; G562, "https://www.kegg.jp/entry/" &amp; G562), "")</f>
        <v>https://www.kegg.jp/entry/R00442</v>
      </c>
      <c r="I562" t="s">
        <v>12924</v>
      </c>
      <c r="J562" t="s">
        <v>8445</v>
      </c>
    </row>
    <row r="563" spans="1:10" x14ac:dyDescent="0.25">
      <c r="A563" t="s">
        <v>1092</v>
      </c>
      <c r="B563">
        <v>314</v>
      </c>
      <c r="C563" t="s">
        <v>1093</v>
      </c>
      <c r="E563" s="5" t="s">
        <v>6685</v>
      </c>
      <c r="F563" s="1" t="str">
        <f>IF(E563&lt;&gt;"", HYPERLINK("https://www.kegg.jp/dbget-bin/www_bget?ec:" &amp; E563, "https://www.kegg.jp/dbget-bin/www_bget?ec:" &amp; E563), "")</f>
        <v>https://www.kegg.jp/dbget-bin/www_bget?ec:2.7.7.6</v>
      </c>
      <c r="G563" s="9" t="s">
        <v>7477</v>
      </c>
      <c r="H563" s="1" t="str">
        <f>IF(G563&lt;&gt;"", HYPERLINK("https://www.kegg.jp/entry/" &amp; G563, "https://www.kegg.jp/entry/" &amp; G563), "")</f>
        <v>https://www.kegg.jp/entry/R00443</v>
      </c>
      <c r="I563" t="s">
        <v>12925</v>
      </c>
      <c r="J563" t="s">
        <v>8445</v>
      </c>
    </row>
    <row r="564" spans="1:10" x14ac:dyDescent="0.25">
      <c r="A564" t="s">
        <v>1092</v>
      </c>
      <c r="B564">
        <v>314</v>
      </c>
      <c r="C564" t="s">
        <v>1093</v>
      </c>
      <c r="E564" s="5" t="s">
        <v>6685</v>
      </c>
      <c r="F564" s="1" t="str">
        <f>IF(E564&lt;&gt;"", HYPERLINK("https://www.kegg.jp/dbget-bin/www_bget?ec:" &amp; E564, "https://www.kegg.jp/dbget-bin/www_bget?ec:" &amp; E564), "")</f>
        <v>https://www.kegg.jp/dbget-bin/www_bget?ec:2.7.7.6</v>
      </c>
      <c r="G564" s="9" t="s">
        <v>7476</v>
      </c>
      <c r="H564" s="1" t="str">
        <f>IF(G564&lt;&gt;"", HYPERLINK("https://www.kegg.jp/entry/" &amp; G564, "https://www.kegg.jp/entry/" &amp; G564), "")</f>
        <v>https://www.kegg.jp/entry/R10813</v>
      </c>
      <c r="I564" t="s">
        <v>8176</v>
      </c>
      <c r="J564" t="s">
        <v>12926</v>
      </c>
    </row>
    <row r="565" spans="1:10" hidden="1" x14ac:dyDescent="0.25">
      <c r="A565" t="s">
        <v>1095</v>
      </c>
      <c r="B565">
        <v>118</v>
      </c>
      <c r="C565" t="s">
        <v>1096</v>
      </c>
      <c r="F565" s="1" t="str">
        <f>IF(E565&lt;&gt;"", HYPERLINK("https://www.kegg.jp/dbget-bin/www_bget?ec:" &amp; E565, "https://www.kegg.jp/dbget-bin/www_bget?ec:" &amp; E565), "")</f>
        <v/>
      </c>
      <c r="G565" s="3"/>
      <c r="H565" s="1" t="str">
        <f>IF(G565&lt;&gt;"", HYPERLINK("https://www.kegg.jp/entry/" &amp; G565, "https://www.kegg.jp/entry/" &amp; G565), "")</f>
        <v/>
      </c>
    </row>
    <row r="566" spans="1:10" hidden="1" x14ac:dyDescent="0.25">
      <c r="A566" t="s">
        <v>1097</v>
      </c>
      <c r="B566">
        <v>159</v>
      </c>
      <c r="C566" t="s">
        <v>1098</v>
      </c>
      <c r="F566" s="1" t="str">
        <f>IF(E566&lt;&gt;"", HYPERLINK("https://www.kegg.jp/dbget-bin/www_bget?ec:" &amp; E566, "https://www.kegg.jp/dbget-bin/www_bget?ec:" &amp; E566), "")</f>
        <v/>
      </c>
      <c r="G566" s="3"/>
      <c r="H566" s="1" t="str">
        <f>IF(G566&lt;&gt;"", HYPERLINK("https://www.kegg.jp/entry/" &amp; G566, "https://www.kegg.jp/entry/" &amp; G566), "")</f>
        <v/>
      </c>
    </row>
    <row r="567" spans="1:10" hidden="1" x14ac:dyDescent="0.25">
      <c r="A567" t="s">
        <v>1099</v>
      </c>
      <c r="B567">
        <v>277</v>
      </c>
      <c r="C567" t="s">
        <v>1100</v>
      </c>
      <c r="F567" s="1" t="str">
        <f>IF(E567&lt;&gt;"", HYPERLINK("https://www.kegg.jp/dbget-bin/www_bget?ec:" &amp; E567, "https://www.kegg.jp/dbget-bin/www_bget?ec:" &amp; E567), "")</f>
        <v/>
      </c>
      <c r="G567" s="3"/>
      <c r="H567" s="1" t="str">
        <f>IF(G567&lt;&gt;"", HYPERLINK("https://www.kegg.jp/entry/" &amp; G567, "https://www.kegg.jp/entry/" &amp; G567), "")</f>
        <v/>
      </c>
    </row>
    <row r="568" spans="1:10" hidden="1" x14ac:dyDescent="0.25">
      <c r="A568" t="s">
        <v>1102</v>
      </c>
      <c r="B568">
        <v>225</v>
      </c>
      <c r="C568" t="s">
        <v>1103</v>
      </c>
      <c r="F568" s="1" t="str">
        <f>IF(E568&lt;&gt;"", HYPERLINK("https://www.kegg.jp/dbget-bin/www_bget?ec:" &amp; E568, "https://www.kegg.jp/dbget-bin/www_bget?ec:" &amp; E568), "")</f>
        <v/>
      </c>
      <c r="G568" s="3"/>
      <c r="H568" s="1" t="str">
        <f>IF(G568&lt;&gt;"", HYPERLINK("https://www.kegg.jp/entry/" &amp; G568, "https://www.kegg.jp/entry/" &amp; G568), "")</f>
        <v/>
      </c>
    </row>
    <row r="569" spans="1:10" hidden="1" x14ac:dyDescent="0.25">
      <c r="A569" t="s">
        <v>1105</v>
      </c>
      <c r="B569">
        <v>178</v>
      </c>
      <c r="C569" t="s">
        <v>1106</v>
      </c>
      <c r="F569" s="1" t="str">
        <f>IF(E569&lt;&gt;"", HYPERLINK("https://www.kegg.jp/dbget-bin/www_bget?ec:" &amp; E569, "https://www.kegg.jp/dbget-bin/www_bget?ec:" &amp; E569), "")</f>
        <v/>
      </c>
      <c r="G569" s="3"/>
      <c r="H569" s="1" t="str">
        <f>IF(G569&lt;&gt;"", HYPERLINK("https://www.kegg.jp/entry/" &amp; G569, "https://www.kegg.jp/entry/" &amp; G569), "")</f>
        <v/>
      </c>
    </row>
    <row r="570" spans="1:10" hidden="1" x14ac:dyDescent="0.25">
      <c r="A570" t="s">
        <v>1108</v>
      </c>
      <c r="B570">
        <v>447</v>
      </c>
      <c r="C570" t="s">
        <v>1109</v>
      </c>
      <c r="F570" s="1" t="str">
        <f>IF(E570&lt;&gt;"", HYPERLINK("https://www.kegg.jp/dbget-bin/www_bget?ec:" &amp; E570, "https://www.kegg.jp/dbget-bin/www_bget?ec:" &amp; E570), "")</f>
        <v/>
      </c>
      <c r="G570" s="3"/>
      <c r="H570" s="1" t="str">
        <f>IF(G570&lt;&gt;"", HYPERLINK("https://www.kegg.jp/entry/" &amp; G570, "https://www.kegg.jp/entry/" &amp; G570), "")</f>
        <v/>
      </c>
    </row>
    <row r="571" spans="1:10" hidden="1" x14ac:dyDescent="0.25">
      <c r="A571" t="s">
        <v>1110</v>
      </c>
      <c r="B571">
        <v>263</v>
      </c>
      <c r="C571" t="s">
        <v>1111</v>
      </c>
      <c r="F571" s="1" t="str">
        <f>IF(E571&lt;&gt;"", HYPERLINK("https://www.kegg.jp/dbget-bin/www_bget?ec:" &amp; E571, "https://www.kegg.jp/dbget-bin/www_bget?ec:" &amp; E571), "")</f>
        <v/>
      </c>
      <c r="G571" s="3"/>
      <c r="H571" s="1" t="str">
        <f>IF(G571&lt;&gt;"", HYPERLINK("https://www.kegg.jp/entry/" &amp; G571, "https://www.kegg.jp/entry/" &amp; G571), "")</f>
        <v/>
      </c>
    </row>
    <row r="572" spans="1:10" hidden="1" x14ac:dyDescent="0.25">
      <c r="A572" t="s">
        <v>1113</v>
      </c>
      <c r="B572">
        <v>211</v>
      </c>
      <c r="C572" t="s">
        <v>1114</v>
      </c>
      <c r="F572" s="1" t="str">
        <f>IF(E572&lt;&gt;"", HYPERLINK("https://www.kegg.jp/dbget-bin/www_bget?ec:" &amp; E572, "https://www.kegg.jp/dbget-bin/www_bget?ec:" &amp; E572), "")</f>
        <v/>
      </c>
      <c r="G572" s="3"/>
      <c r="H572" s="1" t="str">
        <f>IF(G572&lt;&gt;"", HYPERLINK("https://www.kegg.jp/entry/" &amp; G572, "https://www.kegg.jp/entry/" &amp; G572), "")</f>
        <v/>
      </c>
    </row>
    <row r="573" spans="1:10" hidden="1" x14ac:dyDescent="0.25">
      <c r="A573" t="s">
        <v>1115</v>
      </c>
      <c r="B573">
        <v>169</v>
      </c>
      <c r="C573" t="s">
        <v>1116</v>
      </c>
      <c r="F573" s="1" t="str">
        <f>IF(E573&lt;&gt;"", HYPERLINK("https://www.kegg.jp/dbget-bin/www_bget?ec:" &amp; E573, "https://www.kegg.jp/dbget-bin/www_bget?ec:" &amp; E573), "")</f>
        <v/>
      </c>
      <c r="G573" s="3"/>
      <c r="H573" s="1" t="str">
        <f>IF(G573&lt;&gt;"", HYPERLINK("https://www.kegg.jp/entry/" &amp; G573, "https://www.kegg.jp/entry/" &amp; G573), "")</f>
        <v/>
      </c>
    </row>
    <row r="574" spans="1:10" hidden="1" x14ac:dyDescent="0.25">
      <c r="A574" t="s">
        <v>1118</v>
      </c>
      <c r="B574">
        <v>819</v>
      </c>
      <c r="C574" t="s">
        <v>1119</v>
      </c>
      <c r="F574" s="1" t="str">
        <f>IF(E574&lt;&gt;"", HYPERLINK("https://www.kegg.jp/dbget-bin/www_bget?ec:" &amp; E574, "https://www.kegg.jp/dbget-bin/www_bget?ec:" &amp; E574), "")</f>
        <v/>
      </c>
      <c r="G574" s="3"/>
      <c r="H574" s="1" t="str">
        <f>IF(G574&lt;&gt;"", HYPERLINK("https://www.kegg.jp/entry/" &amp; G574, "https://www.kegg.jp/entry/" &amp; G574), "")</f>
        <v/>
      </c>
    </row>
    <row r="575" spans="1:10" x14ac:dyDescent="0.25">
      <c r="A575" t="s">
        <v>1120</v>
      </c>
      <c r="B575">
        <v>315</v>
      </c>
      <c r="C575" t="s">
        <v>1121</v>
      </c>
      <c r="E575" s="5" t="s">
        <v>6694</v>
      </c>
      <c r="F575" s="1" t="str">
        <f>IF(E575&lt;&gt;"", HYPERLINK("https://www.kegg.jp/dbget-bin/www_bget?ec:" &amp; E575, "https://www.kegg.jp/dbget-bin/www_bget?ec:" &amp; E575), "")</f>
        <v>https://www.kegg.jp/dbget-bin/www_bget?ec:2.5.1.90</v>
      </c>
      <c r="G575" s="3" t="s">
        <v>7124</v>
      </c>
      <c r="H575" s="1" t="str">
        <f>IF(G575&lt;&gt;"", HYPERLINK("https://www.kegg.jp/entry/" &amp; G575, "https://www.kegg.jp/entry/" &amp; G575), "")</f>
        <v>https://www.kegg.jp/entry/R09248</v>
      </c>
      <c r="I575" t="s">
        <v>12792</v>
      </c>
      <c r="J575" t="s">
        <v>12938</v>
      </c>
    </row>
    <row r="576" spans="1:10" x14ac:dyDescent="0.25">
      <c r="A576" t="s">
        <v>1123</v>
      </c>
      <c r="B576">
        <v>419</v>
      </c>
      <c r="C576" t="s">
        <v>1124</v>
      </c>
      <c r="E576" s="5" t="s">
        <v>6697</v>
      </c>
      <c r="F576" s="1" t="str">
        <f>IF(E576&lt;&gt;"", HYPERLINK("https://www.kegg.jp/dbget-bin/www_bget?ec:" &amp; E576, "https://www.kegg.jp/dbget-bin/www_bget?ec:" &amp; E576), "")</f>
        <v>https://www.kegg.jp/dbget-bin/www_bget?ec:1.4.1.2</v>
      </c>
      <c r="G576" s="9" t="s">
        <v>7493</v>
      </c>
      <c r="H576" s="1" t="str">
        <f>IF(G576&lt;&gt;"", HYPERLINK("https://www.kegg.jp/entry/" &amp; G576, "https://www.kegg.jp/entry/" &amp; G576), "")</f>
        <v>https://www.kegg.jp/entry/R00243</v>
      </c>
      <c r="I576" t="s">
        <v>12940</v>
      </c>
      <c r="J576" t="s">
        <v>12941</v>
      </c>
    </row>
    <row r="577" spans="1:10" x14ac:dyDescent="0.25">
      <c r="A577" t="s">
        <v>1123</v>
      </c>
      <c r="B577">
        <v>419</v>
      </c>
      <c r="C577" t="s">
        <v>1124</v>
      </c>
      <c r="E577" s="5" t="s">
        <v>6697</v>
      </c>
      <c r="F577" s="1" t="str">
        <f>IF(E577&lt;&gt;"", HYPERLINK("https://www.kegg.jp/dbget-bin/www_bget?ec:" &amp; E577, "https://www.kegg.jp/dbget-bin/www_bget?ec:" &amp; E577), "")</f>
        <v>https://www.kegg.jp/dbget-bin/www_bget?ec:1.4.1.2</v>
      </c>
      <c r="G577" s="9" t="s">
        <v>7494</v>
      </c>
      <c r="H577" s="1" t="str">
        <f>IF(G577&lt;&gt;"", HYPERLINK("https://www.kegg.jp/entry/" &amp; G577, "https://www.kegg.jp/entry/" &amp; G577), "")</f>
        <v>https://www.kegg.jp/entry/R00145</v>
      </c>
      <c r="I577" t="s">
        <v>12942</v>
      </c>
      <c r="J577" t="s">
        <v>12943</v>
      </c>
    </row>
    <row r="578" spans="1:10" x14ac:dyDescent="0.25">
      <c r="A578" t="s">
        <v>1123</v>
      </c>
      <c r="B578">
        <v>419</v>
      </c>
      <c r="C578" t="s">
        <v>1124</v>
      </c>
      <c r="E578" s="5" t="s">
        <v>6697</v>
      </c>
      <c r="F578" s="1" t="str">
        <f>IF(E578&lt;&gt;"", HYPERLINK("https://www.kegg.jp/dbget-bin/www_bget?ec:" &amp; E578, "https://www.kegg.jp/dbget-bin/www_bget?ec:" &amp; E578), "")</f>
        <v>https://www.kegg.jp/dbget-bin/www_bget?ec:1.4.1.2</v>
      </c>
      <c r="G578" s="9" t="s">
        <v>7495</v>
      </c>
      <c r="H578" s="1" t="str">
        <f>IF(G578&lt;&gt;"", HYPERLINK("https://www.kegg.jp/entry/" &amp; G578, "https://www.kegg.jp/entry/" &amp; G578), "")</f>
        <v>https://www.kegg.jp/entry/R00146</v>
      </c>
      <c r="I578" t="s">
        <v>12944</v>
      </c>
      <c r="J578" t="s">
        <v>12945</v>
      </c>
    </row>
    <row r="579" spans="1:10" x14ac:dyDescent="0.25">
      <c r="A579" t="s">
        <v>1126</v>
      </c>
      <c r="B579">
        <v>424</v>
      </c>
      <c r="C579" t="s">
        <v>1127</v>
      </c>
      <c r="E579" s="5" t="s">
        <v>6697</v>
      </c>
      <c r="F579" s="1" t="str">
        <f>IF(E579&lt;&gt;"", HYPERLINK("https://www.kegg.jp/dbget-bin/www_bget?ec:" &amp; E579, "https://www.kegg.jp/dbget-bin/www_bget?ec:" &amp; E579), "")</f>
        <v>https://www.kegg.jp/dbget-bin/www_bget?ec:1.4.1.2</v>
      </c>
      <c r="G579" s="9" t="s">
        <v>7493</v>
      </c>
      <c r="H579" s="1" t="str">
        <f>IF(G579&lt;&gt;"", HYPERLINK("https://www.kegg.jp/entry/" &amp; G579, "https://www.kegg.jp/entry/" &amp; G579), "")</f>
        <v>https://www.kegg.jp/entry/R00243</v>
      </c>
      <c r="I579" t="s">
        <v>12940</v>
      </c>
      <c r="J579" t="s">
        <v>12941</v>
      </c>
    </row>
    <row r="580" spans="1:10" x14ac:dyDescent="0.25">
      <c r="A580" t="s">
        <v>1126</v>
      </c>
      <c r="B580">
        <v>424</v>
      </c>
      <c r="C580" t="s">
        <v>1127</v>
      </c>
      <c r="E580" s="5" t="s">
        <v>6697</v>
      </c>
      <c r="F580" s="1" t="str">
        <f>IF(E580&lt;&gt;"", HYPERLINK("https://www.kegg.jp/dbget-bin/www_bget?ec:" &amp; E580, "https://www.kegg.jp/dbget-bin/www_bget?ec:" &amp; E580), "")</f>
        <v>https://www.kegg.jp/dbget-bin/www_bget?ec:1.4.1.2</v>
      </c>
      <c r="G580" s="9" t="s">
        <v>7494</v>
      </c>
      <c r="H580" s="1" t="str">
        <f>IF(G580&lt;&gt;"", HYPERLINK("https://www.kegg.jp/entry/" &amp; G580, "https://www.kegg.jp/entry/" &amp; G580), "")</f>
        <v>https://www.kegg.jp/entry/R00145</v>
      </c>
      <c r="I580" t="s">
        <v>12942</v>
      </c>
      <c r="J580" t="s">
        <v>12943</v>
      </c>
    </row>
    <row r="581" spans="1:10" x14ac:dyDescent="0.25">
      <c r="A581" t="s">
        <v>1126</v>
      </c>
      <c r="B581">
        <v>424</v>
      </c>
      <c r="C581" t="s">
        <v>1127</v>
      </c>
      <c r="E581" s="5" t="s">
        <v>6697</v>
      </c>
      <c r="F581" s="1" t="str">
        <f>IF(E581&lt;&gt;"", HYPERLINK("https://www.kegg.jp/dbget-bin/www_bget?ec:" &amp; E581, "https://www.kegg.jp/dbget-bin/www_bget?ec:" &amp; E581), "")</f>
        <v>https://www.kegg.jp/dbget-bin/www_bget?ec:1.4.1.2</v>
      </c>
      <c r="G581" s="9" t="s">
        <v>7495</v>
      </c>
      <c r="H581" s="1" t="str">
        <f>IF(G581&lt;&gt;"", HYPERLINK("https://www.kegg.jp/entry/" &amp; G581, "https://www.kegg.jp/entry/" &amp; G581), "")</f>
        <v>https://www.kegg.jp/entry/R00146</v>
      </c>
      <c r="I581" t="s">
        <v>12944</v>
      </c>
      <c r="J581" t="s">
        <v>12945</v>
      </c>
    </row>
    <row r="582" spans="1:10" hidden="1" x14ac:dyDescent="0.25">
      <c r="A582" t="s">
        <v>1128</v>
      </c>
      <c r="B582">
        <v>176</v>
      </c>
      <c r="C582" t="s">
        <v>1129</v>
      </c>
      <c r="F582" s="1" t="str">
        <f>IF(E582&lt;&gt;"", HYPERLINK("https://www.kegg.jp/dbget-bin/www_bget?ec:" &amp; E582, "https://www.kegg.jp/dbget-bin/www_bget?ec:" &amp; E582), "")</f>
        <v/>
      </c>
      <c r="G582" s="3"/>
      <c r="H582" s="1" t="str">
        <f>IF(G582&lt;&gt;"", HYPERLINK("https://www.kegg.jp/entry/" &amp; G582, "https://www.kegg.jp/entry/" &amp; G582), "")</f>
        <v/>
      </c>
    </row>
    <row r="583" spans="1:10" x14ac:dyDescent="0.25">
      <c r="A583" t="s">
        <v>1131</v>
      </c>
      <c r="B583">
        <v>296</v>
      </c>
      <c r="C583" t="s">
        <v>1132</v>
      </c>
      <c r="E583" s="5" t="s">
        <v>6698</v>
      </c>
      <c r="F583" s="1" t="str">
        <f>IF(E583&lt;&gt;"", HYPERLINK("https://www.kegg.jp/dbget-bin/www_bget?ec:" &amp; E583, "https://www.kegg.jp/dbget-bin/www_bget?ec:" &amp; E583), "")</f>
        <v>https://www.kegg.jp/dbget-bin/www_bget?ec:1.1.1.95</v>
      </c>
      <c r="G583" s="9" t="s">
        <v>7496</v>
      </c>
      <c r="H583" s="1" t="str">
        <f>IF(G583&lt;&gt;"", HYPERLINK("https://www.kegg.jp/entry/" &amp; G583, "https://www.kegg.jp/entry/" &amp; G583), "")</f>
        <v>https://www.kegg.jp/entry/R01513</v>
      </c>
      <c r="I583" t="s">
        <v>12946</v>
      </c>
      <c r="J583" t="s">
        <v>12947</v>
      </c>
    </row>
    <row r="584" spans="1:10" x14ac:dyDescent="0.25">
      <c r="A584" t="s">
        <v>1131</v>
      </c>
      <c r="B584">
        <v>296</v>
      </c>
      <c r="C584" t="s">
        <v>1132</v>
      </c>
      <c r="E584" s="5" t="s">
        <v>6698</v>
      </c>
      <c r="F584" s="1" t="str">
        <f>IF(E584&lt;&gt;"", HYPERLINK("https://www.kegg.jp/dbget-bin/www_bget?ec:" &amp; E584, "https://www.kegg.jp/dbget-bin/www_bget?ec:" &amp; E584), "")</f>
        <v>https://www.kegg.jp/dbget-bin/www_bget?ec:1.1.1.95</v>
      </c>
      <c r="G584" s="9" t="s">
        <v>7497</v>
      </c>
      <c r="H584" s="1" t="str">
        <f>IF(G584&lt;&gt;"", HYPERLINK("https://www.kegg.jp/entry/" &amp; G584, "https://www.kegg.jp/entry/" &amp; G584), "")</f>
        <v>https://www.kegg.jp/entry/R08198</v>
      </c>
      <c r="I584" t="s">
        <v>12948</v>
      </c>
      <c r="J584" t="s">
        <v>12949</v>
      </c>
    </row>
    <row r="585" spans="1:10" hidden="1" x14ac:dyDescent="0.25">
      <c r="A585" t="s">
        <v>1133</v>
      </c>
      <c r="B585">
        <v>73</v>
      </c>
      <c r="C585" t="s">
        <v>1134</v>
      </c>
      <c r="F585" s="1" t="str">
        <f>IF(E585&lt;&gt;"", HYPERLINK("https://www.kegg.jp/dbget-bin/www_bget?ec:" &amp; E585, "https://www.kegg.jp/dbget-bin/www_bget?ec:" &amp; E585), "")</f>
        <v/>
      </c>
      <c r="G585" s="3"/>
      <c r="H585" s="1" t="str">
        <f>IF(G585&lt;&gt;"", HYPERLINK("https://www.kegg.jp/entry/" &amp; G585, "https://www.kegg.jp/entry/" &amp; G585), "")</f>
        <v/>
      </c>
    </row>
    <row r="586" spans="1:10" x14ac:dyDescent="0.25">
      <c r="A586" t="s">
        <v>1136</v>
      </c>
      <c r="B586">
        <v>340</v>
      </c>
      <c r="C586" t="s">
        <v>1137</v>
      </c>
      <c r="E586" s="5" t="s">
        <v>6699</v>
      </c>
      <c r="F586" s="1" t="str">
        <f>IF(E586&lt;&gt;"", HYPERLINK("https://www.kegg.jp/dbget-bin/www_bget?ec:" &amp; E586, "https://www.kegg.jp/dbget-bin/www_bget?ec:" &amp; E586), "")</f>
        <v>https://www.kegg.jp/dbget-bin/www_bget?ec:2.5.1.46</v>
      </c>
      <c r="G586" s="9" t="s">
        <v>7498</v>
      </c>
      <c r="H586" s="1" t="str">
        <f>IF(G586&lt;&gt;"", HYPERLINK("https://www.kegg.jp/entry/" &amp; G586, "https://www.kegg.jp/entry/" &amp; G586), "")</f>
        <v>https://www.kegg.jp/entry/R05329</v>
      </c>
      <c r="I586" t="s">
        <v>12950</v>
      </c>
      <c r="J586" t="s">
        <v>12951</v>
      </c>
    </row>
    <row r="587" spans="1:10" x14ac:dyDescent="0.25">
      <c r="A587" t="s">
        <v>1136</v>
      </c>
      <c r="B587">
        <v>340</v>
      </c>
      <c r="C587" t="s">
        <v>1137</v>
      </c>
      <c r="E587" s="5" t="s">
        <v>6699</v>
      </c>
      <c r="F587" s="1" t="str">
        <f>IF(E587&lt;&gt;"", HYPERLINK("https://www.kegg.jp/dbget-bin/www_bget?ec:" &amp; E587, "https://www.kegg.jp/dbget-bin/www_bget?ec:" &amp; E587), "")</f>
        <v>https://www.kegg.jp/dbget-bin/www_bget?ec:2.5.1.46</v>
      </c>
      <c r="G587" s="9" t="s">
        <v>7502</v>
      </c>
      <c r="H587" s="1" t="str">
        <f>IF(G587&lt;&gt;"", HYPERLINK("https://www.kegg.jp/entry/" &amp; G587, "https://www.kegg.jp/entry/" &amp; G587), "")</f>
        <v>https://www.kegg.jp/entry/R07477</v>
      </c>
      <c r="I587" t="s">
        <v>12952</v>
      </c>
      <c r="J587" t="s">
        <v>12953</v>
      </c>
    </row>
    <row r="588" spans="1:10" x14ac:dyDescent="0.25">
      <c r="A588" t="s">
        <v>1136</v>
      </c>
      <c r="B588">
        <v>340</v>
      </c>
      <c r="C588" t="s">
        <v>1137</v>
      </c>
      <c r="E588" s="5" t="s">
        <v>6699</v>
      </c>
      <c r="F588" s="1" t="str">
        <f>IF(E588&lt;&gt;"", HYPERLINK("https://www.kegg.jp/dbget-bin/www_bget?ec:" &amp; E588, "https://www.kegg.jp/dbget-bin/www_bget?ec:" &amp; E588), "")</f>
        <v>https://www.kegg.jp/dbget-bin/www_bget?ec:2.5.1.46</v>
      </c>
      <c r="G588" s="9" t="s">
        <v>7501</v>
      </c>
      <c r="H588" s="1" t="str">
        <f>IF(G588&lt;&gt;"", HYPERLINK("https://www.kegg.jp/entry/" &amp; G588, "https://www.kegg.jp/entry/" &amp; G588), "")</f>
        <v>https://www.kegg.jp/entry/R07478</v>
      </c>
      <c r="I588" t="s">
        <v>12954</v>
      </c>
      <c r="J588" t="s">
        <v>12955</v>
      </c>
    </row>
    <row r="589" spans="1:10" x14ac:dyDescent="0.25">
      <c r="A589" t="s">
        <v>1136</v>
      </c>
      <c r="B589">
        <v>340</v>
      </c>
      <c r="C589" t="s">
        <v>1137</v>
      </c>
      <c r="E589" s="5" t="s">
        <v>6699</v>
      </c>
      <c r="F589" s="1" t="str">
        <f>IF(E589&lt;&gt;"", HYPERLINK("https://www.kegg.jp/dbget-bin/www_bget?ec:" &amp; E589, "https://www.kegg.jp/dbget-bin/www_bget?ec:" &amp; E589), "")</f>
        <v>https://www.kegg.jp/dbget-bin/www_bget?ec:2.5.1.46</v>
      </c>
      <c r="G589" s="9" t="s">
        <v>7500</v>
      </c>
      <c r="H589" s="1" t="str">
        <f>IF(G589&lt;&gt;"", HYPERLINK("https://www.kegg.jp/entry/" &amp; G589, "https://www.kegg.jp/entry/" &amp; G589), "")</f>
        <v>https://www.kegg.jp/entry/R07479</v>
      </c>
      <c r="I589" t="s">
        <v>12956</v>
      </c>
      <c r="J589" t="s">
        <v>12957</v>
      </c>
    </row>
    <row r="590" spans="1:10" x14ac:dyDescent="0.25">
      <c r="A590" t="s">
        <v>1136</v>
      </c>
      <c r="B590">
        <v>340</v>
      </c>
      <c r="C590" t="s">
        <v>1137</v>
      </c>
      <c r="E590" s="5" t="s">
        <v>6699</v>
      </c>
      <c r="F590" s="1" t="str">
        <f>IF(E590&lt;&gt;"", HYPERLINK("https://www.kegg.jp/dbget-bin/www_bget?ec:" &amp; E590, "https://www.kegg.jp/dbget-bin/www_bget?ec:" &amp; E590), "")</f>
        <v>https://www.kegg.jp/dbget-bin/www_bget?ec:2.5.1.46</v>
      </c>
      <c r="G590" s="9" t="s">
        <v>7499</v>
      </c>
      <c r="H590" s="1" t="str">
        <f>IF(G590&lt;&gt;"", HYPERLINK("https://www.kegg.jp/entry/" &amp; G590, "https://www.kegg.jp/entry/" &amp; G590), "")</f>
        <v>https://www.kegg.jp/entry/R07480</v>
      </c>
      <c r="I590" t="s">
        <v>12958</v>
      </c>
      <c r="J590" t="s">
        <v>12958</v>
      </c>
    </row>
    <row r="591" spans="1:10" hidden="1" x14ac:dyDescent="0.25">
      <c r="A591" t="s">
        <v>1138</v>
      </c>
      <c r="B591">
        <v>945</v>
      </c>
      <c r="C591" t="s">
        <v>1139</v>
      </c>
      <c r="F591" s="1" t="str">
        <f>IF(E591&lt;&gt;"", HYPERLINK("https://www.kegg.jp/dbget-bin/www_bget?ec:" &amp; E591, "https://www.kegg.jp/dbget-bin/www_bget?ec:" &amp; E591), "")</f>
        <v/>
      </c>
      <c r="G591" s="3"/>
      <c r="H591" s="1" t="str">
        <f>IF(G591&lt;&gt;"", HYPERLINK("https://www.kegg.jp/entry/" &amp; G591, "https://www.kegg.jp/entry/" &amp; G591), "")</f>
        <v/>
      </c>
    </row>
    <row r="592" spans="1:10" hidden="1" x14ac:dyDescent="0.25">
      <c r="A592" t="s">
        <v>1141</v>
      </c>
      <c r="B592">
        <v>272</v>
      </c>
      <c r="C592" t="s">
        <v>1142</v>
      </c>
      <c r="F592" s="1" t="str">
        <f>IF(E592&lt;&gt;"", HYPERLINK("https://www.kegg.jp/dbget-bin/www_bget?ec:" &amp; E592, "https://www.kegg.jp/dbget-bin/www_bget?ec:" &amp; E592), "")</f>
        <v/>
      </c>
      <c r="G592" s="3"/>
      <c r="H592" s="1" t="str">
        <f>IF(G592&lt;&gt;"", HYPERLINK("https://www.kegg.jp/entry/" &amp; G592, "https://www.kegg.jp/entry/" &amp; G592), "")</f>
        <v/>
      </c>
    </row>
    <row r="593" spans="1:10" hidden="1" x14ac:dyDescent="0.25">
      <c r="A593" t="s">
        <v>1144</v>
      </c>
      <c r="B593">
        <v>204</v>
      </c>
      <c r="C593" t="s">
        <v>1145</v>
      </c>
      <c r="F593" s="1" t="str">
        <f>IF(E593&lt;&gt;"", HYPERLINK("https://www.kegg.jp/dbget-bin/www_bget?ec:" &amp; E593, "https://www.kegg.jp/dbget-bin/www_bget?ec:" &amp; E593), "")</f>
        <v/>
      </c>
      <c r="G593" s="3"/>
      <c r="H593" s="1" t="str">
        <f>IF(G593&lt;&gt;"", HYPERLINK("https://www.kegg.jp/entry/" &amp; G593, "https://www.kegg.jp/entry/" &amp; G593), "")</f>
        <v/>
      </c>
    </row>
    <row r="594" spans="1:10" hidden="1" x14ac:dyDescent="0.25">
      <c r="A594" t="s">
        <v>1146</v>
      </c>
      <c r="B594">
        <v>483</v>
      </c>
      <c r="C594" t="s">
        <v>1147</v>
      </c>
      <c r="F594" s="1" t="str">
        <f>IF(E594&lt;&gt;"", HYPERLINK("https://www.kegg.jp/dbget-bin/www_bget?ec:" &amp; E594, "https://www.kegg.jp/dbget-bin/www_bget?ec:" &amp; E594), "")</f>
        <v/>
      </c>
      <c r="G594" s="3"/>
      <c r="H594" s="1" t="str">
        <f>IF(G594&lt;&gt;"", HYPERLINK("https://www.kegg.jp/entry/" &amp; G594, "https://www.kegg.jp/entry/" &amp; G594), "")</f>
        <v/>
      </c>
    </row>
    <row r="595" spans="1:10" hidden="1" x14ac:dyDescent="0.25">
      <c r="A595" t="s">
        <v>1149</v>
      </c>
      <c r="B595">
        <v>355</v>
      </c>
      <c r="C595" t="s">
        <v>1150</v>
      </c>
      <c r="F595" s="1" t="str">
        <f>IF(E595&lt;&gt;"", HYPERLINK("https://www.kegg.jp/dbget-bin/www_bget?ec:" &amp; E595, "https://www.kegg.jp/dbget-bin/www_bget?ec:" &amp; E595), "")</f>
        <v/>
      </c>
      <c r="G595" s="3"/>
      <c r="H595" s="1" t="str">
        <f>IF(G595&lt;&gt;"", HYPERLINK("https://www.kegg.jp/entry/" &amp; G595, "https://www.kegg.jp/entry/" &amp; G595), "")</f>
        <v/>
      </c>
    </row>
    <row r="596" spans="1:10" x14ac:dyDescent="0.25">
      <c r="A596" t="s">
        <v>1152</v>
      </c>
      <c r="B596">
        <v>147</v>
      </c>
      <c r="C596" t="s">
        <v>1153</v>
      </c>
      <c r="E596" s="5" t="s">
        <v>6700</v>
      </c>
      <c r="F596" s="1" t="str">
        <f>IF(E596&lt;&gt;"", HYPERLINK("https://www.kegg.jp/dbget-bin/www_bget?ec:" &amp; E596, "https://www.kegg.jp/dbget-bin/www_bget?ec:" &amp; E596), "")</f>
        <v>https://www.kegg.jp/dbget-bin/www_bget?ec:2.1.1.63</v>
      </c>
      <c r="G596" s="3" t="s">
        <v>7125</v>
      </c>
      <c r="H596" s="1" t="str">
        <f>IF(G596&lt;&gt;"", HYPERLINK("https://www.kegg.jp/entry/" &amp; G596, "https://www.kegg.jp/entry/" &amp; G596), "")</f>
        <v>https://www.kegg.jp/entry/R04314</v>
      </c>
      <c r="I596" t="s">
        <v>12959</v>
      </c>
      <c r="J596" t="s">
        <v>8453</v>
      </c>
    </row>
    <row r="597" spans="1:10" x14ac:dyDescent="0.25">
      <c r="A597" t="s">
        <v>1155</v>
      </c>
      <c r="B597">
        <v>494</v>
      </c>
      <c r="C597" t="s">
        <v>1156</v>
      </c>
      <c r="E597" s="5" t="s">
        <v>6701</v>
      </c>
      <c r="F597" s="1" t="str">
        <f>IF(E597&lt;&gt;"", HYPERLINK("https://www.kegg.jp/dbget-bin/www_bget?ec:" &amp; E597, "https://www.kegg.jp/dbget-bin/www_bget?ec:" &amp; E597), "")</f>
        <v>https://www.kegg.jp/dbget-bin/www_bget?ec:3.2.1.20</v>
      </c>
      <c r="G597" s="9" t="s">
        <v>7503</v>
      </c>
      <c r="H597" s="1" t="str">
        <f>IF(G597&lt;&gt;"", HYPERLINK("https://www.kegg.jp/entry/" &amp; G597, "https://www.kegg.jp/entry/" &amp; G597), "")</f>
        <v>https://www.kegg.jp/entry/R00028</v>
      </c>
      <c r="I597" t="s">
        <v>12960</v>
      </c>
      <c r="J597" t="s">
        <v>8307</v>
      </c>
    </row>
    <row r="598" spans="1:10" x14ac:dyDescent="0.25">
      <c r="A598" t="s">
        <v>1155</v>
      </c>
      <c r="B598">
        <v>494</v>
      </c>
      <c r="C598" t="s">
        <v>1156</v>
      </c>
      <c r="E598" s="5" t="s">
        <v>6701</v>
      </c>
      <c r="F598" s="1" t="str">
        <f>IF(E598&lt;&gt;"", HYPERLINK("https://www.kegg.jp/dbget-bin/www_bget?ec:" &amp; E598, "https://www.kegg.jp/dbget-bin/www_bget?ec:" &amp; E598), "")</f>
        <v>https://www.kegg.jp/dbget-bin/www_bget?ec:3.2.1.20</v>
      </c>
      <c r="G598" s="9" t="s">
        <v>7508</v>
      </c>
      <c r="H598" s="1" t="str">
        <f>IF(G598&lt;&gt;"", HYPERLINK("https://www.kegg.jp/entry/" &amp; G598, "https://www.kegg.jp/entry/" &amp; G598), "")</f>
        <v>https://www.kegg.jp/entry/R00801</v>
      </c>
      <c r="I598" t="s">
        <v>12961</v>
      </c>
      <c r="J598" t="s">
        <v>12962</v>
      </c>
    </row>
    <row r="599" spans="1:10" x14ac:dyDescent="0.25">
      <c r="A599" t="s">
        <v>1155</v>
      </c>
      <c r="B599">
        <v>494</v>
      </c>
      <c r="C599" t="s">
        <v>1156</v>
      </c>
      <c r="E599" s="5" t="s">
        <v>6701</v>
      </c>
      <c r="F599" s="1" t="str">
        <f>IF(E599&lt;&gt;"", HYPERLINK("https://www.kegg.jp/dbget-bin/www_bget?ec:" &amp; E599, "https://www.kegg.jp/dbget-bin/www_bget?ec:" &amp; E599), "")</f>
        <v>https://www.kegg.jp/dbget-bin/www_bget?ec:3.2.1.20</v>
      </c>
      <c r="G599" s="9" t="s">
        <v>7507</v>
      </c>
      <c r="H599" s="1" t="str">
        <f>IF(G599&lt;&gt;"", HYPERLINK("https://www.kegg.jp/entry/" &amp; G599, "https://www.kegg.jp/entry/" &amp; G599), "")</f>
        <v>https://www.kegg.jp/entry/R00802</v>
      </c>
      <c r="I599" t="s">
        <v>12961</v>
      </c>
      <c r="J599" t="s">
        <v>12963</v>
      </c>
    </row>
    <row r="600" spans="1:10" hidden="1" x14ac:dyDescent="0.25">
      <c r="A600" t="s">
        <v>1155</v>
      </c>
      <c r="B600">
        <v>494</v>
      </c>
      <c r="C600" t="s">
        <v>1156</v>
      </c>
      <c r="E600" s="5" t="s">
        <v>6701</v>
      </c>
      <c r="F600" s="1" t="str">
        <f>IF(E600&lt;&gt;"", HYPERLINK("https://www.kegg.jp/dbget-bin/www_bget?ec:" &amp; E600, "https://www.kegg.jp/dbget-bin/www_bget?ec:" &amp; E600), "")</f>
        <v>https://www.kegg.jp/dbget-bin/www_bget?ec:3.2.1.20</v>
      </c>
      <c r="G600" s="9" t="s">
        <v>7506</v>
      </c>
      <c r="H600" s="1" t="str">
        <f>IF(G600&lt;&gt;"", HYPERLINK("https://www.kegg.jp/entry/" &amp; G600, "https://www.kegg.jp/entry/" &amp; G600), "")</f>
        <v>https://www.kegg.jp/entry/R06084</v>
      </c>
      <c r="I600" t="s">
        <v>13932</v>
      </c>
      <c r="J600" t="s">
        <v>8454</v>
      </c>
    </row>
    <row r="601" spans="1:10" x14ac:dyDescent="0.25">
      <c r="A601" t="s">
        <v>1155</v>
      </c>
      <c r="B601">
        <v>494</v>
      </c>
      <c r="C601" t="s">
        <v>1156</v>
      </c>
      <c r="E601" s="5" t="s">
        <v>6701</v>
      </c>
      <c r="F601" s="1" t="str">
        <f>IF(E601&lt;&gt;"", HYPERLINK("https://www.kegg.jp/dbget-bin/www_bget?ec:" &amp; E601, "https://www.kegg.jp/dbget-bin/www_bget?ec:" &amp; E601), "")</f>
        <v>https://www.kegg.jp/dbget-bin/www_bget?ec:3.2.1.20</v>
      </c>
      <c r="G601" s="9" t="s">
        <v>7505</v>
      </c>
      <c r="H601" s="1" t="str">
        <f>IF(G601&lt;&gt;"", HYPERLINK("https://www.kegg.jp/entry/" &amp; G601, "https://www.kegg.jp/entry/" &amp; G601), "")</f>
        <v>https://www.kegg.jp/entry/R06087</v>
      </c>
      <c r="I601" t="s">
        <v>12965</v>
      </c>
      <c r="J601" t="s">
        <v>12962</v>
      </c>
    </row>
    <row r="602" spans="1:10" x14ac:dyDescent="0.25">
      <c r="A602" t="s">
        <v>1155</v>
      </c>
      <c r="B602">
        <v>494</v>
      </c>
      <c r="C602" t="s">
        <v>1156</v>
      </c>
      <c r="E602" s="5" t="s">
        <v>6701</v>
      </c>
      <c r="F602" s="1" t="str">
        <f>IF(E602&lt;&gt;"", HYPERLINK("https://www.kegg.jp/dbget-bin/www_bget?ec:" &amp; E602, "https://www.kegg.jp/dbget-bin/www_bget?ec:" &amp; E602), "")</f>
        <v>https://www.kegg.jp/dbget-bin/www_bget?ec:3.2.1.20</v>
      </c>
      <c r="G602" s="9" t="s">
        <v>7504</v>
      </c>
      <c r="H602" s="1" t="str">
        <f>IF(G602&lt;&gt;"", HYPERLINK("https://www.kegg.jp/entry/" &amp; G602, "https://www.kegg.jp/entry/" &amp; G602), "")</f>
        <v>https://www.kegg.jp/entry/R06088</v>
      </c>
      <c r="I602" t="s">
        <v>12965</v>
      </c>
      <c r="J602" t="s">
        <v>12963</v>
      </c>
    </row>
    <row r="603" spans="1:10" x14ac:dyDescent="0.25">
      <c r="A603" t="s">
        <v>1158</v>
      </c>
      <c r="B603">
        <v>248</v>
      </c>
      <c r="C603" t="s">
        <v>1159</v>
      </c>
      <c r="E603" s="5" t="s">
        <v>6702</v>
      </c>
      <c r="F603" s="1" t="str">
        <f>IF(E603&lt;&gt;"", HYPERLINK("https://www.kegg.jp/dbget-bin/www_bget?ec:" &amp; E603, "https://www.kegg.jp/dbget-bin/www_bget?ec:" &amp; E603), "")</f>
        <v>https://www.kegg.jp/dbget-bin/www_bget?ec:2.7.4.8</v>
      </c>
      <c r="G603" s="9" t="s">
        <v>7509</v>
      </c>
      <c r="H603" s="1" t="str">
        <f>IF(G603&lt;&gt;"", HYPERLINK("https://www.kegg.jp/entry/" &amp; G603, "https://www.kegg.jp/entry/" &amp; G603), "")</f>
        <v>https://www.kegg.jp/entry/R00332</v>
      </c>
      <c r="I603" t="s">
        <v>8182</v>
      </c>
      <c r="J603" t="s">
        <v>8455</v>
      </c>
    </row>
    <row r="604" spans="1:10" x14ac:dyDescent="0.25">
      <c r="A604" t="s">
        <v>1158</v>
      </c>
      <c r="B604">
        <v>248</v>
      </c>
      <c r="C604" t="s">
        <v>1159</v>
      </c>
      <c r="E604" s="5" t="s">
        <v>6702</v>
      </c>
      <c r="F604" s="1" t="str">
        <f>IF(E604&lt;&gt;"", HYPERLINK("https://www.kegg.jp/dbget-bin/www_bget?ec:" &amp; E604, "https://www.kegg.jp/dbget-bin/www_bget?ec:" &amp; E604), "")</f>
        <v>https://www.kegg.jp/dbget-bin/www_bget?ec:2.7.4.8</v>
      </c>
      <c r="G604" s="9" t="s">
        <v>7510</v>
      </c>
      <c r="H604" s="1" t="str">
        <f>IF(G604&lt;&gt;"", HYPERLINK("https://www.kegg.jp/entry/" &amp; G604, "https://www.kegg.jp/entry/" &amp; G604), "")</f>
        <v>https://www.kegg.jp/entry/R02090</v>
      </c>
      <c r="I604" t="s">
        <v>8183</v>
      </c>
      <c r="J604" t="s">
        <v>8456</v>
      </c>
    </row>
    <row r="605" spans="1:10" x14ac:dyDescent="0.25">
      <c r="A605" t="s">
        <v>1158</v>
      </c>
      <c r="B605">
        <v>248</v>
      </c>
      <c r="C605" t="s">
        <v>1159</v>
      </c>
      <c r="E605" s="5" t="s">
        <v>6702</v>
      </c>
      <c r="F605" s="1" t="str">
        <f>IF(E605&lt;&gt;"", HYPERLINK("https://www.kegg.jp/dbget-bin/www_bget?ec:" &amp; E605, "https://www.kegg.jp/dbget-bin/www_bget?ec:" &amp; E605), "")</f>
        <v>https://www.kegg.jp/dbget-bin/www_bget?ec:2.7.4.8</v>
      </c>
      <c r="G605" s="9" t="s">
        <v>7511</v>
      </c>
      <c r="H605" s="1" t="str">
        <f>IF(G605&lt;&gt;"", HYPERLINK("https://www.kegg.jp/entry/" &amp; G605, "https://www.kegg.jp/entry/" &amp; G605), "")</f>
        <v>https://www.kegg.jp/entry/R12852</v>
      </c>
      <c r="I605" t="s">
        <v>12966</v>
      </c>
      <c r="J605" t="s">
        <v>12967</v>
      </c>
    </row>
    <row r="606" spans="1:10" x14ac:dyDescent="0.25">
      <c r="A606" t="s">
        <v>1161</v>
      </c>
      <c r="B606">
        <v>99</v>
      </c>
      <c r="C606" t="s">
        <v>1162</v>
      </c>
      <c r="E606" s="5" t="s">
        <v>6685</v>
      </c>
      <c r="F606" s="1" t="str">
        <f>IF(E606&lt;&gt;"", HYPERLINK("https://www.kegg.jp/dbget-bin/www_bget?ec:" &amp; E606, "https://www.kegg.jp/dbget-bin/www_bget?ec:" &amp; E606), "")</f>
        <v>https://www.kegg.jp/dbget-bin/www_bget?ec:2.7.7.6</v>
      </c>
      <c r="G606" s="9" t="s">
        <v>7475</v>
      </c>
      <c r="H606" s="1" t="str">
        <f>IF(G606&lt;&gt;"", HYPERLINK("https://www.kegg.jp/entry/" &amp; G606, "https://www.kegg.jp/entry/" &amp; G606), "")</f>
        <v>https://www.kegg.jp/entry/R00444</v>
      </c>
      <c r="I606" t="s">
        <v>12923</v>
      </c>
      <c r="J606" t="s">
        <v>8445</v>
      </c>
    </row>
    <row r="607" spans="1:10" x14ac:dyDescent="0.25">
      <c r="A607" t="s">
        <v>1161</v>
      </c>
      <c r="B607">
        <v>99</v>
      </c>
      <c r="C607" t="s">
        <v>1162</v>
      </c>
      <c r="E607" s="5" t="s">
        <v>6685</v>
      </c>
      <c r="F607" s="1" t="str">
        <f>IF(E607&lt;&gt;"", HYPERLINK("https://www.kegg.jp/dbget-bin/www_bget?ec:" &amp; E607, "https://www.kegg.jp/dbget-bin/www_bget?ec:" &amp; E607), "")</f>
        <v>https://www.kegg.jp/dbget-bin/www_bget?ec:2.7.7.6</v>
      </c>
      <c r="G607" s="9" t="s">
        <v>7480</v>
      </c>
      <c r="H607" s="1" t="str">
        <f>IF(G607&lt;&gt;"", HYPERLINK("https://www.kegg.jp/entry/" &amp; G607, "https://www.kegg.jp/entry/" &amp; G607), "")</f>
        <v>https://www.kegg.jp/entry/R00435</v>
      </c>
      <c r="I607" t="s">
        <v>8174</v>
      </c>
      <c r="J607" t="s">
        <v>8445</v>
      </c>
    </row>
    <row r="608" spans="1:10" x14ac:dyDescent="0.25">
      <c r="A608" t="s">
        <v>1161</v>
      </c>
      <c r="B608">
        <v>99</v>
      </c>
      <c r="C608" t="s">
        <v>1162</v>
      </c>
      <c r="E608" s="5" t="s">
        <v>6685</v>
      </c>
      <c r="F608" s="1" t="str">
        <f>IF(E608&lt;&gt;"", HYPERLINK("https://www.kegg.jp/dbget-bin/www_bget?ec:" &amp; E608, "https://www.kegg.jp/dbget-bin/www_bget?ec:" &amp; E608), "")</f>
        <v>https://www.kegg.jp/dbget-bin/www_bget?ec:2.7.7.6</v>
      </c>
      <c r="G608" s="9" t="s">
        <v>7479</v>
      </c>
      <c r="H608" s="1" t="str">
        <f>IF(G608&lt;&gt;"", HYPERLINK("https://www.kegg.jp/entry/" &amp; G608, "https://www.kegg.jp/entry/" &amp; G608), "")</f>
        <v>https://www.kegg.jp/entry/R00441</v>
      </c>
      <c r="I608" t="s">
        <v>8175</v>
      </c>
      <c r="J608" t="s">
        <v>8445</v>
      </c>
    </row>
    <row r="609" spans="1:10" x14ac:dyDescent="0.25">
      <c r="A609" t="s">
        <v>1161</v>
      </c>
      <c r="B609">
        <v>99</v>
      </c>
      <c r="C609" t="s">
        <v>1162</v>
      </c>
      <c r="E609" s="5" t="s">
        <v>6685</v>
      </c>
      <c r="F609" s="1" t="str">
        <f>IF(E609&lt;&gt;"", HYPERLINK("https://www.kegg.jp/dbget-bin/www_bget?ec:" &amp; E609, "https://www.kegg.jp/dbget-bin/www_bget?ec:" &amp; E609), "")</f>
        <v>https://www.kegg.jp/dbget-bin/www_bget?ec:2.7.7.6</v>
      </c>
      <c r="G609" s="9" t="s">
        <v>7478</v>
      </c>
      <c r="H609" s="1" t="str">
        <f>IF(G609&lt;&gt;"", HYPERLINK("https://www.kegg.jp/entry/" &amp; G609, "https://www.kegg.jp/entry/" &amp; G609), "")</f>
        <v>https://www.kegg.jp/entry/R00442</v>
      </c>
      <c r="I609" t="s">
        <v>12924</v>
      </c>
      <c r="J609" t="s">
        <v>8445</v>
      </c>
    </row>
    <row r="610" spans="1:10" x14ac:dyDescent="0.25">
      <c r="A610" t="s">
        <v>1161</v>
      </c>
      <c r="B610">
        <v>99</v>
      </c>
      <c r="C610" t="s">
        <v>1162</v>
      </c>
      <c r="E610" s="5" t="s">
        <v>6685</v>
      </c>
      <c r="F610" s="1" t="str">
        <f>IF(E610&lt;&gt;"", HYPERLINK("https://www.kegg.jp/dbget-bin/www_bget?ec:" &amp; E610, "https://www.kegg.jp/dbget-bin/www_bget?ec:" &amp; E610), "")</f>
        <v>https://www.kegg.jp/dbget-bin/www_bget?ec:2.7.7.6</v>
      </c>
      <c r="G610" s="9" t="s">
        <v>7477</v>
      </c>
      <c r="H610" s="1" t="str">
        <f>IF(G610&lt;&gt;"", HYPERLINK("https://www.kegg.jp/entry/" &amp; G610, "https://www.kegg.jp/entry/" &amp; G610), "")</f>
        <v>https://www.kegg.jp/entry/R00443</v>
      </c>
      <c r="I610" t="s">
        <v>12925</v>
      </c>
      <c r="J610" t="s">
        <v>8445</v>
      </c>
    </row>
    <row r="611" spans="1:10" x14ac:dyDescent="0.25">
      <c r="A611" t="s">
        <v>1161</v>
      </c>
      <c r="B611">
        <v>99</v>
      </c>
      <c r="C611" t="s">
        <v>1162</v>
      </c>
      <c r="E611" s="5" t="s">
        <v>6685</v>
      </c>
      <c r="F611" s="1" t="str">
        <f>IF(E611&lt;&gt;"", HYPERLINK("https://www.kegg.jp/dbget-bin/www_bget?ec:" &amp; E611, "https://www.kegg.jp/dbget-bin/www_bget?ec:" &amp; E611), "")</f>
        <v>https://www.kegg.jp/dbget-bin/www_bget?ec:2.7.7.6</v>
      </c>
      <c r="G611" s="9" t="s">
        <v>7476</v>
      </c>
      <c r="H611" s="1" t="str">
        <f>IF(G611&lt;&gt;"", HYPERLINK("https://www.kegg.jp/entry/" &amp; G611, "https://www.kegg.jp/entry/" &amp; G611), "")</f>
        <v>https://www.kegg.jp/entry/R10813</v>
      </c>
      <c r="I611" t="s">
        <v>8176</v>
      </c>
      <c r="J611" t="s">
        <v>12926</v>
      </c>
    </row>
    <row r="612" spans="1:10" x14ac:dyDescent="0.25">
      <c r="A612" t="s">
        <v>1164</v>
      </c>
      <c r="B612">
        <v>396</v>
      </c>
      <c r="C612" t="s">
        <v>1165</v>
      </c>
      <c r="E612" s="5" t="s">
        <v>6703</v>
      </c>
      <c r="F612" s="1" t="str">
        <f>IF(E612&lt;&gt;"", HYPERLINK("https://www.kegg.jp/dbget-bin/www_bget?ec:" &amp; E612, "https://www.kegg.jp/dbget-bin/www_bget?ec:" &amp; E612), "")</f>
        <v>https://www.kegg.jp/dbget-bin/www_bget?ec:4.1.1.36</v>
      </c>
      <c r="G612" s="3" t="s">
        <v>7126</v>
      </c>
      <c r="H612" s="1" t="str">
        <f>IF(G612&lt;&gt;"", HYPERLINK("https://www.kegg.jp/entry/" &amp; G612, "https://www.kegg.jp/entry/" &amp; G612), "")</f>
        <v>https://www.kegg.jp/entry/R03269</v>
      </c>
      <c r="I612" t="s">
        <v>8184</v>
      </c>
      <c r="J612" t="s">
        <v>12968</v>
      </c>
    </row>
    <row r="613" spans="1:10" hidden="1" x14ac:dyDescent="0.25">
      <c r="A613" t="s">
        <v>1167</v>
      </c>
      <c r="B613">
        <v>158</v>
      </c>
      <c r="C613" t="s">
        <v>1168</v>
      </c>
      <c r="F613" s="1" t="str">
        <f>IF(E613&lt;&gt;"", HYPERLINK("https://www.kegg.jp/dbget-bin/www_bget?ec:" &amp; E613, "https://www.kegg.jp/dbget-bin/www_bget?ec:" &amp; E613), "")</f>
        <v/>
      </c>
      <c r="G613" s="3"/>
      <c r="H613" s="1" t="str">
        <f>IF(G613&lt;&gt;"", HYPERLINK("https://www.kegg.jp/entry/" &amp; G613, "https://www.kegg.jp/entry/" &amp; G613), "")</f>
        <v/>
      </c>
    </row>
    <row r="614" spans="1:10" hidden="1" x14ac:dyDescent="0.25">
      <c r="A614" t="s">
        <v>1170</v>
      </c>
      <c r="B614">
        <v>202</v>
      </c>
      <c r="C614" t="s">
        <v>1171</v>
      </c>
      <c r="F614" s="1" t="str">
        <f>IF(E614&lt;&gt;"", HYPERLINK("https://www.kegg.jp/dbget-bin/www_bget?ec:" &amp; E614, "https://www.kegg.jp/dbget-bin/www_bget?ec:" &amp; E614), "")</f>
        <v/>
      </c>
      <c r="G614" s="3"/>
      <c r="H614" s="1" t="str">
        <f>IF(G614&lt;&gt;"", HYPERLINK("https://www.kegg.jp/entry/" &amp; G614, "https://www.kegg.jp/entry/" &amp; G614), "")</f>
        <v/>
      </c>
    </row>
    <row r="615" spans="1:10" hidden="1" x14ac:dyDescent="0.25">
      <c r="A615" t="s">
        <v>1172</v>
      </c>
      <c r="B615">
        <v>60</v>
      </c>
      <c r="C615" t="s">
        <v>1173</v>
      </c>
      <c r="F615" s="1" t="str">
        <f>IF(E615&lt;&gt;"", HYPERLINK("https://www.kegg.jp/dbget-bin/www_bget?ec:" &amp; E615, "https://www.kegg.jp/dbget-bin/www_bget?ec:" &amp; E615), "")</f>
        <v/>
      </c>
      <c r="G615" s="3"/>
      <c r="H615" s="1" t="str">
        <f>IF(G615&lt;&gt;"", HYPERLINK("https://www.kegg.jp/entry/" &amp; G615, "https://www.kegg.jp/entry/" &amp; G615), "")</f>
        <v/>
      </c>
    </row>
    <row r="616" spans="1:10" hidden="1" x14ac:dyDescent="0.25">
      <c r="A616" t="s">
        <v>1175</v>
      </c>
      <c r="B616">
        <v>520</v>
      </c>
      <c r="C616" t="s">
        <v>1176</v>
      </c>
      <c r="F616" s="1" t="str">
        <f>IF(E616&lt;&gt;"", HYPERLINK("https://www.kegg.jp/dbget-bin/www_bget?ec:" &amp; E616, "https://www.kegg.jp/dbget-bin/www_bget?ec:" &amp; E616), "")</f>
        <v/>
      </c>
      <c r="G616" s="3"/>
      <c r="H616" s="1" t="str">
        <f>IF(G616&lt;&gt;"", HYPERLINK("https://www.kegg.jp/entry/" &amp; G616, "https://www.kegg.jp/entry/" &amp; G616), "")</f>
        <v/>
      </c>
    </row>
    <row r="617" spans="1:10" hidden="1" x14ac:dyDescent="0.25">
      <c r="A617" t="s">
        <v>1177</v>
      </c>
      <c r="B617">
        <v>82</v>
      </c>
      <c r="C617" t="s">
        <v>1178</v>
      </c>
      <c r="F617" s="1" t="str">
        <f>IF(E617&lt;&gt;"", HYPERLINK("https://www.kegg.jp/dbget-bin/www_bget?ec:" &amp; E617, "https://www.kegg.jp/dbget-bin/www_bget?ec:" &amp; E617), "")</f>
        <v/>
      </c>
      <c r="G617" s="3"/>
      <c r="H617" s="1" t="str">
        <f>IF(G617&lt;&gt;"", HYPERLINK("https://www.kegg.jp/entry/" &amp; G617, "https://www.kegg.jp/entry/" &amp; G617), "")</f>
        <v/>
      </c>
    </row>
    <row r="618" spans="1:10" hidden="1" x14ac:dyDescent="0.25">
      <c r="A618" t="s">
        <v>1179</v>
      </c>
      <c r="B618">
        <v>134</v>
      </c>
      <c r="C618" t="s">
        <v>1180</v>
      </c>
      <c r="F618" s="1" t="str">
        <f>IF(E618&lt;&gt;"", HYPERLINK("https://www.kegg.jp/dbget-bin/www_bget?ec:" &amp; E618, "https://www.kegg.jp/dbget-bin/www_bget?ec:" &amp; E618), "")</f>
        <v/>
      </c>
      <c r="G618" s="3"/>
      <c r="H618" s="1" t="str">
        <f>IF(G618&lt;&gt;"", HYPERLINK("https://www.kegg.jp/entry/" &amp; G618, "https://www.kegg.jp/entry/" &amp; G618), "")</f>
        <v/>
      </c>
    </row>
    <row r="619" spans="1:10" x14ac:dyDescent="0.25">
      <c r="A619" t="s">
        <v>1182</v>
      </c>
      <c r="B619">
        <v>407</v>
      </c>
      <c r="C619" t="s">
        <v>1183</v>
      </c>
      <c r="E619" s="5" t="s">
        <v>6704</v>
      </c>
      <c r="F619" s="1" t="str">
        <f>IF(E619&lt;&gt;"", HYPERLINK("https://www.kegg.jp/dbget-bin/www_bget?ec:" &amp; E619, "https://www.kegg.jp/dbget-bin/www_bget?ec:" &amp; E619), "")</f>
        <v>https://www.kegg.jp/dbget-bin/www_bget?ec:2.1.2.1</v>
      </c>
      <c r="G619" s="9" t="s">
        <v>7512</v>
      </c>
      <c r="H619" s="1" t="str">
        <f>IF(G619&lt;&gt;"", HYPERLINK("https://www.kegg.jp/entry/" &amp; G619, "https://www.kegg.jp/entry/" &amp; G619), "")</f>
        <v>https://www.kegg.jp/entry/R00945</v>
      </c>
      <c r="I619" t="s">
        <v>12969</v>
      </c>
      <c r="J619" t="s">
        <v>12970</v>
      </c>
    </row>
    <row r="620" spans="1:10" x14ac:dyDescent="0.25">
      <c r="A620" t="s">
        <v>1182</v>
      </c>
      <c r="B620">
        <v>407</v>
      </c>
      <c r="C620" t="s">
        <v>1183</v>
      </c>
      <c r="E620" s="5" t="s">
        <v>6704</v>
      </c>
      <c r="F620" s="1" t="str">
        <f>IF(E620&lt;&gt;"", HYPERLINK("https://www.kegg.jp/dbget-bin/www_bget?ec:" &amp; E620, "https://www.kegg.jp/dbget-bin/www_bget?ec:" &amp; E620), "")</f>
        <v>https://www.kegg.jp/dbget-bin/www_bget?ec:2.1.2.1</v>
      </c>
      <c r="G620" s="9" t="s">
        <v>7513</v>
      </c>
      <c r="H620" s="1" t="str">
        <f>IF(G620&lt;&gt;"", HYPERLINK("https://www.kegg.jp/entry/" &amp; G620, "https://www.kegg.jp/entry/" &amp; G620), "")</f>
        <v>https://www.kegg.jp/entry/R09099</v>
      </c>
      <c r="I620" t="s">
        <v>8185</v>
      </c>
      <c r="J620" t="s">
        <v>12971</v>
      </c>
    </row>
    <row r="621" spans="1:10" hidden="1" x14ac:dyDescent="0.25">
      <c r="A621" t="s">
        <v>1184</v>
      </c>
      <c r="B621">
        <v>71</v>
      </c>
      <c r="C621" t="s">
        <v>1185</v>
      </c>
      <c r="F621" s="1" t="str">
        <f>IF(E621&lt;&gt;"", HYPERLINK("https://www.kegg.jp/dbget-bin/www_bget?ec:" &amp; E621, "https://www.kegg.jp/dbget-bin/www_bget?ec:" &amp; E621), "")</f>
        <v/>
      </c>
      <c r="G621" s="3"/>
      <c r="H621" s="1" t="str">
        <f>IF(G621&lt;&gt;"", HYPERLINK("https://www.kegg.jp/entry/" &amp; G621, "https://www.kegg.jp/entry/" &amp; G621), "")</f>
        <v/>
      </c>
    </row>
    <row r="622" spans="1:10" x14ac:dyDescent="0.25">
      <c r="A622" t="s">
        <v>1187</v>
      </c>
      <c r="B622">
        <v>463</v>
      </c>
      <c r="C622" t="s">
        <v>1188</v>
      </c>
      <c r="E622" s="5" t="s">
        <v>6705</v>
      </c>
      <c r="F622" s="1" t="str">
        <f>IF(E622&lt;&gt;"", HYPERLINK("https://www.kegg.jp/dbget-bin/www_bget?ec:" &amp; E622, "https://www.kegg.jp/dbget-bin/www_bget?ec:" &amp; E622), "")</f>
        <v>https://www.kegg.jp/dbget-bin/www_bget?ec:2.4.2.14</v>
      </c>
      <c r="G622" s="3" t="s">
        <v>7127</v>
      </c>
      <c r="H622" s="1" t="str">
        <f>IF(G622&lt;&gt;"", HYPERLINK("https://www.kegg.jp/entry/" &amp; G622, "https://www.kegg.jp/entry/" &amp; G622), "")</f>
        <v>https://www.kegg.jp/entry/R01072</v>
      </c>
      <c r="I622" t="s">
        <v>12972</v>
      </c>
      <c r="J622" t="s">
        <v>12973</v>
      </c>
    </row>
    <row r="623" spans="1:10" x14ac:dyDescent="0.25">
      <c r="A623" t="s">
        <v>1190</v>
      </c>
      <c r="B623">
        <v>725</v>
      </c>
      <c r="C623" t="s">
        <v>1191</v>
      </c>
      <c r="E623" s="5" t="s">
        <v>6706</v>
      </c>
      <c r="F623" s="1" t="str">
        <f>IF(E623&lt;&gt;"", HYPERLINK("https://www.kegg.jp/dbget-bin/www_bget?ec:" &amp; E623, "https://www.kegg.jp/dbget-bin/www_bget?ec:" &amp; E623), "")</f>
        <v>https://www.kegg.jp/dbget-bin/www_bget?ec:6.3.5.3</v>
      </c>
      <c r="G623" s="3" t="s">
        <v>7128</v>
      </c>
      <c r="H623" s="1" t="str">
        <f>IF(G623&lt;&gt;"", HYPERLINK("https://www.kegg.jp/entry/" &amp; G623, "https://www.kegg.jp/entry/" &amp; G623), "")</f>
        <v>https://www.kegg.jp/entry/R04463</v>
      </c>
      <c r="I623" t="s">
        <v>12974</v>
      </c>
      <c r="J623" t="s">
        <v>12975</v>
      </c>
    </row>
    <row r="624" spans="1:10" hidden="1" x14ac:dyDescent="0.25">
      <c r="A624" t="s">
        <v>1193</v>
      </c>
      <c r="B624">
        <v>237</v>
      </c>
      <c r="C624" t="s">
        <v>1194</v>
      </c>
      <c r="F624" s="1" t="str">
        <f>IF(E624&lt;&gt;"", HYPERLINK("https://www.kegg.jp/dbget-bin/www_bget?ec:" &amp; E624, "https://www.kegg.jp/dbget-bin/www_bget?ec:" &amp; E624), "")</f>
        <v/>
      </c>
      <c r="G624" s="3"/>
      <c r="H624" s="1" t="str">
        <f>IF(G624&lt;&gt;"", HYPERLINK("https://www.kegg.jp/entry/" &amp; G624, "https://www.kegg.jp/entry/" &amp; G624), "")</f>
        <v/>
      </c>
    </row>
    <row r="625" spans="1:10" x14ac:dyDescent="0.25">
      <c r="A625" t="s">
        <v>1196</v>
      </c>
      <c r="B625">
        <v>227</v>
      </c>
      <c r="C625" t="s">
        <v>1197</v>
      </c>
      <c r="E625" s="5" t="s">
        <v>6706</v>
      </c>
      <c r="F625" s="1" t="str">
        <f>IF(E625&lt;&gt;"", HYPERLINK("https://www.kegg.jp/dbget-bin/www_bget?ec:" &amp; E625, "https://www.kegg.jp/dbget-bin/www_bget?ec:" &amp; E625), "")</f>
        <v>https://www.kegg.jp/dbget-bin/www_bget?ec:6.3.5.3</v>
      </c>
      <c r="G625" s="3" t="s">
        <v>7128</v>
      </c>
      <c r="H625" s="1" t="str">
        <f>IF(G625&lt;&gt;"", HYPERLINK("https://www.kegg.jp/entry/" &amp; G625, "https://www.kegg.jp/entry/" &amp; G625), "")</f>
        <v>https://www.kegg.jp/entry/R04463</v>
      </c>
      <c r="I625" t="s">
        <v>12974</v>
      </c>
      <c r="J625" t="s">
        <v>12975</v>
      </c>
    </row>
    <row r="626" spans="1:10" x14ac:dyDescent="0.25">
      <c r="A626" t="s">
        <v>1199</v>
      </c>
      <c r="B626">
        <v>84</v>
      </c>
      <c r="C626" t="s">
        <v>1200</v>
      </c>
      <c r="E626" s="5" t="s">
        <v>6706</v>
      </c>
      <c r="F626" s="1" t="str">
        <f>IF(E626&lt;&gt;"", HYPERLINK("https://www.kegg.jp/dbget-bin/www_bget?ec:" &amp; E626, "https://www.kegg.jp/dbget-bin/www_bget?ec:" &amp; E626), "")</f>
        <v>https://www.kegg.jp/dbget-bin/www_bget?ec:6.3.5.3</v>
      </c>
      <c r="G626" s="3" t="s">
        <v>7128</v>
      </c>
      <c r="H626" s="1" t="str">
        <f>IF(G626&lt;&gt;"", HYPERLINK("https://www.kegg.jp/entry/" &amp; G626, "https://www.kegg.jp/entry/" &amp; G626), "")</f>
        <v>https://www.kegg.jp/entry/R04463</v>
      </c>
      <c r="I626" t="s">
        <v>12974</v>
      </c>
      <c r="J626" t="s">
        <v>12975</v>
      </c>
    </row>
    <row r="627" spans="1:10" x14ac:dyDescent="0.25">
      <c r="A627" t="s">
        <v>1202</v>
      </c>
      <c r="B627">
        <v>228</v>
      </c>
      <c r="C627" t="s">
        <v>1203</v>
      </c>
      <c r="E627" s="5" t="s">
        <v>6707</v>
      </c>
      <c r="F627" s="1" t="str">
        <f>IF(E627&lt;&gt;"", HYPERLINK("https://www.kegg.jp/dbget-bin/www_bget?ec:" &amp; E627, "https://www.kegg.jp/dbget-bin/www_bget?ec:" &amp; E627), "")</f>
        <v>https://www.kegg.jp/dbget-bin/www_bget?ec:6.3.2.6</v>
      </c>
      <c r="G627" s="3" t="s">
        <v>7129</v>
      </c>
      <c r="H627" s="1" t="str">
        <f>IF(G627&lt;&gt;"", HYPERLINK("https://www.kegg.jp/entry/" &amp; G627, "https://www.kegg.jp/entry/" &amp; G627), "")</f>
        <v>https://www.kegg.jp/entry/R04591</v>
      </c>
      <c r="I627" t="s">
        <v>12976</v>
      </c>
      <c r="J627" t="s">
        <v>8457</v>
      </c>
    </row>
    <row r="628" spans="1:10" hidden="1" x14ac:dyDescent="0.25">
      <c r="A628" t="s">
        <v>1204</v>
      </c>
      <c r="B628">
        <v>121</v>
      </c>
      <c r="C628" t="s">
        <v>1205</v>
      </c>
      <c r="F628" s="1" t="str">
        <f>IF(E628&lt;&gt;"", HYPERLINK("https://www.kegg.jp/dbget-bin/www_bget?ec:" &amp; E628, "https://www.kegg.jp/dbget-bin/www_bget?ec:" &amp; E628), "")</f>
        <v/>
      </c>
      <c r="G628" s="3"/>
      <c r="H628" s="1" t="str">
        <f>IF(G628&lt;&gt;"", HYPERLINK("https://www.kegg.jp/entry/" &amp; G628, "https://www.kegg.jp/entry/" &amp; G628), "")</f>
        <v/>
      </c>
    </row>
    <row r="629" spans="1:10" hidden="1" x14ac:dyDescent="0.25">
      <c r="A629" t="s">
        <v>1207</v>
      </c>
      <c r="B629">
        <v>75</v>
      </c>
      <c r="C629" t="s">
        <v>1208</v>
      </c>
      <c r="F629" s="1" t="str">
        <f>IF(E629&lt;&gt;"", HYPERLINK("https://www.kegg.jp/dbget-bin/www_bget?ec:" &amp; E629, "https://www.kegg.jp/dbget-bin/www_bget?ec:" &amp; E629), "")</f>
        <v/>
      </c>
      <c r="G629" s="3"/>
      <c r="H629" s="1" t="str">
        <f>IF(G629&lt;&gt;"", HYPERLINK("https://www.kegg.jp/entry/" &amp; G629, "https://www.kegg.jp/entry/" &amp; G629), "")</f>
        <v/>
      </c>
    </row>
    <row r="630" spans="1:10" x14ac:dyDescent="0.25">
      <c r="A630" t="s">
        <v>1210</v>
      </c>
      <c r="B630">
        <v>449</v>
      </c>
      <c r="C630" t="s">
        <v>1211</v>
      </c>
      <c r="E630" s="5" t="s">
        <v>6708</v>
      </c>
      <c r="F630" s="1" t="str">
        <f>IF(E630&lt;&gt;"", HYPERLINK("https://www.kegg.jp/dbget-bin/www_bget?ec:" &amp; E630, "https://www.kegg.jp/dbget-bin/www_bget?ec:" &amp; E630), "")</f>
        <v>https://www.kegg.jp/dbget-bin/www_bget?ec:4.3.2.2</v>
      </c>
      <c r="G630" s="9" t="s">
        <v>7514</v>
      </c>
      <c r="H630" s="1" t="str">
        <f>IF(G630&lt;&gt;"", HYPERLINK("https://www.kegg.jp/entry/" &amp; G630, "https://www.kegg.jp/entry/" &amp; G630), "")</f>
        <v>https://www.kegg.jp/entry/R01083</v>
      </c>
      <c r="I630" t="s">
        <v>8186</v>
      </c>
      <c r="J630" t="s">
        <v>12977</v>
      </c>
    </row>
    <row r="631" spans="1:10" x14ac:dyDescent="0.25">
      <c r="A631" t="s">
        <v>1210</v>
      </c>
      <c r="B631">
        <v>449</v>
      </c>
      <c r="C631" t="s">
        <v>1211</v>
      </c>
      <c r="E631" s="5" t="s">
        <v>6708</v>
      </c>
      <c r="F631" s="1" t="str">
        <f>IF(E631&lt;&gt;"", HYPERLINK("https://www.kegg.jp/dbget-bin/www_bget?ec:" &amp; E631, "https://www.kegg.jp/dbget-bin/www_bget?ec:" &amp; E631), "")</f>
        <v>https://www.kegg.jp/dbget-bin/www_bget?ec:4.3.2.2</v>
      </c>
      <c r="G631" s="9" t="s">
        <v>7515</v>
      </c>
      <c r="H631" s="1" t="str">
        <f>IF(G631&lt;&gt;"", HYPERLINK("https://www.kegg.jp/entry/" &amp; G631, "https://www.kegg.jp/entry/" &amp; G631), "")</f>
        <v>https://www.kegg.jp/entry/R04559</v>
      </c>
      <c r="I631" t="s">
        <v>8187</v>
      </c>
      <c r="J631" t="s">
        <v>8458</v>
      </c>
    </row>
    <row r="632" spans="1:10" x14ac:dyDescent="0.25">
      <c r="A632" t="s">
        <v>1210</v>
      </c>
      <c r="B632">
        <v>449</v>
      </c>
      <c r="C632" t="s">
        <v>1211</v>
      </c>
      <c r="E632" s="5" t="s">
        <v>6708</v>
      </c>
      <c r="F632" s="1" t="str">
        <f>IF(E632&lt;&gt;"", HYPERLINK("https://www.kegg.jp/dbget-bin/www_bget?ec:" &amp; E632, "https://www.kegg.jp/dbget-bin/www_bget?ec:" &amp; E632), "")</f>
        <v>https://www.kegg.jp/dbget-bin/www_bget?ec:4.3.2.2</v>
      </c>
      <c r="G632" s="9" t="s">
        <v>7516</v>
      </c>
      <c r="H632" s="1" t="str">
        <f>IF(G632&lt;&gt;"", HYPERLINK("https://www.kegg.jp/entry/" &amp; G632, "https://www.kegg.jp/entry/" &amp; G632), "")</f>
        <v>https://www.kegg.jp/entry/R12851</v>
      </c>
      <c r="I632" t="s">
        <v>8188</v>
      </c>
      <c r="J632" t="s">
        <v>12978</v>
      </c>
    </row>
    <row r="633" spans="1:10" hidden="1" x14ac:dyDescent="0.25">
      <c r="A633" t="s">
        <v>1213</v>
      </c>
      <c r="B633">
        <v>98</v>
      </c>
      <c r="C633" t="s">
        <v>1214</v>
      </c>
      <c r="F633" s="1" t="str">
        <f>IF(E633&lt;&gt;"", HYPERLINK("https://www.kegg.jp/dbget-bin/www_bget?ec:" &amp; E633, "https://www.kegg.jp/dbget-bin/www_bget?ec:" &amp; E633), "")</f>
        <v/>
      </c>
      <c r="G633" s="3"/>
      <c r="H633" s="1" t="str">
        <f>IF(G633&lt;&gt;"", HYPERLINK("https://www.kegg.jp/entry/" &amp; G633, "https://www.kegg.jp/entry/" &amp; G633), "")</f>
        <v/>
      </c>
    </row>
    <row r="634" spans="1:10" hidden="1" x14ac:dyDescent="0.25">
      <c r="A634" t="s">
        <v>1216</v>
      </c>
      <c r="B634">
        <v>104</v>
      </c>
      <c r="C634" t="s">
        <v>1217</v>
      </c>
      <c r="F634" s="1" t="str">
        <f>IF(E634&lt;&gt;"", HYPERLINK("https://www.kegg.jp/dbget-bin/www_bget?ec:" &amp; E634, "https://www.kegg.jp/dbget-bin/www_bget?ec:" &amp; E634), "")</f>
        <v/>
      </c>
      <c r="G634" s="3"/>
      <c r="H634" s="1" t="str">
        <f>IF(G634&lt;&gt;"", HYPERLINK("https://www.kegg.jp/entry/" &amp; G634, "https://www.kegg.jp/entry/" &amp; G634), "")</f>
        <v/>
      </c>
    </row>
    <row r="635" spans="1:10" hidden="1" x14ac:dyDescent="0.25">
      <c r="A635" t="s">
        <v>1218</v>
      </c>
      <c r="B635">
        <v>193</v>
      </c>
      <c r="C635" t="s">
        <v>1219</v>
      </c>
      <c r="F635" s="1" t="str">
        <f>IF(E635&lt;&gt;"", HYPERLINK("https://www.kegg.jp/dbget-bin/www_bget?ec:" &amp; E635, "https://www.kegg.jp/dbget-bin/www_bget?ec:" &amp; E635), "")</f>
        <v/>
      </c>
      <c r="G635" s="3"/>
      <c r="H635" s="1" t="str">
        <f>IF(G635&lt;&gt;"", HYPERLINK("https://www.kegg.jp/entry/" &amp; G635, "https://www.kegg.jp/entry/" &amp; G635), "")</f>
        <v/>
      </c>
    </row>
    <row r="636" spans="1:10" hidden="1" x14ac:dyDescent="0.25">
      <c r="A636" t="s">
        <v>1221</v>
      </c>
      <c r="B636">
        <v>182</v>
      </c>
      <c r="C636" t="s">
        <v>1222</v>
      </c>
      <c r="F636" s="1" t="str">
        <f>IF(E636&lt;&gt;"", HYPERLINK("https://www.kegg.jp/dbget-bin/www_bget?ec:" &amp; E636, "https://www.kegg.jp/dbget-bin/www_bget?ec:" &amp; E636), "")</f>
        <v/>
      </c>
      <c r="G636" s="3"/>
      <c r="H636" s="1" t="str">
        <f>IF(G636&lt;&gt;"", HYPERLINK("https://www.kegg.jp/entry/" &amp; G636, "https://www.kegg.jp/entry/" &amp; G636), "")</f>
        <v/>
      </c>
    </row>
    <row r="637" spans="1:10" hidden="1" x14ac:dyDescent="0.25">
      <c r="A637" t="s">
        <v>1223</v>
      </c>
      <c r="B637">
        <v>219</v>
      </c>
      <c r="C637" t="s">
        <v>1224</v>
      </c>
      <c r="F637" s="1" t="str">
        <f>IF(E637&lt;&gt;"", HYPERLINK("https://www.kegg.jp/dbget-bin/www_bget?ec:" &amp; E637, "https://www.kegg.jp/dbget-bin/www_bget?ec:" &amp; E637), "")</f>
        <v/>
      </c>
      <c r="G637" s="3"/>
      <c r="H637" s="1" t="str">
        <f>IF(G637&lt;&gt;"", HYPERLINK("https://www.kegg.jp/entry/" &amp; G637, "https://www.kegg.jp/entry/" &amp; G637), "")</f>
        <v/>
      </c>
    </row>
    <row r="638" spans="1:10" x14ac:dyDescent="0.25">
      <c r="A638" t="s">
        <v>1226</v>
      </c>
      <c r="B638">
        <v>121</v>
      </c>
      <c r="C638" t="s">
        <v>1227</v>
      </c>
      <c r="E638" s="5" t="s">
        <v>6709</v>
      </c>
      <c r="F638" s="1" t="str">
        <f>IF(E638&lt;&gt;"", HYPERLINK("https://www.kegg.jp/dbget-bin/www_bget?ec:" &amp; E638, "https://www.kegg.jp/dbget-bin/www_bget?ec:" &amp; E638), "")</f>
        <v>https://www.kegg.jp/dbget-bin/www_bget?ec:4.1.1.44</v>
      </c>
      <c r="G638" s="3" t="s">
        <v>7130</v>
      </c>
      <c r="H638" s="1" t="str">
        <f>IF(G638&lt;&gt;"", HYPERLINK("https://www.kegg.jp/entry/" &amp; G638, "https://www.kegg.jp/entry/" &amp; G638), "")</f>
        <v>https://www.kegg.jp/entry/R03470</v>
      </c>
      <c r="I638" t="s">
        <v>8189</v>
      </c>
      <c r="J638" t="s">
        <v>12979</v>
      </c>
    </row>
    <row r="639" spans="1:10" x14ac:dyDescent="0.25">
      <c r="A639" t="s">
        <v>1229</v>
      </c>
      <c r="B639">
        <v>224</v>
      </c>
      <c r="C639" t="s">
        <v>1230</v>
      </c>
      <c r="E639" s="5" t="s">
        <v>6710</v>
      </c>
      <c r="F639" s="1" t="str">
        <f>IF(E639&lt;&gt;"", HYPERLINK("https://www.kegg.jp/dbget-bin/www_bget?ec:" &amp; E639, "https://www.kegg.jp/dbget-bin/www_bget?ec:" &amp; E639), "")</f>
        <v>https://www.kegg.jp/dbget-bin/www_bget?ec:4.2.1.75</v>
      </c>
      <c r="G639" s="3" t="s">
        <v>7131</v>
      </c>
      <c r="H639" s="1" t="str">
        <f>IF(G639&lt;&gt;"", HYPERLINK("https://www.kegg.jp/entry/" &amp; G639, "https://www.kegg.jp/entry/" &amp; G639), "")</f>
        <v>https://www.kegg.jp/entry/R03165</v>
      </c>
      <c r="I639" t="s">
        <v>8190</v>
      </c>
      <c r="J639" t="s">
        <v>12980</v>
      </c>
    </row>
    <row r="640" spans="1:10" x14ac:dyDescent="0.25">
      <c r="A640" t="s">
        <v>1232</v>
      </c>
      <c r="B640">
        <v>392</v>
      </c>
      <c r="C640" t="s">
        <v>1233</v>
      </c>
      <c r="E640" s="5" t="s">
        <v>6711</v>
      </c>
      <c r="F640" s="1" t="str">
        <f>IF(E640&lt;&gt;"", HYPERLINK("https://www.kegg.jp/dbget-bin/www_bget?ec:" &amp; E640, "https://www.kegg.jp/dbget-bin/www_bget?ec:" &amp; E640), "")</f>
        <v>https://www.kegg.jp/dbget-bin/www_bget?ec:1.2.1.70</v>
      </c>
      <c r="G640" s="3" t="s">
        <v>7132</v>
      </c>
      <c r="H640" s="1" t="str">
        <f>IF(G640&lt;&gt;"", HYPERLINK("https://www.kegg.jp/entry/" &amp; G640, "https://www.kegg.jp/entry/" &amp; G640), "")</f>
        <v>https://www.kegg.jp/entry/R04109</v>
      </c>
      <c r="I640" t="s">
        <v>12981</v>
      </c>
      <c r="J640" t="s">
        <v>12982</v>
      </c>
    </row>
    <row r="641" spans="1:10" hidden="1" x14ac:dyDescent="0.25">
      <c r="A641" t="s">
        <v>1234</v>
      </c>
      <c r="B641">
        <v>250</v>
      </c>
      <c r="C641" t="s">
        <v>1235</v>
      </c>
      <c r="F641" s="1" t="str">
        <f>IF(E641&lt;&gt;"", HYPERLINK("https://www.kegg.jp/dbget-bin/www_bget?ec:" &amp; E641, "https://www.kegg.jp/dbget-bin/www_bget?ec:" &amp; E641), "")</f>
        <v/>
      </c>
      <c r="G641" s="3"/>
      <c r="H641" s="1" t="str">
        <f>IF(G641&lt;&gt;"", HYPERLINK("https://www.kegg.jp/entry/" &amp; G641, "https://www.kegg.jp/entry/" &amp; G641), "")</f>
        <v/>
      </c>
    </row>
    <row r="642" spans="1:10" hidden="1" x14ac:dyDescent="0.25">
      <c r="A642" t="s">
        <v>1236</v>
      </c>
      <c r="B642">
        <v>60</v>
      </c>
      <c r="C642" t="s">
        <v>1237</v>
      </c>
      <c r="F642" s="1" t="str">
        <f>IF(E642&lt;&gt;"", HYPERLINK("https://www.kegg.jp/dbget-bin/www_bget?ec:" &amp; E642, "https://www.kegg.jp/dbget-bin/www_bget?ec:" &amp; E642), "")</f>
        <v/>
      </c>
      <c r="G642" s="3"/>
      <c r="H642" s="1" t="str">
        <f>IF(G642&lt;&gt;"", HYPERLINK("https://www.kegg.jp/entry/" &amp; G642, "https://www.kegg.jp/entry/" &amp; G642), "")</f>
        <v/>
      </c>
    </row>
    <row r="643" spans="1:10" hidden="1" x14ac:dyDescent="0.25">
      <c r="A643" t="s">
        <v>1238</v>
      </c>
      <c r="B643">
        <v>217</v>
      </c>
      <c r="C643" t="s">
        <v>1239</v>
      </c>
      <c r="F643" s="1" t="str">
        <f>IF(E643&lt;&gt;"", HYPERLINK("https://www.kegg.jp/dbget-bin/www_bget?ec:" &amp; E643, "https://www.kegg.jp/dbget-bin/www_bget?ec:" &amp; E643), "")</f>
        <v/>
      </c>
      <c r="G643" s="3"/>
      <c r="H643" s="1" t="str">
        <f>IF(G643&lt;&gt;"", HYPERLINK("https://www.kegg.jp/entry/" &amp; G643, "https://www.kegg.jp/entry/" &amp; G643), "")</f>
        <v/>
      </c>
    </row>
    <row r="644" spans="1:10" hidden="1" x14ac:dyDescent="0.25">
      <c r="A644" t="s">
        <v>1240</v>
      </c>
      <c r="B644">
        <v>123</v>
      </c>
      <c r="C644" t="s">
        <v>1241</v>
      </c>
      <c r="F644" s="1" t="str">
        <f>IF(E644&lt;&gt;"", HYPERLINK("https://www.kegg.jp/dbget-bin/www_bget?ec:" &amp; E644, "https://www.kegg.jp/dbget-bin/www_bget?ec:" &amp; E644), "")</f>
        <v/>
      </c>
      <c r="G644" s="3"/>
      <c r="H644" s="1" t="str">
        <f>IF(G644&lt;&gt;"", HYPERLINK("https://www.kegg.jp/entry/" &amp; G644, "https://www.kegg.jp/entry/" &amp; G644), "")</f>
        <v/>
      </c>
    </row>
    <row r="645" spans="1:10" hidden="1" x14ac:dyDescent="0.25">
      <c r="A645" t="s">
        <v>1242</v>
      </c>
      <c r="B645">
        <v>88</v>
      </c>
      <c r="C645" t="s">
        <v>1243</v>
      </c>
      <c r="F645" s="1" t="str">
        <f>IF(E645&lt;&gt;"", HYPERLINK("https://www.kegg.jp/dbget-bin/www_bget?ec:" &amp; E645, "https://www.kegg.jp/dbget-bin/www_bget?ec:" &amp; E645), "")</f>
        <v/>
      </c>
      <c r="G645" s="3"/>
      <c r="H645" s="1" t="str">
        <f>IF(G645&lt;&gt;"", HYPERLINK("https://www.kegg.jp/entry/" &amp; G645, "https://www.kegg.jp/entry/" &amp; G645), "")</f>
        <v/>
      </c>
    </row>
    <row r="646" spans="1:10" hidden="1" x14ac:dyDescent="0.25">
      <c r="A646" t="s">
        <v>1244</v>
      </c>
      <c r="B646">
        <v>123</v>
      </c>
      <c r="C646" t="s">
        <v>1245</v>
      </c>
      <c r="F646" s="1" t="str">
        <f>IF(E646&lt;&gt;"", HYPERLINK("https://www.kegg.jp/dbget-bin/www_bget?ec:" &amp; E646, "https://www.kegg.jp/dbget-bin/www_bget?ec:" &amp; E646), "")</f>
        <v/>
      </c>
      <c r="G646" s="3"/>
      <c r="H646" s="1" t="str">
        <f>IF(G646&lt;&gt;"", HYPERLINK("https://www.kegg.jp/entry/" &amp; G646, "https://www.kegg.jp/entry/" &amp; G646), "")</f>
        <v/>
      </c>
    </row>
    <row r="647" spans="1:10" hidden="1" x14ac:dyDescent="0.25">
      <c r="A647" t="s">
        <v>1247</v>
      </c>
      <c r="B647">
        <v>468</v>
      </c>
      <c r="C647" t="s">
        <v>1248</v>
      </c>
      <c r="F647" s="1" t="str">
        <f>IF(E647&lt;&gt;"", HYPERLINK("https://www.kegg.jp/dbget-bin/www_bget?ec:" &amp; E647, "https://www.kegg.jp/dbget-bin/www_bget?ec:" &amp; E647), "")</f>
        <v/>
      </c>
      <c r="G647" s="3"/>
      <c r="H647" s="1" t="str">
        <f>IF(G647&lt;&gt;"", HYPERLINK("https://www.kegg.jp/entry/" &amp; G647, "https://www.kegg.jp/entry/" &amp; G647), "")</f>
        <v/>
      </c>
    </row>
    <row r="648" spans="1:10" hidden="1" x14ac:dyDescent="0.25">
      <c r="A648" t="s">
        <v>1249</v>
      </c>
      <c r="B648">
        <v>230</v>
      </c>
      <c r="C648" t="s">
        <v>1250</v>
      </c>
      <c r="F648" s="1" t="str">
        <f>IF(E648&lt;&gt;"", HYPERLINK("https://www.kegg.jp/dbget-bin/www_bget?ec:" &amp; E648, "https://www.kegg.jp/dbget-bin/www_bget?ec:" &amp; E648), "")</f>
        <v/>
      </c>
      <c r="G648" s="3"/>
      <c r="H648" s="1" t="str">
        <f>IF(G648&lt;&gt;"", HYPERLINK("https://www.kegg.jp/entry/" &amp; G648, "https://www.kegg.jp/entry/" &amp; G648), "")</f>
        <v/>
      </c>
    </row>
    <row r="649" spans="1:10" hidden="1" x14ac:dyDescent="0.25">
      <c r="A649" t="s">
        <v>1251</v>
      </c>
      <c r="B649">
        <v>69</v>
      </c>
      <c r="C649" t="s">
        <v>1252</v>
      </c>
      <c r="F649" s="1" t="str">
        <f>IF(E649&lt;&gt;"", HYPERLINK("https://www.kegg.jp/dbget-bin/www_bget?ec:" &amp; E649, "https://www.kegg.jp/dbget-bin/www_bget?ec:" &amp; E649), "")</f>
        <v/>
      </c>
      <c r="G649" s="3"/>
      <c r="H649" s="1" t="str">
        <f>IF(G649&lt;&gt;"", HYPERLINK("https://www.kegg.jp/entry/" &amp; G649, "https://www.kegg.jp/entry/" &amp; G649), "")</f>
        <v/>
      </c>
    </row>
    <row r="650" spans="1:10" x14ac:dyDescent="0.25">
      <c r="A650" t="s">
        <v>1254</v>
      </c>
      <c r="B650">
        <v>94</v>
      </c>
      <c r="C650" t="s">
        <v>1255</v>
      </c>
      <c r="E650" s="5" t="s">
        <v>6712</v>
      </c>
      <c r="F650" s="1" t="str">
        <f>IF(E650&lt;&gt;"", HYPERLINK("https://www.kegg.jp/dbget-bin/www_bget?ec:" &amp; E650, "https://www.kegg.jp/dbget-bin/www_bget?ec:" &amp; E650), "")</f>
        <v>https://www.kegg.jp/dbget-bin/www_bget?ec:2.7.9.2</v>
      </c>
      <c r="G650" s="3" t="s">
        <v>7133</v>
      </c>
      <c r="H650" s="1" t="str">
        <f>IF(G650&lt;&gt;"", HYPERLINK("https://www.kegg.jp/entry/" &amp; G650, "https://www.kegg.jp/entry/" &amp; G650), "")</f>
        <v>https://www.kegg.jp/entry/R00199</v>
      </c>
      <c r="I650" t="s">
        <v>12983</v>
      </c>
      <c r="J650" t="s">
        <v>12984</v>
      </c>
    </row>
    <row r="651" spans="1:10" hidden="1" x14ac:dyDescent="0.25">
      <c r="A651" t="s">
        <v>1257</v>
      </c>
      <c r="B651">
        <v>296</v>
      </c>
      <c r="C651" t="s">
        <v>1258</v>
      </c>
      <c r="F651" s="1" t="str">
        <f>IF(E651&lt;&gt;"", HYPERLINK("https://www.kegg.jp/dbget-bin/www_bget?ec:" &amp; E651, "https://www.kegg.jp/dbget-bin/www_bget?ec:" &amp; E651), "")</f>
        <v/>
      </c>
      <c r="G651" s="3"/>
      <c r="H651" s="1" t="str">
        <f>IF(G651&lt;&gt;"", HYPERLINK("https://www.kegg.jp/entry/" &amp; G651, "https://www.kegg.jp/entry/" &amp; G651), "")</f>
        <v/>
      </c>
    </row>
    <row r="652" spans="1:10" hidden="1" x14ac:dyDescent="0.25">
      <c r="A652" t="s">
        <v>1260</v>
      </c>
      <c r="B652">
        <v>658</v>
      </c>
      <c r="C652" t="s">
        <v>1261</v>
      </c>
      <c r="F652" s="1" t="str">
        <f>IF(E652&lt;&gt;"", HYPERLINK("https://www.kegg.jp/dbget-bin/www_bget?ec:" &amp; E652, "https://www.kegg.jp/dbget-bin/www_bget?ec:" &amp; E652), "")</f>
        <v/>
      </c>
      <c r="G652" s="3"/>
      <c r="H652" s="1" t="str">
        <f>IF(G652&lt;&gt;"", HYPERLINK("https://www.kegg.jp/entry/" &amp; G652, "https://www.kegg.jp/entry/" &amp; G652), "")</f>
        <v/>
      </c>
    </row>
    <row r="653" spans="1:10" hidden="1" x14ac:dyDescent="0.25">
      <c r="A653" t="s">
        <v>1262</v>
      </c>
      <c r="B653">
        <v>124</v>
      </c>
      <c r="C653" t="s">
        <v>1263</v>
      </c>
      <c r="F653" s="1" t="str">
        <f>IF(E653&lt;&gt;"", HYPERLINK("https://www.kegg.jp/dbget-bin/www_bget?ec:" &amp; E653, "https://www.kegg.jp/dbget-bin/www_bget?ec:" &amp; E653), "")</f>
        <v/>
      </c>
      <c r="G653" s="3"/>
      <c r="H653" s="1" t="str">
        <f>IF(G653&lt;&gt;"", HYPERLINK("https://www.kegg.jp/entry/" &amp; G653, "https://www.kegg.jp/entry/" &amp; G653), "")</f>
        <v/>
      </c>
    </row>
    <row r="654" spans="1:10" hidden="1" x14ac:dyDescent="0.25">
      <c r="A654" t="s">
        <v>1265</v>
      </c>
      <c r="B654">
        <v>159</v>
      </c>
      <c r="C654" t="s">
        <v>1266</v>
      </c>
      <c r="F654" s="1" t="str">
        <f>IF(E654&lt;&gt;"", HYPERLINK("https://www.kegg.jp/dbget-bin/www_bget?ec:" &amp; E654, "https://www.kegg.jp/dbget-bin/www_bget?ec:" &amp; E654), "")</f>
        <v/>
      </c>
      <c r="G654" s="3"/>
      <c r="H654" s="1" t="str">
        <f>IF(G654&lt;&gt;"", HYPERLINK("https://www.kegg.jp/entry/" &amp; G654, "https://www.kegg.jp/entry/" &amp; G654), "")</f>
        <v/>
      </c>
    </row>
    <row r="655" spans="1:10" x14ac:dyDescent="0.25">
      <c r="A655" t="s">
        <v>1268</v>
      </c>
      <c r="B655">
        <v>263</v>
      </c>
      <c r="C655" t="s">
        <v>1269</v>
      </c>
      <c r="E655" s="5" t="s">
        <v>6713</v>
      </c>
      <c r="F655" s="1" t="str">
        <f>IF(E655&lt;&gt;"", HYPERLINK("https://www.kegg.jp/dbget-bin/www_bget?ec:" &amp; E655, "https://www.kegg.jp/dbget-bin/www_bget?ec:" &amp; E655), "")</f>
        <v>https://www.kegg.jp/dbget-bin/www_bget?ec:3.1.3.25</v>
      </c>
      <c r="G655" s="9" t="s">
        <v>7517</v>
      </c>
      <c r="H655" s="1" t="str">
        <f>IF(G655&lt;&gt;"", HYPERLINK("https://www.kegg.jp/entry/" &amp; G655, "https://www.kegg.jp/entry/" &amp; G655), "")</f>
        <v>https://www.kegg.jp/entry/R07343</v>
      </c>
      <c r="I655" t="s">
        <v>12985</v>
      </c>
      <c r="J655" t="s">
        <v>12986</v>
      </c>
    </row>
    <row r="656" spans="1:10" x14ac:dyDescent="0.25">
      <c r="A656" t="s">
        <v>1268</v>
      </c>
      <c r="B656">
        <v>263</v>
      </c>
      <c r="C656" t="s">
        <v>1269</v>
      </c>
      <c r="E656" s="5" t="s">
        <v>6713</v>
      </c>
      <c r="F656" s="1" t="str">
        <f>IF(E656&lt;&gt;"", HYPERLINK("https://www.kegg.jp/dbget-bin/www_bget?ec:" &amp; E656, "https://www.kegg.jp/dbget-bin/www_bget?ec:" &amp; E656), "")</f>
        <v>https://www.kegg.jp/dbget-bin/www_bget?ec:3.1.3.25</v>
      </c>
      <c r="G656" s="9" t="s">
        <v>7520</v>
      </c>
      <c r="H656" s="1" t="str">
        <f>IF(G656&lt;&gt;"", HYPERLINK("https://www.kegg.jp/entry/" &amp; G656, "https://www.kegg.jp/entry/" &amp; G656), "")</f>
        <v>https://www.kegg.jp/entry/R01185</v>
      </c>
      <c r="I656" t="s">
        <v>12987</v>
      </c>
      <c r="J656" t="s">
        <v>12986</v>
      </c>
    </row>
    <row r="657" spans="1:10" x14ac:dyDescent="0.25">
      <c r="A657" t="s">
        <v>1268</v>
      </c>
      <c r="B657">
        <v>263</v>
      </c>
      <c r="C657" t="s">
        <v>1269</v>
      </c>
      <c r="E657" s="5" t="s">
        <v>6713</v>
      </c>
      <c r="F657" s="1" t="str">
        <f>IF(E657&lt;&gt;"", HYPERLINK("https://www.kegg.jp/dbget-bin/www_bget?ec:" &amp; E657, "https://www.kegg.jp/dbget-bin/www_bget?ec:" &amp; E657), "")</f>
        <v>https://www.kegg.jp/dbget-bin/www_bget?ec:3.1.3.25</v>
      </c>
      <c r="G657" s="9" t="s">
        <v>7519</v>
      </c>
      <c r="H657" s="1" t="str">
        <f>IF(G657&lt;&gt;"", HYPERLINK("https://www.kegg.jp/entry/" &amp; G657, "https://www.kegg.jp/entry/" &amp; G657), "")</f>
        <v>https://www.kegg.jp/entry/R01186</v>
      </c>
      <c r="I657" t="s">
        <v>12988</v>
      </c>
      <c r="J657" t="s">
        <v>12986</v>
      </c>
    </row>
    <row r="658" spans="1:10" x14ac:dyDescent="0.25">
      <c r="A658" t="s">
        <v>1268</v>
      </c>
      <c r="B658">
        <v>263</v>
      </c>
      <c r="C658" t="s">
        <v>1269</v>
      </c>
      <c r="E658" s="5" t="s">
        <v>6713</v>
      </c>
      <c r="F658" s="1" t="str">
        <f>IF(E658&lt;&gt;"", HYPERLINK("https://www.kegg.jp/dbget-bin/www_bget?ec:" &amp; E658, "https://www.kegg.jp/dbget-bin/www_bget?ec:" &amp; E658), "")</f>
        <v>https://www.kegg.jp/dbget-bin/www_bget?ec:3.1.3.25</v>
      </c>
      <c r="G658" s="9" t="s">
        <v>7518</v>
      </c>
      <c r="H658" s="1" t="str">
        <f>IF(G658&lt;&gt;"", HYPERLINK("https://www.kegg.jp/entry/" &amp; G658, "https://www.kegg.jp/entry/" &amp; G658), "")</f>
        <v>https://www.kegg.jp/entry/R01187</v>
      </c>
      <c r="I658" t="s">
        <v>12989</v>
      </c>
      <c r="J658" t="s">
        <v>12986</v>
      </c>
    </row>
    <row r="659" spans="1:10" x14ac:dyDescent="0.25">
      <c r="A659" t="s">
        <v>1271</v>
      </c>
      <c r="B659">
        <v>204</v>
      </c>
      <c r="C659" t="s">
        <v>1272</v>
      </c>
      <c r="E659" s="5" t="s">
        <v>6714</v>
      </c>
      <c r="F659" s="1" t="str">
        <f>IF(E659&lt;&gt;"", HYPERLINK("https://www.kegg.jp/dbget-bin/www_bget?ec:" &amp; E659, "https://www.kegg.jp/dbget-bin/www_bget?ec:" &amp; E659), "")</f>
        <v>https://www.kegg.jp/dbget-bin/www_bget?ec:5.3.1.24</v>
      </c>
      <c r="G659" s="3" t="s">
        <v>7134</v>
      </c>
      <c r="H659" s="1" t="str">
        <f>IF(G659&lt;&gt;"", HYPERLINK("https://www.kegg.jp/entry/" &amp; G659, "https://www.kegg.jp/entry/" &amp; G659), "")</f>
        <v>https://www.kegg.jp/entry/R03509</v>
      </c>
      <c r="I659" t="s">
        <v>8191</v>
      </c>
      <c r="J659" t="s">
        <v>8295</v>
      </c>
    </row>
    <row r="660" spans="1:10" x14ac:dyDescent="0.25">
      <c r="A660" t="s">
        <v>1274</v>
      </c>
      <c r="B660">
        <v>1768</v>
      </c>
      <c r="C660" t="s">
        <v>1275</v>
      </c>
      <c r="E660" s="5" t="s">
        <v>6715</v>
      </c>
      <c r="F660" s="1" t="str">
        <f>IF(E660&lt;&gt;"", HYPERLINK("https://www.kegg.jp/dbget-bin/www_bget?ec:" &amp; E660, "https://www.kegg.jp/dbget-bin/www_bget?ec:" &amp; E660), "")</f>
        <v>https://www.kegg.jp/dbget-bin/www_bget?ec:1.17.4.1</v>
      </c>
      <c r="G660" s="9" t="s">
        <v>7521</v>
      </c>
      <c r="H660" s="1" t="str">
        <f>IF(G660&lt;&gt;"", HYPERLINK("https://www.kegg.jp/entry/" &amp; G660, "https://www.kegg.jp/entry/" &amp; G660), "")</f>
        <v>https://www.kegg.jp/entry/R04294</v>
      </c>
      <c r="I660" t="s">
        <v>12990</v>
      </c>
      <c r="J660" t="s">
        <v>12991</v>
      </c>
    </row>
    <row r="661" spans="1:10" x14ac:dyDescent="0.25">
      <c r="A661" t="s">
        <v>1274</v>
      </c>
      <c r="B661">
        <v>1768</v>
      </c>
      <c r="C661" t="s">
        <v>1275</v>
      </c>
      <c r="E661" s="5" t="s">
        <v>6715</v>
      </c>
      <c r="F661" s="1" t="str">
        <f>IF(E661&lt;&gt;"", HYPERLINK("https://www.kegg.jp/dbget-bin/www_bget?ec:" &amp; E661, "https://www.kegg.jp/dbget-bin/www_bget?ec:" &amp; E661), "")</f>
        <v>https://www.kegg.jp/dbget-bin/www_bget?ec:1.17.4.1</v>
      </c>
      <c r="G661" s="9" t="s">
        <v>7528</v>
      </c>
      <c r="H661" s="1" t="str">
        <f>IF(G661&lt;&gt;"", HYPERLINK("https://www.kegg.jp/entry/" &amp; G661, "https://www.kegg.jp/entry/" &amp; G661), "")</f>
        <v>https://www.kegg.jp/entry/R02017</v>
      </c>
      <c r="I661" t="s">
        <v>12992</v>
      </c>
      <c r="J661" t="s">
        <v>12993</v>
      </c>
    </row>
    <row r="662" spans="1:10" x14ac:dyDescent="0.25">
      <c r="A662" t="s">
        <v>1274</v>
      </c>
      <c r="B662">
        <v>1768</v>
      </c>
      <c r="C662" t="s">
        <v>1275</v>
      </c>
      <c r="E662" s="5" t="s">
        <v>6715</v>
      </c>
      <c r="F662" s="1" t="str">
        <f>IF(E662&lt;&gt;"", HYPERLINK("https://www.kegg.jp/dbget-bin/www_bget?ec:" &amp; E662, "https://www.kegg.jp/dbget-bin/www_bget?ec:" &amp; E662), "")</f>
        <v>https://www.kegg.jp/dbget-bin/www_bget?ec:1.17.4.1</v>
      </c>
      <c r="G662" s="9" t="s">
        <v>7527</v>
      </c>
      <c r="H662" s="1" t="str">
        <f>IF(G662&lt;&gt;"", HYPERLINK("https://www.kegg.jp/entry/" &amp; G662, "https://www.kegg.jp/entry/" &amp; G662), "")</f>
        <v>https://www.kegg.jp/entry/R02018</v>
      </c>
      <c r="I662" t="s">
        <v>12994</v>
      </c>
      <c r="J662" t="s">
        <v>12995</v>
      </c>
    </row>
    <row r="663" spans="1:10" x14ac:dyDescent="0.25">
      <c r="A663" t="s">
        <v>1274</v>
      </c>
      <c r="B663">
        <v>1768</v>
      </c>
      <c r="C663" t="s">
        <v>1275</v>
      </c>
      <c r="E663" s="5" t="s">
        <v>6715</v>
      </c>
      <c r="F663" s="1" t="str">
        <f>IF(E663&lt;&gt;"", HYPERLINK("https://www.kegg.jp/dbget-bin/www_bget?ec:" &amp; E663, "https://www.kegg.jp/dbget-bin/www_bget?ec:" &amp; E663), "")</f>
        <v>https://www.kegg.jp/dbget-bin/www_bget?ec:1.17.4.1</v>
      </c>
      <c r="G663" s="9" t="s">
        <v>7526</v>
      </c>
      <c r="H663" s="1" t="str">
        <f>IF(G663&lt;&gt;"", HYPERLINK("https://www.kegg.jp/entry/" &amp; G663, "https://www.kegg.jp/entry/" &amp; G663), "")</f>
        <v>https://www.kegg.jp/entry/R02019</v>
      </c>
      <c r="I663" t="s">
        <v>12996</v>
      </c>
      <c r="J663" t="s">
        <v>8459</v>
      </c>
    </row>
    <row r="664" spans="1:10" x14ac:dyDescent="0.25">
      <c r="A664" t="s">
        <v>1274</v>
      </c>
      <c r="B664">
        <v>1768</v>
      </c>
      <c r="C664" t="s">
        <v>1275</v>
      </c>
      <c r="E664" s="5" t="s">
        <v>6715</v>
      </c>
      <c r="F664" s="1" t="str">
        <f>IF(E664&lt;&gt;"", HYPERLINK("https://www.kegg.jp/dbget-bin/www_bget?ec:" &amp; E664, "https://www.kegg.jp/dbget-bin/www_bget?ec:" &amp; E664), "")</f>
        <v>https://www.kegg.jp/dbget-bin/www_bget?ec:1.17.4.1</v>
      </c>
      <c r="G664" s="9" t="s">
        <v>7525</v>
      </c>
      <c r="H664" s="1" t="str">
        <f>IF(G664&lt;&gt;"", HYPERLINK("https://www.kegg.jp/entry/" &amp; G664, "https://www.kegg.jp/entry/" &amp; G664), "")</f>
        <v>https://www.kegg.jp/entry/R02024</v>
      </c>
      <c r="I664" t="s">
        <v>12997</v>
      </c>
      <c r="J664" t="s">
        <v>12998</v>
      </c>
    </row>
    <row r="665" spans="1:10" x14ac:dyDescent="0.25">
      <c r="A665" t="s">
        <v>1274</v>
      </c>
      <c r="B665">
        <v>1768</v>
      </c>
      <c r="C665" t="s">
        <v>1275</v>
      </c>
      <c r="E665" s="5" t="s">
        <v>6715</v>
      </c>
      <c r="F665" s="1" t="str">
        <f>IF(E665&lt;&gt;"", HYPERLINK("https://www.kegg.jp/dbget-bin/www_bget?ec:" &amp; E665, "https://www.kegg.jp/dbget-bin/www_bget?ec:" &amp; E665), "")</f>
        <v>https://www.kegg.jp/dbget-bin/www_bget?ec:1.17.4.1</v>
      </c>
      <c r="G665" s="9" t="s">
        <v>7524</v>
      </c>
      <c r="H665" s="1" t="str">
        <f>IF(G665&lt;&gt;"", HYPERLINK("https://www.kegg.jp/entry/" &amp; G665, "https://www.kegg.jp/entry/" &amp; G665), "")</f>
        <v>https://www.kegg.jp/entry/R08363</v>
      </c>
      <c r="I665" t="s">
        <v>12999</v>
      </c>
      <c r="J665" t="s">
        <v>8460</v>
      </c>
    </row>
    <row r="666" spans="1:10" x14ac:dyDescent="0.25">
      <c r="A666" t="s">
        <v>1274</v>
      </c>
      <c r="B666">
        <v>1768</v>
      </c>
      <c r="C666" t="s">
        <v>1275</v>
      </c>
      <c r="E666" s="5" t="s">
        <v>6715</v>
      </c>
      <c r="F666" s="1" t="str">
        <f>IF(E666&lt;&gt;"", HYPERLINK("https://www.kegg.jp/dbget-bin/www_bget?ec:" &amp; E666, "https://www.kegg.jp/dbget-bin/www_bget?ec:" &amp; E666), "")</f>
        <v>https://www.kegg.jp/dbget-bin/www_bget?ec:1.17.4.1</v>
      </c>
      <c r="G666" s="9" t="s">
        <v>7523</v>
      </c>
      <c r="H666" s="1" t="str">
        <f>IF(G666&lt;&gt;"", HYPERLINK("https://www.kegg.jp/entry/" &amp; G666, "https://www.kegg.jp/entry/" &amp; G666), "")</f>
        <v>https://www.kegg.jp/entry/R08364</v>
      </c>
      <c r="I666" t="s">
        <v>13000</v>
      </c>
      <c r="J666" t="s">
        <v>13001</v>
      </c>
    </row>
    <row r="667" spans="1:10" x14ac:dyDescent="0.25">
      <c r="A667" t="s">
        <v>1274</v>
      </c>
      <c r="B667">
        <v>1768</v>
      </c>
      <c r="C667" t="s">
        <v>1275</v>
      </c>
      <c r="E667" s="5" t="s">
        <v>6715</v>
      </c>
      <c r="F667" s="1" t="str">
        <f>IF(E667&lt;&gt;"", HYPERLINK("https://www.kegg.jp/dbget-bin/www_bget?ec:" &amp; E667, "https://www.kegg.jp/dbget-bin/www_bget?ec:" &amp; E667), "")</f>
        <v>https://www.kegg.jp/dbget-bin/www_bget?ec:1.17.4.1</v>
      </c>
      <c r="G667" s="9" t="s">
        <v>7522</v>
      </c>
      <c r="H667" s="1" t="str">
        <f>IF(G667&lt;&gt;"", HYPERLINK("https://www.kegg.jp/entry/" &amp; G667, "https://www.kegg.jp/entry/" &amp; G667), "")</f>
        <v>https://www.kegg.jp/entry/R11893</v>
      </c>
      <c r="I667" t="s">
        <v>13002</v>
      </c>
      <c r="J667" t="s">
        <v>13003</v>
      </c>
    </row>
    <row r="668" spans="1:10" hidden="1" x14ac:dyDescent="0.25">
      <c r="A668" t="s">
        <v>1277</v>
      </c>
      <c r="B668">
        <v>438</v>
      </c>
      <c r="C668" t="s">
        <v>1278</v>
      </c>
      <c r="F668" s="1" t="str">
        <f>IF(E668&lt;&gt;"", HYPERLINK("https://www.kegg.jp/dbget-bin/www_bget?ec:" &amp; E668, "https://www.kegg.jp/dbget-bin/www_bget?ec:" &amp; E668), "")</f>
        <v/>
      </c>
      <c r="G668" s="3"/>
      <c r="H668" s="1" t="str">
        <f>IF(G668&lt;&gt;"", HYPERLINK("https://www.kegg.jp/entry/" &amp; G668, "https://www.kegg.jp/entry/" &amp; G668), "")</f>
        <v/>
      </c>
    </row>
    <row r="669" spans="1:10" hidden="1" x14ac:dyDescent="0.25">
      <c r="A669" t="s">
        <v>1280</v>
      </c>
      <c r="B669">
        <v>105</v>
      </c>
      <c r="C669" t="s">
        <v>1281</v>
      </c>
      <c r="F669" s="1" t="str">
        <f>IF(E669&lt;&gt;"", HYPERLINK("https://www.kegg.jp/dbget-bin/www_bget?ec:" &amp; E669, "https://www.kegg.jp/dbget-bin/www_bget?ec:" &amp; E669), "")</f>
        <v/>
      </c>
      <c r="G669" s="3"/>
      <c r="H669" s="1" t="str">
        <f>IF(G669&lt;&gt;"", HYPERLINK("https://www.kegg.jp/entry/" &amp; G669, "https://www.kegg.jp/entry/" &amp; G669), "")</f>
        <v/>
      </c>
    </row>
    <row r="670" spans="1:10" hidden="1" x14ac:dyDescent="0.25">
      <c r="A670" t="s">
        <v>1282</v>
      </c>
      <c r="B670">
        <v>142</v>
      </c>
      <c r="C670" t="s">
        <v>1283</v>
      </c>
      <c r="F670" s="1" t="str">
        <f>IF(E670&lt;&gt;"", HYPERLINK("https://www.kegg.jp/dbget-bin/www_bget?ec:" &amp; E670, "https://www.kegg.jp/dbget-bin/www_bget?ec:" &amp; E670), "")</f>
        <v/>
      </c>
      <c r="G670" s="3"/>
      <c r="H670" s="1" t="str">
        <f>IF(G670&lt;&gt;"", HYPERLINK("https://www.kegg.jp/entry/" &amp; G670, "https://www.kegg.jp/entry/" &amp; G670), "")</f>
        <v/>
      </c>
    </row>
    <row r="671" spans="1:10" x14ac:dyDescent="0.25">
      <c r="A671" t="s">
        <v>1285</v>
      </c>
      <c r="B671">
        <v>173</v>
      </c>
      <c r="C671" t="s">
        <v>1286</v>
      </c>
      <c r="E671" s="5" t="s">
        <v>6716</v>
      </c>
      <c r="F671" s="1" t="str">
        <f>IF(E671&lt;&gt;"", HYPERLINK("https://www.kegg.jp/dbget-bin/www_bget?ec:" &amp; E671, "https://www.kegg.jp/dbget-bin/www_bget?ec:" &amp; E671), "")</f>
        <v>https://www.kegg.jp/dbget-bin/www_bget?ec:2.4.2.7</v>
      </c>
      <c r="G671" s="9" t="s">
        <v>7529</v>
      </c>
      <c r="H671" s="1" t="str">
        <f>IF(G671&lt;&gt;"", HYPERLINK("https://www.kegg.jp/entry/" &amp; G671, "https://www.kegg.jp/entry/" &amp; G671), "")</f>
        <v>https://www.kegg.jp/entry/R00190</v>
      </c>
      <c r="I671" t="s">
        <v>13004</v>
      </c>
      <c r="J671" t="s">
        <v>13005</v>
      </c>
    </row>
    <row r="672" spans="1:10" x14ac:dyDescent="0.25">
      <c r="A672" t="s">
        <v>1285</v>
      </c>
      <c r="B672">
        <v>173</v>
      </c>
      <c r="C672" t="s">
        <v>1286</v>
      </c>
      <c r="E672" s="5" t="s">
        <v>6716</v>
      </c>
      <c r="F672" s="1" t="str">
        <f>IF(E672&lt;&gt;"", HYPERLINK("https://www.kegg.jp/dbget-bin/www_bget?ec:" &amp; E672, "https://www.kegg.jp/dbget-bin/www_bget?ec:" &amp; E672), "")</f>
        <v>https://www.kegg.jp/dbget-bin/www_bget?ec:2.4.2.7</v>
      </c>
      <c r="G672" s="9" t="s">
        <v>7530</v>
      </c>
      <c r="H672" s="1" t="str">
        <f>IF(G672&lt;&gt;"", HYPERLINK("https://www.kegg.jp/entry/" &amp; G672, "https://www.kegg.jp/entry/" &amp; G672), "")</f>
        <v>https://www.kegg.jp/entry/R04378</v>
      </c>
      <c r="I672" t="s">
        <v>13006</v>
      </c>
      <c r="J672" t="s">
        <v>13007</v>
      </c>
    </row>
    <row r="673" spans="1:10" x14ac:dyDescent="0.25">
      <c r="A673" t="s">
        <v>1287</v>
      </c>
      <c r="B673">
        <v>175</v>
      </c>
      <c r="C673" t="s">
        <v>1288</v>
      </c>
      <c r="E673" s="5" t="s">
        <v>6716</v>
      </c>
      <c r="F673" s="1" t="str">
        <f>IF(E673&lt;&gt;"", HYPERLINK("https://www.kegg.jp/dbget-bin/www_bget?ec:" &amp; E673, "https://www.kegg.jp/dbget-bin/www_bget?ec:" &amp; E673), "")</f>
        <v>https://www.kegg.jp/dbget-bin/www_bget?ec:2.4.2.7</v>
      </c>
      <c r="G673" s="9" t="s">
        <v>7529</v>
      </c>
      <c r="H673" s="1" t="str">
        <f>IF(G673&lt;&gt;"", HYPERLINK("https://www.kegg.jp/entry/" &amp; G673, "https://www.kegg.jp/entry/" &amp; G673), "")</f>
        <v>https://www.kegg.jp/entry/R00190</v>
      </c>
      <c r="I673" t="s">
        <v>13004</v>
      </c>
      <c r="J673" t="s">
        <v>13005</v>
      </c>
    </row>
    <row r="674" spans="1:10" x14ac:dyDescent="0.25">
      <c r="A674" t="s">
        <v>1287</v>
      </c>
      <c r="B674">
        <v>175</v>
      </c>
      <c r="C674" t="s">
        <v>1288</v>
      </c>
      <c r="E674" s="5" t="s">
        <v>6716</v>
      </c>
      <c r="F674" s="1" t="str">
        <f>IF(E674&lt;&gt;"", HYPERLINK("https://www.kegg.jp/dbget-bin/www_bget?ec:" &amp; E674, "https://www.kegg.jp/dbget-bin/www_bget?ec:" &amp; E674), "")</f>
        <v>https://www.kegg.jp/dbget-bin/www_bget?ec:2.4.2.7</v>
      </c>
      <c r="G674" s="9" t="s">
        <v>7530</v>
      </c>
      <c r="H674" s="1" t="str">
        <f>IF(G674&lt;&gt;"", HYPERLINK("https://www.kegg.jp/entry/" &amp; G674, "https://www.kegg.jp/entry/" &amp; G674), "")</f>
        <v>https://www.kegg.jp/entry/R04378</v>
      </c>
      <c r="I674" t="s">
        <v>13006</v>
      </c>
      <c r="J674" t="s">
        <v>13007</v>
      </c>
    </row>
    <row r="675" spans="1:10" hidden="1" x14ac:dyDescent="0.25">
      <c r="A675" t="s">
        <v>1289</v>
      </c>
      <c r="B675">
        <v>452</v>
      </c>
      <c r="C675" t="s">
        <v>1290</v>
      </c>
      <c r="F675" s="1" t="str">
        <f>IF(E675&lt;&gt;"", HYPERLINK("https://www.kegg.jp/dbget-bin/www_bget?ec:" &amp; E675, "https://www.kegg.jp/dbget-bin/www_bget?ec:" &amp; E675), "")</f>
        <v/>
      </c>
      <c r="G675" s="3"/>
      <c r="H675" s="1" t="str">
        <f>IF(G675&lt;&gt;"", HYPERLINK("https://www.kegg.jp/entry/" &amp; G675, "https://www.kegg.jp/entry/" &amp; G675), "")</f>
        <v/>
      </c>
    </row>
    <row r="676" spans="1:10" hidden="1" x14ac:dyDescent="0.25">
      <c r="A676" t="s">
        <v>1292</v>
      </c>
      <c r="B676">
        <v>201</v>
      </c>
      <c r="C676" t="s">
        <v>1293</v>
      </c>
      <c r="F676" s="1" t="str">
        <f>IF(E676&lt;&gt;"", HYPERLINK("https://www.kegg.jp/dbget-bin/www_bget?ec:" &amp; E676, "https://www.kegg.jp/dbget-bin/www_bget?ec:" &amp; E676), "")</f>
        <v/>
      </c>
      <c r="G676" s="3"/>
      <c r="H676" s="1" t="str">
        <f>IF(G676&lt;&gt;"", HYPERLINK("https://www.kegg.jp/entry/" &amp; G676, "https://www.kegg.jp/entry/" &amp; G676), "")</f>
        <v/>
      </c>
    </row>
    <row r="677" spans="1:10" x14ac:dyDescent="0.25">
      <c r="A677" t="s">
        <v>1295</v>
      </c>
      <c r="B677">
        <v>173</v>
      </c>
      <c r="C677" t="s">
        <v>1296</v>
      </c>
      <c r="E677" s="5" t="s">
        <v>6717</v>
      </c>
      <c r="F677" s="1" t="str">
        <f>IF(E677&lt;&gt;"", HYPERLINK("https://www.kegg.jp/dbget-bin/www_bget?ec:" &amp; E677, "https://www.kegg.jp/dbget-bin/www_bget?ec:" &amp; E677), "")</f>
        <v>https://www.kegg.jp/dbget-bin/www_bget?ec:6.3.3.2</v>
      </c>
      <c r="G677" s="3" t="s">
        <v>7135</v>
      </c>
      <c r="H677" s="1" t="str">
        <f>IF(G677&lt;&gt;"", HYPERLINK("https://www.kegg.jp/entry/" &amp; G677, "https://www.kegg.jp/entry/" &amp; G677), "")</f>
        <v>https://www.kegg.jp/entry/R02301</v>
      </c>
      <c r="I677" t="s">
        <v>13008</v>
      </c>
      <c r="J677" t="s">
        <v>8461</v>
      </c>
    </row>
    <row r="678" spans="1:10" hidden="1" x14ac:dyDescent="0.25">
      <c r="A678" t="s">
        <v>1297</v>
      </c>
      <c r="B678">
        <v>84</v>
      </c>
      <c r="C678" t="s">
        <v>1298</v>
      </c>
      <c r="F678" s="1" t="str">
        <f>IF(E678&lt;&gt;"", HYPERLINK("https://www.kegg.jp/dbget-bin/www_bget?ec:" &amp; E678, "https://www.kegg.jp/dbget-bin/www_bget?ec:" &amp; E678), "")</f>
        <v/>
      </c>
      <c r="G678" s="3"/>
      <c r="H678" s="1" t="str">
        <f>IF(G678&lt;&gt;"", HYPERLINK("https://www.kegg.jp/entry/" &amp; G678, "https://www.kegg.jp/entry/" &amp; G678), "")</f>
        <v/>
      </c>
    </row>
    <row r="679" spans="1:10" hidden="1" x14ac:dyDescent="0.25">
      <c r="A679" t="s">
        <v>1299</v>
      </c>
      <c r="B679">
        <v>157</v>
      </c>
      <c r="C679" t="s">
        <v>1300</v>
      </c>
      <c r="F679" s="1" t="str">
        <f>IF(E679&lt;&gt;"", HYPERLINK("https://www.kegg.jp/dbget-bin/www_bget?ec:" &amp; E679, "https://www.kegg.jp/dbget-bin/www_bget?ec:" &amp; E679), "")</f>
        <v/>
      </c>
      <c r="G679" s="3"/>
      <c r="H679" s="1" t="str">
        <f>IF(G679&lt;&gt;"", HYPERLINK("https://www.kegg.jp/entry/" &amp; G679, "https://www.kegg.jp/entry/" &amp; G679), "")</f>
        <v/>
      </c>
    </row>
    <row r="680" spans="1:10" hidden="1" x14ac:dyDescent="0.25">
      <c r="A680" t="s">
        <v>1301</v>
      </c>
      <c r="B680">
        <v>178</v>
      </c>
      <c r="C680" t="s">
        <v>1302</v>
      </c>
      <c r="F680" s="1" t="str">
        <f>IF(E680&lt;&gt;"", HYPERLINK("https://www.kegg.jp/dbget-bin/www_bget?ec:" &amp; E680, "https://www.kegg.jp/dbget-bin/www_bget?ec:" &amp; E680), "")</f>
        <v/>
      </c>
      <c r="G680" s="3"/>
      <c r="H680" s="1" t="str">
        <f>IF(G680&lt;&gt;"", HYPERLINK("https://www.kegg.jp/entry/" &amp; G680, "https://www.kegg.jp/entry/" &amp; G680), "")</f>
        <v/>
      </c>
    </row>
    <row r="681" spans="1:10" x14ac:dyDescent="0.25">
      <c r="A681" t="s">
        <v>1304</v>
      </c>
      <c r="B681">
        <v>201</v>
      </c>
      <c r="C681" t="s">
        <v>1305</v>
      </c>
      <c r="E681" s="5" t="s">
        <v>6718</v>
      </c>
      <c r="F681" s="1" t="str">
        <f>IF(E681&lt;&gt;"", HYPERLINK("https://www.kegg.jp/dbget-bin/www_bget?ec:" &amp; E681, "https://www.kegg.jp/dbget-bin/www_bget?ec:" &amp; E681), "")</f>
        <v>https://www.kegg.jp/dbget-bin/www_bget?ec:2.7.4.9</v>
      </c>
      <c r="G681" s="9" t="s">
        <v>7531</v>
      </c>
      <c r="H681" s="1" t="str">
        <f>IF(G681&lt;&gt;"", HYPERLINK("https://www.kegg.jp/entry/" &amp; G681, "https://www.kegg.jp/entry/" &amp; G681), "")</f>
        <v>https://www.kegg.jp/entry/R02094</v>
      </c>
      <c r="I681" t="s">
        <v>8192</v>
      </c>
      <c r="J681" t="s">
        <v>8462</v>
      </c>
    </row>
    <row r="682" spans="1:10" x14ac:dyDescent="0.25">
      <c r="A682" t="s">
        <v>1304</v>
      </c>
      <c r="B682">
        <v>201</v>
      </c>
      <c r="C682" t="s">
        <v>1305</v>
      </c>
      <c r="E682" s="5" t="s">
        <v>6718</v>
      </c>
      <c r="F682" s="1" t="str">
        <f>IF(E682&lt;&gt;"", HYPERLINK("https://www.kegg.jp/dbget-bin/www_bget?ec:" &amp; E682, "https://www.kegg.jp/dbget-bin/www_bget?ec:" &amp; E682), "")</f>
        <v>https://www.kegg.jp/dbget-bin/www_bget?ec:2.7.4.9</v>
      </c>
      <c r="G682" s="9" t="s">
        <v>7532</v>
      </c>
      <c r="H682" s="1" t="str">
        <f>IF(G682&lt;&gt;"", HYPERLINK("https://www.kegg.jp/entry/" &amp; G682, "https://www.kegg.jp/entry/" &amp; G682), "")</f>
        <v>https://www.kegg.jp/entry/R02098</v>
      </c>
      <c r="I682" t="s">
        <v>8193</v>
      </c>
      <c r="J682" t="s">
        <v>8463</v>
      </c>
    </row>
    <row r="683" spans="1:10" hidden="1" x14ac:dyDescent="0.25">
      <c r="A683" t="s">
        <v>1306</v>
      </c>
      <c r="B683">
        <v>242</v>
      </c>
      <c r="C683" t="s">
        <v>1307</v>
      </c>
      <c r="F683" s="1" t="str">
        <f>IF(E683&lt;&gt;"", HYPERLINK("https://www.kegg.jp/dbget-bin/www_bget?ec:" &amp; E683, "https://www.kegg.jp/dbget-bin/www_bget?ec:" &amp; E683), "")</f>
        <v/>
      </c>
      <c r="G683" s="3"/>
      <c r="H683" s="1" t="str">
        <f>IF(G683&lt;&gt;"", HYPERLINK("https://www.kegg.jp/entry/" &amp; G683, "https://www.kegg.jp/entry/" &amp; G683), "")</f>
        <v/>
      </c>
    </row>
    <row r="684" spans="1:10" hidden="1" x14ac:dyDescent="0.25">
      <c r="A684" t="s">
        <v>1309</v>
      </c>
      <c r="B684">
        <v>600</v>
      </c>
      <c r="C684" t="s">
        <v>1310</v>
      </c>
      <c r="E684" s="5" t="s">
        <v>6719</v>
      </c>
      <c r="F684" s="1" t="str">
        <f>IF(E684&lt;&gt;"", HYPERLINK("https://www.kegg.jp/dbget-bin/www_bget?ec:" &amp; E684, "https://www.kegg.jp/dbget-bin/www_bget?ec:" &amp; E684), "")</f>
        <v>https://www.kegg.jp/dbget-bin/www_bget?ec:3.4.19.1</v>
      </c>
      <c r="G684" s="3"/>
      <c r="H684" s="1" t="str">
        <f>IF(G684&lt;&gt;"", HYPERLINK("https://www.kegg.jp/entry/" &amp; G684, "https://www.kegg.jp/entry/" &amp; G684), "")</f>
        <v/>
      </c>
    </row>
    <row r="685" spans="1:10" hidden="1" x14ac:dyDescent="0.25">
      <c r="A685" t="s">
        <v>1311</v>
      </c>
      <c r="B685">
        <v>88</v>
      </c>
      <c r="C685" t="s">
        <v>1312</v>
      </c>
      <c r="F685" s="1" t="str">
        <f>IF(E685&lt;&gt;"", HYPERLINK("https://www.kegg.jp/dbget-bin/www_bget?ec:" &amp; E685, "https://www.kegg.jp/dbget-bin/www_bget?ec:" &amp; E685), "")</f>
        <v/>
      </c>
      <c r="G685" s="3"/>
      <c r="H685" s="1" t="str">
        <f>IF(G685&lt;&gt;"", HYPERLINK("https://www.kegg.jp/entry/" &amp; G685, "https://www.kegg.jp/entry/" &amp; G685), "")</f>
        <v/>
      </c>
    </row>
    <row r="686" spans="1:10" hidden="1" x14ac:dyDescent="0.25">
      <c r="A686" t="s">
        <v>1313</v>
      </c>
      <c r="B686">
        <v>115</v>
      </c>
      <c r="C686" t="s">
        <v>1314</v>
      </c>
      <c r="F686" s="1" t="str">
        <f>IF(E686&lt;&gt;"", HYPERLINK("https://www.kegg.jp/dbget-bin/www_bget?ec:" &amp; E686, "https://www.kegg.jp/dbget-bin/www_bget?ec:" &amp; E686), "")</f>
        <v/>
      </c>
      <c r="G686" s="3"/>
      <c r="H686" s="1" t="str">
        <f>IF(G686&lt;&gt;"", HYPERLINK("https://www.kegg.jp/entry/" &amp; G686, "https://www.kegg.jp/entry/" &amp; G686), "")</f>
        <v/>
      </c>
    </row>
    <row r="687" spans="1:10" hidden="1" x14ac:dyDescent="0.25">
      <c r="A687" t="s">
        <v>1315</v>
      </c>
      <c r="B687">
        <v>109</v>
      </c>
      <c r="C687" t="s">
        <v>1316</v>
      </c>
      <c r="F687" s="1" t="str">
        <f>IF(E687&lt;&gt;"", HYPERLINK("https://www.kegg.jp/dbget-bin/www_bget?ec:" &amp; E687, "https://www.kegg.jp/dbget-bin/www_bget?ec:" &amp; E687), "")</f>
        <v/>
      </c>
      <c r="G687" s="3"/>
      <c r="H687" s="1" t="str">
        <f>IF(G687&lt;&gt;"", HYPERLINK("https://www.kegg.jp/entry/" &amp; G687, "https://www.kegg.jp/entry/" &amp; G687), "")</f>
        <v/>
      </c>
    </row>
    <row r="688" spans="1:10" hidden="1" x14ac:dyDescent="0.25">
      <c r="A688" t="s">
        <v>1317</v>
      </c>
      <c r="B688">
        <v>124</v>
      </c>
      <c r="C688" t="s">
        <v>1318</v>
      </c>
      <c r="F688" s="1" t="str">
        <f>IF(E688&lt;&gt;"", HYPERLINK("https://www.kegg.jp/dbget-bin/www_bget?ec:" &amp; E688, "https://www.kegg.jp/dbget-bin/www_bget?ec:" &amp; E688), "")</f>
        <v/>
      </c>
      <c r="G688" s="3"/>
      <c r="H688" s="1" t="str">
        <f>IF(G688&lt;&gt;"", HYPERLINK("https://www.kegg.jp/entry/" &amp; G688, "https://www.kegg.jp/entry/" &amp; G688), "")</f>
        <v/>
      </c>
    </row>
    <row r="689" spans="1:10" hidden="1" x14ac:dyDescent="0.25">
      <c r="A689" t="s">
        <v>1320</v>
      </c>
      <c r="B689">
        <v>194</v>
      </c>
      <c r="C689" t="s">
        <v>1321</v>
      </c>
      <c r="F689" s="1" t="str">
        <f>IF(E689&lt;&gt;"", HYPERLINK("https://www.kegg.jp/dbget-bin/www_bget?ec:" &amp; E689, "https://www.kegg.jp/dbget-bin/www_bget?ec:" &amp; E689), "")</f>
        <v/>
      </c>
      <c r="G689" s="3"/>
      <c r="H689" s="1" t="str">
        <f>IF(G689&lt;&gt;"", HYPERLINK("https://www.kegg.jp/entry/" &amp; G689, "https://www.kegg.jp/entry/" &amp; G689), "")</f>
        <v/>
      </c>
    </row>
    <row r="690" spans="1:10" hidden="1" x14ac:dyDescent="0.25">
      <c r="A690" t="s">
        <v>1322</v>
      </c>
      <c r="B690">
        <v>105</v>
      </c>
      <c r="C690" t="s">
        <v>1323</v>
      </c>
      <c r="F690" s="1" t="str">
        <f>IF(E690&lt;&gt;"", HYPERLINK("https://www.kegg.jp/dbget-bin/www_bget?ec:" &amp; E690, "https://www.kegg.jp/dbget-bin/www_bget?ec:" &amp; E690), "")</f>
        <v/>
      </c>
      <c r="G690" s="3"/>
      <c r="H690" s="1" t="str">
        <f>IF(G690&lt;&gt;"", HYPERLINK("https://www.kegg.jp/entry/" &amp; G690, "https://www.kegg.jp/entry/" &amp; G690), "")</f>
        <v/>
      </c>
    </row>
    <row r="691" spans="1:10" x14ac:dyDescent="0.25">
      <c r="A691" t="s">
        <v>1325</v>
      </c>
      <c r="B691">
        <v>326</v>
      </c>
      <c r="C691" t="s">
        <v>1326</v>
      </c>
      <c r="E691" s="5" t="s">
        <v>6720</v>
      </c>
      <c r="F691" s="1" t="str">
        <f>IF(E691&lt;&gt;"", HYPERLINK("https://www.kegg.jp/dbget-bin/www_bget?ec:" &amp; E691, "https://www.kegg.jp/dbget-bin/www_bget?ec:" &amp; E691), "")</f>
        <v>https://www.kegg.jp/dbget-bin/www_bget?ec:4.2.1.24</v>
      </c>
      <c r="G691" s="3" t="s">
        <v>7136</v>
      </c>
      <c r="H691" s="1" t="str">
        <f>IF(G691&lt;&gt;"", HYPERLINK("https://www.kegg.jp/entry/" &amp; G691, "https://www.kegg.jp/entry/" &amp; G691), "")</f>
        <v>https://www.kegg.jp/entry/R00036</v>
      </c>
      <c r="I691" t="s">
        <v>8194</v>
      </c>
      <c r="J691" t="s">
        <v>13009</v>
      </c>
    </row>
    <row r="692" spans="1:10" hidden="1" x14ac:dyDescent="0.25">
      <c r="A692" t="s">
        <v>1327</v>
      </c>
      <c r="B692">
        <v>397</v>
      </c>
      <c r="C692" t="s">
        <v>1328</v>
      </c>
      <c r="F692" s="1" t="str">
        <f>IF(E692&lt;&gt;"", HYPERLINK("https://www.kegg.jp/dbget-bin/www_bget?ec:" &amp; E692, "https://www.kegg.jp/dbget-bin/www_bget?ec:" &amp; E692), "")</f>
        <v/>
      </c>
      <c r="G692" s="3"/>
      <c r="H692" s="1" t="str">
        <f>IF(G692&lt;&gt;"", HYPERLINK("https://www.kegg.jp/entry/" &amp; G692, "https://www.kegg.jp/entry/" &amp; G692), "")</f>
        <v/>
      </c>
    </row>
    <row r="693" spans="1:10" hidden="1" x14ac:dyDescent="0.25">
      <c r="A693" t="s">
        <v>1329</v>
      </c>
      <c r="B693">
        <v>570</v>
      </c>
      <c r="C693" t="s">
        <v>1330</v>
      </c>
      <c r="F693" s="1" t="str">
        <f>IF(E693&lt;&gt;"", HYPERLINK("https://www.kegg.jp/dbget-bin/www_bget?ec:" &amp; E693, "https://www.kegg.jp/dbget-bin/www_bget?ec:" &amp; E693), "")</f>
        <v/>
      </c>
      <c r="G693" s="3"/>
      <c r="H693" s="1" t="str">
        <f>IF(G693&lt;&gt;"", HYPERLINK("https://www.kegg.jp/entry/" &amp; G693, "https://www.kegg.jp/entry/" &amp; G693), "")</f>
        <v/>
      </c>
    </row>
    <row r="694" spans="1:10" x14ac:dyDescent="0.25">
      <c r="A694" t="s">
        <v>1332</v>
      </c>
      <c r="B694">
        <v>251</v>
      </c>
      <c r="C694" t="s">
        <v>1333</v>
      </c>
      <c r="E694" s="5" t="s">
        <v>6721</v>
      </c>
      <c r="F694" s="1" t="str">
        <f>IF(E694&lt;&gt;"", HYPERLINK("https://www.kegg.jp/dbget-bin/www_bget?ec:" &amp; E694, "https://www.kegg.jp/dbget-bin/www_bget?ec:" &amp; E694), "")</f>
        <v>https://www.kegg.jp/dbget-bin/www_bget?ec:3.1.3.16</v>
      </c>
      <c r="G694" s="3" t="s">
        <v>7137</v>
      </c>
      <c r="H694" s="1" t="str">
        <f>IF(G694&lt;&gt;"", HYPERLINK("https://www.kegg.jp/entry/" &amp; G694, "https://www.kegg.jp/entry/" &amp; G694), "")</f>
        <v>https://www.kegg.jp/entry/R00164</v>
      </c>
      <c r="I694" t="s">
        <v>13010</v>
      </c>
      <c r="J694" t="s">
        <v>13011</v>
      </c>
    </row>
    <row r="695" spans="1:10" hidden="1" x14ac:dyDescent="0.25">
      <c r="A695" t="s">
        <v>1335</v>
      </c>
      <c r="B695">
        <v>651</v>
      </c>
      <c r="C695" t="s">
        <v>1336</v>
      </c>
      <c r="F695" s="1" t="str">
        <f>IF(E695&lt;&gt;"", HYPERLINK("https://www.kegg.jp/dbget-bin/www_bget?ec:" &amp; E695, "https://www.kegg.jp/dbget-bin/www_bget?ec:" &amp; E695), "")</f>
        <v/>
      </c>
      <c r="G695" s="3"/>
      <c r="H695" s="1" t="str">
        <f>IF(G695&lt;&gt;"", HYPERLINK("https://www.kegg.jp/entry/" &amp; G695, "https://www.kegg.jp/entry/" &amp; G695), "")</f>
        <v/>
      </c>
    </row>
    <row r="696" spans="1:10" hidden="1" x14ac:dyDescent="0.25">
      <c r="A696" t="s">
        <v>1338</v>
      </c>
      <c r="B696">
        <v>214</v>
      </c>
      <c r="C696" t="s">
        <v>1339</v>
      </c>
      <c r="F696" s="1" t="str">
        <f>IF(E696&lt;&gt;"", HYPERLINK("https://www.kegg.jp/dbget-bin/www_bget?ec:" &amp; E696, "https://www.kegg.jp/dbget-bin/www_bget?ec:" &amp; E696), "")</f>
        <v/>
      </c>
      <c r="G696" s="3"/>
      <c r="H696" s="1" t="str">
        <f>IF(G696&lt;&gt;"", HYPERLINK("https://www.kegg.jp/entry/" &amp; G696, "https://www.kegg.jp/entry/" &amp; G696), "")</f>
        <v/>
      </c>
    </row>
    <row r="697" spans="1:10" hidden="1" x14ac:dyDescent="0.25">
      <c r="A697" t="s">
        <v>1340</v>
      </c>
      <c r="B697">
        <v>433</v>
      </c>
      <c r="C697" t="s">
        <v>1341</v>
      </c>
      <c r="F697" s="1" t="str">
        <f>IF(E697&lt;&gt;"", HYPERLINK("https://www.kegg.jp/dbget-bin/www_bget?ec:" &amp; E697, "https://www.kegg.jp/dbget-bin/www_bget?ec:" &amp; E697), "")</f>
        <v/>
      </c>
      <c r="G697" s="3"/>
      <c r="H697" s="1" t="str">
        <f>IF(G697&lt;&gt;"", HYPERLINK("https://www.kegg.jp/entry/" &amp; G697, "https://www.kegg.jp/entry/" &amp; G697), "")</f>
        <v/>
      </c>
    </row>
    <row r="698" spans="1:10" hidden="1" x14ac:dyDescent="0.25">
      <c r="A698" t="s">
        <v>1342</v>
      </c>
      <c r="B698">
        <v>191</v>
      </c>
      <c r="C698" t="s">
        <v>1343</v>
      </c>
      <c r="F698" s="1" t="str">
        <f>IF(E698&lt;&gt;"", HYPERLINK("https://www.kegg.jp/dbget-bin/www_bget?ec:" &amp; E698, "https://www.kegg.jp/dbget-bin/www_bget?ec:" &amp; E698), "")</f>
        <v/>
      </c>
      <c r="G698" s="3"/>
      <c r="H698" s="1" t="str">
        <f>IF(G698&lt;&gt;"", HYPERLINK("https://www.kegg.jp/entry/" &amp; G698, "https://www.kegg.jp/entry/" &amp; G698), "")</f>
        <v/>
      </c>
    </row>
    <row r="699" spans="1:10" hidden="1" x14ac:dyDescent="0.25">
      <c r="A699" t="s">
        <v>1344</v>
      </c>
      <c r="B699">
        <v>138</v>
      </c>
      <c r="C699" t="s">
        <v>1345</v>
      </c>
      <c r="F699" s="1" t="str">
        <f>IF(E699&lt;&gt;"", HYPERLINK("https://www.kegg.jp/dbget-bin/www_bget?ec:" &amp; E699, "https://www.kegg.jp/dbget-bin/www_bget?ec:" &amp; E699), "")</f>
        <v/>
      </c>
      <c r="G699" s="3"/>
      <c r="H699" s="1" t="str">
        <f>IF(G699&lt;&gt;"", HYPERLINK("https://www.kegg.jp/entry/" &amp; G699, "https://www.kegg.jp/entry/" &amp; G699), "")</f>
        <v/>
      </c>
    </row>
    <row r="700" spans="1:10" hidden="1" x14ac:dyDescent="0.25">
      <c r="A700" t="s">
        <v>1346</v>
      </c>
      <c r="B700">
        <v>737</v>
      </c>
      <c r="C700" t="s">
        <v>1347</v>
      </c>
      <c r="F700" s="1" t="str">
        <f>IF(E700&lt;&gt;"", HYPERLINK("https://www.kegg.jp/dbget-bin/www_bget?ec:" &amp; E700, "https://www.kegg.jp/dbget-bin/www_bget?ec:" &amp; E700), "")</f>
        <v/>
      </c>
      <c r="G700" s="3"/>
      <c r="H700" s="1" t="str">
        <f>IF(G700&lt;&gt;"", HYPERLINK("https://www.kegg.jp/entry/" &amp; G700, "https://www.kegg.jp/entry/" &amp; G700), "")</f>
        <v/>
      </c>
    </row>
    <row r="701" spans="1:10" hidden="1" x14ac:dyDescent="0.25">
      <c r="A701" t="s">
        <v>1349</v>
      </c>
      <c r="B701">
        <v>868</v>
      </c>
      <c r="C701" t="s">
        <v>1350</v>
      </c>
      <c r="F701" s="1" t="str">
        <f>IF(E701&lt;&gt;"", HYPERLINK("https://www.kegg.jp/dbget-bin/www_bget?ec:" &amp; E701, "https://www.kegg.jp/dbget-bin/www_bget?ec:" &amp; E701), "")</f>
        <v/>
      </c>
      <c r="G701" s="3"/>
      <c r="H701" s="1" t="str">
        <f>IF(G701&lt;&gt;"", HYPERLINK("https://www.kegg.jp/entry/" &amp; G701, "https://www.kegg.jp/entry/" &amp; G701), "")</f>
        <v/>
      </c>
    </row>
    <row r="702" spans="1:10" hidden="1" x14ac:dyDescent="0.25">
      <c r="A702" t="s">
        <v>1352</v>
      </c>
      <c r="B702">
        <v>128</v>
      </c>
      <c r="C702" t="s">
        <v>1353</v>
      </c>
      <c r="F702" s="1" t="str">
        <f>IF(E702&lt;&gt;"", HYPERLINK("https://www.kegg.jp/dbget-bin/www_bget?ec:" &amp; E702, "https://www.kegg.jp/dbget-bin/www_bget?ec:" &amp; E702), "")</f>
        <v/>
      </c>
      <c r="G702" s="3"/>
      <c r="H702" s="1" t="str">
        <f>IF(G702&lt;&gt;"", HYPERLINK("https://www.kegg.jp/entry/" &amp; G702, "https://www.kegg.jp/entry/" &amp; G702), "")</f>
        <v/>
      </c>
    </row>
    <row r="703" spans="1:10" hidden="1" x14ac:dyDescent="0.25">
      <c r="A703" t="s">
        <v>1355</v>
      </c>
      <c r="B703">
        <v>141</v>
      </c>
      <c r="C703" t="s">
        <v>1356</v>
      </c>
      <c r="F703" s="1" t="str">
        <f>IF(E703&lt;&gt;"", HYPERLINK("https://www.kegg.jp/dbget-bin/www_bget?ec:" &amp; E703, "https://www.kegg.jp/dbget-bin/www_bget?ec:" &amp; E703), "")</f>
        <v/>
      </c>
      <c r="G703" s="3"/>
      <c r="H703" s="1" t="str">
        <f>IF(G703&lt;&gt;"", HYPERLINK("https://www.kegg.jp/entry/" &amp; G703, "https://www.kegg.jp/entry/" &amp; G703), "")</f>
        <v/>
      </c>
    </row>
    <row r="704" spans="1:10" x14ac:dyDescent="0.25">
      <c r="A704" t="s">
        <v>1358</v>
      </c>
      <c r="B704">
        <v>549</v>
      </c>
      <c r="C704" t="s">
        <v>1359</v>
      </c>
      <c r="E704" s="5" t="s">
        <v>6722</v>
      </c>
      <c r="F704" s="1" t="str">
        <f>IF(E704&lt;&gt;"", HYPERLINK("https://www.kegg.jp/dbget-bin/www_bget?ec:" &amp; E704, "https://www.kegg.jp/dbget-bin/www_bget?ec:" &amp; E704), "")</f>
        <v>https://www.kegg.jp/dbget-bin/www_bget?ec:6.3.4.2</v>
      </c>
      <c r="G704" s="9" t="s">
        <v>7423</v>
      </c>
      <c r="H704" s="1" t="str">
        <f>IF(G704&lt;&gt;"", HYPERLINK("https://www.kegg.jp/entry/" &amp; G704, "https://www.kegg.jp/entry/" &amp; G704), "")</f>
        <v>https://www.kegg.jp/entry/R00256</v>
      </c>
      <c r="I704" t="s">
        <v>12866</v>
      </c>
      <c r="J704" t="s">
        <v>12867</v>
      </c>
    </row>
    <row r="705" spans="1:10" x14ac:dyDescent="0.25">
      <c r="A705" t="s">
        <v>1358</v>
      </c>
      <c r="B705">
        <v>549</v>
      </c>
      <c r="C705" t="s">
        <v>1359</v>
      </c>
      <c r="E705" s="5" t="s">
        <v>6722</v>
      </c>
      <c r="F705" s="1" t="str">
        <f>IF(E705&lt;&gt;"", HYPERLINK("https://www.kegg.jp/dbget-bin/www_bget?ec:" &amp; E705, "https://www.kegg.jp/dbget-bin/www_bget?ec:" &amp; E705), "")</f>
        <v>https://www.kegg.jp/dbget-bin/www_bget?ec:6.3.4.2</v>
      </c>
      <c r="G705" s="9" t="s">
        <v>7534</v>
      </c>
      <c r="H705" s="1" t="str">
        <f>IF(G705&lt;&gt;"", HYPERLINK("https://www.kegg.jp/entry/" &amp; G705, "https://www.kegg.jp/entry/" &amp; G705), "")</f>
        <v>https://www.kegg.jp/entry/R00571</v>
      </c>
      <c r="I705" t="s">
        <v>13012</v>
      </c>
      <c r="J705" t="s">
        <v>8464</v>
      </c>
    </row>
    <row r="706" spans="1:10" x14ac:dyDescent="0.25">
      <c r="A706" t="s">
        <v>1358</v>
      </c>
      <c r="B706">
        <v>549</v>
      </c>
      <c r="C706" t="s">
        <v>1359</v>
      </c>
      <c r="E706" s="5" t="s">
        <v>6722</v>
      </c>
      <c r="F706" s="1" t="str">
        <f>IF(E706&lt;&gt;"", HYPERLINK("https://www.kegg.jp/dbget-bin/www_bget?ec:" &amp; E706, "https://www.kegg.jp/dbget-bin/www_bget?ec:" &amp; E706), "")</f>
        <v>https://www.kegg.jp/dbget-bin/www_bget?ec:6.3.4.2</v>
      </c>
      <c r="G706" s="9" t="s">
        <v>7533</v>
      </c>
      <c r="H706" s="1" t="str">
        <f>IF(G706&lt;&gt;"", HYPERLINK("https://www.kegg.jp/entry/" &amp; G706, "https://www.kegg.jp/entry/" &amp; G706), "")</f>
        <v>https://www.kegg.jp/entry/R00573</v>
      </c>
      <c r="I706" t="s">
        <v>13013</v>
      </c>
      <c r="J706" t="s">
        <v>13014</v>
      </c>
    </row>
    <row r="707" spans="1:10" hidden="1" x14ac:dyDescent="0.25">
      <c r="A707" t="s">
        <v>1360</v>
      </c>
      <c r="B707">
        <v>341</v>
      </c>
      <c r="C707" t="s">
        <v>1361</v>
      </c>
      <c r="F707" s="1" t="str">
        <f>IF(E707&lt;&gt;"", HYPERLINK("https://www.kegg.jp/dbget-bin/www_bget?ec:" &amp; E707, "https://www.kegg.jp/dbget-bin/www_bget?ec:" &amp; E707), "")</f>
        <v/>
      </c>
      <c r="G707" s="3"/>
      <c r="H707" s="1" t="str">
        <f>IF(G707&lt;&gt;"", HYPERLINK("https://www.kegg.jp/entry/" &amp; G707, "https://www.kegg.jp/entry/" &amp; G707), "")</f>
        <v/>
      </c>
    </row>
    <row r="708" spans="1:10" hidden="1" x14ac:dyDescent="0.25">
      <c r="C708" t="s">
        <v>1363</v>
      </c>
      <c r="F708" s="1" t="str">
        <f>IF(E708&lt;&gt;"", HYPERLINK("https://www.kegg.jp/dbget-bin/www_bget?ec:" &amp; E708, "https://www.kegg.jp/dbget-bin/www_bget?ec:" &amp; E708), "")</f>
        <v/>
      </c>
      <c r="G708" s="3"/>
      <c r="H708" s="1" t="str">
        <f>IF(G708&lt;&gt;"", HYPERLINK("https://www.kegg.jp/entry/" &amp; G708, "https://www.kegg.jp/entry/" &amp; G708), "")</f>
        <v/>
      </c>
    </row>
    <row r="709" spans="1:10" x14ac:dyDescent="0.25">
      <c r="A709" t="s">
        <v>1365</v>
      </c>
      <c r="B709">
        <v>203</v>
      </c>
      <c r="C709" t="s">
        <v>1366</v>
      </c>
      <c r="E709" s="5" t="s">
        <v>6723</v>
      </c>
      <c r="F709" s="1" t="str">
        <f>IF(E709&lt;&gt;"", HYPERLINK("https://www.kegg.jp/dbget-bin/www_bget?ec:" &amp; E709, "https://www.kegg.jp/dbget-bin/www_bget?ec:" &amp; E709), "")</f>
        <v>https://www.kegg.jp/dbget-bin/www_bget?ec:2.7.6.2</v>
      </c>
      <c r="G709" s="3" t="s">
        <v>7138</v>
      </c>
      <c r="H709" s="1" t="str">
        <f>IF(G709&lt;&gt;"", HYPERLINK("https://www.kegg.jp/entry/" &amp; G709, "https://www.kegg.jp/entry/" &amp; G709), "")</f>
        <v>https://www.kegg.jp/entry/R00619</v>
      </c>
      <c r="I709" t="s">
        <v>8195</v>
      </c>
      <c r="J709" t="s">
        <v>8465</v>
      </c>
    </row>
    <row r="710" spans="1:10" hidden="1" x14ac:dyDescent="0.25">
      <c r="A710" t="s">
        <v>1368</v>
      </c>
      <c r="B710">
        <v>316</v>
      </c>
      <c r="C710" t="s">
        <v>1369</v>
      </c>
      <c r="F710" s="1" t="str">
        <f>IF(E710&lt;&gt;"", HYPERLINK("https://www.kegg.jp/dbget-bin/www_bget?ec:" &amp; E710, "https://www.kegg.jp/dbget-bin/www_bget?ec:" &amp; E710), "")</f>
        <v/>
      </c>
      <c r="G710" s="3"/>
      <c r="H710" s="1" t="str">
        <f>IF(G710&lt;&gt;"", HYPERLINK("https://www.kegg.jp/entry/" &amp; G710, "https://www.kegg.jp/entry/" &amp; G710), "")</f>
        <v/>
      </c>
    </row>
    <row r="711" spans="1:10" hidden="1" x14ac:dyDescent="0.25">
      <c r="A711" t="s">
        <v>1370</v>
      </c>
      <c r="B711">
        <v>148</v>
      </c>
      <c r="C711" t="s">
        <v>1371</v>
      </c>
      <c r="F711" s="1" t="str">
        <f>IF(E711&lt;&gt;"", HYPERLINK("https://www.kegg.jp/dbget-bin/www_bget?ec:" &amp; E711, "https://www.kegg.jp/dbget-bin/www_bget?ec:" &amp; E711), "")</f>
        <v/>
      </c>
      <c r="G711" s="3"/>
      <c r="H711" s="1" t="str">
        <f>IF(G711&lt;&gt;"", HYPERLINK("https://www.kegg.jp/entry/" &amp; G711, "https://www.kegg.jp/entry/" &amp; G711), "")</f>
        <v/>
      </c>
    </row>
    <row r="712" spans="1:10" hidden="1" x14ac:dyDescent="0.25">
      <c r="A712" t="s">
        <v>1372</v>
      </c>
      <c r="B712">
        <v>138</v>
      </c>
      <c r="C712" t="s">
        <v>1373</v>
      </c>
      <c r="F712" s="1" t="str">
        <f>IF(E712&lt;&gt;"", HYPERLINK("https://www.kegg.jp/dbget-bin/www_bget?ec:" &amp; E712, "https://www.kegg.jp/dbget-bin/www_bget?ec:" &amp; E712), "")</f>
        <v/>
      </c>
      <c r="G712" s="3"/>
      <c r="H712" s="1" t="str">
        <f>IF(G712&lt;&gt;"", HYPERLINK("https://www.kegg.jp/entry/" &amp; G712, "https://www.kegg.jp/entry/" &amp; G712), "")</f>
        <v/>
      </c>
    </row>
    <row r="713" spans="1:10" hidden="1" x14ac:dyDescent="0.25">
      <c r="A713" t="s">
        <v>1375</v>
      </c>
      <c r="B713">
        <v>139</v>
      </c>
      <c r="C713" t="s">
        <v>1376</v>
      </c>
      <c r="F713" s="1" t="str">
        <f>IF(E713&lt;&gt;"", HYPERLINK("https://www.kegg.jp/dbget-bin/www_bget?ec:" &amp; E713, "https://www.kegg.jp/dbget-bin/www_bget?ec:" &amp; E713), "")</f>
        <v/>
      </c>
      <c r="G713" s="3"/>
      <c r="H713" s="1" t="str">
        <f>IF(G713&lt;&gt;"", HYPERLINK("https://www.kegg.jp/entry/" &amp; G713, "https://www.kegg.jp/entry/" &amp; G713), "")</f>
        <v/>
      </c>
    </row>
    <row r="714" spans="1:10" hidden="1" x14ac:dyDescent="0.25">
      <c r="A714" t="s">
        <v>1378</v>
      </c>
      <c r="B714">
        <v>108</v>
      </c>
      <c r="C714" t="s">
        <v>1379</v>
      </c>
      <c r="F714" s="1" t="str">
        <f>IF(E714&lt;&gt;"", HYPERLINK("https://www.kegg.jp/dbget-bin/www_bget?ec:" &amp; E714, "https://www.kegg.jp/dbget-bin/www_bget?ec:" &amp; E714), "")</f>
        <v/>
      </c>
      <c r="G714" s="3"/>
      <c r="H714" s="1" t="str">
        <f>IF(G714&lt;&gt;"", HYPERLINK("https://www.kegg.jp/entry/" &amp; G714, "https://www.kegg.jp/entry/" &amp; G714), "")</f>
        <v/>
      </c>
    </row>
    <row r="715" spans="1:10" hidden="1" x14ac:dyDescent="0.25">
      <c r="A715" t="s">
        <v>1381</v>
      </c>
      <c r="B715">
        <v>189</v>
      </c>
      <c r="C715" t="s">
        <v>1382</v>
      </c>
      <c r="F715" s="1" t="str">
        <f>IF(E715&lt;&gt;"", HYPERLINK("https://www.kegg.jp/dbget-bin/www_bget?ec:" &amp; E715, "https://www.kegg.jp/dbget-bin/www_bget?ec:" &amp; E715), "")</f>
        <v/>
      </c>
      <c r="G715" s="3"/>
      <c r="H715" s="1" t="str">
        <f>IF(G715&lt;&gt;"", HYPERLINK("https://www.kegg.jp/entry/" &amp; G715, "https://www.kegg.jp/entry/" &amp; G715), "")</f>
        <v/>
      </c>
    </row>
    <row r="716" spans="1:10" hidden="1" x14ac:dyDescent="0.25">
      <c r="A716" t="s">
        <v>1384</v>
      </c>
      <c r="B716">
        <v>264</v>
      </c>
      <c r="C716" t="s">
        <v>1385</v>
      </c>
      <c r="F716" s="1" t="str">
        <f>IF(E716&lt;&gt;"", HYPERLINK("https://www.kegg.jp/dbget-bin/www_bget?ec:" &amp; E716, "https://www.kegg.jp/dbget-bin/www_bget?ec:" &amp; E716), "")</f>
        <v/>
      </c>
      <c r="G716" s="3"/>
      <c r="H716" s="1" t="str">
        <f>IF(G716&lt;&gt;"", HYPERLINK("https://www.kegg.jp/entry/" &amp; G716, "https://www.kegg.jp/entry/" &amp; G716), "")</f>
        <v/>
      </c>
    </row>
    <row r="717" spans="1:10" hidden="1" x14ac:dyDescent="0.25">
      <c r="A717" t="s">
        <v>1387</v>
      </c>
      <c r="B717">
        <v>143</v>
      </c>
      <c r="C717" t="s">
        <v>1388</v>
      </c>
      <c r="F717" s="1" t="str">
        <f>IF(E717&lt;&gt;"", HYPERLINK("https://www.kegg.jp/dbget-bin/www_bget?ec:" &amp; E717, "https://www.kegg.jp/dbget-bin/www_bget?ec:" &amp; E717), "")</f>
        <v/>
      </c>
      <c r="G717" s="3"/>
      <c r="H717" s="1" t="str">
        <f>IF(G717&lt;&gt;"", HYPERLINK("https://www.kegg.jp/entry/" &amp; G717, "https://www.kegg.jp/entry/" &amp; G717), "")</f>
        <v/>
      </c>
    </row>
    <row r="718" spans="1:10" hidden="1" x14ac:dyDescent="0.25">
      <c r="A718" t="s">
        <v>1389</v>
      </c>
      <c r="B718">
        <v>283</v>
      </c>
      <c r="C718" t="s">
        <v>1390</v>
      </c>
      <c r="F718" s="1" t="str">
        <f>IF(E718&lt;&gt;"", HYPERLINK("https://www.kegg.jp/dbget-bin/www_bget?ec:" &amp; E718, "https://www.kegg.jp/dbget-bin/www_bget?ec:" &amp; E718), "")</f>
        <v/>
      </c>
      <c r="G718" s="3"/>
      <c r="H718" s="1" t="str">
        <f>IF(G718&lt;&gt;"", HYPERLINK("https://www.kegg.jp/entry/" &amp; G718, "https://www.kegg.jp/entry/" &amp; G718), "")</f>
        <v/>
      </c>
    </row>
    <row r="719" spans="1:10" hidden="1" x14ac:dyDescent="0.25">
      <c r="A719" t="s">
        <v>1392</v>
      </c>
      <c r="B719">
        <v>427</v>
      </c>
      <c r="C719" t="s">
        <v>1393</v>
      </c>
      <c r="F719" s="1" t="str">
        <f>IF(E719&lt;&gt;"", HYPERLINK("https://www.kegg.jp/dbget-bin/www_bget?ec:" &amp; E719, "https://www.kegg.jp/dbget-bin/www_bget?ec:" &amp; E719), "")</f>
        <v/>
      </c>
      <c r="G719" s="3"/>
      <c r="H719" s="1" t="str">
        <f>IF(G719&lt;&gt;"", HYPERLINK("https://www.kegg.jp/entry/" &amp; G719, "https://www.kegg.jp/entry/" &amp; G719), "")</f>
        <v/>
      </c>
    </row>
    <row r="720" spans="1:10" hidden="1" x14ac:dyDescent="0.25">
      <c r="A720" t="s">
        <v>1395</v>
      </c>
      <c r="B720">
        <v>427</v>
      </c>
      <c r="C720" t="s">
        <v>1396</v>
      </c>
      <c r="F720" s="1" t="str">
        <f>IF(E720&lt;&gt;"", HYPERLINK("https://www.kegg.jp/dbget-bin/www_bget?ec:" &amp; E720, "https://www.kegg.jp/dbget-bin/www_bget?ec:" &amp; E720), "")</f>
        <v/>
      </c>
      <c r="G720" s="3"/>
      <c r="H720" s="1" t="str">
        <f>IF(G720&lt;&gt;"", HYPERLINK("https://www.kegg.jp/entry/" &amp; G720, "https://www.kegg.jp/entry/" &amp; G720), "")</f>
        <v/>
      </c>
    </row>
    <row r="721" spans="1:10" hidden="1" x14ac:dyDescent="0.25">
      <c r="A721" t="s">
        <v>1398</v>
      </c>
      <c r="B721">
        <v>182</v>
      </c>
      <c r="C721" t="s">
        <v>1399</v>
      </c>
      <c r="F721" s="1" t="str">
        <f>IF(E721&lt;&gt;"", HYPERLINK("https://www.kegg.jp/dbget-bin/www_bget?ec:" &amp; E721, "https://www.kegg.jp/dbget-bin/www_bget?ec:" &amp; E721), "")</f>
        <v/>
      </c>
      <c r="G721" s="3"/>
      <c r="H721" s="1" t="str">
        <f>IF(G721&lt;&gt;"", HYPERLINK("https://www.kegg.jp/entry/" &amp; G721, "https://www.kegg.jp/entry/" &amp; G721), "")</f>
        <v/>
      </c>
    </row>
    <row r="722" spans="1:10" hidden="1" x14ac:dyDescent="0.25">
      <c r="A722" t="s">
        <v>1401</v>
      </c>
      <c r="B722">
        <v>222</v>
      </c>
      <c r="C722" t="s">
        <v>1402</v>
      </c>
      <c r="F722" s="1" t="str">
        <f>IF(E722&lt;&gt;"", HYPERLINK("https://www.kegg.jp/dbget-bin/www_bget?ec:" &amp; E722, "https://www.kegg.jp/dbget-bin/www_bget?ec:" &amp; E722), "")</f>
        <v/>
      </c>
      <c r="G722" s="3"/>
      <c r="H722" s="1" t="str">
        <f>IF(G722&lt;&gt;"", HYPERLINK("https://www.kegg.jp/entry/" &amp; G722, "https://www.kegg.jp/entry/" &amp; G722), "")</f>
        <v/>
      </c>
    </row>
    <row r="723" spans="1:10" hidden="1" x14ac:dyDescent="0.25">
      <c r="A723" t="s">
        <v>1404</v>
      </c>
      <c r="B723">
        <v>189</v>
      </c>
      <c r="C723" t="s">
        <v>1405</v>
      </c>
      <c r="F723" s="1" t="str">
        <f>IF(E723&lt;&gt;"", HYPERLINK("https://www.kegg.jp/dbget-bin/www_bget?ec:" &amp; E723, "https://www.kegg.jp/dbget-bin/www_bget?ec:" &amp; E723), "")</f>
        <v/>
      </c>
      <c r="G723" s="3"/>
      <c r="H723" s="1" t="str">
        <f>IF(G723&lt;&gt;"", HYPERLINK("https://www.kegg.jp/entry/" &amp; G723, "https://www.kegg.jp/entry/" &amp; G723), "")</f>
        <v/>
      </c>
    </row>
    <row r="724" spans="1:10" hidden="1" x14ac:dyDescent="0.25">
      <c r="A724" t="s">
        <v>1407</v>
      </c>
      <c r="B724">
        <v>221</v>
      </c>
      <c r="C724" t="s">
        <v>1408</v>
      </c>
      <c r="F724" s="1" t="str">
        <f>IF(E724&lt;&gt;"", HYPERLINK("https://www.kegg.jp/dbget-bin/www_bget?ec:" &amp; E724, "https://www.kegg.jp/dbget-bin/www_bget?ec:" &amp; E724), "")</f>
        <v/>
      </c>
      <c r="G724" s="3"/>
      <c r="H724" s="1" t="str">
        <f>IF(G724&lt;&gt;"", HYPERLINK("https://www.kegg.jp/entry/" &amp; G724, "https://www.kegg.jp/entry/" &amp; G724), "")</f>
        <v/>
      </c>
    </row>
    <row r="725" spans="1:10" hidden="1" x14ac:dyDescent="0.25">
      <c r="A725" t="s">
        <v>1410</v>
      </c>
      <c r="B725">
        <v>228</v>
      </c>
      <c r="C725" t="s">
        <v>1411</v>
      </c>
      <c r="F725" s="1" t="str">
        <f>IF(E725&lt;&gt;"", HYPERLINK("https://www.kegg.jp/dbget-bin/www_bget?ec:" &amp; E725, "https://www.kegg.jp/dbget-bin/www_bget?ec:" &amp; E725), "")</f>
        <v/>
      </c>
      <c r="G725" s="3"/>
      <c r="H725" s="1" t="str">
        <f>IF(G725&lt;&gt;"", HYPERLINK("https://www.kegg.jp/entry/" &amp; G725, "https://www.kegg.jp/entry/" &amp; G725), "")</f>
        <v/>
      </c>
    </row>
    <row r="726" spans="1:10" hidden="1" x14ac:dyDescent="0.25">
      <c r="A726" t="s">
        <v>1413</v>
      </c>
      <c r="B726">
        <v>142</v>
      </c>
      <c r="C726" t="s">
        <v>1414</v>
      </c>
      <c r="F726" s="1" t="str">
        <f>IF(E726&lt;&gt;"", HYPERLINK("https://www.kegg.jp/dbget-bin/www_bget?ec:" &amp; E726, "https://www.kegg.jp/dbget-bin/www_bget?ec:" &amp; E726), "")</f>
        <v/>
      </c>
      <c r="G726" s="3"/>
      <c r="H726" s="1" t="str">
        <f>IF(G726&lt;&gt;"", HYPERLINK("https://www.kegg.jp/entry/" &amp; G726, "https://www.kegg.jp/entry/" &amp; G726), "")</f>
        <v/>
      </c>
    </row>
    <row r="727" spans="1:10" hidden="1" x14ac:dyDescent="0.25">
      <c r="A727" t="s">
        <v>1416</v>
      </c>
      <c r="B727">
        <v>643</v>
      </c>
      <c r="C727" t="s">
        <v>1417</v>
      </c>
      <c r="F727" s="1" t="str">
        <f>IF(E727&lt;&gt;"", HYPERLINK("https://www.kegg.jp/dbget-bin/www_bget?ec:" &amp; E727, "https://www.kegg.jp/dbget-bin/www_bget?ec:" &amp; E727), "")</f>
        <v/>
      </c>
      <c r="G727" s="3"/>
      <c r="H727" s="1" t="str">
        <f>IF(G727&lt;&gt;"", HYPERLINK("https://www.kegg.jp/entry/" &amp; G727, "https://www.kegg.jp/entry/" &amp; G727), "")</f>
        <v/>
      </c>
    </row>
    <row r="728" spans="1:10" hidden="1" x14ac:dyDescent="0.25">
      <c r="A728" t="s">
        <v>1419</v>
      </c>
      <c r="B728">
        <v>178</v>
      </c>
      <c r="C728" t="s">
        <v>1420</v>
      </c>
      <c r="F728" s="1" t="str">
        <f>IF(E728&lt;&gt;"", HYPERLINK("https://www.kegg.jp/dbget-bin/www_bget?ec:" &amp; E728, "https://www.kegg.jp/dbget-bin/www_bget?ec:" &amp; E728), "")</f>
        <v/>
      </c>
      <c r="G728" s="3"/>
      <c r="H728" s="1" t="str">
        <f>IF(G728&lt;&gt;"", HYPERLINK("https://www.kegg.jp/entry/" &amp; G728, "https://www.kegg.jp/entry/" &amp; G728), "")</f>
        <v/>
      </c>
    </row>
    <row r="729" spans="1:10" hidden="1" x14ac:dyDescent="0.25">
      <c r="A729" t="s">
        <v>1422</v>
      </c>
      <c r="B729">
        <v>140</v>
      </c>
      <c r="C729" t="s">
        <v>1423</v>
      </c>
      <c r="F729" s="1" t="str">
        <f>IF(E729&lt;&gt;"", HYPERLINK("https://www.kegg.jp/dbget-bin/www_bget?ec:" &amp; E729, "https://www.kegg.jp/dbget-bin/www_bget?ec:" &amp; E729), "")</f>
        <v/>
      </c>
      <c r="G729" s="3"/>
      <c r="H729" s="1" t="str">
        <f>IF(G729&lt;&gt;"", HYPERLINK("https://www.kegg.jp/entry/" &amp; G729, "https://www.kegg.jp/entry/" &amp; G729), "")</f>
        <v/>
      </c>
    </row>
    <row r="730" spans="1:10" hidden="1" x14ac:dyDescent="0.25">
      <c r="A730" t="s">
        <v>1425</v>
      </c>
      <c r="B730">
        <v>326</v>
      </c>
      <c r="C730" t="s">
        <v>1426</v>
      </c>
      <c r="F730" s="1" t="str">
        <f>IF(E730&lt;&gt;"", HYPERLINK("https://www.kegg.jp/dbget-bin/www_bget?ec:" &amp; E730, "https://www.kegg.jp/dbget-bin/www_bget?ec:" &amp; E730), "")</f>
        <v/>
      </c>
      <c r="G730" s="3"/>
      <c r="H730" s="1" t="str">
        <f>IF(G730&lt;&gt;"", HYPERLINK("https://www.kegg.jp/entry/" &amp; G730, "https://www.kegg.jp/entry/" &amp; G730), "")</f>
        <v/>
      </c>
    </row>
    <row r="731" spans="1:10" hidden="1" x14ac:dyDescent="0.25">
      <c r="A731" t="s">
        <v>1428</v>
      </c>
      <c r="B731">
        <v>184</v>
      </c>
      <c r="C731" t="s">
        <v>1429</v>
      </c>
      <c r="F731" s="1" t="str">
        <f>IF(E731&lt;&gt;"", HYPERLINK("https://www.kegg.jp/dbget-bin/www_bget?ec:" &amp; E731, "https://www.kegg.jp/dbget-bin/www_bget?ec:" &amp; E731), "")</f>
        <v/>
      </c>
      <c r="G731" s="3"/>
      <c r="H731" s="1" t="str">
        <f>IF(G731&lt;&gt;"", HYPERLINK("https://www.kegg.jp/entry/" &amp; G731, "https://www.kegg.jp/entry/" &amp; G731), "")</f>
        <v/>
      </c>
    </row>
    <row r="732" spans="1:10" hidden="1" x14ac:dyDescent="0.25">
      <c r="A732" t="s">
        <v>1430</v>
      </c>
      <c r="B732">
        <v>278</v>
      </c>
      <c r="C732" t="s">
        <v>1431</v>
      </c>
      <c r="F732" s="1" t="str">
        <f>IF(E732&lt;&gt;"", HYPERLINK("https://www.kegg.jp/dbget-bin/www_bget?ec:" &amp; E732, "https://www.kegg.jp/dbget-bin/www_bget?ec:" &amp; E732), "")</f>
        <v/>
      </c>
      <c r="G732" s="3"/>
      <c r="H732" s="1" t="str">
        <f>IF(G732&lt;&gt;"", HYPERLINK("https://www.kegg.jp/entry/" &amp; G732, "https://www.kegg.jp/entry/" &amp; G732), "")</f>
        <v/>
      </c>
    </row>
    <row r="733" spans="1:10" x14ac:dyDescent="0.25">
      <c r="A733" t="s">
        <v>1433</v>
      </c>
      <c r="B733">
        <v>433</v>
      </c>
      <c r="C733" t="s">
        <v>1434</v>
      </c>
      <c r="E733" s="5" t="s">
        <v>6724</v>
      </c>
      <c r="F733" s="1" t="str">
        <f>IF(E733&lt;&gt;"", HYPERLINK("https://www.kegg.jp/dbget-bin/www_bget?ec:" &amp; E733, "https://www.kegg.jp/dbget-bin/www_bget?ec:" &amp; E733), "")</f>
        <v>https://www.kegg.jp/dbget-bin/www_bget?ec:6.1.1.1</v>
      </c>
      <c r="G733" s="3" t="s">
        <v>7139</v>
      </c>
      <c r="H733" s="1" t="str">
        <f>IF(G733&lt;&gt;"", HYPERLINK("https://www.kegg.jp/entry/" &amp; G733, "https://www.kegg.jp/entry/" &amp; G733), "")</f>
        <v>https://www.kegg.jp/entry/R02918</v>
      </c>
      <c r="I733" t="s">
        <v>8196</v>
      </c>
      <c r="J733" t="s">
        <v>13015</v>
      </c>
    </row>
    <row r="734" spans="1:10" hidden="1" x14ac:dyDescent="0.25">
      <c r="A734" t="s">
        <v>1435</v>
      </c>
      <c r="B734">
        <v>125</v>
      </c>
      <c r="C734" t="s">
        <v>1436</v>
      </c>
      <c r="F734" s="1" t="str">
        <f>IF(E734&lt;&gt;"", HYPERLINK("https://www.kegg.jp/dbget-bin/www_bget?ec:" &amp; E734, "https://www.kegg.jp/dbget-bin/www_bget?ec:" &amp; E734), "")</f>
        <v/>
      </c>
      <c r="G734" s="3"/>
      <c r="H734" s="1" t="str">
        <f>IF(G734&lt;&gt;"", HYPERLINK("https://www.kegg.jp/entry/" &amp; G734, "https://www.kegg.jp/entry/" &amp; G734), "")</f>
        <v/>
      </c>
    </row>
    <row r="735" spans="1:10" hidden="1" x14ac:dyDescent="0.25">
      <c r="A735" t="s">
        <v>1438</v>
      </c>
      <c r="B735">
        <v>97</v>
      </c>
      <c r="C735" t="s">
        <v>1439</v>
      </c>
      <c r="F735" s="1" t="str">
        <f>IF(E735&lt;&gt;"", HYPERLINK("https://www.kegg.jp/dbget-bin/www_bget?ec:" &amp; E735, "https://www.kegg.jp/dbget-bin/www_bget?ec:" &amp; E735), "")</f>
        <v/>
      </c>
      <c r="G735" s="3"/>
      <c r="H735" s="1" t="str">
        <f>IF(G735&lt;&gt;"", HYPERLINK("https://www.kegg.jp/entry/" &amp; G735, "https://www.kegg.jp/entry/" &amp; G735), "")</f>
        <v/>
      </c>
    </row>
    <row r="736" spans="1:10" hidden="1" x14ac:dyDescent="0.25">
      <c r="A736" t="s">
        <v>1440</v>
      </c>
      <c r="B736">
        <v>245</v>
      </c>
      <c r="C736" t="s">
        <v>1441</v>
      </c>
      <c r="F736" s="1" t="str">
        <f>IF(E736&lt;&gt;"", HYPERLINK("https://www.kegg.jp/dbget-bin/www_bget?ec:" &amp; E736, "https://www.kegg.jp/dbget-bin/www_bget?ec:" &amp; E736), "")</f>
        <v/>
      </c>
      <c r="G736" s="3"/>
      <c r="H736" s="1" t="str">
        <f>IF(G736&lt;&gt;"", HYPERLINK("https://www.kegg.jp/entry/" &amp; G736, "https://www.kegg.jp/entry/" &amp; G736), "")</f>
        <v/>
      </c>
    </row>
    <row r="737" spans="1:10" x14ac:dyDescent="0.25">
      <c r="A737" t="s">
        <v>1443</v>
      </c>
      <c r="B737">
        <v>292</v>
      </c>
      <c r="C737" t="s">
        <v>1444</v>
      </c>
      <c r="E737" s="5" t="s">
        <v>6725</v>
      </c>
      <c r="F737" s="1" t="str">
        <f>IF(E737&lt;&gt;"", HYPERLINK("https://www.kegg.jp/dbget-bin/www_bget?ec:" &amp; E737, "https://www.kegg.jp/dbget-bin/www_bget?ec:" &amp; E737), "")</f>
        <v>https://www.kegg.jp/dbget-bin/www_bget?ec:2.7.1.39</v>
      </c>
      <c r="G737" s="3" t="s">
        <v>7140</v>
      </c>
      <c r="H737" s="1" t="str">
        <f>IF(G737&lt;&gt;"", HYPERLINK("https://www.kegg.jp/entry/" &amp; G737, "https://www.kegg.jp/entry/" &amp; G737), "")</f>
        <v>https://www.kegg.jp/entry/R01771</v>
      </c>
      <c r="I737" t="s">
        <v>8197</v>
      </c>
      <c r="J737" t="s">
        <v>8466</v>
      </c>
    </row>
    <row r="738" spans="1:10" hidden="1" x14ac:dyDescent="0.25">
      <c r="A738" t="s">
        <v>1445</v>
      </c>
      <c r="B738">
        <v>122</v>
      </c>
      <c r="C738" t="s">
        <v>1446</v>
      </c>
      <c r="F738" s="1" t="str">
        <f>IF(E738&lt;&gt;"", HYPERLINK("https://www.kegg.jp/dbget-bin/www_bget?ec:" &amp; E738, "https://www.kegg.jp/dbget-bin/www_bget?ec:" &amp; E738), "")</f>
        <v/>
      </c>
      <c r="G738" s="3"/>
      <c r="H738" s="1" t="str">
        <f>IF(G738&lt;&gt;"", HYPERLINK("https://www.kegg.jp/entry/" &amp; G738, "https://www.kegg.jp/entry/" &amp; G738), "")</f>
        <v/>
      </c>
    </row>
    <row r="739" spans="1:10" hidden="1" x14ac:dyDescent="0.25">
      <c r="A739" t="s">
        <v>1448</v>
      </c>
      <c r="B739">
        <v>480</v>
      </c>
      <c r="C739" t="s">
        <v>1449</v>
      </c>
      <c r="F739" s="1" t="str">
        <f>IF(E739&lt;&gt;"", HYPERLINK("https://www.kegg.jp/dbget-bin/www_bget?ec:" &amp; E739, "https://www.kegg.jp/dbget-bin/www_bget?ec:" &amp; E739), "")</f>
        <v/>
      </c>
      <c r="G739" s="3"/>
      <c r="H739" s="1" t="str">
        <f>IF(G739&lt;&gt;"", HYPERLINK("https://www.kegg.jp/entry/" &amp; G739, "https://www.kegg.jp/entry/" &amp; G739), "")</f>
        <v/>
      </c>
    </row>
    <row r="740" spans="1:10" hidden="1" x14ac:dyDescent="0.25">
      <c r="A740" t="s">
        <v>1451</v>
      </c>
      <c r="B740">
        <v>244</v>
      </c>
      <c r="C740" t="s">
        <v>1452</v>
      </c>
      <c r="F740" s="1" t="str">
        <f>IF(E740&lt;&gt;"", HYPERLINK("https://www.kegg.jp/dbget-bin/www_bget?ec:" &amp; E740, "https://www.kegg.jp/dbget-bin/www_bget?ec:" &amp; E740), "")</f>
        <v/>
      </c>
      <c r="G740" s="3"/>
      <c r="H740" s="1" t="str">
        <f>IF(G740&lt;&gt;"", HYPERLINK("https://www.kegg.jp/entry/" &amp; G740, "https://www.kegg.jp/entry/" &amp; G740), "")</f>
        <v/>
      </c>
    </row>
    <row r="741" spans="1:10" hidden="1" x14ac:dyDescent="0.25">
      <c r="A741" t="s">
        <v>1454</v>
      </c>
      <c r="B741">
        <v>527</v>
      </c>
      <c r="C741" t="s">
        <v>1455</v>
      </c>
      <c r="F741" s="1" t="str">
        <f>IF(E741&lt;&gt;"", HYPERLINK("https://www.kegg.jp/dbget-bin/www_bget?ec:" &amp; E741, "https://www.kegg.jp/dbget-bin/www_bget?ec:" &amp; E741), "")</f>
        <v/>
      </c>
      <c r="G741" s="3"/>
      <c r="H741" s="1" t="str">
        <f>IF(G741&lt;&gt;"", HYPERLINK("https://www.kegg.jp/entry/" &amp; G741, "https://www.kegg.jp/entry/" &amp; G741), "")</f>
        <v/>
      </c>
    </row>
    <row r="742" spans="1:10" hidden="1" x14ac:dyDescent="0.25">
      <c r="A742" t="s">
        <v>1456</v>
      </c>
      <c r="B742">
        <v>263</v>
      </c>
      <c r="C742" t="s">
        <v>1457</v>
      </c>
      <c r="F742" s="1" t="str">
        <f>IF(E742&lt;&gt;"", HYPERLINK("https://www.kegg.jp/dbget-bin/www_bget?ec:" &amp; E742, "https://www.kegg.jp/dbget-bin/www_bget?ec:" &amp; E742), "")</f>
        <v/>
      </c>
      <c r="G742" s="3"/>
      <c r="H742" s="1" t="str">
        <f>IF(G742&lt;&gt;"", HYPERLINK("https://www.kegg.jp/entry/" &amp; G742, "https://www.kegg.jp/entry/" &amp; G742), "")</f>
        <v/>
      </c>
    </row>
    <row r="743" spans="1:10" hidden="1" x14ac:dyDescent="0.25">
      <c r="A743" t="s">
        <v>1458</v>
      </c>
      <c r="B743">
        <v>156</v>
      </c>
      <c r="C743" t="s">
        <v>1459</v>
      </c>
      <c r="F743" s="1" t="str">
        <f>IF(E743&lt;&gt;"", HYPERLINK("https://www.kegg.jp/dbget-bin/www_bget?ec:" &amp; E743, "https://www.kegg.jp/dbget-bin/www_bget?ec:" &amp; E743), "")</f>
        <v/>
      </c>
      <c r="G743" s="3"/>
      <c r="H743" s="1" t="str">
        <f>IF(G743&lt;&gt;"", HYPERLINK("https://www.kegg.jp/entry/" &amp; G743, "https://www.kegg.jp/entry/" &amp; G743), "")</f>
        <v/>
      </c>
    </row>
    <row r="744" spans="1:10" hidden="1" x14ac:dyDescent="0.25">
      <c r="A744" t="s">
        <v>1461</v>
      </c>
      <c r="B744">
        <v>432</v>
      </c>
      <c r="C744" t="s">
        <v>1462</v>
      </c>
      <c r="F744" s="1" t="str">
        <f>IF(E744&lt;&gt;"", HYPERLINK("https://www.kegg.jp/dbget-bin/www_bget?ec:" &amp; E744, "https://www.kegg.jp/dbget-bin/www_bget?ec:" &amp; E744), "")</f>
        <v/>
      </c>
      <c r="G744" s="3"/>
      <c r="H744" s="1" t="str">
        <f>IF(G744&lt;&gt;"", HYPERLINK("https://www.kegg.jp/entry/" &amp; G744, "https://www.kegg.jp/entry/" &amp; G744), "")</f>
        <v/>
      </c>
    </row>
    <row r="745" spans="1:10" hidden="1" x14ac:dyDescent="0.25">
      <c r="A745" t="s">
        <v>1464</v>
      </c>
      <c r="B745">
        <v>193</v>
      </c>
      <c r="C745" t="s">
        <v>1465</v>
      </c>
      <c r="F745" s="1" t="str">
        <f>IF(E745&lt;&gt;"", HYPERLINK("https://www.kegg.jp/dbget-bin/www_bget?ec:" &amp; E745, "https://www.kegg.jp/dbget-bin/www_bget?ec:" &amp; E745), "")</f>
        <v/>
      </c>
      <c r="G745" s="3"/>
      <c r="H745" s="1" t="str">
        <f>IF(G745&lt;&gt;"", HYPERLINK("https://www.kegg.jp/entry/" &amp; G745, "https://www.kegg.jp/entry/" &amp; G745), "")</f>
        <v/>
      </c>
    </row>
    <row r="746" spans="1:10" hidden="1" x14ac:dyDescent="0.25">
      <c r="A746" t="s">
        <v>1466</v>
      </c>
      <c r="B746">
        <v>120</v>
      </c>
      <c r="C746" t="s">
        <v>1467</v>
      </c>
      <c r="F746" s="1" t="str">
        <f>IF(E746&lt;&gt;"", HYPERLINK("https://www.kegg.jp/dbget-bin/www_bget?ec:" &amp; E746, "https://www.kegg.jp/dbget-bin/www_bget?ec:" &amp; E746), "")</f>
        <v/>
      </c>
      <c r="G746" s="3"/>
      <c r="H746" s="1" t="str">
        <f>IF(G746&lt;&gt;"", HYPERLINK("https://www.kegg.jp/entry/" &amp; G746, "https://www.kegg.jp/entry/" &amp; G746), "")</f>
        <v/>
      </c>
    </row>
    <row r="747" spans="1:10" x14ac:dyDescent="0.25">
      <c r="A747" t="s">
        <v>1469</v>
      </c>
      <c r="B747">
        <v>124</v>
      </c>
      <c r="C747" t="s">
        <v>1470</v>
      </c>
      <c r="E747" s="5" t="s">
        <v>6726</v>
      </c>
      <c r="F747" s="1" t="str">
        <f>IF(E747&lt;&gt;"", HYPERLINK("https://www.kegg.jp/dbget-bin/www_bget?ec:" &amp; E747, "https://www.kegg.jp/dbget-bin/www_bget?ec:" &amp; E747), "")</f>
        <v>https://www.kegg.jp/dbget-bin/www_bget?ec:2.7.8.7</v>
      </c>
      <c r="G747" s="3" t="s">
        <v>7141</v>
      </c>
      <c r="H747" s="1" t="str">
        <f>IF(G747&lt;&gt;"", HYPERLINK("https://www.kegg.jp/entry/" &amp; G747, "https://www.kegg.jp/entry/" &amp; G747), "")</f>
        <v>https://www.kegg.jp/entry/R01625</v>
      </c>
      <c r="I747" t="s">
        <v>8198</v>
      </c>
      <c r="J747" t="s">
        <v>8467</v>
      </c>
    </row>
    <row r="748" spans="1:10" hidden="1" x14ac:dyDescent="0.25">
      <c r="A748" t="s">
        <v>1472</v>
      </c>
      <c r="B748">
        <v>455</v>
      </c>
      <c r="C748" t="s">
        <v>1473</v>
      </c>
      <c r="F748" s="1" t="str">
        <f>IF(E748&lt;&gt;"", HYPERLINK("https://www.kegg.jp/dbget-bin/www_bget?ec:" &amp; E748, "https://www.kegg.jp/dbget-bin/www_bget?ec:" &amp; E748), "")</f>
        <v/>
      </c>
      <c r="G748" s="3"/>
      <c r="H748" s="1" t="str">
        <f>IF(G748&lt;&gt;"", HYPERLINK("https://www.kegg.jp/entry/" &amp; G748, "https://www.kegg.jp/entry/" &amp; G748), "")</f>
        <v/>
      </c>
    </row>
    <row r="749" spans="1:10" x14ac:dyDescent="0.25">
      <c r="A749" t="s">
        <v>1475</v>
      </c>
      <c r="B749">
        <v>349</v>
      </c>
      <c r="C749" t="s">
        <v>1476</v>
      </c>
      <c r="E749" s="5" t="s">
        <v>6727</v>
      </c>
      <c r="F749" s="1" t="str">
        <f>IF(E749&lt;&gt;"", HYPERLINK("https://www.kegg.jp/dbget-bin/www_bget?ec:" &amp; E749, "https://www.kegg.jp/dbget-bin/www_bget?ec:" &amp; E749), "")</f>
        <v>https://www.kegg.jp/dbget-bin/www_bget?ec:4.2.3.4</v>
      </c>
      <c r="G749" s="3" t="s">
        <v>7142</v>
      </c>
      <c r="H749" s="1" t="str">
        <f>IF(G749&lt;&gt;"", HYPERLINK("https://www.kegg.jp/entry/" &amp; G749, "https://www.kegg.jp/entry/" &amp; G749), "")</f>
        <v>https://www.kegg.jp/entry/R03083</v>
      </c>
      <c r="I749" t="s">
        <v>8199</v>
      </c>
      <c r="J749" t="s">
        <v>13016</v>
      </c>
    </row>
    <row r="750" spans="1:10" x14ac:dyDescent="0.25">
      <c r="A750" t="s">
        <v>1478</v>
      </c>
      <c r="B750">
        <v>184</v>
      </c>
      <c r="C750" t="s">
        <v>1479</v>
      </c>
      <c r="E750" s="5" t="s">
        <v>6728</v>
      </c>
      <c r="F750" s="1" t="str">
        <f>IF(E750&lt;&gt;"", HYPERLINK("https://www.kegg.jp/dbget-bin/www_bget?ec:" &amp; E750, "https://www.kegg.jp/dbget-bin/www_bget?ec:" &amp; E750), "")</f>
        <v>https://www.kegg.jp/dbget-bin/www_bget?ec:2.7.1.71</v>
      </c>
      <c r="G750" s="3" t="s">
        <v>7143</v>
      </c>
      <c r="H750" s="1" t="str">
        <f>IF(G750&lt;&gt;"", HYPERLINK("https://www.kegg.jp/entry/" &amp; G750, "https://www.kegg.jp/entry/" &amp; G750), "")</f>
        <v>https://www.kegg.jp/entry/R02412</v>
      </c>
      <c r="I750" t="s">
        <v>8200</v>
      </c>
      <c r="J750" t="s">
        <v>8468</v>
      </c>
    </row>
    <row r="751" spans="1:10" x14ac:dyDescent="0.25">
      <c r="A751" t="s">
        <v>1481</v>
      </c>
      <c r="B751">
        <v>395</v>
      </c>
      <c r="C751" t="s">
        <v>1482</v>
      </c>
      <c r="E751" s="5" t="s">
        <v>6729</v>
      </c>
      <c r="F751" s="1" t="str">
        <f>IF(E751&lt;&gt;"", HYPERLINK("https://www.kegg.jp/dbget-bin/www_bget?ec:" &amp; E751, "https://www.kegg.jp/dbget-bin/www_bget?ec:" &amp; E751), "")</f>
        <v>https://www.kegg.jp/dbget-bin/www_bget?ec:4.2.3.5</v>
      </c>
      <c r="G751" s="3" t="s">
        <v>7144</v>
      </c>
      <c r="H751" s="1" t="str">
        <f>IF(G751&lt;&gt;"", HYPERLINK("https://www.kegg.jp/entry/" &amp; G751, "https://www.kegg.jp/entry/" &amp; G751), "")</f>
        <v>https://www.kegg.jp/entry/R01714</v>
      </c>
      <c r="I751" t="s">
        <v>8201</v>
      </c>
      <c r="J751" t="s">
        <v>13017</v>
      </c>
    </row>
    <row r="752" spans="1:10" hidden="1" x14ac:dyDescent="0.25">
      <c r="A752" t="s">
        <v>1484</v>
      </c>
      <c r="B752">
        <v>756</v>
      </c>
      <c r="C752" t="s">
        <v>1485</v>
      </c>
      <c r="F752" s="1" t="str">
        <f>IF(E752&lt;&gt;"", HYPERLINK("https://www.kegg.jp/dbget-bin/www_bget?ec:" &amp; E752, "https://www.kegg.jp/dbget-bin/www_bget?ec:" &amp; E752), "")</f>
        <v/>
      </c>
      <c r="G752" s="3"/>
      <c r="H752" s="1" t="str">
        <f>IF(G752&lt;&gt;"", HYPERLINK("https://www.kegg.jp/entry/" &amp; G752, "https://www.kegg.jp/entry/" &amp; G752), "")</f>
        <v/>
      </c>
    </row>
    <row r="753" spans="1:10" hidden="1" x14ac:dyDescent="0.25">
      <c r="A753" t="s">
        <v>1487</v>
      </c>
      <c r="B753">
        <v>309</v>
      </c>
      <c r="C753" t="s">
        <v>1488</v>
      </c>
      <c r="F753" s="1" t="str">
        <f>IF(E753&lt;&gt;"", HYPERLINK("https://www.kegg.jp/dbget-bin/www_bget?ec:" &amp; E753, "https://www.kegg.jp/dbget-bin/www_bget?ec:" &amp; E753), "")</f>
        <v/>
      </c>
      <c r="G753" s="3"/>
      <c r="H753" s="1" t="str">
        <f>IF(G753&lt;&gt;"", HYPERLINK("https://www.kegg.jp/entry/" &amp; G753, "https://www.kegg.jp/entry/" &amp; G753), "")</f>
        <v/>
      </c>
    </row>
    <row r="754" spans="1:10" hidden="1" x14ac:dyDescent="0.25">
      <c r="A754" t="s">
        <v>1490</v>
      </c>
      <c r="B754">
        <v>199</v>
      </c>
      <c r="C754" t="s">
        <v>1491</v>
      </c>
      <c r="F754" s="1" t="str">
        <f>IF(E754&lt;&gt;"", HYPERLINK("https://www.kegg.jp/dbget-bin/www_bget?ec:" &amp; E754, "https://www.kegg.jp/dbget-bin/www_bget?ec:" &amp; E754), "")</f>
        <v/>
      </c>
      <c r="G754" s="3"/>
      <c r="H754" s="1" t="str">
        <f>IF(G754&lt;&gt;"", HYPERLINK("https://www.kegg.jp/entry/" &amp; G754, "https://www.kegg.jp/entry/" &amp; G754), "")</f>
        <v/>
      </c>
    </row>
    <row r="755" spans="1:10" hidden="1" x14ac:dyDescent="0.25">
      <c r="A755" t="s">
        <v>1493</v>
      </c>
      <c r="B755">
        <v>207</v>
      </c>
      <c r="C755" t="s">
        <v>1494</v>
      </c>
      <c r="F755" s="1" t="str">
        <f>IF(E755&lt;&gt;"", HYPERLINK("https://www.kegg.jp/dbget-bin/www_bget?ec:" &amp; E755, "https://www.kegg.jp/dbget-bin/www_bget?ec:" &amp; E755), "")</f>
        <v/>
      </c>
      <c r="G755" s="3"/>
      <c r="H755" s="1" t="str">
        <f>IF(G755&lt;&gt;"", HYPERLINK("https://www.kegg.jp/entry/" &amp; G755, "https://www.kegg.jp/entry/" &amp; G755), "")</f>
        <v/>
      </c>
    </row>
    <row r="756" spans="1:10" hidden="1" x14ac:dyDescent="0.25">
      <c r="A756" t="s">
        <v>1496</v>
      </c>
      <c r="B756">
        <v>377</v>
      </c>
      <c r="C756" t="s">
        <v>1497</v>
      </c>
      <c r="F756" s="1" t="str">
        <f>IF(E756&lt;&gt;"", HYPERLINK("https://www.kegg.jp/dbget-bin/www_bget?ec:" &amp; E756, "https://www.kegg.jp/dbget-bin/www_bget?ec:" &amp; E756), "")</f>
        <v/>
      </c>
      <c r="G756" s="3"/>
      <c r="H756" s="1" t="str">
        <f>IF(G756&lt;&gt;"", HYPERLINK("https://www.kegg.jp/entry/" &amp; G756, "https://www.kegg.jp/entry/" &amp; G756), "")</f>
        <v/>
      </c>
    </row>
    <row r="757" spans="1:10" x14ac:dyDescent="0.25">
      <c r="A757" t="s">
        <v>1499</v>
      </c>
      <c r="B757">
        <v>334</v>
      </c>
      <c r="C757" t="s">
        <v>1500</v>
      </c>
      <c r="E757" s="5" t="s">
        <v>6730</v>
      </c>
      <c r="F757" s="1" t="str">
        <f>IF(E757&lt;&gt;"", HYPERLINK("https://www.kegg.jp/dbget-bin/www_bget?ec:" &amp; E757, "https://www.kegg.jp/dbget-bin/www_bget?ec:" &amp; E757), "")</f>
        <v>https://www.kegg.jp/dbget-bin/www_bget?ec:1.1.1.87</v>
      </c>
      <c r="G757" s="9" t="s">
        <v>7535</v>
      </c>
      <c r="H757" s="1" t="str">
        <f>IF(G757&lt;&gt;"", HYPERLINK("https://www.kegg.jp/entry/" &amp; G757, "https://www.kegg.jp/entry/" &amp; G757), "")</f>
        <v>https://www.kegg.jp/entry/R01934</v>
      </c>
      <c r="I757" t="s">
        <v>13018</v>
      </c>
      <c r="J757" t="s">
        <v>13019</v>
      </c>
    </row>
    <row r="758" spans="1:10" x14ac:dyDescent="0.25">
      <c r="A758" t="s">
        <v>1499</v>
      </c>
      <c r="B758">
        <v>334</v>
      </c>
      <c r="C758" t="s">
        <v>1500</v>
      </c>
      <c r="E758" s="5" t="s">
        <v>6730</v>
      </c>
      <c r="F758" s="1" t="str">
        <f>IF(E758&lt;&gt;"", HYPERLINK("https://www.kegg.jp/dbget-bin/www_bget?ec:" &amp; E758, "https://www.kegg.jp/dbget-bin/www_bget?ec:" &amp; E758), "")</f>
        <v>https://www.kegg.jp/dbget-bin/www_bget?ec:1.1.1.87</v>
      </c>
      <c r="G758" s="9" t="s">
        <v>7537</v>
      </c>
      <c r="H758" s="1" t="str">
        <f>IF(G758&lt;&gt;"", HYPERLINK("https://www.kegg.jp/entry/" &amp; G758, "https://www.kegg.jp/entry/" &amp; G758), "")</f>
        <v>https://www.kegg.jp/entry/R01936</v>
      </c>
      <c r="I758" t="s">
        <v>8202</v>
      </c>
      <c r="J758" t="s">
        <v>13020</v>
      </c>
    </row>
    <row r="759" spans="1:10" x14ac:dyDescent="0.25">
      <c r="A759" t="s">
        <v>1499</v>
      </c>
      <c r="B759">
        <v>334</v>
      </c>
      <c r="C759" t="s">
        <v>1500</v>
      </c>
      <c r="E759" s="5" t="s">
        <v>6730</v>
      </c>
      <c r="F759" s="1" t="str">
        <f>IF(E759&lt;&gt;"", HYPERLINK("https://www.kegg.jp/dbget-bin/www_bget?ec:" &amp; E759, "https://www.kegg.jp/dbget-bin/www_bget?ec:" &amp; E759), "")</f>
        <v>https://www.kegg.jp/dbget-bin/www_bget?ec:1.1.1.87</v>
      </c>
      <c r="G759" s="9" t="s">
        <v>7536</v>
      </c>
      <c r="H759" s="1" t="str">
        <f>IF(G759&lt;&gt;"", HYPERLINK("https://www.kegg.jp/entry/" &amp; G759, "https://www.kegg.jp/entry/" &amp; G759), "")</f>
        <v>https://www.kegg.jp/entry/R04862</v>
      </c>
      <c r="I759" t="s">
        <v>13018</v>
      </c>
      <c r="J759" t="s">
        <v>13021</v>
      </c>
    </row>
    <row r="760" spans="1:10" hidden="1" x14ac:dyDescent="0.25">
      <c r="A760" t="s">
        <v>1501</v>
      </c>
      <c r="B760">
        <v>151</v>
      </c>
      <c r="C760" t="s">
        <v>1502</v>
      </c>
      <c r="F760" s="1" t="str">
        <f>IF(E760&lt;&gt;"", HYPERLINK("https://www.kegg.jp/dbget-bin/www_bget?ec:" &amp; E760, "https://www.kegg.jp/dbget-bin/www_bget?ec:" &amp; E760), "")</f>
        <v/>
      </c>
      <c r="G760" s="3"/>
      <c r="H760" s="1" t="str">
        <f>IF(G760&lt;&gt;"", HYPERLINK("https://www.kegg.jp/entry/" &amp; G760, "https://www.kegg.jp/entry/" &amp; G760), "")</f>
        <v/>
      </c>
    </row>
    <row r="761" spans="1:10" hidden="1" x14ac:dyDescent="0.25">
      <c r="A761" t="s">
        <v>1504</v>
      </c>
      <c r="B761">
        <v>473</v>
      </c>
      <c r="C761" t="s">
        <v>1505</v>
      </c>
      <c r="F761" s="1" t="str">
        <f>IF(E761&lt;&gt;"", HYPERLINK("https://www.kegg.jp/dbget-bin/www_bget?ec:" &amp; E761, "https://www.kegg.jp/dbget-bin/www_bget?ec:" &amp; E761), "")</f>
        <v/>
      </c>
      <c r="G761" s="3"/>
      <c r="H761" s="1" t="str">
        <f>IF(G761&lt;&gt;"", HYPERLINK("https://www.kegg.jp/entry/" &amp; G761, "https://www.kegg.jp/entry/" &amp; G761), "")</f>
        <v/>
      </c>
    </row>
    <row r="762" spans="1:10" hidden="1" x14ac:dyDescent="0.25">
      <c r="C762" t="s">
        <v>1507</v>
      </c>
      <c r="F762" s="1" t="str">
        <f>IF(E762&lt;&gt;"", HYPERLINK("https://www.kegg.jp/dbget-bin/www_bget?ec:" &amp; E762, "https://www.kegg.jp/dbget-bin/www_bget?ec:" &amp; E762), "")</f>
        <v/>
      </c>
      <c r="G762" s="3"/>
      <c r="H762" s="1" t="str">
        <f>IF(G762&lt;&gt;"", HYPERLINK("https://www.kegg.jp/entry/" &amp; G762, "https://www.kegg.jp/entry/" &amp; G762), "")</f>
        <v/>
      </c>
    </row>
    <row r="763" spans="1:10" hidden="1" x14ac:dyDescent="0.25">
      <c r="C763" t="s">
        <v>1509</v>
      </c>
      <c r="F763" s="1" t="str">
        <f>IF(E763&lt;&gt;"", HYPERLINK("https://www.kegg.jp/dbget-bin/www_bget?ec:" &amp; E763, "https://www.kegg.jp/dbget-bin/www_bget?ec:" &amp; E763), "")</f>
        <v/>
      </c>
      <c r="G763" s="3"/>
      <c r="H763" s="1" t="str">
        <f>IF(G763&lt;&gt;"", HYPERLINK("https://www.kegg.jp/entry/" &amp; G763, "https://www.kegg.jp/entry/" &amp; G763), "")</f>
        <v/>
      </c>
    </row>
    <row r="764" spans="1:10" hidden="1" x14ac:dyDescent="0.25">
      <c r="A764" t="s">
        <v>1510</v>
      </c>
      <c r="B764">
        <v>121</v>
      </c>
      <c r="C764" t="s">
        <v>1511</v>
      </c>
      <c r="F764" s="1" t="str">
        <f>IF(E764&lt;&gt;"", HYPERLINK("https://www.kegg.jp/dbget-bin/www_bget?ec:" &amp; E764, "https://www.kegg.jp/dbget-bin/www_bget?ec:" &amp; E764), "")</f>
        <v/>
      </c>
      <c r="G764" s="3"/>
      <c r="H764" s="1" t="str">
        <f>IF(G764&lt;&gt;"", HYPERLINK("https://www.kegg.jp/entry/" &amp; G764, "https://www.kegg.jp/entry/" &amp; G764), "")</f>
        <v/>
      </c>
    </row>
    <row r="765" spans="1:10" x14ac:dyDescent="0.25">
      <c r="A765" t="s">
        <v>1513</v>
      </c>
      <c r="B765">
        <v>252</v>
      </c>
      <c r="C765" t="s">
        <v>1514</v>
      </c>
      <c r="E765" s="5" t="s">
        <v>6731</v>
      </c>
      <c r="F765" s="1" t="str">
        <f>IF(E765&lt;&gt;"", HYPERLINK("https://www.kegg.jp/dbget-bin/www_bget?ec:" &amp; E765, "https://www.kegg.jp/dbget-bin/www_bget?ec:" &amp; E765), "")</f>
        <v>https://www.kegg.jp/dbget-bin/www_bget?ec:2.7.1.33</v>
      </c>
      <c r="G765" s="9" t="s">
        <v>7538</v>
      </c>
      <c r="H765" s="1" t="str">
        <f>IF(G765&lt;&gt;"", HYPERLINK("https://www.kegg.jp/entry/" &amp; G765, "https://www.kegg.jp/entry/" &amp; G765), "")</f>
        <v>https://www.kegg.jp/entry/R03018</v>
      </c>
      <c r="I765" t="s">
        <v>8203</v>
      </c>
      <c r="J765" t="s">
        <v>8469</v>
      </c>
    </row>
    <row r="766" spans="1:10" x14ac:dyDescent="0.25">
      <c r="A766" t="s">
        <v>1513</v>
      </c>
      <c r="B766">
        <v>252</v>
      </c>
      <c r="C766" t="s">
        <v>1514</v>
      </c>
      <c r="E766" s="5" t="s">
        <v>6731</v>
      </c>
      <c r="F766" s="1" t="str">
        <f>IF(E766&lt;&gt;"", HYPERLINK("https://www.kegg.jp/dbget-bin/www_bget?ec:" &amp; E766, "https://www.kegg.jp/dbget-bin/www_bget?ec:" &amp; E766), "")</f>
        <v>https://www.kegg.jp/dbget-bin/www_bget?ec:2.7.1.33</v>
      </c>
      <c r="G766" s="9" t="s">
        <v>7539</v>
      </c>
      <c r="H766" s="1" t="str">
        <f>IF(G766&lt;&gt;"", HYPERLINK("https://www.kegg.jp/entry/" &amp; G766, "https://www.kegg.jp/entry/" &amp; G766), "")</f>
        <v>https://www.kegg.jp/entry/R02971</v>
      </c>
      <c r="I766" t="s">
        <v>8204</v>
      </c>
      <c r="J766" t="s">
        <v>8470</v>
      </c>
    </row>
    <row r="767" spans="1:10" x14ac:dyDescent="0.25">
      <c r="A767" t="s">
        <v>1513</v>
      </c>
      <c r="B767">
        <v>252</v>
      </c>
      <c r="C767" t="s">
        <v>1514</v>
      </c>
      <c r="E767" s="5" t="s">
        <v>6731</v>
      </c>
      <c r="F767" s="1" t="str">
        <f>IF(E767&lt;&gt;"", HYPERLINK("https://www.kegg.jp/dbget-bin/www_bget?ec:" &amp; E767, "https://www.kegg.jp/dbget-bin/www_bget?ec:" &amp; E767), "")</f>
        <v>https://www.kegg.jp/dbget-bin/www_bget?ec:2.7.1.33</v>
      </c>
      <c r="G767" s="9" t="s">
        <v>7540</v>
      </c>
      <c r="H767" s="1" t="str">
        <f>IF(G767&lt;&gt;"", HYPERLINK("https://www.kegg.jp/entry/" &amp; G767, "https://www.kegg.jp/entry/" &amp; G767), "")</f>
        <v>https://www.kegg.jp/entry/R04391</v>
      </c>
      <c r="I767" t="s">
        <v>8205</v>
      </c>
      <c r="J767" t="s">
        <v>8471</v>
      </c>
    </row>
    <row r="768" spans="1:10" hidden="1" x14ac:dyDescent="0.25">
      <c r="A768" t="s">
        <v>1516</v>
      </c>
      <c r="B768">
        <v>133</v>
      </c>
      <c r="C768" t="s">
        <v>1517</v>
      </c>
      <c r="F768" s="1" t="str">
        <f>IF(E768&lt;&gt;"", HYPERLINK("https://www.kegg.jp/dbget-bin/www_bget?ec:" &amp; E768, "https://www.kegg.jp/dbget-bin/www_bget?ec:" &amp; E768), "")</f>
        <v/>
      </c>
      <c r="G768" s="3"/>
      <c r="H768" s="1" t="str">
        <f>IF(G768&lt;&gt;"", HYPERLINK("https://www.kegg.jp/entry/" &amp; G768, "https://www.kegg.jp/entry/" &amp; G768), "")</f>
        <v/>
      </c>
    </row>
    <row r="769" spans="1:10" x14ac:dyDescent="0.25">
      <c r="A769" t="s">
        <v>1519</v>
      </c>
      <c r="B769">
        <v>364</v>
      </c>
      <c r="C769" t="s">
        <v>1520</v>
      </c>
      <c r="E769" s="5" t="s">
        <v>6732</v>
      </c>
      <c r="F769" s="1" t="str">
        <f>IF(E769&lt;&gt;"", HYPERLINK("https://www.kegg.jp/dbget-bin/www_bget?ec:" &amp; E769, "https://www.kegg.jp/dbget-bin/www_bget?ec:" &amp; E769), "")</f>
        <v>https://www.kegg.jp/dbget-bin/www_bget?ec:3.5.1.28</v>
      </c>
      <c r="G769" s="3" t="s">
        <v>7145</v>
      </c>
      <c r="H769" s="1" t="str">
        <f>IF(G769&lt;&gt;"", HYPERLINK("https://www.kegg.jp/entry/" &amp; G769, "https://www.kegg.jp/entry/" &amp; G769), "")</f>
        <v>https://www.kegg.jp/entry/R04112</v>
      </c>
      <c r="I769" t="s">
        <v>13022</v>
      </c>
      <c r="J769" t="s">
        <v>13023</v>
      </c>
    </row>
    <row r="770" spans="1:10" hidden="1" x14ac:dyDescent="0.25">
      <c r="A770" t="s">
        <v>1522</v>
      </c>
      <c r="B770">
        <v>257</v>
      </c>
      <c r="C770" t="s">
        <v>1523</v>
      </c>
      <c r="F770" s="1" t="str">
        <f>IF(E770&lt;&gt;"", HYPERLINK("https://www.kegg.jp/dbget-bin/www_bget?ec:" &amp; E770, "https://www.kegg.jp/dbget-bin/www_bget?ec:" &amp; E770), "")</f>
        <v/>
      </c>
      <c r="G770" s="3"/>
      <c r="H770" s="1" t="str">
        <f>IF(G770&lt;&gt;"", HYPERLINK("https://www.kegg.jp/entry/" &amp; G770, "https://www.kegg.jp/entry/" &amp; G770), "")</f>
        <v/>
      </c>
    </row>
    <row r="771" spans="1:10" hidden="1" x14ac:dyDescent="0.25">
      <c r="A771" t="s">
        <v>1525</v>
      </c>
      <c r="B771">
        <v>250</v>
      </c>
      <c r="C771" t="s">
        <v>1526</v>
      </c>
      <c r="F771" s="1" t="str">
        <f>IF(E771&lt;&gt;"", HYPERLINK("https://www.kegg.jp/dbget-bin/www_bget?ec:" &amp; E771, "https://www.kegg.jp/dbget-bin/www_bget?ec:" &amp; E771), "")</f>
        <v/>
      </c>
      <c r="G771" s="3"/>
      <c r="H771" s="1" t="str">
        <f>IF(G771&lt;&gt;"", HYPERLINK("https://www.kegg.jp/entry/" &amp; G771, "https://www.kegg.jp/entry/" &amp; G771), "")</f>
        <v/>
      </c>
    </row>
    <row r="772" spans="1:10" hidden="1" x14ac:dyDescent="0.25">
      <c r="A772" t="s">
        <v>1527</v>
      </c>
      <c r="B772">
        <v>268</v>
      </c>
      <c r="C772" t="s">
        <v>1528</v>
      </c>
      <c r="E772" s="5" t="s">
        <v>6656</v>
      </c>
      <c r="F772" s="1" t="str">
        <f>IF(E772&lt;&gt;"", HYPERLINK("https://www.kegg.jp/dbget-bin/www_bget?ec:" &amp; E772, "https://www.kegg.jp/dbget-bin/www_bget?ec:" &amp; E772), "")</f>
        <v>https://www.kegg.jp/dbget-bin/www_bget?ec:3.4.21.89</v>
      </c>
      <c r="G772" s="3"/>
      <c r="H772" s="1" t="str">
        <f>IF(G772&lt;&gt;"", HYPERLINK("https://www.kegg.jp/entry/" &amp; G772, "https://www.kegg.jp/entry/" &amp; G772), "")</f>
        <v/>
      </c>
    </row>
    <row r="773" spans="1:10" hidden="1" x14ac:dyDescent="0.25">
      <c r="A773" t="s">
        <v>1530</v>
      </c>
      <c r="B773">
        <v>187</v>
      </c>
      <c r="C773" t="s">
        <v>1531</v>
      </c>
      <c r="F773" s="1" t="str">
        <f>IF(E773&lt;&gt;"", HYPERLINK("https://www.kegg.jp/dbget-bin/www_bget?ec:" &amp; E773, "https://www.kegg.jp/dbget-bin/www_bget?ec:" &amp; E773), "")</f>
        <v/>
      </c>
      <c r="G773" s="3"/>
      <c r="H773" s="1" t="str">
        <f>IF(G773&lt;&gt;"", HYPERLINK("https://www.kegg.jp/entry/" &amp; G773, "https://www.kegg.jp/entry/" &amp; G773), "")</f>
        <v/>
      </c>
    </row>
    <row r="774" spans="1:10" hidden="1" x14ac:dyDescent="0.25">
      <c r="A774" t="s">
        <v>1533</v>
      </c>
      <c r="B774">
        <v>466</v>
      </c>
      <c r="C774" t="s">
        <v>1534</v>
      </c>
      <c r="F774" s="1" t="str">
        <f>IF(E774&lt;&gt;"", HYPERLINK("https://www.kegg.jp/dbget-bin/www_bget?ec:" &amp; E774, "https://www.kegg.jp/dbget-bin/www_bget?ec:" &amp; E774), "")</f>
        <v/>
      </c>
      <c r="G774" s="3"/>
      <c r="H774" s="1" t="str">
        <f>IF(G774&lt;&gt;"", HYPERLINK("https://www.kegg.jp/entry/" &amp; G774, "https://www.kegg.jp/entry/" &amp; G774), "")</f>
        <v/>
      </c>
    </row>
    <row r="775" spans="1:10" hidden="1" x14ac:dyDescent="0.25">
      <c r="A775" t="s">
        <v>1536</v>
      </c>
      <c r="B775">
        <v>236</v>
      </c>
      <c r="C775" t="s">
        <v>1537</v>
      </c>
      <c r="F775" s="1" t="str">
        <f>IF(E775&lt;&gt;"", HYPERLINK("https://www.kegg.jp/dbget-bin/www_bget?ec:" &amp; E775, "https://www.kegg.jp/dbget-bin/www_bget?ec:" &amp; E775), "")</f>
        <v/>
      </c>
      <c r="G775" s="3"/>
      <c r="H775" s="1" t="str">
        <f>IF(G775&lt;&gt;"", HYPERLINK("https://www.kegg.jp/entry/" &amp; G775, "https://www.kegg.jp/entry/" &amp; G775), "")</f>
        <v/>
      </c>
    </row>
    <row r="776" spans="1:10" hidden="1" x14ac:dyDescent="0.25">
      <c r="A776" t="s">
        <v>1538</v>
      </c>
      <c r="B776">
        <v>38</v>
      </c>
      <c r="C776" t="s">
        <v>1539</v>
      </c>
      <c r="F776" s="1" t="str">
        <f>IF(E776&lt;&gt;"", HYPERLINK("https://www.kegg.jp/dbget-bin/www_bget?ec:" &amp; E776, "https://www.kegg.jp/dbget-bin/www_bget?ec:" &amp; E776), "")</f>
        <v/>
      </c>
      <c r="G776" s="3"/>
      <c r="H776" s="1" t="str">
        <f>IF(G776&lt;&gt;"", HYPERLINK("https://www.kegg.jp/entry/" &amp; G776, "https://www.kegg.jp/entry/" &amp; G776), "")</f>
        <v/>
      </c>
    </row>
    <row r="777" spans="1:10" hidden="1" x14ac:dyDescent="0.25">
      <c r="A777" t="s">
        <v>1541</v>
      </c>
      <c r="B777">
        <v>414</v>
      </c>
      <c r="C777" t="s">
        <v>1542</v>
      </c>
      <c r="F777" s="1" t="str">
        <f>IF(E777&lt;&gt;"", HYPERLINK("https://www.kegg.jp/dbget-bin/www_bget?ec:" &amp; E777, "https://www.kegg.jp/dbget-bin/www_bget?ec:" &amp; E777), "")</f>
        <v/>
      </c>
      <c r="G777" s="3"/>
      <c r="H777" s="1" t="str">
        <f>IF(G777&lt;&gt;"", HYPERLINK("https://www.kegg.jp/entry/" &amp; G777, "https://www.kegg.jp/entry/" &amp; G777), "")</f>
        <v/>
      </c>
    </row>
    <row r="778" spans="1:10" hidden="1" x14ac:dyDescent="0.25">
      <c r="A778" t="s">
        <v>1543</v>
      </c>
      <c r="B778">
        <v>225</v>
      </c>
      <c r="C778" t="s">
        <v>1544</v>
      </c>
      <c r="F778" s="1" t="str">
        <f>IF(E778&lt;&gt;"", HYPERLINK("https://www.kegg.jp/dbget-bin/www_bget?ec:" &amp; E778, "https://www.kegg.jp/dbget-bin/www_bget?ec:" &amp; E778), "")</f>
        <v/>
      </c>
      <c r="G778" s="3"/>
      <c r="H778" s="1" t="str">
        <f>IF(G778&lt;&gt;"", HYPERLINK("https://www.kegg.jp/entry/" &amp; G778, "https://www.kegg.jp/entry/" &amp; G778), "")</f>
        <v/>
      </c>
    </row>
    <row r="779" spans="1:10" hidden="1" x14ac:dyDescent="0.25">
      <c r="A779" t="s">
        <v>1545</v>
      </c>
      <c r="B779">
        <v>119</v>
      </c>
      <c r="C779" t="s">
        <v>1546</v>
      </c>
      <c r="F779" s="1" t="str">
        <f>IF(E779&lt;&gt;"", HYPERLINK("https://www.kegg.jp/dbget-bin/www_bget?ec:" &amp; E779, "https://www.kegg.jp/dbget-bin/www_bget?ec:" &amp; E779), "")</f>
        <v/>
      </c>
      <c r="G779" s="3"/>
      <c r="H779" s="1" t="str">
        <f>IF(G779&lt;&gt;"", HYPERLINK("https://www.kegg.jp/entry/" &amp; G779, "https://www.kegg.jp/entry/" &amp; G779), "")</f>
        <v/>
      </c>
    </row>
    <row r="780" spans="1:10" hidden="1" x14ac:dyDescent="0.25">
      <c r="A780" t="s">
        <v>1548</v>
      </c>
      <c r="B780">
        <v>215</v>
      </c>
      <c r="C780" t="s">
        <v>1549</v>
      </c>
      <c r="F780" s="1" t="str">
        <f>IF(E780&lt;&gt;"", HYPERLINK("https://www.kegg.jp/dbget-bin/www_bget?ec:" &amp; E780, "https://www.kegg.jp/dbget-bin/www_bget?ec:" &amp; E780), "")</f>
        <v/>
      </c>
      <c r="G780" s="3"/>
      <c r="H780" s="1" t="str">
        <f>IF(G780&lt;&gt;"", HYPERLINK("https://www.kegg.jp/entry/" &amp; G780, "https://www.kegg.jp/entry/" &amp; G780), "")</f>
        <v/>
      </c>
    </row>
    <row r="781" spans="1:10" hidden="1" x14ac:dyDescent="0.25">
      <c r="A781" t="s">
        <v>1550</v>
      </c>
      <c r="B781">
        <v>202</v>
      </c>
      <c r="C781" t="s">
        <v>1551</v>
      </c>
      <c r="F781" s="1" t="str">
        <f>IF(E781&lt;&gt;"", HYPERLINK("https://www.kegg.jp/dbget-bin/www_bget?ec:" &amp; E781, "https://www.kegg.jp/dbget-bin/www_bget?ec:" &amp; E781), "")</f>
        <v/>
      </c>
      <c r="G781" s="3"/>
      <c r="H781" s="1" t="str">
        <f>IF(G781&lt;&gt;"", HYPERLINK("https://www.kegg.jp/entry/" &amp; G781, "https://www.kegg.jp/entry/" &amp; G781), "")</f>
        <v/>
      </c>
    </row>
    <row r="782" spans="1:10" hidden="1" x14ac:dyDescent="0.25">
      <c r="A782" t="s">
        <v>1552</v>
      </c>
      <c r="B782">
        <v>68</v>
      </c>
      <c r="C782" t="s">
        <v>1553</v>
      </c>
      <c r="F782" s="1" t="str">
        <f>IF(E782&lt;&gt;"", HYPERLINK("https://www.kegg.jp/dbget-bin/www_bget?ec:" &amp; E782, "https://www.kegg.jp/dbget-bin/www_bget?ec:" &amp; E782), "")</f>
        <v/>
      </c>
      <c r="G782" s="3"/>
      <c r="H782" s="1" t="str">
        <f>IF(G782&lt;&gt;"", HYPERLINK("https://www.kegg.jp/entry/" &amp; G782, "https://www.kegg.jp/entry/" &amp; G782), "")</f>
        <v/>
      </c>
    </row>
    <row r="783" spans="1:10" hidden="1" x14ac:dyDescent="0.25">
      <c r="A783" t="s">
        <v>1554</v>
      </c>
      <c r="B783">
        <v>140</v>
      </c>
      <c r="C783" t="s">
        <v>1555</v>
      </c>
      <c r="F783" s="1" t="str">
        <f>IF(E783&lt;&gt;"", HYPERLINK("https://www.kegg.jp/dbget-bin/www_bget?ec:" &amp; E783, "https://www.kegg.jp/dbget-bin/www_bget?ec:" &amp; E783), "")</f>
        <v/>
      </c>
      <c r="G783" s="3"/>
      <c r="H783" s="1" t="str">
        <f>IF(G783&lt;&gt;"", HYPERLINK("https://www.kegg.jp/entry/" &amp; G783, "https://www.kegg.jp/entry/" &amp; G783), "")</f>
        <v/>
      </c>
    </row>
    <row r="784" spans="1:10" hidden="1" x14ac:dyDescent="0.25">
      <c r="A784" t="s">
        <v>1557</v>
      </c>
      <c r="B784">
        <v>103</v>
      </c>
      <c r="C784" t="s">
        <v>1558</v>
      </c>
      <c r="F784" s="1" t="str">
        <f>IF(E784&lt;&gt;"", HYPERLINK("https://www.kegg.jp/dbget-bin/www_bget?ec:" &amp; E784, "https://www.kegg.jp/dbget-bin/www_bget?ec:" &amp; E784), "")</f>
        <v/>
      </c>
      <c r="G784" s="3"/>
      <c r="H784" s="1" t="str">
        <f>IF(G784&lt;&gt;"", HYPERLINK("https://www.kegg.jp/entry/" &amp; G784, "https://www.kegg.jp/entry/" &amp; G784), "")</f>
        <v/>
      </c>
    </row>
    <row r="785" spans="1:10" hidden="1" x14ac:dyDescent="0.25">
      <c r="A785" t="s">
        <v>1560</v>
      </c>
      <c r="B785">
        <v>805</v>
      </c>
      <c r="C785" t="s">
        <v>1561</v>
      </c>
      <c r="D785" t="s">
        <v>6733</v>
      </c>
      <c r="E785" s="5" t="s">
        <v>7541</v>
      </c>
      <c r="F785" s="1" t="str">
        <f>IF(E785&lt;&gt;"", HYPERLINK("https://www.kegg.jp/dbget-bin/www_bget?ec:" &amp; E785, "https://www.kegg.jp/dbget-bin/www_bget?ec:" &amp; E785), "")</f>
        <v>https://www.kegg.jp/dbget-bin/www_bget?ec:5.6.2.2</v>
      </c>
      <c r="G785" s="3"/>
      <c r="H785" s="1" t="str">
        <f>IF(G785&lt;&gt;"", HYPERLINK("https://www.kegg.jp/entry/" &amp; G785, "https://www.kegg.jp/entry/" &amp; G785), "")</f>
        <v/>
      </c>
    </row>
    <row r="786" spans="1:10" x14ac:dyDescent="0.25">
      <c r="A786" t="s">
        <v>1563</v>
      </c>
      <c r="B786">
        <v>149</v>
      </c>
      <c r="C786" t="s">
        <v>1564</v>
      </c>
      <c r="E786" s="5" t="s">
        <v>6734</v>
      </c>
      <c r="F786" s="1" t="str">
        <f>IF(E786&lt;&gt;"", HYPERLINK("https://www.kegg.jp/dbget-bin/www_bget?ec:" &amp; E786, "https://www.kegg.jp/dbget-bin/www_bget?ec:" &amp; E786), "")</f>
        <v>https://www.kegg.jp/dbget-bin/www_bget?ec:4.2.1.10</v>
      </c>
      <c r="G786" s="3" t="s">
        <v>7146</v>
      </c>
      <c r="H786" s="1" t="str">
        <f>IF(G786&lt;&gt;"", HYPERLINK("https://www.kegg.jp/entry/" &amp; G786, "https://www.kegg.jp/entry/" &amp; G786), "")</f>
        <v>https://www.kegg.jp/entry/R03084</v>
      </c>
      <c r="I786" t="s">
        <v>8206</v>
      </c>
      <c r="J786" t="s">
        <v>13024</v>
      </c>
    </row>
    <row r="787" spans="1:10" hidden="1" x14ac:dyDescent="0.25">
      <c r="A787" t="s">
        <v>1566</v>
      </c>
      <c r="B787">
        <v>321</v>
      </c>
      <c r="C787" t="s">
        <v>1567</v>
      </c>
      <c r="F787" s="1" t="str">
        <f>IF(E787&lt;&gt;"", HYPERLINK("https://www.kegg.jp/dbget-bin/www_bget?ec:" &amp; E787, "https://www.kegg.jp/dbget-bin/www_bget?ec:" &amp; E787), "")</f>
        <v/>
      </c>
      <c r="G787" s="3"/>
      <c r="H787" s="1" t="str">
        <f>IF(G787&lt;&gt;"", HYPERLINK("https://www.kegg.jp/entry/" &amp; G787, "https://www.kegg.jp/entry/" &amp; G787), "")</f>
        <v/>
      </c>
    </row>
    <row r="788" spans="1:10" x14ac:dyDescent="0.25">
      <c r="A788" t="s">
        <v>1569</v>
      </c>
      <c r="B788">
        <v>404</v>
      </c>
      <c r="C788" t="s">
        <v>1570</v>
      </c>
      <c r="E788" s="5" t="s">
        <v>6735</v>
      </c>
      <c r="F788" s="1" t="str">
        <f>IF(E788&lt;&gt;"", HYPERLINK("https://www.kegg.jp/dbget-bin/www_bget?ec:" &amp; E788, "https://www.kegg.jp/dbget-bin/www_bget?ec:" &amp; E788), "")</f>
        <v>https://www.kegg.jp/dbget-bin/www_bget?ec:2.1.1.35</v>
      </c>
      <c r="G788" s="3" t="s">
        <v>7147</v>
      </c>
      <c r="H788" s="1" t="str">
        <f>IF(G788&lt;&gt;"", HYPERLINK("https://www.kegg.jp/entry/" &amp; G788, "https://www.kegg.jp/entry/" &amp; G788), "")</f>
        <v>https://www.kegg.jp/entry/R00594</v>
      </c>
      <c r="I788" t="s">
        <v>8207</v>
      </c>
      <c r="J788" t="s">
        <v>8472</v>
      </c>
    </row>
    <row r="789" spans="1:10" hidden="1" x14ac:dyDescent="0.25">
      <c r="A789" t="s">
        <v>1572</v>
      </c>
      <c r="B789">
        <v>217</v>
      </c>
      <c r="C789" t="s">
        <v>1573</v>
      </c>
      <c r="F789" s="1" t="str">
        <f>IF(E789&lt;&gt;"", HYPERLINK("https://www.kegg.jp/dbget-bin/www_bget?ec:" &amp; E789, "https://www.kegg.jp/dbget-bin/www_bget?ec:" &amp; E789), "")</f>
        <v/>
      </c>
      <c r="G789" s="3"/>
      <c r="H789" s="1" t="str">
        <f>IF(G789&lt;&gt;"", HYPERLINK("https://www.kegg.jp/entry/" &amp; G789, "https://www.kegg.jp/entry/" &amp; G789), "")</f>
        <v/>
      </c>
    </row>
    <row r="790" spans="1:10" hidden="1" x14ac:dyDescent="0.25">
      <c r="A790" t="s">
        <v>1575</v>
      </c>
      <c r="B790">
        <v>329</v>
      </c>
      <c r="C790" t="s">
        <v>1576</v>
      </c>
      <c r="F790" s="1" t="str">
        <f>IF(E790&lt;&gt;"", HYPERLINK("https://www.kegg.jp/dbget-bin/www_bget?ec:" &amp; E790, "https://www.kegg.jp/dbget-bin/www_bget?ec:" &amp; E790), "")</f>
        <v/>
      </c>
      <c r="G790" s="3"/>
      <c r="H790" s="1" t="str">
        <f>IF(G790&lt;&gt;"", HYPERLINK("https://www.kegg.jp/entry/" &amp; G790, "https://www.kegg.jp/entry/" &amp; G790), "")</f>
        <v/>
      </c>
    </row>
    <row r="791" spans="1:10" hidden="1" x14ac:dyDescent="0.25">
      <c r="A791" t="s">
        <v>1577</v>
      </c>
      <c r="B791">
        <v>276</v>
      </c>
      <c r="C791" t="s">
        <v>1578</v>
      </c>
      <c r="F791" s="1" t="str">
        <f>IF(E791&lt;&gt;"", HYPERLINK("https://www.kegg.jp/dbget-bin/www_bget?ec:" &amp; E791, "https://www.kegg.jp/dbget-bin/www_bget?ec:" &amp; E791), "")</f>
        <v/>
      </c>
      <c r="G791" s="3"/>
      <c r="H791" s="1" t="str">
        <f>IF(G791&lt;&gt;"", HYPERLINK("https://www.kegg.jp/entry/" &amp; G791, "https://www.kegg.jp/entry/" &amp; G791), "")</f>
        <v/>
      </c>
    </row>
    <row r="792" spans="1:10" hidden="1" x14ac:dyDescent="0.25">
      <c r="A792" t="s">
        <v>1580</v>
      </c>
      <c r="B792">
        <v>579</v>
      </c>
      <c r="C792" t="s">
        <v>1581</v>
      </c>
      <c r="F792" s="1" t="str">
        <f>IF(E792&lt;&gt;"", HYPERLINK("https://www.kegg.jp/dbget-bin/www_bget?ec:" &amp; E792, "https://www.kegg.jp/dbget-bin/www_bget?ec:" &amp; E792), "")</f>
        <v/>
      </c>
      <c r="G792" s="3"/>
      <c r="H792" s="1" t="str">
        <f>IF(G792&lt;&gt;"", HYPERLINK("https://www.kegg.jp/entry/" &amp; G792, "https://www.kegg.jp/entry/" &amp; G792), "")</f>
        <v/>
      </c>
    </row>
    <row r="793" spans="1:10" hidden="1" x14ac:dyDescent="0.25">
      <c r="A793" t="s">
        <v>1583</v>
      </c>
      <c r="B793">
        <v>600</v>
      </c>
      <c r="C793" t="s">
        <v>1584</v>
      </c>
      <c r="F793" s="1" t="str">
        <f>IF(E793&lt;&gt;"", HYPERLINK("https://www.kegg.jp/dbget-bin/www_bget?ec:" &amp; E793, "https://www.kegg.jp/dbget-bin/www_bget?ec:" &amp; E793), "")</f>
        <v/>
      </c>
      <c r="G793" s="3"/>
      <c r="H793" s="1" t="str">
        <f>IF(G793&lt;&gt;"", HYPERLINK("https://www.kegg.jp/entry/" &amp; G793, "https://www.kegg.jp/entry/" &amp; G793), "")</f>
        <v/>
      </c>
    </row>
    <row r="794" spans="1:10" x14ac:dyDescent="0.25">
      <c r="A794" t="s">
        <v>1586</v>
      </c>
      <c r="B794">
        <v>394</v>
      </c>
      <c r="C794" t="s">
        <v>1587</v>
      </c>
      <c r="E794" s="5" t="s">
        <v>6736</v>
      </c>
      <c r="F794" s="1" t="str">
        <f>IF(E794&lt;&gt;"", HYPERLINK("https://www.kegg.jp/dbget-bin/www_bget?ec:" &amp; E794, "https://www.kegg.jp/dbget-bin/www_bget?ec:" &amp; E794), "")</f>
        <v>https://www.kegg.jp/dbget-bin/www_bget?ec:6.3.2.12</v>
      </c>
      <c r="G794" s="9" t="s">
        <v>7542</v>
      </c>
      <c r="H794" s="1" t="str">
        <f>IF(G794&lt;&gt;"", HYPERLINK("https://www.kegg.jp/entry/" &amp; G794, "https://www.kegg.jp/entry/" &amp; G794), "")</f>
        <v>https://www.kegg.jp/entry/R02237</v>
      </c>
      <c r="I794" t="s">
        <v>13025</v>
      </c>
      <c r="J794" t="s">
        <v>8473</v>
      </c>
    </row>
    <row r="795" spans="1:10" x14ac:dyDescent="0.25">
      <c r="A795" t="s">
        <v>1586</v>
      </c>
      <c r="B795">
        <v>394</v>
      </c>
      <c r="C795" t="s">
        <v>1587</v>
      </c>
      <c r="E795" s="5" t="s">
        <v>6736</v>
      </c>
      <c r="F795" s="1" t="str">
        <f>IF(E795&lt;&gt;"", HYPERLINK("https://www.kegg.jp/dbget-bin/www_bget?ec:" &amp; E795, "https://www.kegg.jp/dbget-bin/www_bget?ec:" &amp; E795), "")</f>
        <v>https://www.kegg.jp/dbget-bin/www_bget?ec:6.3.2.12</v>
      </c>
      <c r="G795" s="9" t="s">
        <v>7543</v>
      </c>
      <c r="H795" s="1" t="str">
        <f>IF(G795&lt;&gt;"", HYPERLINK("https://www.kegg.jp/entry/" &amp; G795, "https://www.kegg.jp/entry/" &amp; G795), "")</f>
        <v>https://www.kegg.jp/entry/R01654</v>
      </c>
      <c r="I795" t="s">
        <v>13026</v>
      </c>
      <c r="J795" t="s">
        <v>8474</v>
      </c>
    </row>
    <row r="796" spans="1:10" hidden="1" x14ac:dyDescent="0.25">
      <c r="A796" t="s">
        <v>1588</v>
      </c>
      <c r="B796">
        <v>347</v>
      </c>
      <c r="C796" t="s">
        <v>1589</v>
      </c>
      <c r="F796" s="1" t="str">
        <f>IF(E796&lt;&gt;"", HYPERLINK("https://www.kegg.jp/dbget-bin/www_bget?ec:" &amp; E796, "https://www.kegg.jp/dbget-bin/www_bget?ec:" &amp; E796), "")</f>
        <v/>
      </c>
      <c r="G796" s="3"/>
      <c r="H796" s="1" t="str">
        <f>IF(G796&lt;&gt;"", HYPERLINK("https://www.kegg.jp/entry/" &amp; G796, "https://www.kegg.jp/entry/" &amp; G796), "")</f>
        <v/>
      </c>
    </row>
    <row r="797" spans="1:10" hidden="1" x14ac:dyDescent="0.25">
      <c r="A797" t="s">
        <v>1591</v>
      </c>
      <c r="B797">
        <v>339</v>
      </c>
      <c r="C797" t="s">
        <v>1592</v>
      </c>
      <c r="F797" s="1" t="str">
        <f>IF(E797&lt;&gt;"", HYPERLINK("https://www.kegg.jp/dbget-bin/www_bget?ec:" &amp; E797, "https://www.kegg.jp/dbget-bin/www_bget?ec:" &amp; E797), "")</f>
        <v/>
      </c>
      <c r="G797" s="3"/>
      <c r="H797" s="1" t="str">
        <f>IF(G797&lt;&gt;"", HYPERLINK("https://www.kegg.jp/entry/" &amp; G797, "https://www.kegg.jp/entry/" &amp; G797), "")</f>
        <v/>
      </c>
    </row>
    <row r="798" spans="1:10" hidden="1" x14ac:dyDescent="0.25">
      <c r="A798" t="s">
        <v>1594</v>
      </c>
      <c r="B798">
        <v>306</v>
      </c>
      <c r="C798" t="s">
        <v>1595</v>
      </c>
      <c r="F798" s="1" t="str">
        <f>IF(E798&lt;&gt;"", HYPERLINK("https://www.kegg.jp/dbget-bin/www_bget?ec:" &amp; E798, "https://www.kegg.jp/dbget-bin/www_bget?ec:" &amp; E798), "")</f>
        <v/>
      </c>
      <c r="G798" s="3"/>
      <c r="H798" s="1" t="str">
        <f>IF(G798&lt;&gt;"", HYPERLINK("https://www.kegg.jp/entry/" &amp; G798, "https://www.kegg.jp/entry/" &amp; G798), "")</f>
        <v/>
      </c>
    </row>
    <row r="799" spans="1:10" hidden="1" x14ac:dyDescent="0.25">
      <c r="A799" t="s">
        <v>1597</v>
      </c>
      <c r="B799">
        <v>501</v>
      </c>
      <c r="C799" t="s">
        <v>1598</v>
      </c>
      <c r="F799" s="1" t="str">
        <f>IF(E799&lt;&gt;"", HYPERLINK("https://www.kegg.jp/dbget-bin/www_bget?ec:" &amp; E799, "https://www.kegg.jp/dbget-bin/www_bget?ec:" &amp; E799), "")</f>
        <v/>
      </c>
      <c r="G799" s="3"/>
      <c r="H799" s="1" t="str">
        <f>IF(G799&lt;&gt;"", HYPERLINK("https://www.kegg.jp/entry/" &amp; G799, "https://www.kegg.jp/entry/" &amp; G799), "")</f>
        <v/>
      </c>
    </row>
    <row r="800" spans="1:10" hidden="1" x14ac:dyDescent="0.25">
      <c r="A800" t="s">
        <v>1600</v>
      </c>
      <c r="B800">
        <v>237</v>
      </c>
      <c r="C800" t="s">
        <v>1601</v>
      </c>
      <c r="F800" s="1" t="str">
        <f>IF(E800&lt;&gt;"", HYPERLINK("https://www.kegg.jp/dbget-bin/www_bget?ec:" &amp; E800, "https://www.kegg.jp/dbget-bin/www_bget?ec:" &amp; E800), "")</f>
        <v/>
      </c>
      <c r="G800" s="3"/>
      <c r="H800" s="1" t="str">
        <f>IF(G800&lt;&gt;"", HYPERLINK("https://www.kegg.jp/entry/" &amp; G800, "https://www.kegg.jp/entry/" &amp; G800), "")</f>
        <v/>
      </c>
    </row>
    <row r="801" spans="1:10" hidden="1" x14ac:dyDescent="0.25">
      <c r="A801" t="s">
        <v>1603</v>
      </c>
      <c r="B801">
        <v>259</v>
      </c>
      <c r="C801" t="s">
        <v>1604</v>
      </c>
      <c r="F801" s="1" t="str">
        <f>IF(E801&lt;&gt;"", HYPERLINK("https://www.kegg.jp/dbget-bin/www_bget?ec:" &amp; E801, "https://www.kegg.jp/dbget-bin/www_bget?ec:" &amp; E801), "")</f>
        <v/>
      </c>
      <c r="G801" s="3"/>
      <c r="H801" s="1" t="str">
        <f>IF(G801&lt;&gt;"", HYPERLINK("https://www.kegg.jp/entry/" &amp; G801, "https://www.kegg.jp/entry/" &amp; G801), "")</f>
        <v/>
      </c>
    </row>
    <row r="802" spans="1:10" hidden="1" x14ac:dyDescent="0.25">
      <c r="A802" t="s">
        <v>1606</v>
      </c>
      <c r="B802">
        <v>442</v>
      </c>
      <c r="C802" t="s">
        <v>1607</v>
      </c>
      <c r="F802" s="1" t="str">
        <f>IF(E802&lt;&gt;"", HYPERLINK("https://www.kegg.jp/dbget-bin/www_bget?ec:" &amp; E802, "https://www.kegg.jp/dbget-bin/www_bget?ec:" &amp; E802), "")</f>
        <v/>
      </c>
      <c r="G802" s="3"/>
      <c r="H802" s="1" t="str">
        <f>IF(G802&lt;&gt;"", HYPERLINK("https://www.kegg.jp/entry/" &amp; G802, "https://www.kegg.jp/entry/" &amp; G802), "")</f>
        <v/>
      </c>
    </row>
    <row r="803" spans="1:10" hidden="1" x14ac:dyDescent="0.25">
      <c r="A803" t="s">
        <v>1609</v>
      </c>
      <c r="B803">
        <v>322</v>
      </c>
      <c r="C803" t="s">
        <v>1610</v>
      </c>
      <c r="F803" s="1" t="str">
        <f>IF(E803&lt;&gt;"", HYPERLINK("https://www.kegg.jp/dbget-bin/www_bget?ec:" &amp; E803, "https://www.kegg.jp/dbget-bin/www_bget?ec:" &amp; E803), "")</f>
        <v/>
      </c>
      <c r="G803" s="3"/>
      <c r="H803" s="1" t="str">
        <f>IF(G803&lt;&gt;"", HYPERLINK("https://www.kegg.jp/entry/" &amp; G803, "https://www.kegg.jp/entry/" &amp; G803), "")</f>
        <v/>
      </c>
    </row>
    <row r="804" spans="1:10" hidden="1" x14ac:dyDescent="0.25">
      <c r="A804" t="s">
        <v>1612</v>
      </c>
      <c r="B804">
        <v>389</v>
      </c>
      <c r="C804" t="s">
        <v>1613</v>
      </c>
      <c r="F804" s="1" t="str">
        <f>IF(E804&lt;&gt;"", HYPERLINK("https://www.kegg.jp/dbget-bin/www_bget?ec:" &amp; E804, "https://www.kegg.jp/dbget-bin/www_bget?ec:" &amp; E804), "")</f>
        <v/>
      </c>
      <c r="G804" s="3"/>
      <c r="H804" s="1" t="str">
        <f>IF(G804&lt;&gt;"", HYPERLINK("https://www.kegg.jp/entry/" &amp; G804, "https://www.kegg.jp/entry/" &amp; G804), "")</f>
        <v/>
      </c>
    </row>
    <row r="805" spans="1:10" x14ac:dyDescent="0.25">
      <c r="A805" t="s">
        <v>1615</v>
      </c>
      <c r="B805">
        <v>446</v>
      </c>
      <c r="C805" t="s">
        <v>1616</v>
      </c>
      <c r="E805" s="5" t="s">
        <v>6737</v>
      </c>
      <c r="F805" s="1" t="str">
        <f>IF(E805&lt;&gt;"", HYPERLINK("https://www.kegg.jp/dbget-bin/www_bget?ec:" &amp; E805, "https://www.kegg.jp/dbget-bin/www_bget?ec:" &amp; E805), "")</f>
        <v>https://www.kegg.jp/dbget-bin/www_bget?ec:6.3.1.2</v>
      </c>
      <c r="G805" s="3" t="s">
        <v>7148</v>
      </c>
      <c r="H805" s="1" t="str">
        <f>IF(G805&lt;&gt;"", HYPERLINK("https://www.kegg.jp/entry/" &amp; G805, "https://www.kegg.jp/entry/" &amp; G805), "")</f>
        <v>https://www.kegg.jp/entry/R00253</v>
      </c>
      <c r="I805" t="s">
        <v>13027</v>
      </c>
      <c r="J805" t="s">
        <v>8475</v>
      </c>
    </row>
    <row r="806" spans="1:10" x14ac:dyDescent="0.25">
      <c r="A806" t="s">
        <v>1618</v>
      </c>
      <c r="B806">
        <v>550</v>
      </c>
      <c r="C806" t="s">
        <v>1619</v>
      </c>
      <c r="E806" s="5" t="s">
        <v>6617</v>
      </c>
      <c r="F806" s="1" t="str">
        <f>IF(E806&lt;&gt;"", HYPERLINK("https://www.kegg.jp/dbget-bin/www_bget?ec:" &amp; E806, "https://www.kegg.jp/dbget-bin/www_bget?ec:" &amp; E806), "")</f>
        <v>https://www.kegg.jp/dbget-bin/www_bget?ec:3.1.3.5</v>
      </c>
      <c r="G806" s="9" t="s">
        <v>7335</v>
      </c>
      <c r="H806" s="1" t="str">
        <f>IF(G806&lt;&gt;"", HYPERLINK("https://www.kegg.jp/entry/" &amp; G806, "https://www.kegg.jp/entry/" &amp; G806), "")</f>
        <v>https://www.kegg.jp/entry/R07297</v>
      </c>
      <c r="I806" t="s">
        <v>12732</v>
      </c>
      <c r="J806" t="s">
        <v>12733</v>
      </c>
    </row>
    <row r="807" spans="1:10" x14ac:dyDescent="0.25">
      <c r="A807" t="s">
        <v>1618</v>
      </c>
      <c r="B807">
        <v>550</v>
      </c>
      <c r="C807" t="s">
        <v>1619</v>
      </c>
      <c r="E807" s="5" t="s">
        <v>6617</v>
      </c>
      <c r="F807" s="1" t="str">
        <f>IF(E807&lt;&gt;"", HYPERLINK("https://www.kegg.jp/dbget-bin/www_bget?ec:" &amp; E807, "https://www.kegg.jp/dbget-bin/www_bget?ec:" &amp; E807), "")</f>
        <v>https://www.kegg.jp/dbget-bin/www_bget?ec:3.1.3.5</v>
      </c>
      <c r="G807" s="9" t="s">
        <v>7337</v>
      </c>
      <c r="H807" s="1" t="str">
        <f>IF(G807&lt;&gt;"", HYPERLINK("https://www.kegg.jp/entry/" &amp; G807, "https://www.kegg.jp/entry/" &amp; G807), "")</f>
        <v>https://www.kegg.jp/entry/R00183</v>
      </c>
      <c r="I807" t="s">
        <v>12734</v>
      </c>
      <c r="J807" t="s">
        <v>12735</v>
      </c>
    </row>
    <row r="808" spans="1:10" x14ac:dyDescent="0.25">
      <c r="A808" t="s">
        <v>1618</v>
      </c>
      <c r="B808">
        <v>550</v>
      </c>
      <c r="C808" t="s">
        <v>1619</v>
      </c>
      <c r="E808" s="5" t="s">
        <v>6617</v>
      </c>
      <c r="F808" s="1" t="str">
        <f>IF(E808&lt;&gt;"", HYPERLINK("https://www.kegg.jp/dbget-bin/www_bget?ec:" &amp; E808, "https://www.kegg.jp/dbget-bin/www_bget?ec:" &amp; E808), "")</f>
        <v>https://www.kegg.jp/dbget-bin/www_bget?ec:3.1.3.5</v>
      </c>
      <c r="G808" s="9" t="s">
        <v>7338</v>
      </c>
      <c r="H808" s="1" t="str">
        <f>IF(G808&lt;&gt;"", HYPERLINK("https://www.kegg.jp/entry/" &amp; G808, "https://www.kegg.jp/entry/" &amp; G808), "")</f>
        <v>https://www.kegg.jp/entry/R00511</v>
      </c>
      <c r="I808" t="s">
        <v>12736</v>
      </c>
      <c r="J808" t="s">
        <v>12737</v>
      </c>
    </row>
    <row r="809" spans="1:10" x14ac:dyDescent="0.25">
      <c r="A809" t="s">
        <v>1618</v>
      </c>
      <c r="B809">
        <v>550</v>
      </c>
      <c r="C809" t="s">
        <v>1619</v>
      </c>
      <c r="E809" s="5" t="s">
        <v>6617</v>
      </c>
      <c r="F809" s="1" t="str">
        <f>IF(E809&lt;&gt;"", HYPERLINK("https://www.kegg.jp/dbget-bin/www_bget?ec:" &amp; E809, "https://www.kegg.jp/dbget-bin/www_bget?ec:" &amp; E809), "")</f>
        <v>https://www.kegg.jp/dbget-bin/www_bget?ec:3.1.3.5</v>
      </c>
      <c r="G809" s="9" t="s">
        <v>7339</v>
      </c>
      <c r="H809" s="1" t="str">
        <f>IF(G809&lt;&gt;"", HYPERLINK("https://www.kegg.jp/entry/" &amp; G809, "https://www.kegg.jp/entry/" &amp; G809), "")</f>
        <v>https://www.kegg.jp/entry/R00963</v>
      </c>
      <c r="I809" t="s">
        <v>12738</v>
      </c>
      <c r="J809" t="s">
        <v>12739</v>
      </c>
    </row>
    <row r="810" spans="1:10" x14ac:dyDescent="0.25">
      <c r="A810" t="s">
        <v>1618</v>
      </c>
      <c r="B810">
        <v>550</v>
      </c>
      <c r="C810" t="s">
        <v>1619</v>
      </c>
      <c r="E810" s="5" t="s">
        <v>6617</v>
      </c>
      <c r="F810" s="1" t="str">
        <f>IF(E810&lt;&gt;"", HYPERLINK("https://www.kegg.jp/dbget-bin/www_bget?ec:" &amp; E810, "https://www.kegg.jp/dbget-bin/www_bget?ec:" &amp; E810), "")</f>
        <v>https://www.kegg.jp/dbget-bin/www_bget?ec:3.1.3.5</v>
      </c>
      <c r="G810" s="9" t="s">
        <v>7340</v>
      </c>
      <c r="H810" s="1" t="str">
        <f>IF(G810&lt;&gt;"", HYPERLINK("https://www.kegg.jp/entry/" &amp; G810, "https://www.kegg.jp/entry/" &amp; G810), "")</f>
        <v>https://www.kegg.jp/entry/R01126</v>
      </c>
      <c r="I810" t="s">
        <v>12740</v>
      </c>
      <c r="J810" t="s">
        <v>12741</v>
      </c>
    </row>
    <row r="811" spans="1:10" x14ac:dyDescent="0.25">
      <c r="A811" t="s">
        <v>1618</v>
      </c>
      <c r="B811">
        <v>550</v>
      </c>
      <c r="C811" t="s">
        <v>1619</v>
      </c>
      <c r="E811" s="5" t="s">
        <v>6617</v>
      </c>
      <c r="F811" s="1" t="str">
        <f>IF(E811&lt;&gt;"", HYPERLINK("https://www.kegg.jp/dbget-bin/www_bget?ec:" &amp; E811, "https://www.kegg.jp/dbget-bin/www_bget?ec:" &amp; E811), "")</f>
        <v>https://www.kegg.jp/dbget-bin/www_bget?ec:3.1.3.5</v>
      </c>
      <c r="G811" s="9" t="s">
        <v>7341</v>
      </c>
      <c r="H811" s="1" t="str">
        <f>IF(G811&lt;&gt;"", HYPERLINK("https://www.kegg.jp/entry/" &amp; G811, "https://www.kegg.jp/entry/" &amp; G811), "")</f>
        <v>https://www.kegg.jp/entry/R01227</v>
      </c>
      <c r="I811" t="s">
        <v>12742</v>
      </c>
      <c r="J811" t="s">
        <v>12743</v>
      </c>
    </row>
    <row r="812" spans="1:10" x14ac:dyDescent="0.25">
      <c r="A812" t="s">
        <v>1618</v>
      </c>
      <c r="B812">
        <v>550</v>
      </c>
      <c r="C812" t="s">
        <v>1619</v>
      </c>
      <c r="E812" s="5" t="s">
        <v>6617</v>
      </c>
      <c r="F812" s="1" t="str">
        <f>IF(E812&lt;&gt;"", HYPERLINK("https://www.kegg.jp/dbget-bin/www_bget?ec:" &amp; E812, "https://www.kegg.jp/dbget-bin/www_bget?ec:" &amp; E812), "")</f>
        <v>https://www.kegg.jp/dbget-bin/www_bget?ec:3.1.3.5</v>
      </c>
      <c r="G812" s="9" t="s">
        <v>7342</v>
      </c>
      <c r="H812" s="1" t="str">
        <f>IF(G812&lt;&gt;"", HYPERLINK("https://www.kegg.jp/entry/" &amp; G812, "https://www.kegg.jp/entry/" &amp; G812), "")</f>
        <v>https://www.kegg.jp/entry/R02323</v>
      </c>
      <c r="I812" t="s">
        <v>12744</v>
      </c>
      <c r="J812" t="s">
        <v>12745</v>
      </c>
    </row>
    <row r="813" spans="1:10" x14ac:dyDescent="0.25">
      <c r="A813" t="s">
        <v>1618</v>
      </c>
      <c r="B813">
        <v>550</v>
      </c>
      <c r="C813" t="s">
        <v>1619</v>
      </c>
      <c r="E813" s="5" t="s">
        <v>6617</v>
      </c>
      <c r="F813" s="1" t="str">
        <f>IF(E813&lt;&gt;"", HYPERLINK("https://www.kegg.jp/dbget-bin/www_bget?ec:" &amp; E813, "https://www.kegg.jp/dbget-bin/www_bget?ec:" &amp; E813), "")</f>
        <v>https://www.kegg.jp/dbget-bin/www_bget?ec:3.1.3.5</v>
      </c>
      <c r="G813" s="9" t="s">
        <v>7343</v>
      </c>
      <c r="H813" s="1" t="str">
        <f>IF(G813&lt;&gt;"", HYPERLINK("https://www.kegg.jp/entry/" &amp; G813, "https://www.kegg.jp/entry/" &amp; G813), "")</f>
        <v>https://www.kegg.jp/entry/R02719</v>
      </c>
      <c r="I813" t="s">
        <v>12746</v>
      </c>
      <c r="J813" t="s">
        <v>12747</v>
      </c>
    </row>
    <row r="814" spans="1:10" x14ac:dyDescent="0.25">
      <c r="A814" t="s">
        <v>1618</v>
      </c>
      <c r="B814">
        <v>550</v>
      </c>
      <c r="C814" t="s">
        <v>1619</v>
      </c>
      <c r="E814" s="5" t="s">
        <v>6617</v>
      </c>
      <c r="F814" s="1" t="str">
        <f>IF(E814&lt;&gt;"", HYPERLINK("https://www.kegg.jp/dbget-bin/www_bget?ec:" &amp; E814, "https://www.kegg.jp/dbget-bin/www_bget?ec:" &amp; E814), "")</f>
        <v>https://www.kegg.jp/dbget-bin/www_bget?ec:3.1.3.5</v>
      </c>
      <c r="G814" s="9" t="s">
        <v>7344</v>
      </c>
      <c r="H814" s="1" t="str">
        <f>IF(G814&lt;&gt;"", HYPERLINK("https://www.kegg.jp/entry/" &amp; G814, "https://www.kegg.jp/entry/" &amp; G814), "")</f>
        <v>https://www.kegg.jp/entry/R03346</v>
      </c>
      <c r="I814" t="s">
        <v>12748</v>
      </c>
      <c r="J814" t="s">
        <v>12749</v>
      </c>
    </row>
    <row r="815" spans="1:10" x14ac:dyDescent="0.25">
      <c r="A815" t="s">
        <v>1618</v>
      </c>
      <c r="B815">
        <v>550</v>
      </c>
      <c r="C815" t="s">
        <v>1619</v>
      </c>
      <c r="E815" s="5" t="s">
        <v>6617</v>
      </c>
      <c r="F815" s="1" t="str">
        <f>IF(E815&lt;&gt;"", HYPERLINK("https://www.kegg.jp/dbget-bin/www_bget?ec:" &amp; E815, "https://www.kegg.jp/dbget-bin/www_bget?ec:" &amp; E815), "")</f>
        <v>https://www.kegg.jp/dbget-bin/www_bget?ec:3.1.3.5</v>
      </c>
      <c r="G815" s="9" t="s">
        <v>7336</v>
      </c>
      <c r="H815" s="1" t="str">
        <f>IF(G815&lt;&gt;"", HYPERLINK("https://www.kegg.jp/entry/" &amp; G815, "https://www.kegg.jp/entry/" &amp; G815), "")</f>
        <v>https://www.kegg.jp/entry/R01569</v>
      </c>
      <c r="I815" t="s">
        <v>12750</v>
      </c>
      <c r="J815" t="s">
        <v>12751</v>
      </c>
    </row>
    <row r="816" spans="1:10" x14ac:dyDescent="0.25">
      <c r="A816" t="s">
        <v>1618</v>
      </c>
      <c r="B816">
        <v>550</v>
      </c>
      <c r="C816" t="s">
        <v>1619</v>
      </c>
      <c r="E816" s="5" t="s">
        <v>6617</v>
      </c>
      <c r="F816" s="1" t="str">
        <f>IF(E816&lt;&gt;"", HYPERLINK("https://www.kegg.jp/dbget-bin/www_bget?ec:" &amp; E816, "https://www.kegg.jp/dbget-bin/www_bget?ec:" &amp; E816), "")</f>
        <v>https://www.kegg.jp/dbget-bin/www_bget?ec:3.1.3.5</v>
      </c>
      <c r="G816" s="9" t="s">
        <v>7345</v>
      </c>
      <c r="H816" s="1" t="str">
        <f>IF(G816&lt;&gt;"", HYPERLINK("https://www.kegg.jp/entry/" &amp; G816, "https://www.kegg.jp/entry/" &amp; G816), "")</f>
        <v>https://www.kegg.jp/entry/R01664</v>
      </c>
      <c r="I816" t="s">
        <v>12752</v>
      </c>
      <c r="J816" t="s">
        <v>12753</v>
      </c>
    </row>
    <row r="817" spans="1:10" x14ac:dyDescent="0.25">
      <c r="A817" t="s">
        <v>1618</v>
      </c>
      <c r="B817">
        <v>550</v>
      </c>
      <c r="C817" t="s">
        <v>1619</v>
      </c>
      <c r="E817" s="5" t="s">
        <v>6617</v>
      </c>
      <c r="F817" s="1" t="str">
        <f>IF(E817&lt;&gt;"", HYPERLINK("https://www.kegg.jp/dbget-bin/www_bget?ec:" &amp; E817, "https://www.kegg.jp/dbget-bin/www_bget?ec:" &amp; E817), "")</f>
        <v>https://www.kegg.jp/dbget-bin/www_bget?ec:3.1.3.5</v>
      </c>
      <c r="G817" s="9" t="s">
        <v>7346</v>
      </c>
      <c r="H817" s="1" t="str">
        <f>IF(G817&lt;&gt;"", HYPERLINK("https://www.kegg.jp/entry/" &amp; G817, "https://www.kegg.jp/entry/" &amp; G817), "")</f>
        <v>https://www.kegg.jp/entry/R01968</v>
      </c>
      <c r="I817" t="s">
        <v>12754</v>
      </c>
      <c r="J817" t="s">
        <v>12755</v>
      </c>
    </row>
    <row r="818" spans="1:10" x14ac:dyDescent="0.25">
      <c r="A818" t="s">
        <v>1618</v>
      </c>
      <c r="B818">
        <v>550</v>
      </c>
      <c r="C818" t="s">
        <v>1619</v>
      </c>
      <c r="E818" s="5" t="s">
        <v>6617</v>
      </c>
      <c r="F818" s="1" t="str">
        <f>IF(E818&lt;&gt;"", HYPERLINK("https://www.kegg.jp/dbget-bin/www_bget?ec:" &amp; E818, "https://www.kegg.jp/dbget-bin/www_bget?ec:" &amp; E818), "")</f>
        <v>https://www.kegg.jp/dbget-bin/www_bget?ec:3.1.3.5</v>
      </c>
      <c r="G818" s="9" t="s">
        <v>7347</v>
      </c>
      <c r="H818" s="1" t="str">
        <f>IF(G818&lt;&gt;"", HYPERLINK("https://www.kegg.jp/entry/" &amp; G818, "https://www.kegg.jp/entry/" &amp; G818), "")</f>
        <v>https://www.kegg.jp/entry/R02088</v>
      </c>
      <c r="I818" t="s">
        <v>12756</v>
      </c>
      <c r="J818" t="s">
        <v>12757</v>
      </c>
    </row>
    <row r="819" spans="1:10" x14ac:dyDescent="0.25">
      <c r="A819" t="s">
        <v>1618</v>
      </c>
      <c r="B819">
        <v>550</v>
      </c>
      <c r="C819" t="s">
        <v>1619</v>
      </c>
      <c r="E819" s="5" t="s">
        <v>6617</v>
      </c>
      <c r="F819" s="1" t="str">
        <f>IF(E819&lt;&gt;"", HYPERLINK("https://www.kegg.jp/dbget-bin/www_bget?ec:" &amp; E819, "https://www.kegg.jp/dbget-bin/www_bget?ec:" &amp; E819), "")</f>
        <v>https://www.kegg.jp/dbget-bin/www_bget?ec:3.1.3.5</v>
      </c>
      <c r="G819" s="9" t="s">
        <v>7348</v>
      </c>
      <c r="H819" s="1" t="str">
        <f>IF(G819&lt;&gt;"", HYPERLINK("https://www.kegg.jp/entry/" &amp; G819, "https://www.kegg.jp/entry/" &amp; G819), "")</f>
        <v>https://www.kegg.jp/entry/R02102</v>
      </c>
      <c r="I819" t="s">
        <v>12758</v>
      </c>
      <c r="J819" t="s">
        <v>12759</v>
      </c>
    </row>
    <row r="820" spans="1:10" x14ac:dyDescent="0.25">
      <c r="A820" t="s">
        <v>1618</v>
      </c>
      <c r="B820">
        <v>550</v>
      </c>
      <c r="C820" t="s">
        <v>1619</v>
      </c>
      <c r="E820" s="5" t="s">
        <v>6617</v>
      </c>
      <c r="F820" s="1" t="str">
        <f>IF(E820&lt;&gt;"", HYPERLINK("https://www.kegg.jp/dbget-bin/www_bget?ec:" &amp; E820, "https://www.kegg.jp/dbget-bin/www_bget?ec:" &amp; E820), "")</f>
        <v>https://www.kegg.jp/dbget-bin/www_bget?ec:3.1.3.5</v>
      </c>
      <c r="G820" s="9" t="s">
        <v>7349</v>
      </c>
      <c r="H820" s="1" t="str">
        <f>IF(G820&lt;&gt;"", HYPERLINK("https://www.kegg.jp/entry/" &amp; G820, "https://www.kegg.jp/entry/" &amp; G820), "")</f>
        <v>https://www.kegg.jp/entry/R12958</v>
      </c>
      <c r="I820" t="s">
        <v>12760</v>
      </c>
      <c r="J820" t="s">
        <v>12761</v>
      </c>
    </row>
    <row r="821" spans="1:10" hidden="1" x14ac:dyDescent="0.25">
      <c r="A821" t="s">
        <v>1620</v>
      </c>
      <c r="B821">
        <v>147</v>
      </c>
      <c r="C821" t="s">
        <v>1621</v>
      </c>
      <c r="F821" s="1" t="str">
        <f>IF(E821&lt;&gt;"", HYPERLINK("https://www.kegg.jp/dbget-bin/www_bget?ec:" &amp; E821, "https://www.kegg.jp/dbget-bin/www_bget?ec:" &amp; E821), "")</f>
        <v/>
      </c>
      <c r="G821" s="3"/>
      <c r="H821" s="1" t="str">
        <f>IF(G821&lt;&gt;"", HYPERLINK("https://www.kegg.jp/entry/" &amp; G821, "https://www.kegg.jp/entry/" &amp; G821), "")</f>
        <v/>
      </c>
    </row>
    <row r="822" spans="1:10" hidden="1" x14ac:dyDescent="0.25">
      <c r="A822" t="s">
        <v>1622</v>
      </c>
      <c r="B822">
        <v>231</v>
      </c>
      <c r="C822" t="s">
        <v>1623</v>
      </c>
      <c r="F822" s="1" t="str">
        <f>IF(E822&lt;&gt;"", HYPERLINK("https://www.kegg.jp/dbget-bin/www_bget?ec:" &amp; E822, "https://www.kegg.jp/dbget-bin/www_bget?ec:" &amp; E822), "")</f>
        <v/>
      </c>
      <c r="G822" s="3"/>
      <c r="H822" s="1" t="str">
        <f>IF(G822&lt;&gt;"", HYPERLINK("https://www.kegg.jp/entry/" &amp; G822, "https://www.kegg.jp/entry/" &amp; G822), "")</f>
        <v/>
      </c>
    </row>
    <row r="823" spans="1:10" hidden="1" x14ac:dyDescent="0.25">
      <c r="A823" t="s">
        <v>1625</v>
      </c>
      <c r="B823">
        <v>407</v>
      </c>
      <c r="C823" t="s">
        <v>1626</v>
      </c>
      <c r="F823" s="1" t="str">
        <f>IF(E823&lt;&gt;"", HYPERLINK("https://www.kegg.jp/dbget-bin/www_bget?ec:" &amp; E823, "https://www.kegg.jp/dbget-bin/www_bget?ec:" &amp; E823), "")</f>
        <v/>
      </c>
      <c r="G823" s="3"/>
      <c r="H823" s="1" t="str">
        <f>IF(G823&lt;&gt;"", HYPERLINK("https://www.kegg.jp/entry/" &amp; G823, "https://www.kegg.jp/entry/" &amp; G823), "")</f>
        <v/>
      </c>
    </row>
    <row r="824" spans="1:10" hidden="1" x14ac:dyDescent="0.25">
      <c r="A824" t="s">
        <v>1628</v>
      </c>
      <c r="B824">
        <v>811</v>
      </c>
      <c r="C824" t="s">
        <v>1629</v>
      </c>
      <c r="F824" s="1" t="str">
        <f>IF(E824&lt;&gt;"", HYPERLINK("https://www.kegg.jp/dbget-bin/www_bget?ec:" &amp; E824, "https://www.kegg.jp/dbget-bin/www_bget?ec:" &amp; E824), "")</f>
        <v/>
      </c>
      <c r="G824" s="3"/>
      <c r="H824" s="1" t="str">
        <f>IF(G824&lt;&gt;"", HYPERLINK("https://www.kegg.jp/entry/" &amp; G824, "https://www.kegg.jp/entry/" &amp; G824), "")</f>
        <v/>
      </c>
    </row>
    <row r="825" spans="1:10" hidden="1" x14ac:dyDescent="0.25">
      <c r="A825" t="s">
        <v>1631</v>
      </c>
      <c r="B825">
        <v>532</v>
      </c>
      <c r="C825" t="s">
        <v>1632</v>
      </c>
      <c r="F825" s="1" t="str">
        <f>IF(E825&lt;&gt;"", HYPERLINK("https://www.kegg.jp/dbget-bin/www_bget?ec:" &amp; E825, "https://www.kegg.jp/dbget-bin/www_bget?ec:" &amp; E825), "")</f>
        <v/>
      </c>
      <c r="G825" s="3"/>
      <c r="H825" s="1" t="str">
        <f>IF(G825&lt;&gt;"", HYPERLINK("https://www.kegg.jp/entry/" &amp; G825, "https://www.kegg.jp/entry/" &amp; G825), "")</f>
        <v/>
      </c>
    </row>
    <row r="826" spans="1:10" x14ac:dyDescent="0.25">
      <c r="A826" t="s">
        <v>1634</v>
      </c>
      <c r="B826">
        <v>285</v>
      </c>
      <c r="C826" t="s">
        <v>1635</v>
      </c>
      <c r="E826" s="5" t="s">
        <v>6738</v>
      </c>
      <c r="F826" s="1" t="str">
        <f>IF(E826&lt;&gt;"", HYPERLINK("https://www.kegg.jp/dbget-bin/www_bget?ec:" &amp; E826, "https://www.kegg.jp/dbget-bin/www_bget?ec:" &amp; E826), "")</f>
        <v>https://www.kegg.jp/dbget-bin/www_bget?ec:3.5.1.10</v>
      </c>
      <c r="G826" s="3" t="s">
        <v>7149</v>
      </c>
      <c r="H826" s="1" t="str">
        <f>IF(G826&lt;&gt;"", HYPERLINK("https://www.kegg.jp/entry/" &amp; G826, "https://www.kegg.jp/entry/" &amp; G826), "")</f>
        <v>https://www.kegg.jp/entry/R00944</v>
      </c>
      <c r="I826" t="s">
        <v>13028</v>
      </c>
      <c r="J826" t="s">
        <v>8476</v>
      </c>
    </row>
    <row r="827" spans="1:10" hidden="1" x14ac:dyDescent="0.25">
      <c r="A827" t="s">
        <v>1637</v>
      </c>
      <c r="B827">
        <v>404</v>
      </c>
      <c r="C827" t="s">
        <v>1638</v>
      </c>
      <c r="F827" s="1" t="str">
        <f>IF(E827&lt;&gt;"", HYPERLINK("https://www.kegg.jp/dbget-bin/www_bget?ec:" &amp; E827, "https://www.kegg.jp/dbget-bin/www_bget?ec:" &amp; E827), "")</f>
        <v/>
      </c>
      <c r="G827" s="3"/>
      <c r="H827" s="1" t="str">
        <f>IF(G827&lt;&gt;"", HYPERLINK("https://www.kegg.jp/entry/" &amp; G827, "https://www.kegg.jp/entry/" &amp; G827), "")</f>
        <v/>
      </c>
    </row>
    <row r="828" spans="1:10" hidden="1" x14ac:dyDescent="0.25">
      <c r="A828" t="s">
        <v>1639</v>
      </c>
      <c r="B828">
        <v>138</v>
      </c>
      <c r="C828" t="s">
        <v>1640</v>
      </c>
      <c r="F828" s="1" t="str">
        <f>IF(E828&lt;&gt;"", HYPERLINK("https://www.kegg.jp/dbget-bin/www_bget?ec:" &amp; E828, "https://www.kegg.jp/dbget-bin/www_bget?ec:" &amp; E828), "")</f>
        <v/>
      </c>
      <c r="G828" s="3"/>
      <c r="H828" s="1" t="str">
        <f>IF(G828&lt;&gt;"", HYPERLINK("https://www.kegg.jp/entry/" &amp; G828, "https://www.kegg.jp/entry/" &amp; G828), "")</f>
        <v/>
      </c>
    </row>
    <row r="829" spans="1:10" hidden="1" x14ac:dyDescent="0.25">
      <c r="A829" t="s">
        <v>1642</v>
      </c>
      <c r="B829">
        <v>325</v>
      </c>
      <c r="C829" t="s">
        <v>1643</v>
      </c>
      <c r="F829" s="1" t="str">
        <f>IF(E829&lt;&gt;"", HYPERLINK("https://www.kegg.jp/dbget-bin/www_bget?ec:" &amp; E829, "https://www.kegg.jp/dbget-bin/www_bget?ec:" &amp; E829), "")</f>
        <v/>
      </c>
      <c r="G829" s="3"/>
      <c r="H829" s="1" t="str">
        <f>IF(G829&lt;&gt;"", HYPERLINK("https://www.kegg.jp/entry/" &amp; G829, "https://www.kegg.jp/entry/" &amp; G829), "")</f>
        <v/>
      </c>
    </row>
    <row r="830" spans="1:10" hidden="1" x14ac:dyDescent="0.25">
      <c r="A830" t="s">
        <v>1645</v>
      </c>
      <c r="B830">
        <v>714</v>
      </c>
      <c r="C830" t="s">
        <v>1646</v>
      </c>
      <c r="F830" s="1" t="str">
        <f>IF(E830&lt;&gt;"", HYPERLINK("https://www.kegg.jp/dbget-bin/www_bget?ec:" &amp; E830, "https://www.kegg.jp/dbget-bin/www_bget?ec:" &amp; E830), "")</f>
        <v/>
      </c>
      <c r="G830" s="3"/>
      <c r="H830" s="1" t="str">
        <f>IF(G830&lt;&gt;"", HYPERLINK("https://www.kegg.jp/entry/" &amp; G830, "https://www.kegg.jp/entry/" &amp; G830), "")</f>
        <v/>
      </c>
    </row>
    <row r="831" spans="1:10" hidden="1" x14ac:dyDescent="0.25">
      <c r="A831" t="s">
        <v>1647</v>
      </c>
      <c r="B831">
        <v>334</v>
      </c>
      <c r="C831" t="s">
        <v>1648</v>
      </c>
      <c r="F831" s="1" t="str">
        <f>IF(E831&lt;&gt;"", HYPERLINK("https://www.kegg.jp/dbget-bin/www_bget?ec:" &amp; E831, "https://www.kegg.jp/dbget-bin/www_bget?ec:" &amp; E831), "")</f>
        <v/>
      </c>
      <c r="G831" s="3"/>
      <c r="H831" s="1" t="str">
        <f>IF(G831&lt;&gt;"", HYPERLINK("https://www.kegg.jp/entry/" &amp; G831, "https://www.kegg.jp/entry/" &amp; G831), "")</f>
        <v/>
      </c>
    </row>
    <row r="832" spans="1:10" hidden="1" x14ac:dyDescent="0.25">
      <c r="A832" t="s">
        <v>1650</v>
      </c>
      <c r="B832">
        <v>370</v>
      </c>
      <c r="C832" t="s">
        <v>1651</v>
      </c>
      <c r="E832" s="5" t="s">
        <v>6739</v>
      </c>
      <c r="F832" s="1" t="str">
        <f>IF(E832&lt;&gt;"", HYPERLINK("https://www.kegg.jp/dbget-bin/www_bget?ec:" &amp; E832, "https://www.kegg.jp/dbget-bin/www_bget?ec:" &amp; E832), "")</f>
        <v>https://www.kegg.jp/dbget-bin/www_bget?ec:3.4.24.-</v>
      </c>
      <c r="G832" s="3"/>
      <c r="H832" s="1" t="str">
        <f>IF(G832&lt;&gt;"", HYPERLINK("https://www.kegg.jp/entry/" &amp; G832, "https://www.kegg.jp/entry/" &amp; G832), "")</f>
        <v/>
      </c>
    </row>
    <row r="833" spans="1:10" hidden="1" x14ac:dyDescent="0.25">
      <c r="A833" t="s">
        <v>1653</v>
      </c>
      <c r="B833">
        <v>398</v>
      </c>
      <c r="C833" t="s">
        <v>1654</v>
      </c>
      <c r="F833" s="1" t="str">
        <f>IF(E833&lt;&gt;"", HYPERLINK("https://www.kegg.jp/dbget-bin/www_bget?ec:" &amp; E833, "https://www.kegg.jp/dbget-bin/www_bget?ec:" &amp; E833), "")</f>
        <v/>
      </c>
      <c r="G833" s="3"/>
      <c r="H833" s="1" t="str">
        <f>IF(G833&lt;&gt;"", HYPERLINK("https://www.kegg.jp/entry/" &amp; G833, "https://www.kegg.jp/entry/" &amp; G833), "")</f>
        <v/>
      </c>
    </row>
    <row r="834" spans="1:10" x14ac:dyDescent="0.25">
      <c r="A834" t="s">
        <v>1656</v>
      </c>
      <c r="B834">
        <v>372</v>
      </c>
      <c r="C834" t="s">
        <v>1657</v>
      </c>
      <c r="E834" s="5" t="s">
        <v>6740</v>
      </c>
      <c r="F834" s="1" t="str">
        <f>IF(E834&lt;&gt;"", HYPERLINK("https://www.kegg.jp/dbget-bin/www_bget?ec:" &amp; E834, "https://www.kegg.jp/dbget-bin/www_bget?ec:" &amp; E834), "")</f>
        <v>https://www.kegg.jp/dbget-bin/www_bget?ec:5.1.3.14</v>
      </c>
      <c r="G834" s="9" t="s">
        <v>7544</v>
      </c>
      <c r="H834" s="1" t="str">
        <f>IF(G834&lt;&gt;"", HYPERLINK("https://www.kegg.jp/entry/" &amp; G834, "https://www.kegg.jp/entry/" &amp; G834), "")</f>
        <v>https://www.kegg.jp/entry/R00420</v>
      </c>
      <c r="I834" t="s">
        <v>8208</v>
      </c>
      <c r="J834" t="s">
        <v>8477</v>
      </c>
    </row>
    <row r="835" spans="1:10" x14ac:dyDescent="0.25">
      <c r="A835" t="s">
        <v>1656</v>
      </c>
      <c r="B835">
        <v>372</v>
      </c>
      <c r="C835" t="s">
        <v>1657</v>
      </c>
      <c r="E835" s="5" t="s">
        <v>6740</v>
      </c>
      <c r="F835" s="1" t="str">
        <f>IF(E835&lt;&gt;"", HYPERLINK("https://www.kegg.jp/dbget-bin/www_bget?ec:" &amp; E835, "https://www.kegg.jp/dbget-bin/www_bget?ec:" &amp; E835), "")</f>
        <v>https://www.kegg.jp/dbget-bin/www_bget?ec:5.1.3.14</v>
      </c>
      <c r="G835" s="9" t="s">
        <v>7545</v>
      </c>
      <c r="H835" s="1" t="str">
        <f>IF(G835&lt;&gt;"", HYPERLINK("https://www.kegg.jp/entry/" &amp; G835, "https://www.kegg.jp/entry/" &amp; G835), "")</f>
        <v>https://www.kegg.jp/entry/R00414</v>
      </c>
      <c r="I835" t="s">
        <v>13029</v>
      </c>
      <c r="J835" t="s">
        <v>13030</v>
      </c>
    </row>
    <row r="836" spans="1:10" x14ac:dyDescent="0.25">
      <c r="A836" t="s">
        <v>1656</v>
      </c>
      <c r="B836">
        <v>372</v>
      </c>
      <c r="C836" t="s">
        <v>1657</v>
      </c>
      <c r="E836" s="5" t="s">
        <v>6740</v>
      </c>
      <c r="F836" s="1" t="str">
        <f>IF(E836&lt;&gt;"", HYPERLINK("https://www.kegg.jp/dbget-bin/www_bget?ec:" &amp; E836, "https://www.kegg.jp/dbget-bin/www_bget?ec:" &amp; E836), "")</f>
        <v>https://www.kegg.jp/dbget-bin/www_bget?ec:5.1.3.14</v>
      </c>
      <c r="G836" s="9" t="s">
        <v>7546</v>
      </c>
      <c r="H836" s="1" t="str">
        <f>IF(G836&lt;&gt;"", HYPERLINK("https://www.kegg.jp/entry/" &amp; G836, "https://www.kegg.jp/entry/" &amp; G836), "")</f>
        <v>https://www.kegg.jp/entry/R02707</v>
      </c>
      <c r="I836" t="s">
        <v>13030</v>
      </c>
      <c r="J836" t="s">
        <v>13031</v>
      </c>
    </row>
    <row r="837" spans="1:10" hidden="1" x14ac:dyDescent="0.25">
      <c r="A837" t="s">
        <v>1658</v>
      </c>
      <c r="B837">
        <v>185</v>
      </c>
      <c r="C837" t="s">
        <v>1659</v>
      </c>
      <c r="F837" s="1" t="str">
        <f>IF(E837&lt;&gt;"", HYPERLINK("https://www.kegg.jp/dbget-bin/www_bget?ec:" &amp; E837, "https://www.kegg.jp/dbget-bin/www_bget?ec:" &amp; E837), "")</f>
        <v/>
      </c>
      <c r="G837" s="3"/>
      <c r="H837" s="1" t="str">
        <f>IF(G837&lt;&gt;"", HYPERLINK("https://www.kegg.jp/entry/" &amp; G837, "https://www.kegg.jp/entry/" &amp; G837), "")</f>
        <v/>
      </c>
    </row>
    <row r="838" spans="1:10" hidden="1" x14ac:dyDescent="0.25">
      <c r="A838" t="s">
        <v>1661</v>
      </c>
      <c r="B838">
        <v>362</v>
      </c>
      <c r="C838" t="s">
        <v>1662</v>
      </c>
      <c r="E838" s="5" t="s">
        <v>6741</v>
      </c>
      <c r="F838" s="1" t="str">
        <f>IF(E838&lt;&gt;"", HYPERLINK("https://www.kegg.jp/dbget-bin/www_bget?ec:" &amp; E838, "https://www.kegg.jp/dbget-bin/www_bget?ec:" &amp; E838), "")</f>
        <v>https://www.kegg.jp/dbget-bin/www_bget?ec:2.7.8.-</v>
      </c>
      <c r="G838" s="3"/>
      <c r="H838" s="1" t="str">
        <f>IF(G838&lt;&gt;"", HYPERLINK("https://www.kegg.jp/entry/" &amp; G838, "https://www.kegg.jp/entry/" &amp; G838), "")</f>
        <v/>
      </c>
    </row>
    <row r="839" spans="1:10" x14ac:dyDescent="0.25">
      <c r="A839" t="s">
        <v>1664</v>
      </c>
      <c r="B839">
        <v>208</v>
      </c>
      <c r="C839" t="s">
        <v>1665</v>
      </c>
      <c r="E839" s="5" t="s">
        <v>6742</v>
      </c>
      <c r="F839" s="1" t="str">
        <f>IF(E839&lt;&gt;"", HYPERLINK("https://www.kegg.jp/dbget-bin/www_bget?ec:" &amp; E839, "https://www.kegg.jp/dbget-bin/www_bget?ec:" &amp; E839), "")</f>
        <v>https://www.kegg.jp/dbget-bin/www_bget?ec:2.4.2.9</v>
      </c>
      <c r="G839" s="3" t="s">
        <v>7150</v>
      </c>
      <c r="H839" s="1" t="str">
        <f>IF(G839&lt;&gt;"", HYPERLINK("https://www.kegg.jp/entry/" &amp; G839, "https://www.kegg.jp/entry/" &amp; G839), "")</f>
        <v>https://www.kegg.jp/entry/R00966</v>
      </c>
      <c r="I839" t="s">
        <v>13032</v>
      </c>
      <c r="J839" t="s">
        <v>8478</v>
      </c>
    </row>
    <row r="840" spans="1:10" hidden="1" x14ac:dyDescent="0.25">
      <c r="A840" t="s">
        <v>1666</v>
      </c>
      <c r="B840">
        <v>280</v>
      </c>
      <c r="C840" t="s">
        <v>1667</v>
      </c>
      <c r="F840" s="1" t="str">
        <f>IF(E840&lt;&gt;"", HYPERLINK("https://www.kegg.jp/dbget-bin/www_bget?ec:" &amp; E840, "https://www.kegg.jp/dbget-bin/www_bget?ec:" &amp; E840), "")</f>
        <v/>
      </c>
      <c r="G840" s="3"/>
      <c r="H840" s="1" t="str">
        <f>IF(G840&lt;&gt;"", HYPERLINK("https://www.kegg.jp/entry/" &amp; G840, "https://www.kegg.jp/entry/" &amp; G840), "")</f>
        <v/>
      </c>
    </row>
    <row r="841" spans="1:10" hidden="1" x14ac:dyDescent="0.25">
      <c r="A841" t="s">
        <v>1669</v>
      </c>
      <c r="B841">
        <v>357</v>
      </c>
      <c r="C841" t="s">
        <v>1670</v>
      </c>
      <c r="F841" s="1" t="str">
        <f>IF(E841&lt;&gt;"", HYPERLINK("https://www.kegg.jp/dbget-bin/www_bget?ec:" &amp; E841, "https://www.kegg.jp/dbget-bin/www_bget?ec:" &amp; E841), "")</f>
        <v/>
      </c>
      <c r="G841" s="3"/>
      <c r="H841" s="1" t="str">
        <f>IF(G841&lt;&gt;"", HYPERLINK("https://www.kegg.jp/entry/" &amp; G841, "https://www.kegg.jp/entry/" &amp; G841), "")</f>
        <v/>
      </c>
    </row>
    <row r="842" spans="1:10" hidden="1" x14ac:dyDescent="0.25">
      <c r="A842" t="s">
        <v>1672</v>
      </c>
      <c r="B842">
        <v>984</v>
      </c>
      <c r="C842" t="s">
        <v>1673</v>
      </c>
      <c r="F842" s="1" t="str">
        <f>IF(E842&lt;&gt;"", HYPERLINK("https://www.kegg.jp/dbget-bin/www_bget?ec:" &amp; E842, "https://www.kegg.jp/dbget-bin/www_bget?ec:" &amp; E842), "")</f>
        <v/>
      </c>
      <c r="G842" s="3"/>
      <c r="H842" s="1" t="str">
        <f>IF(G842&lt;&gt;"", HYPERLINK("https://www.kegg.jp/entry/" &amp; G842, "https://www.kegg.jp/entry/" &amp; G842), "")</f>
        <v/>
      </c>
    </row>
    <row r="843" spans="1:10" hidden="1" x14ac:dyDescent="0.25">
      <c r="A843" t="s">
        <v>1674</v>
      </c>
      <c r="B843">
        <v>61</v>
      </c>
      <c r="C843" t="s">
        <v>1675</v>
      </c>
      <c r="F843" s="1" t="str">
        <f>IF(E843&lt;&gt;"", HYPERLINK("https://www.kegg.jp/dbget-bin/www_bget?ec:" &amp; E843, "https://www.kegg.jp/dbget-bin/www_bget?ec:" &amp; E843), "")</f>
        <v/>
      </c>
      <c r="G843" s="3"/>
      <c r="H843" s="1" t="str">
        <f>IF(G843&lt;&gt;"", HYPERLINK("https://www.kegg.jp/entry/" &amp; G843, "https://www.kegg.jp/entry/" &amp; G843), "")</f>
        <v/>
      </c>
    </row>
    <row r="844" spans="1:10" x14ac:dyDescent="0.25">
      <c r="A844" t="s">
        <v>1677</v>
      </c>
      <c r="B844">
        <v>520</v>
      </c>
      <c r="C844" t="s">
        <v>1678</v>
      </c>
      <c r="E844" s="5" t="s">
        <v>6743</v>
      </c>
      <c r="F844" s="1" t="str">
        <f>IF(E844&lt;&gt;"", HYPERLINK("https://www.kegg.jp/dbget-bin/www_bget?ec:" &amp; E844, "https://www.kegg.jp/dbget-bin/www_bget?ec:" &amp; E844), "")</f>
        <v>https://www.kegg.jp/dbget-bin/www_bget?ec:2.3.3.9</v>
      </c>
      <c r="G844" s="3" t="s">
        <v>7151</v>
      </c>
      <c r="H844" s="1" t="str">
        <f>IF(G844&lt;&gt;"", HYPERLINK("https://www.kegg.jp/entry/" &amp; G844, "https://www.kegg.jp/entry/" &amp; G844), "")</f>
        <v>https://www.kegg.jp/entry/R00472</v>
      </c>
      <c r="I844" t="s">
        <v>13033</v>
      </c>
      <c r="J844" t="s">
        <v>13034</v>
      </c>
    </row>
    <row r="845" spans="1:10" hidden="1" x14ac:dyDescent="0.25">
      <c r="A845" t="s">
        <v>1680</v>
      </c>
      <c r="B845">
        <v>252</v>
      </c>
      <c r="C845" t="s">
        <v>1681</v>
      </c>
      <c r="F845" s="1" t="str">
        <f>IF(E845&lt;&gt;"", HYPERLINK("https://www.kegg.jp/dbget-bin/www_bget?ec:" &amp; E845, "https://www.kegg.jp/dbget-bin/www_bget?ec:" &amp; E845), "")</f>
        <v/>
      </c>
      <c r="G845" s="3"/>
      <c r="H845" s="1" t="str">
        <f>IF(G845&lt;&gt;"", HYPERLINK("https://www.kegg.jp/entry/" &amp; G845, "https://www.kegg.jp/entry/" &amp; G845), "")</f>
        <v/>
      </c>
    </row>
    <row r="846" spans="1:10" hidden="1" x14ac:dyDescent="0.25">
      <c r="A846" t="s">
        <v>1683</v>
      </c>
      <c r="B846">
        <v>225</v>
      </c>
      <c r="C846" t="s">
        <v>1684</v>
      </c>
      <c r="F846" s="1" t="str">
        <f>IF(E846&lt;&gt;"", HYPERLINK("https://www.kegg.jp/dbget-bin/www_bget?ec:" &amp; E846, "https://www.kegg.jp/dbget-bin/www_bget?ec:" &amp; E846), "")</f>
        <v/>
      </c>
      <c r="G846" s="3"/>
      <c r="H846" s="1" t="str">
        <f>IF(G846&lt;&gt;"", HYPERLINK("https://www.kegg.jp/entry/" &amp; G846, "https://www.kegg.jp/entry/" &amp; G846), "")</f>
        <v/>
      </c>
    </row>
    <row r="847" spans="1:10" hidden="1" x14ac:dyDescent="0.25">
      <c r="A847" t="s">
        <v>1686</v>
      </c>
      <c r="B847">
        <v>436</v>
      </c>
      <c r="C847" t="s">
        <v>1687</v>
      </c>
      <c r="F847" s="1" t="str">
        <f>IF(E847&lt;&gt;"", HYPERLINK("https://www.kegg.jp/dbget-bin/www_bget?ec:" &amp; E847, "https://www.kegg.jp/dbget-bin/www_bget?ec:" &amp; E847), "")</f>
        <v/>
      </c>
      <c r="G847" s="3"/>
      <c r="H847" s="1" t="str">
        <f>IF(G847&lt;&gt;"", HYPERLINK("https://www.kegg.jp/entry/" &amp; G847, "https://www.kegg.jp/entry/" &amp; G847), "")</f>
        <v/>
      </c>
    </row>
    <row r="848" spans="1:10" x14ac:dyDescent="0.25">
      <c r="A848" t="s">
        <v>1689</v>
      </c>
      <c r="B848">
        <v>247</v>
      </c>
      <c r="C848" t="s">
        <v>1690</v>
      </c>
      <c r="E848" s="5" t="s">
        <v>6744</v>
      </c>
      <c r="F848" s="1" t="str">
        <f>IF(E848&lt;&gt;"", HYPERLINK("https://www.kegg.jp/dbget-bin/www_bget?ec:" &amp; E848, "https://www.kegg.jp/dbget-bin/www_bget?ec:" &amp; E848), "")</f>
        <v>https://www.kegg.jp/dbget-bin/www_bget?ec:3.1.3.71</v>
      </c>
      <c r="G848" s="3" t="s">
        <v>7152</v>
      </c>
      <c r="H848" s="1" t="str">
        <f>IF(G848&lt;&gt;"", HYPERLINK("https://www.kegg.jp/entry/" &amp; G848, "https://www.kegg.jp/entry/" &amp; G848), "")</f>
        <v>https://www.kegg.jp/entry/R05789</v>
      </c>
      <c r="I848" t="s">
        <v>13035</v>
      </c>
      <c r="J848" t="s">
        <v>13036</v>
      </c>
    </row>
    <row r="849" spans="1:10" hidden="1" x14ac:dyDescent="0.25">
      <c r="A849" t="s">
        <v>1692</v>
      </c>
      <c r="B849">
        <v>215</v>
      </c>
      <c r="C849" t="s">
        <v>1693</v>
      </c>
      <c r="F849" s="1" t="str">
        <f>IF(E849&lt;&gt;"", HYPERLINK("https://www.kegg.jp/dbget-bin/www_bget?ec:" &amp; E849, "https://www.kegg.jp/dbget-bin/www_bget?ec:" &amp; E849), "")</f>
        <v/>
      </c>
      <c r="G849" s="3"/>
      <c r="H849" s="1" t="str">
        <f>IF(G849&lt;&gt;"", HYPERLINK("https://www.kegg.jp/entry/" &amp; G849, "https://www.kegg.jp/entry/" &amp; G849), "")</f>
        <v/>
      </c>
    </row>
    <row r="850" spans="1:10" hidden="1" x14ac:dyDescent="0.25">
      <c r="A850" t="s">
        <v>1695</v>
      </c>
      <c r="B850">
        <v>208</v>
      </c>
      <c r="C850" t="s">
        <v>1696</v>
      </c>
      <c r="F850" s="1" t="str">
        <f>IF(E850&lt;&gt;"", HYPERLINK("https://www.kegg.jp/dbget-bin/www_bget?ec:" &amp; E850, "https://www.kegg.jp/dbget-bin/www_bget?ec:" &amp; E850), "")</f>
        <v/>
      </c>
      <c r="G850" s="3"/>
      <c r="H850" s="1" t="str">
        <f>IF(G850&lt;&gt;"", HYPERLINK("https://www.kegg.jp/entry/" &amp; G850, "https://www.kegg.jp/entry/" &amp; G850), "")</f>
        <v/>
      </c>
    </row>
    <row r="851" spans="1:10" x14ac:dyDescent="0.25">
      <c r="A851" t="s">
        <v>1698</v>
      </c>
      <c r="B851">
        <v>235</v>
      </c>
      <c r="C851" t="s">
        <v>1699</v>
      </c>
      <c r="E851" s="5" t="s">
        <v>6745</v>
      </c>
      <c r="F851" s="1" t="str">
        <f>IF(E851&lt;&gt;"", HYPERLINK("https://www.kegg.jp/dbget-bin/www_bget?ec:" &amp; E851, "https://www.kegg.jp/dbget-bin/www_bget?ec:" &amp; E851), "")</f>
        <v>https://www.kegg.jp/dbget-bin/www_bget?ec:2.4.2.1</v>
      </c>
      <c r="G851" s="9" t="s">
        <v>7547</v>
      </c>
      <c r="H851" s="1" t="str">
        <f>IF(G851&lt;&gt;"", HYPERLINK("https://www.kegg.jp/entry/" &amp; G851, "https://www.kegg.jp/entry/" &amp; G851), "")</f>
        <v>https://www.kegg.jp/entry/R08368</v>
      </c>
      <c r="I851" t="s">
        <v>13037</v>
      </c>
      <c r="J851" t="s">
        <v>13038</v>
      </c>
    </row>
    <row r="852" spans="1:10" x14ac:dyDescent="0.25">
      <c r="A852" t="s">
        <v>1698</v>
      </c>
      <c r="B852">
        <v>235</v>
      </c>
      <c r="C852" t="s">
        <v>1699</v>
      </c>
      <c r="E852" s="5" t="s">
        <v>6745</v>
      </c>
      <c r="F852" s="1" t="str">
        <f>IF(E852&lt;&gt;"", HYPERLINK("https://www.kegg.jp/dbget-bin/www_bget?ec:" &amp; E852, "https://www.kegg.jp/dbget-bin/www_bget?ec:" &amp; E852), "")</f>
        <v>https://www.kegg.jp/dbget-bin/www_bget?ec:2.4.2.1</v>
      </c>
      <c r="G852" s="9" t="s">
        <v>7548</v>
      </c>
      <c r="H852" s="1" t="str">
        <f>IF(G852&lt;&gt;"", HYPERLINK("https://www.kegg.jp/entry/" &amp; G852, "https://www.kegg.jp/entry/" &amp; G852), "")</f>
        <v>https://www.kegg.jp/entry/R01561</v>
      </c>
      <c r="I852" t="s">
        <v>12735</v>
      </c>
      <c r="J852" t="s">
        <v>8479</v>
      </c>
    </row>
    <row r="853" spans="1:10" x14ac:dyDescent="0.25">
      <c r="A853" t="s">
        <v>1698</v>
      </c>
      <c r="B853">
        <v>235</v>
      </c>
      <c r="C853" t="s">
        <v>1699</v>
      </c>
      <c r="E853" s="5" t="s">
        <v>6745</v>
      </c>
      <c r="F853" s="1" t="str">
        <f>IF(E853&lt;&gt;"", HYPERLINK("https://www.kegg.jp/dbget-bin/www_bget?ec:" &amp; E853, "https://www.kegg.jp/dbget-bin/www_bget?ec:" &amp; E853), "")</f>
        <v>https://www.kegg.jp/dbget-bin/www_bget?ec:2.4.2.1</v>
      </c>
      <c r="G853" s="9" t="s">
        <v>7549</v>
      </c>
      <c r="H853" s="1" t="str">
        <f>IF(G853&lt;&gt;"", HYPERLINK("https://www.kegg.jp/entry/" &amp; G853, "https://www.kegg.jp/entry/" &amp; G853), "")</f>
        <v>https://www.kegg.jp/entry/R01863</v>
      </c>
      <c r="I853" t="s">
        <v>12741</v>
      </c>
      <c r="J853" t="s">
        <v>8480</v>
      </c>
    </row>
    <row r="854" spans="1:10" x14ac:dyDescent="0.25">
      <c r="A854" t="s">
        <v>1698</v>
      </c>
      <c r="B854">
        <v>235</v>
      </c>
      <c r="C854" t="s">
        <v>1699</v>
      </c>
      <c r="E854" s="5" t="s">
        <v>6745</v>
      </c>
      <c r="F854" s="1" t="str">
        <f>IF(E854&lt;&gt;"", HYPERLINK("https://www.kegg.jp/dbget-bin/www_bget?ec:" &amp; E854, "https://www.kegg.jp/dbget-bin/www_bget?ec:" &amp; E854), "")</f>
        <v>https://www.kegg.jp/dbget-bin/www_bget?ec:2.4.2.1</v>
      </c>
      <c r="G854" s="9" t="s">
        <v>7557</v>
      </c>
      <c r="H854" s="1" t="str">
        <f>IF(G854&lt;&gt;"", HYPERLINK("https://www.kegg.jp/entry/" &amp; G854, "https://www.kegg.jp/entry/" &amp; G854), "")</f>
        <v>https://www.kegg.jp/entry/R02147</v>
      </c>
      <c r="I854" t="s">
        <v>12743</v>
      </c>
      <c r="J854" t="s">
        <v>8481</v>
      </c>
    </row>
    <row r="855" spans="1:10" x14ac:dyDescent="0.25">
      <c r="A855" t="s">
        <v>1698</v>
      </c>
      <c r="B855">
        <v>235</v>
      </c>
      <c r="C855" t="s">
        <v>1699</v>
      </c>
      <c r="E855" s="5" t="s">
        <v>6745</v>
      </c>
      <c r="F855" s="1" t="str">
        <f>IF(E855&lt;&gt;"", HYPERLINK("https://www.kegg.jp/dbget-bin/www_bget?ec:" &amp; E855, "https://www.kegg.jp/dbget-bin/www_bget?ec:" &amp; E855), "")</f>
        <v>https://www.kegg.jp/dbget-bin/www_bget?ec:2.4.2.1</v>
      </c>
      <c r="G855" s="9" t="s">
        <v>7556</v>
      </c>
      <c r="H855" s="1" t="str">
        <f>IF(G855&lt;&gt;"", HYPERLINK("https://www.kegg.jp/entry/" &amp; G855, "https://www.kegg.jp/entry/" &amp; G855), "")</f>
        <v>https://www.kegg.jp/entry/R02297</v>
      </c>
      <c r="I855" t="s">
        <v>12747</v>
      </c>
      <c r="J855" t="s">
        <v>8482</v>
      </c>
    </row>
    <row r="856" spans="1:10" x14ac:dyDescent="0.25">
      <c r="A856" t="s">
        <v>1698</v>
      </c>
      <c r="B856">
        <v>235</v>
      </c>
      <c r="C856" t="s">
        <v>1699</v>
      </c>
      <c r="E856" s="5" t="s">
        <v>6745</v>
      </c>
      <c r="F856" s="1" t="str">
        <f>IF(E856&lt;&gt;"", HYPERLINK("https://www.kegg.jp/dbget-bin/www_bget?ec:" &amp; E856, "https://www.kegg.jp/dbget-bin/www_bget?ec:" &amp; E856), "")</f>
        <v>https://www.kegg.jp/dbget-bin/www_bget?ec:2.4.2.1</v>
      </c>
      <c r="G856" s="9" t="s">
        <v>7555</v>
      </c>
      <c r="H856" s="1" t="str">
        <f>IF(G856&lt;&gt;"", HYPERLINK("https://www.kegg.jp/entry/" &amp; G856, "https://www.kegg.jp/entry/" &amp; G856), "")</f>
        <v>https://www.kegg.jp/entry/R10244</v>
      </c>
      <c r="I856" t="s">
        <v>13039</v>
      </c>
      <c r="J856" t="s">
        <v>13040</v>
      </c>
    </row>
    <row r="857" spans="1:10" x14ac:dyDescent="0.25">
      <c r="A857" t="s">
        <v>1698</v>
      </c>
      <c r="B857">
        <v>235</v>
      </c>
      <c r="C857" t="s">
        <v>1699</v>
      </c>
      <c r="E857" s="5" t="s">
        <v>6745</v>
      </c>
      <c r="F857" s="1" t="str">
        <f>IF(E857&lt;&gt;"", HYPERLINK("https://www.kegg.jp/dbget-bin/www_bget?ec:" &amp; E857, "https://www.kegg.jp/dbget-bin/www_bget?ec:" &amp; E857), "")</f>
        <v>https://www.kegg.jp/dbget-bin/www_bget?ec:2.4.2.1</v>
      </c>
      <c r="G857" s="9" t="s">
        <v>7554</v>
      </c>
      <c r="H857" s="1" t="str">
        <f>IF(G857&lt;&gt;"", HYPERLINK("https://www.kegg.jp/entry/" &amp; G857, "https://www.kegg.jp/entry/" &amp; G857), "")</f>
        <v>https://www.kegg.jp/entry/R01969</v>
      </c>
      <c r="I857" t="s">
        <v>12755</v>
      </c>
      <c r="J857" t="s">
        <v>8483</v>
      </c>
    </row>
    <row r="858" spans="1:10" x14ac:dyDescent="0.25">
      <c r="A858" t="s">
        <v>1698</v>
      </c>
      <c r="B858">
        <v>235</v>
      </c>
      <c r="C858" t="s">
        <v>1699</v>
      </c>
      <c r="E858" s="5" t="s">
        <v>6745</v>
      </c>
      <c r="F858" s="1" t="str">
        <f>IF(E858&lt;&gt;"", HYPERLINK("https://www.kegg.jp/dbget-bin/www_bget?ec:" &amp; E858, "https://www.kegg.jp/dbget-bin/www_bget?ec:" &amp; E858), "")</f>
        <v>https://www.kegg.jp/dbget-bin/www_bget?ec:2.4.2.1</v>
      </c>
      <c r="G858" s="9" t="s">
        <v>7553</v>
      </c>
      <c r="H858" s="1" t="str">
        <f>IF(G858&lt;&gt;"", HYPERLINK("https://www.kegg.jp/entry/" &amp; G858, "https://www.kegg.jp/entry/" &amp; G858), "")</f>
        <v>https://www.kegg.jp/entry/R02557</v>
      </c>
      <c r="I858" t="s">
        <v>12757</v>
      </c>
      <c r="J858" t="s">
        <v>8484</v>
      </c>
    </row>
    <row r="859" spans="1:10" x14ac:dyDescent="0.25">
      <c r="A859" t="s">
        <v>1698</v>
      </c>
      <c r="B859">
        <v>235</v>
      </c>
      <c r="C859" t="s">
        <v>1699</v>
      </c>
      <c r="E859" s="5" t="s">
        <v>6745</v>
      </c>
      <c r="F859" s="1" t="str">
        <f>IF(E859&lt;&gt;"", HYPERLINK("https://www.kegg.jp/dbget-bin/www_bget?ec:" &amp; E859, "https://www.kegg.jp/dbget-bin/www_bget?ec:" &amp; E859), "")</f>
        <v>https://www.kegg.jp/dbget-bin/www_bget?ec:2.4.2.1</v>
      </c>
      <c r="G859" s="9" t="s">
        <v>7552</v>
      </c>
      <c r="H859" s="1" t="str">
        <f>IF(G859&lt;&gt;"", HYPERLINK("https://www.kegg.jp/entry/" &amp; G859, "https://www.kegg.jp/entry/" &amp; G859), "")</f>
        <v>https://www.kegg.jp/entry/R02748</v>
      </c>
      <c r="I859" t="s">
        <v>12761</v>
      </c>
      <c r="J859" t="s">
        <v>8485</v>
      </c>
    </row>
    <row r="860" spans="1:10" x14ac:dyDescent="0.25">
      <c r="A860" t="s">
        <v>1698</v>
      </c>
      <c r="B860">
        <v>235</v>
      </c>
      <c r="C860" t="s">
        <v>1699</v>
      </c>
      <c r="E860" s="5" t="s">
        <v>6745</v>
      </c>
      <c r="F860" s="1" t="str">
        <f>IF(E860&lt;&gt;"", HYPERLINK("https://www.kegg.jp/dbget-bin/www_bget?ec:" &amp; E860, "https://www.kegg.jp/dbget-bin/www_bget?ec:" &amp; E860), "")</f>
        <v>https://www.kegg.jp/dbget-bin/www_bget?ec:2.4.2.1</v>
      </c>
      <c r="G860" s="9" t="s">
        <v>7551</v>
      </c>
      <c r="H860" s="1" t="str">
        <f>IF(G860&lt;&gt;"", HYPERLINK("https://www.kegg.jp/entry/" &amp; G860, "https://www.kegg.jp/entry/" &amp; G860), "")</f>
        <v>https://www.kegg.jp/entry/R02294</v>
      </c>
      <c r="I860" t="s">
        <v>12745</v>
      </c>
      <c r="J860" t="s">
        <v>8486</v>
      </c>
    </row>
    <row r="861" spans="1:10" x14ac:dyDescent="0.25">
      <c r="A861" t="s">
        <v>1698</v>
      </c>
      <c r="B861">
        <v>235</v>
      </c>
      <c r="C861" t="s">
        <v>1699</v>
      </c>
      <c r="E861" s="5" t="s">
        <v>6745</v>
      </c>
      <c r="F861" s="1" t="str">
        <f>IF(E861&lt;&gt;"", HYPERLINK("https://www.kegg.jp/dbget-bin/www_bget?ec:" &amp; E861, "https://www.kegg.jp/dbget-bin/www_bget?ec:" &amp; E861), "")</f>
        <v>https://www.kegg.jp/dbget-bin/www_bget?ec:2.4.2.1</v>
      </c>
      <c r="G861" s="9" t="s">
        <v>7550</v>
      </c>
      <c r="H861" s="1" t="str">
        <f>IF(G861&lt;&gt;"", HYPERLINK("https://www.kegg.jp/entry/" &amp; G861, "https://www.kegg.jp/entry/" &amp; G861), "")</f>
        <v>https://www.kegg.jp/entry/R02295</v>
      </c>
      <c r="I861" t="s">
        <v>12749</v>
      </c>
      <c r="J861" t="s">
        <v>13041</v>
      </c>
    </row>
    <row r="862" spans="1:10" x14ac:dyDescent="0.25">
      <c r="A862" t="s">
        <v>1700</v>
      </c>
      <c r="B862">
        <v>271</v>
      </c>
      <c r="C862" t="s">
        <v>1701</v>
      </c>
      <c r="E862" s="5" t="s">
        <v>6647</v>
      </c>
      <c r="F862" s="1" t="str">
        <f>IF(E862&lt;&gt;"", HYPERLINK("https://www.kegg.jp/dbget-bin/www_bget?ec:" &amp; E862, "https://www.kegg.jp/dbget-bin/www_bget?ec:" &amp; E862), "")</f>
        <v>https://www.kegg.jp/dbget-bin/www_bget?ec:4.2.1.17</v>
      </c>
      <c r="G862" s="3" t="s">
        <v>7396</v>
      </c>
      <c r="H862" s="1" t="str">
        <f>IF(G862&lt;&gt;"", HYPERLINK("https://www.kegg.jp/entry/" &amp; G862, "https://www.kegg.jp/entry/" &amp; G862), "")</f>
        <v>https://www.kegg.jp/entry/R02685</v>
      </c>
      <c r="I862" t="s">
        <v>8116</v>
      </c>
      <c r="J862" t="s">
        <v>12839</v>
      </c>
    </row>
    <row r="863" spans="1:10" x14ac:dyDescent="0.25">
      <c r="A863" t="s">
        <v>1700</v>
      </c>
      <c r="B863">
        <v>271</v>
      </c>
      <c r="C863" t="s">
        <v>1701</v>
      </c>
      <c r="E863" s="5" t="s">
        <v>6647</v>
      </c>
      <c r="F863" s="1" t="str">
        <f>IF(E863&lt;&gt;"", HYPERLINK("https://www.kegg.jp/dbget-bin/www_bget?ec:" &amp; E863, "https://www.kegg.jp/dbget-bin/www_bget?ec:" &amp; E863), "")</f>
        <v>https://www.kegg.jp/dbget-bin/www_bget?ec:4.2.1.17</v>
      </c>
      <c r="G863" s="3" t="s">
        <v>7417</v>
      </c>
      <c r="H863" s="1" t="str">
        <f>IF(G863&lt;&gt;"", HYPERLINK("https://www.kegg.jp/entry/" &amp; G863, "https://www.kegg.jp/entry/" &amp; G863), "")</f>
        <v>https://www.kegg.jp/entry/R03026</v>
      </c>
      <c r="I863" t="s">
        <v>8117</v>
      </c>
      <c r="J863" t="s">
        <v>12840</v>
      </c>
    </row>
    <row r="864" spans="1:10" x14ac:dyDescent="0.25">
      <c r="A864" t="s">
        <v>1700</v>
      </c>
      <c r="B864">
        <v>271</v>
      </c>
      <c r="C864" t="s">
        <v>1701</v>
      </c>
      <c r="E864" s="5" t="s">
        <v>6647</v>
      </c>
      <c r="F864" s="1" t="str">
        <f>IF(E864&lt;&gt;"", HYPERLINK("https://www.kegg.jp/dbget-bin/www_bget?ec:" &amp; E864, "https://www.kegg.jp/dbget-bin/www_bget?ec:" &amp; E864), "")</f>
        <v>https://www.kegg.jp/dbget-bin/www_bget?ec:4.2.1.17</v>
      </c>
      <c r="G864" s="3" t="s">
        <v>7416</v>
      </c>
      <c r="H864" s="1" t="str">
        <f>IF(G864&lt;&gt;"", HYPERLINK("https://www.kegg.jp/entry/" &amp; G864, "https://www.kegg.jp/entry/" &amp; G864), "")</f>
        <v>https://www.kegg.jp/entry/R03045</v>
      </c>
      <c r="I864" t="s">
        <v>8118</v>
      </c>
      <c r="J864" t="s">
        <v>12841</v>
      </c>
    </row>
    <row r="865" spans="1:10" x14ac:dyDescent="0.25">
      <c r="A865" t="s">
        <v>1700</v>
      </c>
      <c r="B865">
        <v>271</v>
      </c>
      <c r="C865" t="s">
        <v>1701</v>
      </c>
      <c r="E865" s="5" t="s">
        <v>6647</v>
      </c>
      <c r="F865" s="1" t="str">
        <f>IF(E865&lt;&gt;"", HYPERLINK("https://www.kegg.jp/dbget-bin/www_bget?ec:" &amp; E865, "https://www.kegg.jp/dbget-bin/www_bget?ec:" &amp; E865), "")</f>
        <v>https://www.kegg.jp/dbget-bin/www_bget?ec:4.2.1.17</v>
      </c>
      <c r="G865" s="3" t="s">
        <v>7415</v>
      </c>
      <c r="H865" s="1" t="str">
        <f>IF(G865&lt;&gt;"", HYPERLINK("https://www.kegg.jp/entry/" &amp; G865, "https://www.kegg.jp/entry/" &amp; G865), "")</f>
        <v>https://www.kegg.jp/entry/R04170</v>
      </c>
      <c r="I865" t="s">
        <v>8119</v>
      </c>
      <c r="J865" t="s">
        <v>12842</v>
      </c>
    </row>
    <row r="866" spans="1:10" x14ac:dyDescent="0.25">
      <c r="A866" t="s">
        <v>1700</v>
      </c>
      <c r="B866">
        <v>271</v>
      </c>
      <c r="C866" t="s">
        <v>1701</v>
      </c>
      <c r="E866" s="5" t="s">
        <v>6647</v>
      </c>
      <c r="F866" s="1" t="str">
        <f>IF(E866&lt;&gt;"", HYPERLINK("https://www.kegg.jp/dbget-bin/www_bget?ec:" &amp; E866, "https://www.kegg.jp/dbget-bin/www_bget?ec:" &amp; E866), "")</f>
        <v>https://www.kegg.jp/dbget-bin/www_bget?ec:4.2.1.17</v>
      </c>
      <c r="G866" s="3" t="s">
        <v>7414</v>
      </c>
      <c r="H866" s="1" t="str">
        <f>IF(G866&lt;&gt;"", HYPERLINK("https://www.kegg.jp/entry/" &amp; G866, "https://www.kegg.jp/entry/" &amp; G866), "")</f>
        <v>https://www.kegg.jp/entry/R04204</v>
      </c>
      <c r="I866" t="s">
        <v>8120</v>
      </c>
      <c r="J866" t="s">
        <v>12843</v>
      </c>
    </row>
    <row r="867" spans="1:10" x14ac:dyDescent="0.25">
      <c r="A867" t="s">
        <v>1700</v>
      </c>
      <c r="B867">
        <v>271</v>
      </c>
      <c r="C867" t="s">
        <v>1701</v>
      </c>
      <c r="E867" s="5" t="s">
        <v>6647</v>
      </c>
      <c r="F867" s="1" t="str">
        <f>IF(E867&lt;&gt;"", HYPERLINK("https://www.kegg.jp/dbget-bin/www_bget?ec:" &amp; E867, "https://www.kegg.jp/dbget-bin/www_bget?ec:" &amp; E867), "")</f>
        <v>https://www.kegg.jp/dbget-bin/www_bget?ec:4.2.1.17</v>
      </c>
      <c r="G867" s="3" t="s">
        <v>7413</v>
      </c>
      <c r="H867" s="1" t="str">
        <f>IF(G867&lt;&gt;"", HYPERLINK("https://www.kegg.jp/entry/" &amp; G867, "https://www.kegg.jp/entry/" &amp; G867), "")</f>
        <v>https://www.kegg.jp/entry/R04224</v>
      </c>
      <c r="I867" t="s">
        <v>12844</v>
      </c>
      <c r="J867" t="s">
        <v>8410</v>
      </c>
    </row>
    <row r="868" spans="1:10" x14ac:dyDescent="0.25">
      <c r="A868" t="s">
        <v>1700</v>
      </c>
      <c r="B868">
        <v>271</v>
      </c>
      <c r="C868" t="s">
        <v>1701</v>
      </c>
      <c r="E868" s="5" t="s">
        <v>6647</v>
      </c>
      <c r="F868" s="1" t="str">
        <f>IF(E868&lt;&gt;"", HYPERLINK("https://www.kegg.jp/dbget-bin/www_bget?ec:" &amp; E868, "https://www.kegg.jp/dbget-bin/www_bget?ec:" &amp; E868), "")</f>
        <v>https://www.kegg.jp/dbget-bin/www_bget?ec:4.2.1.17</v>
      </c>
      <c r="G868" s="3" t="s">
        <v>7412</v>
      </c>
      <c r="H868" s="1" t="str">
        <f>IF(G868&lt;&gt;"", HYPERLINK("https://www.kegg.jp/entry/" &amp; G868, "https://www.kegg.jp/entry/" &amp; G868), "")</f>
        <v>https://www.kegg.jp/entry/R04738</v>
      </c>
      <c r="I868" t="s">
        <v>8121</v>
      </c>
      <c r="J868" t="s">
        <v>12845</v>
      </c>
    </row>
    <row r="869" spans="1:10" x14ac:dyDescent="0.25">
      <c r="A869" t="s">
        <v>1700</v>
      </c>
      <c r="B869">
        <v>271</v>
      </c>
      <c r="C869" t="s">
        <v>1701</v>
      </c>
      <c r="E869" s="5" t="s">
        <v>6647</v>
      </c>
      <c r="F869" s="1" t="str">
        <f>IF(E869&lt;&gt;"", HYPERLINK("https://www.kegg.jp/dbget-bin/www_bget?ec:" &amp; E869, "https://www.kegg.jp/dbget-bin/www_bget?ec:" &amp; E869), "")</f>
        <v>https://www.kegg.jp/dbget-bin/www_bget?ec:4.2.1.17</v>
      </c>
      <c r="G869" s="3" t="s">
        <v>7411</v>
      </c>
      <c r="H869" s="1" t="str">
        <f>IF(G869&lt;&gt;"", HYPERLINK("https://www.kegg.jp/entry/" &amp; G869, "https://www.kegg.jp/entry/" &amp; G869), "")</f>
        <v>https://www.kegg.jp/entry/R04740</v>
      </c>
      <c r="I869" t="s">
        <v>8122</v>
      </c>
      <c r="J869" t="s">
        <v>12846</v>
      </c>
    </row>
    <row r="870" spans="1:10" x14ac:dyDescent="0.25">
      <c r="A870" t="s">
        <v>1700</v>
      </c>
      <c r="B870">
        <v>271</v>
      </c>
      <c r="C870" t="s">
        <v>1701</v>
      </c>
      <c r="E870" s="5" t="s">
        <v>6647</v>
      </c>
      <c r="F870" s="1" t="str">
        <f>IF(E870&lt;&gt;"", HYPERLINK("https://www.kegg.jp/dbget-bin/www_bget?ec:" &amp; E870, "https://www.kegg.jp/dbget-bin/www_bget?ec:" &amp; E870), "")</f>
        <v>https://www.kegg.jp/dbget-bin/www_bget?ec:4.2.1.17</v>
      </c>
      <c r="G870" s="3" t="s">
        <v>7410</v>
      </c>
      <c r="H870" s="1" t="str">
        <f>IF(G870&lt;&gt;"", HYPERLINK("https://www.kegg.jp/entry/" &amp; G870, "https://www.kegg.jp/entry/" &amp; G870), "")</f>
        <v>https://www.kegg.jp/entry/R04744</v>
      </c>
      <c r="I870" t="s">
        <v>8123</v>
      </c>
      <c r="J870" t="s">
        <v>12847</v>
      </c>
    </row>
    <row r="871" spans="1:10" x14ac:dyDescent="0.25">
      <c r="A871" t="s">
        <v>1700</v>
      </c>
      <c r="B871">
        <v>271</v>
      </c>
      <c r="C871" t="s">
        <v>1701</v>
      </c>
      <c r="E871" s="5" t="s">
        <v>6647</v>
      </c>
      <c r="F871" s="1" t="str">
        <f>IF(E871&lt;&gt;"", HYPERLINK("https://www.kegg.jp/dbget-bin/www_bget?ec:" &amp; E871, "https://www.kegg.jp/dbget-bin/www_bget?ec:" &amp; E871), "")</f>
        <v>https://www.kegg.jp/dbget-bin/www_bget?ec:4.2.1.17</v>
      </c>
      <c r="G871" s="3" t="s">
        <v>7409</v>
      </c>
      <c r="H871" s="1" t="str">
        <f>IF(G871&lt;&gt;"", HYPERLINK("https://www.kegg.jp/entry/" &amp; G871, "https://www.kegg.jp/entry/" &amp; G871), "")</f>
        <v>https://www.kegg.jp/entry/R04746</v>
      </c>
      <c r="I871" t="s">
        <v>8124</v>
      </c>
      <c r="J871" t="s">
        <v>12848</v>
      </c>
    </row>
    <row r="872" spans="1:10" x14ac:dyDescent="0.25">
      <c r="A872" t="s">
        <v>1700</v>
      </c>
      <c r="B872">
        <v>271</v>
      </c>
      <c r="C872" t="s">
        <v>1701</v>
      </c>
      <c r="E872" s="5" t="s">
        <v>6647</v>
      </c>
      <c r="F872" s="1" t="str">
        <f>IF(E872&lt;&gt;"", HYPERLINK("https://www.kegg.jp/dbget-bin/www_bget?ec:" &amp; E872, "https://www.kegg.jp/dbget-bin/www_bget?ec:" &amp; E872), "")</f>
        <v>https://www.kegg.jp/dbget-bin/www_bget?ec:4.2.1.17</v>
      </c>
      <c r="G872" s="3" t="s">
        <v>7408</v>
      </c>
      <c r="H872" s="1" t="str">
        <f>IF(G872&lt;&gt;"", HYPERLINK("https://www.kegg.jp/entry/" &amp; G872, "https://www.kegg.jp/entry/" &amp; G872), "")</f>
        <v>https://www.kegg.jp/entry/R04749</v>
      </c>
      <c r="I872" t="s">
        <v>8125</v>
      </c>
      <c r="J872" t="s">
        <v>12849</v>
      </c>
    </row>
    <row r="873" spans="1:10" x14ac:dyDescent="0.25">
      <c r="A873" t="s">
        <v>1700</v>
      </c>
      <c r="B873">
        <v>271</v>
      </c>
      <c r="C873" t="s">
        <v>1701</v>
      </c>
      <c r="E873" s="5" t="s">
        <v>6647</v>
      </c>
      <c r="F873" s="1" t="str">
        <f>IF(E873&lt;&gt;"", HYPERLINK("https://www.kegg.jp/dbget-bin/www_bget?ec:" &amp; E873, "https://www.kegg.jp/dbget-bin/www_bget?ec:" &amp; E873), "")</f>
        <v>https://www.kegg.jp/dbget-bin/www_bget?ec:4.2.1.17</v>
      </c>
      <c r="G873" s="3" t="s">
        <v>7407</v>
      </c>
      <c r="H873" s="1" t="str">
        <f>IF(G873&lt;&gt;"", HYPERLINK("https://www.kegg.jp/entry/" &amp; G873, "https://www.kegg.jp/entry/" &amp; G873), "")</f>
        <v>https://www.kegg.jp/entry/R07889</v>
      </c>
      <c r="I873" t="s">
        <v>8126</v>
      </c>
      <c r="J873" t="s">
        <v>12850</v>
      </c>
    </row>
    <row r="874" spans="1:10" x14ac:dyDescent="0.25">
      <c r="A874" t="s">
        <v>1700</v>
      </c>
      <c r="B874">
        <v>271</v>
      </c>
      <c r="C874" t="s">
        <v>1701</v>
      </c>
      <c r="E874" s="5" t="s">
        <v>6647</v>
      </c>
      <c r="F874" s="1" t="str">
        <f>IF(E874&lt;&gt;"", HYPERLINK("https://www.kegg.jp/dbget-bin/www_bget?ec:" &amp; E874, "https://www.kegg.jp/dbget-bin/www_bget?ec:" &amp; E874), "")</f>
        <v>https://www.kegg.jp/dbget-bin/www_bget?ec:4.2.1.17</v>
      </c>
      <c r="G874" s="3" t="s">
        <v>7406</v>
      </c>
      <c r="H874" s="1" t="str">
        <f>IF(G874&lt;&gt;"", HYPERLINK("https://www.kegg.jp/entry/" &amp; G874, "https://www.kegg.jp/entry/" &amp; G874), "")</f>
        <v>https://www.kegg.jp/entry/R07893</v>
      </c>
      <c r="I874" t="s">
        <v>8127</v>
      </c>
      <c r="J874" t="s">
        <v>12851</v>
      </c>
    </row>
    <row r="875" spans="1:10" x14ac:dyDescent="0.25">
      <c r="A875" t="s">
        <v>1700</v>
      </c>
      <c r="B875">
        <v>271</v>
      </c>
      <c r="C875" t="s">
        <v>1701</v>
      </c>
      <c r="E875" s="5" t="s">
        <v>6647</v>
      </c>
      <c r="F875" s="1" t="str">
        <f>IF(E875&lt;&gt;"", HYPERLINK("https://www.kegg.jp/dbget-bin/www_bget?ec:" &amp; E875, "https://www.kegg.jp/dbget-bin/www_bget?ec:" &amp; E875), "")</f>
        <v>https://www.kegg.jp/dbget-bin/www_bget?ec:4.2.1.17</v>
      </c>
      <c r="G875" s="3" t="s">
        <v>7405</v>
      </c>
      <c r="H875" s="1" t="str">
        <f>IF(G875&lt;&gt;"", HYPERLINK("https://www.kegg.jp/entry/" &amp; G875, "https://www.kegg.jp/entry/" &amp; G875), "")</f>
        <v>https://www.kegg.jp/entry/R07897</v>
      </c>
      <c r="I875" t="s">
        <v>8128</v>
      </c>
      <c r="J875" t="s">
        <v>12852</v>
      </c>
    </row>
    <row r="876" spans="1:10" x14ac:dyDescent="0.25">
      <c r="A876" t="s">
        <v>1700</v>
      </c>
      <c r="B876">
        <v>271</v>
      </c>
      <c r="C876" t="s">
        <v>1701</v>
      </c>
      <c r="E876" s="5" t="s">
        <v>6647</v>
      </c>
      <c r="F876" s="1" t="str">
        <f>IF(E876&lt;&gt;"", HYPERLINK("https://www.kegg.jp/dbget-bin/www_bget?ec:" &amp; E876, "https://www.kegg.jp/dbget-bin/www_bget?ec:" &amp; E876), "")</f>
        <v>https://www.kegg.jp/dbget-bin/www_bget?ec:4.2.1.17</v>
      </c>
      <c r="G876" s="3" t="s">
        <v>7404</v>
      </c>
      <c r="H876" s="1" t="str">
        <f>IF(G876&lt;&gt;"", HYPERLINK("https://www.kegg.jp/entry/" &amp; G876, "https://www.kegg.jp/entry/" &amp; G876), "")</f>
        <v>https://www.kegg.jp/entry/R07314</v>
      </c>
      <c r="I876" t="s">
        <v>8116</v>
      </c>
      <c r="J876" t="s">
        <v>12853</v>
      </c>
    </row>
    <row r="877" spans="1:10" x14ac:dyDescent="0.25">
      <c r="A877" t="s">
        <v>1700</v>
      </c>
      <c r="B877">
        <v>271</v>
      </c>
      <c r="C877" t="s">
        <v>1701</v>
      </c>
      <c r="E877" s="5" t="s">
        <v>6647</v>
      </c>
      <c r="F877" s="1" t="str">
        <f>IF(E877&lt;&gt;"", HYPERLINK("https://www.kegg.jp/dbget-bin/www_bget?ec:" &amp; E877, "https://www.kegg.jp/dbget-bin/www_bget?ec:" &amp; E877), "")</f>
        <v>https://www.kegg.jp/dbget-bin/www_bget?ec:4.2.1.17</v>
      </c>
      <c r="G877" s="3" t="s">
        <v>7403</v>
      </c>
      <c r="H877" s="1" t="str">
        <f>IF(G877&lt;&gt;"", HYPERLINK("https://www.kegg.jp/entry/" &amp; G877, "https://www.kegg.jp/entry/" &amp; G877), "")</f>
        <v>https://www.kegg.jp/entry/R03224</v>
      </c>
      <c r="I877" t="s">
        <v>8129</v>
      </c>
      <c r="J877" t="s">
        <v>12854</v>
      </c>
    </row>
    <row r="878" spans="1:10" x14ac:dyDescent="0.25">
      <c r="A878" t="s">
        <v>1700</v>
      </c>
      <c r="B878">
        <v>271</v>
      </c>
      <c r="C878" t="s">
        <v>1701</v>
      </c>
      <c r="E878" s="5" t="s">
        <v>6647</v>
      </c>
      <c r="F878" s="1" t="str">
        <f>IF(E878&lt;&gt;"", HYPERLINK("https://www.kegg.jp/dbget-bin/www_bget?ec:" &amp; E878, "https://www.kegg.jp/dbget-bin/www_bget?ec:" &amp; E878), "")</f>
        <v>https://www.kegg.jp/dbget-bin/www_bget?ec:4.2.1.17</v>
      </c>
      <c r="G878" s="3" t="s">
        <v>7402</v>
      </c>
      <c r="H878" s="1" t="str">
        <f>IF(G878&lt;&gt;"", HYPERLINK("https://www.kegg.jp/entry/" &amp; G878, "https://www.kegg.jp/entry/" &amp; G878), "")</f>
        <v>https://www.kegg.jp/entry/R04137</v>
      </c>
      <c r="I878" t="s">
        <v>8130</v>
      </c>
      <c r="J878" t="s">
        <v>12855</v>
      </c>
    </row>
    <row r="879" spans="1:10" x14ac:dyDescent="0.25">
      <c r="A879" t="s">
        <v>1700</v>
      </c>
      <c r="B879">
        <v>271</v>
      </c>
      <c r="C879" t="s">
        <v>1701</v>
      </c>
      <c r="E879" s="5" t="s">
        <v>6647</v>
      </c>
      <c r="F879" s="1" t="str">
        <f>IF(E879&lt;&gt;"", HYPERLINK("https://www.kegg.jp/dbget-bin/www_bget?ec:" &amp; E879, "https://www.kegg.jp/dbget-bin/www_bget?ec:" &amp; E879), "")</f>
        <v>https://www.kegg.jp/dbget-bin/www_bget?ec:4.2.1.17</v>
      </c>
      <c r="G879" s="3" t="s">
        <v>7401</v>
      </c>
      <c r="H879" s="1" t="str">
        <f>IF(G879&lt;&gt;"", HYPERLINK("https://www.kegg.jp/entry/" &amp; G879, "https://www.kegg.jp/entry/" &amp; G879), "")</f>
        <v>https://www.kegg.jp/entry/R05595</v>
      </c>
      <c r="I879" t="s">
        <v>12840</v>
      </c>
      <c r="J879" t="s">
        <v>8411</v>
      </c>
    </row>
    <row r="880" spans="1:10" x14ac:dyDescent="0.25">
      <c r="A880" t="s">
        <v>1700</v>
      </c>
      <c r="B880">
        <v>271</v>
      </c>
      <c r="C880" t="s">
        <v>1701</v>
      </c>
      <c r="E880" s="5" t="s">
        <v>6647</v>
      </c>
      <c r="F880" s="1" t="str">
        <f>IF(E880&lt;&gt;"", HYPERLINK("https://www.kegg.jp/dbget-bin/www_bget?ec:" &amp; E880, "https://www.kegg.jp/dbget-bin/www_bget?ec:" &amp; E880), "")</f>
        <v>https://www.kegg.jp/dbget-bin/www_bget?ec:4.2.1.17</v>
      </c>
      <c r="G880" s="3" t="s">
        <v>7400</v>
      </c>
      <c r="H880" s="1" t="str">
        <f>IF(G880&lt;&gt;"", HYPERLINK("https://www.kegg.jp/entry/" &amp; G880, "https://www.kegg.jp/entry/" &amp; G880), "")</f>
        <v>https://www.kegg.jp/entry/R06411</v>
      </c>
      <c r="I880" t="s">
        <v>12856</v>
      </c>
      <c r="J880" t="s">
        <v>8412</v>
      </c>
    </row>
    <row r="881" spans="1:10" x14ac:dyDescent="0.25">
      <c r="A881" t="s">
        <v>1700</v>
      </c>
      <c r="B881">
        <v>271</v>
      </c>
      <c r="C881" t="s">
        <v>1701</v>
      </c>
      <c r="E881" s="5" t="s">
        <v>6647</v>
      </c>
      <c r="F881" s="1" t="str">
        <f>IF(E881&lt;&gt;"", HYPERLINK("https://www.kegg.jp/dbget-bin/www_bget?ec:" &amp; E881, "https://www.kegg.jp/dbget-bin/www_bget?ec:" &amp; E881), "")</f>
        <v>https://www.kegg.jp/dbget-bin/www_bget?ec:4.2.1.17</v>
      </c>
      <c r="G881" s="3" t="s">
        <v>7399</v>
      </c>
      <c r="H881" s="1" t="str">
        <f>IF(G881&lt;&gt;"", HYPERLINK("https://www.kegg.jp/entry/" &amp; G881, "https://www.kegg.jp/entry/" &amp; G881), "")</f>
        <v>https://www.kegg.jp/entry/R06412</v>
      </c>
      <c r="I881" t="s">
        <v>12857</v>
      </c>
      <c r="J881" t="s">
        <v>8412</v>
      </c>
    </row>
    <row r="882" spans="1:10" x14ac:dyDescent="0.25">
      <c r="A882" t="s">
        <v>1700</v>
      </c>
      <c r="B882">
        <v>271</v>
      </c>
      <c r="C882" t="s">
        <v>1701</v>
      </c>
      <c r="E882" s="5" t="s">
        <v>6647</v>
      </c>
      <c r="F882" s="1" t="str">
        <f>IF(E882&lt;&gt;"", HYPERLINK("https://www.kegg.jp/dbget-bin/www_bget?ec:" &amp; E882, "https://www.kegg.jp/dbget-bin/www_bget?ec:" &amp; E882), "")</f>
        <v>https://www.kegg.jp/dbget-bin/www_bget?ec:4.2.1.17</v>
      </c>
      <c r="G882" s="3" t="s">
        <v>7398</v>
      </c>
      <c r="H882" s="1" t="str">
        <f>IF(G882&lt;&gt;"", HYPERLINK("https://www.kegg.jp/entry/" &amp; G882, "https://www.kegg.jp/entry/" &amp; G882), "")</f>
        <v>https://www.kegg.jp/entry/R06942</v>
      </c>
      <c r="I882" t="s">
        <v>12858</v>
      </c>
      <c r="J882" t="s">
        <v>8413</v>
      </c>
    </row>
    <row r="883" spans="1:10" x14ac:dyDescent="0.25">
      <c r="A883" t="s">
        <v>1700</v>
      </c>
      <c r="B883">
        <v>271</v>
      </c>
      <c r="C883" t="s">
        <v>1701</v>
      </c>
      <c r="E883" s="5" t="s">
        <v>6647</v>
      </c>
      <c r="F883" s="1" t="str">
        <f>IF(E883&lt;&gt;"", HYPERLINK("https://www.kegg.jp/dbget-bin/www_bget?ec:" &amp; E883, "https://www.kegg.jp/dbget-bin/www_bget?ec:" &amp; E883), "")</f>
        <v>https://www.kegg.jp/dbget-bin/www_bget?ec:4.2.1.17</v>
      </c>
      <c r="G883" s="3" t="s">
        <v>7397</v>
      </c>
      <c r="H883" s="1" t="str">
        <f>IF(G883&lt;&gt;"", HYPERLINK("https://www.kegg.jp/entry/" &amp; G883, "https://www.kegg.jp/entry/" &amp; G883), "")</f>
        <v>https://www.kegg.jp/entry/R08093</v>
      </c>
      <c r="I883" t="s">
        <v>12859</v>
      </c>
      <c r="J883" t="s">
        <v>8414</v>
      </c>
    </row>
    <row r="884" spans="1:10" hidden="1" x14ac:dyDescent="0.25">
      <c r="A884" t="s">
        <v>1702</v>
      </c>
      <c r="B884">
        <v>290</v>
      </c>
      <c r="C884" t="s">
        <v>1703</v>
      </c>
      <c r="F884" s="1" t="str">
        <f>IF(E884&lt;&gt;"", HYPERLINK("https://www.kegg.jp/dbget-bin/www_bget?ec:" &amp; E884, "https://www.kegg.jp/dbget-bin/www_bget?ec:" &amp; E884), "")</f>
        <v/>
      </c>
      <c r="G884" s="3"/>
      <c r="H884" s="1" t="str">
        <f>IF(G884&lt;&gt;"", HYPERLINK("https://www.kegg.jp/entry/" &amp; G884, "https://www.kegg.jp/entry/" &amp; G884), "")</f>
        <v/>
      </c>
    </row>
    <row r="885" spans="1:10" hidden="1" x14ac:dyDescent="0.25">
      <c r="A885" t="s">
        <v>1704</v>
      </c>
      <c r="B885">
        <v>542</v>
      </c>
      <c r="C885" t="s">
        <v>1705</v>
      </c>
      <c r="F885" s="1" t="str">
        <f>IF(E885&lt;&gt;"", HYPERLINK("https://www.kegg.jp/dbget-bin/www_bget?ec:" &amp; E885, "https://www.kegg.jp/dbget-bin/www_bget?ec:" &amp; E885), "")</f>
        <v/>
      </c>
      <c r="G885" s="3"/>
      <c r="H885" s="1" t="str">
        <f>IF(G885&lt;&gt;"", HYPERLINK("https://www.kegg.jp/entry/" &amp; G885, "https://www.kegg.jp/entry/" &amp; G885), "")</f>
        <v/>
      </c>
    </row>
    <row r="886" spans="1:10" hidden="1" x14ac:dyDescent="0.25">
      <c r="A886" t="s">
        <v>1706</v>
      </c>
      <c r="B886">
        <v>53</v>
      </c>
      <c r="C886" t="s">
        <v>1707</v>
      </c>
      <c r="F886" s="1" t="str">
        <f>IF(E886&lt;&gt;"", HYPERLINK("https://www.kegg.jp/dbget-bin/www_bget?ec:" &amp; E886, "https://www.kegg.jp/dbget-bin/www_bget?ec:" &amp; E886), "")</f>
        <v/>
      </c>
      <c r="G886" s="3"/>
      <c r="H886" s="1" t="str">
        <f>IF(G886&lt;&gt;"", HYPERLINK("https://www.kegg.jp/entry/" &amp; G886, "https://www.kegg.jp/entry/" &amp; G886), "")</f>
        <v/>
      </c>
    </row>
    <row r="887" spans="1:10" hidden="1" x14ac:dyDescent="0.25">
      <c r="A887" t="s">
        <v>1708</v>
      </c>
      <c r="B887">
        <v>41</v>
      </c>
      <c r="C887" t="s">
        <v>1709</v>
      </c>
      <c r="F887" s="1" t="str">
        <f>IF(E887&lt;&gt;"", HYPERLINK("https://www.kegg.jp/dbget-bin/www_bget?ec:" &amp; E887, "https://www.kegg.jp/dbget-bin/www_bget?ec:" &amp; E887), "")</f>
        <v/>
      </c>
      <c r="G887" s="3"/>
      <c r="H887" s="1" t="str">
        <f>IF(G887&lt;&gt;"", HYPERLINK("https://www.kegg.jp/entry/" &amp; G887, "https://www.kegg.jp/entry/" &amp; G887), "")</f>
        <v/>
      </c>
    </row>
    <row r="888" spans="1:10" hidden="1" x14ac:dyDescent="0.25">
      <c r="A888" t="s">
        <v>1710</v>
      </c>
      <c r="B888">
        <v>317</v>
      </c>
      <c r="C888" t="s">
        <v>1711</v>
      </c>
      <c r="F888" s="1" t="str">
        <f>IF(E888&lt;&gt;"", HYPERLINK("https://www.kegg.jp/dbget-bin/www_bget?ec:" &amp; E888, "https://www.kegg.jp/dbget-bin/www_bget?ec:" &amp; E888), "")</f>
        <v/>
      </c>
      <c r="G888" s="3"/>
      <c r="H888" s="1" t="str">
        <f>IF(G888&lt;&gt;"", HYPERLINK("https://www.kegg.jp/entry/" &amp; G888, "https://www.kegg.jp/entry/" &amp; G888), "")</f>
        <v/>
      </c>
    </row>
    <row r="889" spans="1:10" x14ac:dyDescent="0.25">
      <c r="A889" t="s">
        <v>1713</v>
      </c>
      <c r="B889">
        <v>297</v>
      </c>
      <c r="C889" t="s">
        <v>1714</v>
      </c>
      <c r="E889" s="5" t="s">
        <v>6746</v>
      </c>
      <c r="F889" s="1" t="str">
        <f>IF(E889&lt;&gt;"", HYPERLINK("https://www.kegg.jp/dbget-bin/www_bget?ec:" &amp; E889, "https://www.kegg.jp/dbget-bin/www_bget?ec:" &amp; E889), "")</f>
        <v>https://www.kegg.jp/dbget-bin/www_bget?ec:5.4.2.10</v>
      </c>
      <c r="G889" s="3" t="s">
        <v>7153</v>
      </c>
      <c r="H889" s="1" t="str">
        <f>IF(G889&lt;&gt;"", HYPERLINK("https://www.kegg.jp/entry/" &amp; G889, "https://www.kegg.jp/entry/" &amp; G889), "")</f>
        <v>https://www.kegg.jp/entry/R02060</v>
      </c>
      <c r="I889" t="s">
        <v>8209</v>
      </c>
      <c r="J889" t="s">
        <v>8487</v>
      </c>
    </row>
    <row r="890" spans="1:10" hidden="1" x14ac:dyDescent="0.25">
      <c r="A890" t="s">
        <v>1715</v>
      </c>
      <c r="B890">
        <v>701</v>
      </c>
      <c r="C890" t="s">
        <v>1716</v>
      </c>
      <c r="F890" s="1" t="str">
        <f>IF(E890&lt;&gt;"", HYPERLINK("https://www.kegg.jp/dbget-bin/www_bget?ec:" &amp; E890, "https://www.kegg.jp/dbget-bin/www_bget?ec:" &amp; E890), "")</f>
        <v/>
      </c>
      <c r="G890" s="3"/>
      <c r="H890" s="1" t="str">
        <f>IF(G890&lt;&gt;"", HYPERLINK("https://www.kegg.jp/entry/" &amp; G890, "https://www.kegg.jp/entry/" &amp; G890), "")</f>
        <v/>
      </c>
    </row>
    <row r="891" spans="1:10" hidden="1" x14ac:dyDescent="0.25">
      <c r="A891" t="s">
        <v>1717</v>
      </c>
      <c r="B891">
        <v>237</v>
      </c>
      <c r="C891" t="s">
        <v>1718</v>
      </c>
      <c r="F891" s="1" t="str">
        <f>IF(E891&lt;&gt;"", HYPERLINK("https://www.kegg.jp/dbget-bin/www_bget?ec:" &amp; E891, "https://www.kegg.jp/dbget-bin/www_bget?ec:" &amp; E891), "")</f>
        <v/>
      </c>
      <c r="G891" s="3"/>
      <c r="H891" s="1" t="str">
        <f>IF(G891&lt;&gt;"", HYPERLINK("https://www.kegg.jp/entry/" &amp; G891, "https://www.kegg.jp/entry/" &amp; G891), "")</f>
        <v/>
      </c>
    </row>
    <row r="892" spans="1:10" hidden="1" x14ac:dyDescent="0.25">
      <c r="A892" t="s">
        <v>1720</v>
      </c>
      <c r="B892">
        <v>140</v>
      </c>
      <c r="C892" t="s">
        <v>1721</v>
      </c>
      <c r="F892" s="1" t="str">
        <f>IF(E892&lt;&gt;"", HYPERLINK("https://www.kegg.jp/dbget-bin/www_bget?ec:" &amp; E892, "https://www.kegg.jp/dbget-bin/www_bget?ec:" &amp; E892), "")</f>
        <v/>
      </c>
      <c r="G892" s="3"/>
      <c r="H892" s="1" t="str">
        <f>IF(G892&lt;&gt;"", HYPERLINK("https://www.kegg.jp/entry/" &amp; G892, "https://www.kegg.jp/entry/" &amp; G892), "")</f>
        <v/>
      </c>
    </row>
    <row r="893" spans="1:10" hidden="1" x14ac:dyDescent="0.25">
      <c r="A893" t="s">
        <v>1722</v>
      </c>
      <c r="B893">
        <v>48</v>
      </c>
      <c r="C893" t="s">
        <v>1723</v>
      </c>
      <c r="F893" s="1" t="str">
        <f>IF(E893&lt;&gt;"", HYPERLINK("https://www.kegg.jp/dbget-bin/www_bget?ec:" &amp; E893, "https://www.kegg.jp/dbget-bin/www_bget?ec:" &amp; E893), "")</f>
        <v/>
      </c>
      <c r="G893" s="3"/>
      <c r="H893" s="1" t="str">
        <f>IF(G893&lt;&gt;"", HYPERLINK("https://www.kegg.jp/entry/" &amp; G893, "https://www.kegg.jp/entry/" &amp; G893), "")</f>
        <v/>
      </c>
    </row>
    <row r="894" spans="1:10" hidden="1" x14ac:dyDescent="0.25">
      <c r="A894" t="s">
        <v>1725</v>
      </c>
      <c r="B894">
        <v>304</v>
      </c>
      <c r="C894" t="s">
        <v>1726</v>
      </c>
      <c r="F894" s="1" t="str">
        <f>IF(E894&lt;&gt;"", HYPERLINK("https://www.kegg.jp/dbget-bin/www_bget?ec:" &amp; E894, "https://www.kegg.jp/dbget-bin/www_bget?ec:" &amp; E894), "")</f>
        <v/>
      </c>
      <c r="G894" s="3"/>
      <c r="H894" s="1" t="str">
        <f>IF(G894&lt;&gt;"", HYPERLINK("https://www.kegg.jp/entry/" &amp; G894, "https://www.kegg.jp/entry/" &amp; G894), "")</f>
        <v/>
      </c>
    </row>
    <row r="895" spans="1:10" hidden="1" x14ac:dyDescent="0.25">
      <c r="A895" t="s">
        <v>1727</v>
      </c>
      <c r="B895">
        <v>158</v>
      </c>
      <c r="C895" t="s">
        <v>1728</v>
      </c>
      <c r="F895" s="1" t="str">
        <f>IF(E895&lt;&gt;"", HYPERLINK("https://www.kegg.jp/dbget-bin/www_bget?ec:" &amp; E895, "https://www.kegg.jp/dbget-bin/www_bget?ec:" &amp; E895), "")</f>
        <v/>
      </c>
      <c r="G895" s="3"/>
      <c r="H895" s="1" t="str">
        <f>IF(G895&lt;&gt;"", HYPERLINK("https://www.kegg.jp/entry/" &amp; G895, "https://www.kegg.jp/entry/" &amp; G895), "")</f>
        <v/>
      </c>
    </row>
    <row r="896" spans="1:10" x14ac:dyDescent="0.25">
      <c r="A896" t="s">
        <v>1730</v>
      </c>
      <c r="B896">
        <v>468</v>
      </c>
      <c r="C896" t="s">
        <v>1731</v>
      </c>
      <c r="E896" s="5" t="s">
        <v>6747</v>
      </c>
      <c r="F896" s="1" t="str">
        <f>IF(E896&lt;&gt;"", HYPERLINK("https://www.kegg.jp/dbget-bin/www_bget?ec:" &amp; E896, "https://www.kegg.jp/dbget-bin/www_bget?ec:" &amp; E896), "")</f>
        <v>https://www.kegg.jp/dbget-bin/www_bget?ec:6.1.1.17</v>
      </c>
      <c r="G896" s="3" t="s">
        <v>7154</v>
      </c>
      <c r="H896" s="1" t="str">
        <f>IF(G896&lt;&gt;"", HYPERLINK("https://www.kegg.jp/entry/" &amp; G896, "https://www.kegg.jp/entry/" &amp; G896), "")</f>
        <v>https://www.kegg.jp/entry/R05578</v>
      </c>
      <c r="I896" t="s">
        <v>13042</v>
      </c>
      <c r="J896" t="s">
        <v>13043</v>
      </c>
    </row>
    <row r="897" spans="1:10" hidden="1" x14ac:dyDescent="0.25">
      <c r="A897" t="s">
        <v>1733</v>
      </c>
      <c r="B897">
        <v>242</v>
      </c>
      <c r="C897" t="s">
        <v>1734</v>
      </c>
      <c r="F897" s="1" t="str">
        <f>IF(E897&lt;&gt;"", HYPERLINK("https://www.kegg.jp/dbget-bin/www_bget?ec:" &amp; E897, "https://www.kegg.jp/dbget-bin/www_bget?ec:" &amp; E897), "")</f>
        <v/>
      </c>
      <c r="G897" s="3"/>
      <c r="H897" s="1" t="str">
        <f>IF(G897&lt;&gt;"", HYPERLINK("https://www.kegg.jp/entry/" &amp; G897, "https://www.kegg.jp/entry/" &amp; G897), "")</f>
        <v/>
      </c>
    </row>
    <row r="898" spans="1:10" hidden="1" x14ac:dyDescent="0.25">
      <c r="A898" t="s">
        <v>1735</v>
      </c>
      <c r="B898">
        <v>462</v>
      </c>
      <c r="C898" t="s">
        <v>1736</v>
      </c>
      <c r="F898" s="1" t="str">
        <f>IF(E898&lt;&gt;"", HYPERLINK("https://www.kegg.jp/dbget-bin/www_bget?ec:" &amp; E898, "https://www.kegg.jp/dbget-bin/www_bget?ec:" &amp; E898), "")</f>
        <v/>
      </c>
      <c r="G898" s="3"/>
      <c r="H898" s="1" t="str">
        <f>IF(G898&lt;&gt;"", HYPERLINK("https://www.kegg.jp/entry/" &amp; G898, "https://www.kegg.jp/entry/" &amp; G898), "")</f>
        <v/>
      </c>
    </row>
    <row r="899" spans="1:10" hidden="1" x14ac:dyDescent="0.25">
      <c r="A899" t="s">
        <v>1738</v>
      </c>
      <c r="B899">
        <v>272</v>
      </c>
      <c r="C899" t="s">
        <v>1739</v>
      </c>
      <c r="F899" s="1" t="str">
        <f>IF(E899&lt;&gt;"", HYPERLINK("https://www.kegg.jp/dbget-bin/www_bget?ec:" &amp; E899, "https://www.kegg.jp/dbget-bin/www_bget?ec:" &amp; E899), "")</f>
        <v/>
      </c>
      <c r="G899" s="3"/>
      <c r="H899" s="1" t="str">
        <f>IF(G899&lt;&gt;"", HYPERLINK("https://www.kegg.jp/entry/" &amp; G899, "https://www.kegg.jp/entry/" &amp; G899), "")</f>
        <v/>
      </c>
    </row>
    <row r="900" spans="1:10" hidden="1" x14ac:dyDescent="0.25">
      <c r="A900" t="s">
        <v>1741</v>
      </c>
      <c r="B900">
        <v>195</v>
      </c>
      <c r="C900" t="s">
        <v>1742</v>
      </c>
      <c r="F900" s="1" t="str">
        <f>IF(E900&lt;&gt;"", HYPERLINK("https://www.kegg.jp/dbget-bin/www_bget?ec:" &amp; E900, "https://www.kegg.jp/dbget-bin/www_bget?ec:" &amp; E900), "")</f>
        <v/>
      </c>
      <c r="G900" s="3"/>
      <c r="H900" s="1" t="str">
        <f>IF(G900&lt;&gt;"", HYPERLINK("https://www.kegg.jp/entry/" &amp; G900, "https://www.kegg.jp/entry/" &amp; G900), "")</f>
        <v/>
      </c>
    </row>
    <row r="901" spans="1:10" hidden="1" x14ac:dyDescent="0.25">
      <c r="A901" t="s">
        <v>1744</v>
      </c>
      <c r="B901">
        <v>430</v>
      </c>
      <c r="C901" t="s">
        <v>1745</v>
      </c>
      <c r="F901" s="1" t="str">
        <f>IF(E901&lt;&gt;"", HYPERLINK("https://www.kegg.jp/dbget-bin/www_bget?ec:" &amp; E901, "https://www.kegg.jp/dbget-bin/www_bget?ec:" &amp; E901), "")</f>
        <v/>
      </c>
      <c r="G901" s="3"/>
      <c r="H901" s="1" t="str">
        <f>IF(G901&lt;&gt;"", HYPERLINK("https://www.kegg.jp/entry/" &amp; G901, "https://www.kegg.jp/entry/" &amp; G901), "")</f>
        <v/>
      </c>
    </row>
    <row r="902" spans="1:10" hidden="1" x14ac:dyDescent="0.25">
      <c r="A902" t="s">
        <v>1747</v>
      </c>
      <c r="B902">
        <v>82</v>
      </c>
      <c r="C902" t="s">
        <v>1748</v>
      </c>
      <c r="F902" s="1" t="str">
        <f>IF(E902&lt;&gt;"", HYPERLINK("https://www.kegg.jp/dbget-bin/www_bget?ec:" &amp; E902, "https://www.kegg.jp/dbget-bin/www_bget?ec:" &amp; E902), "")</f>
        <v/>
      </c>
      <c r="G902" s="3"/>
      <c r="H902" s="1" t="str">
        <f>IF(G902&lt;&gt;"", HYPERLINK("https://www.kegg.jp/entry/" &amp; G902, "https://www.kegg.jp/entry/" &amp; G902), "")</f>
        <v/>
      </c>
    </row>
    <row r="903" spans="1:10" hidden="1" x14ac:dyDescent="0.25">
      <c r="A903" t="s">
        <v>1750</v>
      </c>
      <c r="B903">
        <v>79</v>
      </c>
      <c r="C903" t="s">
        <v>1751</v>
      </c>
      <c r="E903" s="5" t="s">
        <v>6748</v>
      </c>
      <c r="F903" s="1" t="str">
        <f>IF(E903&lt;&gt;"", HYPERLINK("https://www.kegg.jp/dbget-bin/www_bget?ec:" &amp; E903, "https://www.kegg.jp/dbget-bin/www_bget?ec:" &amp; E903), "")</f>
        <v>https://www.kegg.jp/dbget-bin/www_bget?ec:3.1.26.5</v>
      </c>
      <c r="G903" s="3"/>
      <c r="H903" s="1" t="str">
        <f>IF(G903&lt;&gt;"", HYPERLINK("https://www.kegg.jp/entry/" &amp; G903, "https://www.kegg.jp/entry/" &amp; G903), "")</f>
        <v/>
      </c>
    </row>
    <row r="904" spans="1:10" hidden="1" x14ac:dyDescent="0.25">
      <c r="A904" t="s">
        <v>1753</v>
      </c>
      <c r="B904">
        <v>48</v>
      </c>
      <c r="C904" t="s">
        <v>1754</v>
      </c>
      <c r="F904" s="1" t="str">
        <f>IF(E904&lt;&gt;"", HYPERLINK("https://www.kegg.jp/dbget-bin/www_bget?ec:" &amp; E904, "https://www.kegg.jp/dbget-bin/www_bget?ec:" &amp; E904), "")</f>
        <v/>
      </c>
      <c r="G904" s="3"/>
      <c r="H904" s="1" t="str">
        <f>IF(G904&lt;&gt;"", HYPERLINK("https://www.kegg.jp/entry/" &amp; G904, "https://www.kegg.jp/entry/" &amp; G904), "")</f>
        <v/>
      </c>
    </row>
    <row r="905" spans="1:10" hidden="1" x14ac:dyDescent="0.25">
      <c r="A905" t="s">
        <v>1755</v>
      </c>
      <c r="B905">
        <v>253</v>
      </c>
      <c r="C905" t="s">
        <v>1756</v>
      </c>
      <c r="F905" s="1" t="str">
        <f>IF(E905&lt;&gt;"", HYPERLINK("https://www.kegg.jp/dbget-bin/www_bget?ec:" &amp; E905, "https://www.kegg.jp/dbget-bin/www_bget?ec:" &amp; E905), "")</f>
        <v/>
      </c>
      <c r="G905" s="3"/>
      <c r="H905" s="1" t="str">
        <f>IF(G905&lt;&gt;"", HYPERLINK("https://www.kegg.jp/entry/" &amp; G905, "https://www.kegg.jp/entry/" &amp; G905), "")</f>
        <v/>
      </c>
    </row>
    <row r="906" spans="1:10" x14ac:dyDescent="0.25">
      <c r="A906" t="s">
        <v>1758</v>
      </c>
      <c r="B906">
        <v>644</v>
      </c>
      <c r="C906" t="s">
        <v>1759</v>
      </c>
      <c r="E906" s="5" t="s">
        <v>6749</v>
      </c>
      <c r="F906" s="1" t="str">
        <f>IF(E906&lt;&gt;"", HYPERLINK("https://www.kegg.jp/dbget-bin/www_bget?ec:" &amp; E906, "https://www.kegg.jp/dbget-bin/www_bget?ec:" &amp; E906), "")</f>
        <v>https://www.kegg.jp/dbget-bin/www_bget?ec:6.2.1.3</v>
      </c>
      <c r="G906" s="9" t="s">
        <v>7558</v>
      </c>
      <c r="H906" s="1" t="str">
        <f>IF(G906&lt;&gt;"", HYPERLINK("https://www.kegg.jp/entry/" &amp; G906, "https://www.kegg.jp/entry/" &amp; G906), "")</f>
        <v>https://www.kegg.jp/entry/R00390</v>
      </c>
      <c r="I906" t="s">
        <v>13044</v>
      </c>
      <c r="J906" t="s">
        <v>13045</v>
      </c>
    </row>
    <row r="907" spans="1:10" x14ac:dyDescent="0.25">
      <c r="A907" t="s">
        <v>1758</v>
      </c>
      <c r="B907">
        <v>644</v>
      </c>
      <c r="C907" t="s">
        <v>1759</v>
      </c>
      <c r="E907" s="5" t="s">
        <v>6749</v>
      </c>
      <c r="F907" s="1" t="str">
        <f>IF(E907&lt;&gt;"", HYPERLINK("https://www.kegg.jp/dbget-bin/www_bget?ec:" &amp; E907, "https://www.kegg.jp/dbget-bin/www_bget?ec:" &amp; E907), "")</f>
        <v>https://www.kegg.jp/dbget-bin/www_bget?ec:6.2.1.3</v>
      </c>
      <c r="G907" s="9" t="s">
        <v>7559</v>
      </c>
      <c r="H907" s="1" t="str">
        <f>IF(G907&lt;&gt;"", HYPERLINK("https://www.kegg.jp/entry/" &amp; G907, "https://www.kegg.jp/entry/" &amp; G907), "")</f>
        <v>https://www.kegg.jp/entry/R01280</v>
      </c>
      <c r="I907" t="s">
        <v>13046</v>
      </c>
      <c r="J907" t="s">
        <v>13047</v>
      </c>
    </row>
    <row r="908" spans="1:10" hidden="1" x14ac:dyDescent="0.25">
      <c r="A908" t="s">
        <v>1760</v>
      </c>
      <c r="B908">
        <v>297</v>
      </c>
      <c r="C908" t="s">
        <v>1761</v>
      </c>
      <c r="F908" s="1" t="str">
        <f>IF(E908&lt;&gt;"", HYPERLINK("https://www.kegg.jp/dbget-bin/www_bget?ec:" &amp; E908, "https://www.kegg.jp/dbget-bin/www_bget?ec:" &amp; E908), "")</f>
        <v/>
      </c>
      <c r="G908" s="3"/>
      <c r="H908" s="1" t="str">
        <f>IF(G908&lt;&gt;"", HYPERLINK("https://www.kegg.jp/entry/" &amp; G908, "https://www.kegg.jp/entry/" &amp; G908), "")</f>
        <v/>
      </c>
    </row>
    <row r="909" spans="1:10" hidden="1" x14ac:dyDescent="0.25">
      <c r="A909" t="s">
        <v>1763</v>
      </c>
      <c r="B909">
        <v>355</v>
      </c>
      <c r="C909" t="s">
        <v>1764</v>
      </c>
      <c r="F909" s="1" t="str">
        <f>IF(E909&lt;&gt;"", HYPERLINK("https://www.kegg.jp/dbget-bin/www_bget?ec:" &amp; E909, "https://www.kegg.jp/dbget-bin/www_bget?ec:" &amp; E909), "")</f>
        <v/>
      </c>
      <c r="G909" s="3"/>
      <c r="H909" s="1" t="str">
        <f>IF(G909&lt;&gt;"", HYPERLINK("https://www.kegg.jp/entry/" &amp; G909, "https://www.kegg.jp/entry/" &amp; G909), "")</f>
        <v/>
      </c>
    </row>
    <row r="910" spans="1:10" hidden="1" x14ac:dyDescent="0.25">
      <c r="A910" t="s">
        <v>1766</v>
      </c>
      <c r="B910">
        <v>398</v>
      </c>
      <c r="C910" t="s">
        <v>1767</v>
      </c>
      <c r="F910" s="1" t="str">
        <f>IF(E910&lt;&gt;"", HYPERLINK("https://www.kegg.jp/dbget-bin/www_bget?ec:" &amp; E910, "https://www.kegg.jp/dbget-bin/www_bget?ec:" &amp; E910), "")</f>
        <v/>
      </c>
      <c r="G910" s="3"/>
      <c r="H910" s="1" t="str">
        <f>IF(G910&lt;&gt;"", HYPERLINK("https://www.kegg.jp/entry/" &amp; G910, "https://www.kegg.jp/entry/" &amp; G910), "")</f>
        <v/>
      </c>
    </row>
    <row r="911" spans="1:10" hidden="1" x14ac:dyDescent="0.25">
      <c r="A911" t="s">
        <v>1768</v>
      </c>
      <c r="B911">
        <v>277</v>
      </c>
      <c r="C911" t="s">
        <v>1769</v>
      </c>
      <c r="F911" s="1" t="str">
        <f>IF(E911&lt;&gt;"", HYPERLINK("https://www.kegg.jp/dbget-bin/www_bget?ec:" &amp; E911, "https://www.kegg.jp/dbget-bin/www_bget?ec:" &amp; E911), "")</f>
        <v/>
      </c>
      <c r="G911" s="3"/>
      <c r="H911" s="1" t="str">
        <f>IF(G911&lt;&gt;"", HYPERLINK("https://www.kegg.jp/entry/" &amp; G911, "https://www.kegg.jp/entry/" &amp; G911), "")</f>
        <v/>
      </c>
    </row>
    <row r="912" spans="1:10" x14ac:dyDescent="0.25">
      <c r="A912" t="s">
        <v>1771</v>
      </c>
      <c r="B912">
        <v>245</v>
      </c>
      <c r="C912" t="s">
        <v>1772</v>
      </c>
      <c r="E912" s="5" t="s">
        <v>6750</v>
      </c>
      <c r="F912" s="1" t="str">
        <f>IF(E912&lt;&gt;"", HYPERLINK("https://www.kegg.jp/dbget-bin/www_bget?ec:" &amp; E912, "https://www.kegg.jp/dbget-bin/www_bget?ec:" &amp; E912), "")</f>
        <v>https://www.kegg.jp/dbget-bin/www_bget?ec:1.1.1.100</v>
      </c>
      <c r="G912" s="9" t="s">
        <v>7560</v>
      </c>
      <c r="H912" s="1" t="str">
        <f>IF(G912&lt;&gt;"", HYPERLINK("https://www.kegg.jp/entry/" &amp; G912, "https://www.kegg.jp/entry/" &amp; G912), "")</f>
        <v>https://www.kegg.jp/entry/R02767</v>
      </c>
      <c r="I912" t="s">
        <v>13048</v>
      </c>
      <c r="J912" t="s">
        <v>13049</v>
      </c>
    </row>
    <row r="913" spans="1:10" x14ac:dyDescent="0.25">
      <c r="A913" t="s">
        <v>1771</v>
      </c>
      <c r="B913">
        <v>245</v>
      </c>
      <c r="C913" t="s">
        <v>1772</v>
      </c>
      <c r="E913" s="5" t="s">
        <v>6750</v>
      </c>
      <c r="F913" s="1" t="str">
        <f>IF(E913&lt;&gt;"", HYPERLINK("https://www.kegg.jp/dbget-bin/www_bget?ec:" &amp; E913, "https://www.kegg.jp/dbget-bin/www_bget?ec:" &amp; E913), "")</f>
        <v>https://www.kegg.jp/dbget-bin/www_bget?ec:1.1.1.100</v>
      </c>
      <c r="G913" s="9" t="s">
        <v>7570</v>
      </c>
      <c r="H913" s="1" t="str">
        <f>IF(G913&lt;&gt;"", HYPERLINK("https://www.kegg.jp/entry/" &amp; G913, "https://www.kegg.jp/entry/" &amp; G913), "")</f>
        <v>https://www.kegg.jp/entry/R04533</v>
      </c>
      <c r="I913" t="s">
        <v>13050</v>
      </c>
      <c r="J913" t="s">
        <v>13051</v>
      </c>
    </row>
    <row r="914" spans="1:10" x14ac:dyDescent="0.25">
      <c r="A914" t="s">
        <v>1771</v>
      </c>
      <c r="B914">
        <v>245</v>
      </c>
      <c r="C914" t="s">
        <v>1772</v>
      </c>
      <c r="E914" s="5" t="s">
        <v>6750</v>
      </c>
      <c r="F914" s="1" t="str">
        <f>IF(E914&lt;&gt;"", HYPERLINK("https://www.kegg.jp/dbget-bin/www_bget?ec:" &amp; E914, "https://www.kegg.jp/dbget-bin/www_bget?ec:" &amp; E914), "")</f>
        <v>https://www.kegg.jp/dbget-bin/www_bget?ec:1.1.1.100</v>
      </c>
      <c r="G914" s="9" t="s">
        <v>7569</v>
      </c>
      <c r="H914" s="1" t="str">
        <f>IF(G914&lt;&gt;"", HYPERLINK("https://www.kegg.jp/entry/" &amp; G914, "https://www.kegg.jp/entry/" &amp; G914), "")</f>
        <v>https://www.kegg.jp/entry/R04534</v>
      </c>
      <c r="I914" t="s">
        <v>13052</v>
      </c>
      <c r="J914" t="s">
        <v>13053</v>
      </c>
    </row>
    <row r="915" spans="1:10" x14ac:dyDescent="0.25">
      <c r="A915" t="s">
        <v>1771</v>
      </c>
      <c r="B915">
        <v>245</v>
      </c>
      <c r="C915" t="s">
        <v>1772</v>
      </c>
      <c r="E915" s="5" t="s">
        <v>6750</v>
      </c>
      <c r="F915" s="1" t="str">
        <f>IF(E915&lt;&gt;"", HYPERLINK("https://www.kegg.jp/dbget-bin/www_bget?ec:" &amp; E915, "https://www.kegg.jp/dbget-bin/www_bget?ec:" &amp; E915), "")</f>
        <v>https://www.kegg.jp/dbget-bin/www_bget?ec:1.1.1.100</v>
      </c>
      <c r="G915" s="9" t="s">
        <v>7568</v>
      </c>
      <c r="H915" s="1" t="str">
        <f>IF(G915&lt;&gt;"", HYPERLINK("https://www.kegg.jp/entry/" &amp; G915, "https://www.kegg.jp/entry/" &amp; G915), "")</f>
        <v>https://www.kegg.jp/entry/R04536</v>
      </c>
      <c r="I915" t="s">
        <v>13054</v>
      </c>
      <c r="J915" t="s">
        <v>13055</v>
      </c>
    </row>
    <row r="916" spans="1:10" x14ac:dyDescent="0.25">
      <c r="A916" t="s">
        <v>1771</v>
      </c>
      <c r="B916">
        <v>245</v>
      </c>
      <c r="C916" t="s">
        <v>1772</v>
      </c>
      <c r="E916" s="5" t="s">
        <v>6750</v>
      </c>
      <c r="F916" s="1" t="str">
        <f>IF(E916&lt;&gt;"", HYPERLINK("https://www.kegg.jp/dbget-bin/www_bget?ec:" &amp; E916, "https://www.kegg.jp/dbget-bin/www_bget?ec:" &amp; E916), "")</f>
        <v>https://www.kegg.jp/dbget-bin/www_bget?ec:1.1.1.100</v>
      </c>
      <c r="G916" s="9" t="s">
        <v>7567</v>
      </c>
      <c r="H916" s="1" t="str">
        <f>IF(G916&lt;&gt;"", HYPERLINK("https://www.kegg.jp/entry/" &amp; G916, "https://www.kegg.jp/entry/" &amp; G916), "")</f>
        <v>https://www.kegg.jp/entry/R04543</v>
      </c>
      <c r="I916" t="s">
        <v>13056</v>
      </c>
      <c r="J916" t="s">
        <v>13057</v>
      </c>
    </row>
    <row r="917" spans="1:10" x14ac:dyDescent="0.25">
      <c r="A917" t="s">
        <v>1771</v>
      </c>
      <c r="B917">
        <v>245</v>
      </c>
      <c r="C917" t="s">
        <v>1772</v>
      </c>
      <c r="E917" s="5" t="s">
        <v>6750</v>
      </c>
      <c r="F917" s="1" t="str">
        <f>IF(E917&lt;&gt;"", HYPERLINK("https://www.kegg.jp/dbget-bin/www_bget?ec:" &amp; E917, "https://www.kegg.jp/dbget-bin/www_bget?ec:" &amp; E917), "")</f>
        <v>https://www.kegg.jp/dbget-bin/www_bget?ec:1.1.1.100</v>
      </c>
      <c r="G917" s="9" t="s">
        <v>7566</v>
      </c>
      <c r="H917" s="1" t="str">
        <f>IF(G917&lt;&gt;"", HYPERLINK("https://www.kegg.jp/entry/" &amp; G917, "https://www.kegg.jp/entry/" &amp; G917), "")</f>
        <v>https://www.kegg.jp/entry/R04566</v>
      </c>
      <c r="I917" t="s">
        <v>13058</v>
      </c>
      <c r="J917" t="s">
        <v>13059</v>
      </c>
    </row>
    <row r="918" spans="1:10" x14ac:dyDescent="0.25">
      <c r="A918" t="s">
        <v>1771</v>
      </c>
      <c r="B918">
        <v>245</v>
      </c>
      <c r="C918" t="s">
        <v>1772</v>
      </c>
      <c r="E918" s="5" t="s">
        <v>6750</v>
      </c>
      <c r="F918" s="1" t="str">
        <f>IF(E918&lt;&gt;"", HYPERLINK("https://www.kegg.jp/dbget-bin/www_bget?ec:" &amp; E918, "https://www.kegg.jp/dbget-bin/www_bget?ec:" &amp; E918), "")</f>
        <v>https://www.kegg.jp/dbget-bin/www_bget?ec:1.1.1.100</v>
      </c>
      <c r="G918" s="9" t="s">
        <v>7565</v>
      </c>
      <c r="H918" s="1" t="str">
        <f>IF(G918&lt;&gt;"", HYPERLINK("https://www.kegg.jp/entry/" &amp; G918, "https://www.kegg.jp/entry/" &amp; G918), "")</f>
        <v>https://www.kegg.jp/entry/R04953</v>
      </c>
      <c r="I918" t="s">
        <v>13060</v>
      </c>
      <c r="J918" t="s">
        <v>13061</v>
      </c>
    </row>
    <row r="919" spans="1:10" x14ac:dyDescent="0.25">
      <c r="A919" t="s">
        <v>1771</v>
      </c>
      <c r="B919">
        <v>245</v>
      </c>
      <c r="C919" t="s">
        <v>1772</v>
      </c>
      <c r="E919" s="5" t="s">
        <v>6750</v>
      </c>
      <c r="F919" s="1" t="str">
        <f>IF(E919&lt;&gt;"", HYPERLINK("https://www.kegg.jp/dbget-bin/www_bget?ec:" &amp; E919, "https://www.kegg.jp/dbget-bin/www_bget?ec:" &amp; E919), "")</f>
        <v>https://www.kegg.jp/dbget-bin/www_bget?ec:1.1.1.100</v>
      </c>
      <c r="G919" s="9" t="s">
        <v>7564</v>
      </c>
      <c r="H919" s="1" t="str">
        <f>IF(G919&lt;&gt;"", HYPERLINK("https://www.kegg.jp/entry/" &amp; G919, "https://www.kegg.jp/entry/" &amp; G919), "")</f>
        <v>https://www.kegg.jp/entry/R04964</v>
      </c>
      <c r="I919" t="s">
        <v>13062</v>
      </c>
      <c r="J919" t="s">
        <v>13063</v>
      </c>
    </row>
    <row r="920" spans="1:10" x14ac:dyDescent="0.25">
      <c r="A920" t="s">
        <v>1771</v>
      </c>
      <c r="B920">
        <v>245</v>
      </c>
      <c r="C920" t="s">
        <v>1772</v>
      </c>
      <c r="E920" s="5" t="s">
        <v>6750</v>
      </c>
      <c r="F920" s="1" t="str">
        <f>IF(E920&lt;&gt;"", HYPERLINK("https://www.kegg.jp/dbget-bin/www_bget?ec:" &amp; E920, "https://www.kegg.jp/dbget-bin/www_bget?ec:" &amp; E920), "")</f>
        <v>https://www.kegg.jp/dbget-bin/www_bget?ec:1.1.1.100</v>
      </c>
      <c r="G920" s="9" t="s">
        <v>7563</v>
      </c>
      <c r="H920" s="1" t="str">
        <f>IF(G920&lt;&gt;"", HYPERLINK("https://www.kegg.jp/entry/" &amp; G920, "https://www.kegg.jp/entry/" &amp; G920), "")</f>
        <v>https://www.kegg.jp/entry/R07763</v>
      </c>
      <c r="I920" t="s">
        <v>13064</v>
      </c>
      <c r="J920" t="s">
        <v>13065</v>
      </c>
    </row>
    <row r="921" spans="1:10" x14ac:dyDescent="0.25">
      <c r="A921" t="s">
        <v>1771</v>
      </c>
      <c r="B921">
        <v>245</v>
      </c>
      <c r="C921" t="s">
        <v>1772</v>
      </c>
      <c r="E921" s="5" t="s">
        <v>6750</v>
      </c>
      <c r="F921" s="1" t="str">
        <f>IF(E921&lt;&gt;"", HYPERLINK("https://www.kegg.jp/dbget-bin/www_bget?ec:" &amp; E921, "https://www.kegg.jp/dbget-bin/www_bget?ec:" &amp; E921), "")</f>
        <v>https://www.kegg.jp/dbget-bin/www_bget?ec:1.1.1.100</v>
      </c>
      <c r="G921" s="9" t="s">
        <v>7562</v>
      </c>
      <c r="H921" s="1" t="str">
        <f>IF(G921&lt;&gt;"", HYPERLINK("https://www.kegg.jp/entry/" &amp; G921, "https://www.kegg.jp/entry/" &amp; G921), "")</f>
        <v>https://www.kegg.jp/entry/R10116</v>
      </c>
      <c r="I921" t="s">
        <v>13066</v>
      </c>
      <c r="J921" t="s">
        <v>13067</v>
      </c>
    </row>
    <row r="922" spans="1:10" x14ac:dyDescent="0.25">
      <c r="A922" t="s">
        <v>1771</v>
      </c>
      <c r="B922">
        <v>245</v>
      </c>
      <c r="C922" t="s">
        <v>1772</v>
      </c>
      <c r="E922" s="5" t="s">
        <v>6750</v>
      </c>
      <c r="F922" s="1" t="str">
        <f>IF(E922&lt;&gt;"", HYPERLINK("https://www.kegg.jp/dbget-bin/www_bget?ec:" &amp; E922, "https://www.kegg.jp/dbget-bin/www_bget?ec:" &amp; E922), "")</f>
        <v>https://www.kegg.jp/dbget-bin/www_bget?ec:1.1.1.100</v>
      </c>
      <c r="G922" s="9" t="s">
        <v>7561</v>
      </c>
      <c r="H922" s="1" t="str">
        <f>IF(G922&lt;&gt;"", HYPERLINK("https://www.kegg.jp/entry/" &amp; G922, "https://www.kegg.jp/entry/" &amp; G922), "")</f>
        <v>https://www.kegg.jp/entry/R10120</v>
      </c>
      <c r="I922" t="s">
        <v>13068</v>
      </c>
      <c r="J922" t="s">
        <v>13069</v>
      </c>
    </row>
    <row r="923" spans="1:10" x14ac:dyDescent="0.25">
      <c r="A923" t="s">
        <v>1774</v>
      </c>
      <c r="B923">
        <v>305</v>
      </c>
      <c r="C923" t="s">
        <v>1775</v>
      </c>
      <c r="E923" s="5" t="s">
        <v>6751</v>
      </c>
      <c r="F923" s="1" t="str">
        <f>IF(E923&lt;&gt;"", HYPERLINK("https://www.kegg.jp/dbget-bin/www_bget?ec:" &amp; E923, "https://www.kegg.jp/dbget-bin/www_bget?ec:" &amp; E923), "")</f>
        <v>https://www.kegg.jp/dbget-bin/www_bget?ec:2.3.1.39</v>
      </c>
      <c r="G923" s="3" t="s">
        <v>7155</v>
      </c>
      <c r="H923" s="1" t="str">
        <f>IF(G923&lt;&gt;"", HYPERLINK("https://www.kegg.jp/entry/" &amp; G923, "https://www.kegg.jp/entry/" &amp; G923), "")</f>
        <v>https://www.kegg.jp/entry/R01626</v>
      </c>
      <c r="I923" t="s">
        <v>8210</v>
      </c>
      <c r="J923" t="s">
        <v>8488</v>
      </c>
    </row>
    <row r="924" spans="1:10" x14ac:dyDescent="0.25">
      <c r="A924" t="s">
        <v>1777</v>
      </c>
      <c r="B924">
        <v>322</v>
      </c>
      <c r="C924" t="s">
        <v>1778</v>
      </c>
      <c r="E924" s="5" t="s">
        <v>6752</v>
      </c>
      <c r="F924" s="1" t="str">
        <f>IF(E924&lt;&gt;"", HYPERLINK("https://www.kegg.jp/dbget-bin/www_bget?ec:" &amp; E924, "https://www.kegg.jp/dbget-bin/www_bget?ec:" &amp; E924), "")</f>
        <v>https://www.kegg.jp/dbget-bin/www_bget?ec:2.3.1.180</v>
      </c>
      <c r="G924" s="3" t="s">
        <v>7156</v>
      </c>
      <c r="H924" s="1" t="str">
        <f>IF(G924&lt;&gt;"", HYPERLINK("https://www.kegg.jp/entry/" &amp; G924, "https://www.kegg.jp/entry/" &amp; G924), "")</f>
        <v>https://www.kegg.jp/entry/R10707</v>
      </c>
      <c r="I924" t="s">
        <v>8211</v>
      </c>
      <c r="J924" t="s">
        <v>13070</v>
      </c>
    </row>
    <row r="925" spans="1:10" hidden="1" x14ac:dyDescent="0.25">
      <c r="A925" t="s">
        <v>1780</v>
      </c>
      <c r="B925">
        <v>60</v>
      </c>
      <c r="C925" t="s">
        <v>1781</v>
      </c>
      <c r="F925" s="1" t="str">
        <f>IF(E925&lt;&gt;"", HYPERLINK("https://www.kegg.jp/dbget-bin/www_bget?ec:" &amp; E925, "https://www.kegg.jp/dbget-bin/www_bget?ec:" &amp; E925), "")</f>
        <v/>
      </c>
      <c r="G925" s="3"/>
      <c r="H925" s="1" t="str">
        <f>IF(G925&lt;&gt;"", HYPERLINK("https://www.kegg.jp/entry/" &amp; G925, "https://www.kegg.jp/entry/" &amp; G925), "")</f>
        <v/>
      </c>
    </row>
    <row r="926" spans="1:10" hidden="1" x14ac:dyDescent="0.25">
      <c r="A926" t="s">
        <v>1783</v>
      </c>
      <c r="B926">
        <v>173</v>
      </c>
      <c r="C926" t="s">
        <v>1784</v>
      </c>
      <c r="F926" s="1" t="str">
        <f>IF(E926&lt;&gt;"", HYPERLINK("https://www.kegg.jp/dbget-bin/www_bget?ec:" &amp; E926, "https://www.kegg.jp/dbget-bin/www_bget?ec:" &amp; E926), "")</f>
        <v/>
      </c>
      <c r="G926" s="3"/>
      <c r="H926" s="1" t="str">
        <f>IF(G926&lt;&gt;"", HYPERLINK("https://www.kegg.jp/entry/" &amp; G926, "https://www.kegg.jp/entry/" &amp; G926), "")</f>
        <v/>
      </c>
    </row>
    <row r="927" spans="1:10" x14ac:dyDescent="0.25">
      <c r="A927" t="s">
        <v>1786</v>
      </c>
      <c r="B927">
        <v>288</v>
      </c>
      <c r="C927" t="s">
        <v>1787</v>
      </c>
      <c r="E927" s="5" t="s">
        <v>6753</v>
      </c>
      <c r="F927" s="1" t="str">
        <f>IF(E927&lt;&gt;"", HYPERLINK("https://www.kegg.jp/dbget-bin/www_bget?ec:" &amp; E927, "https://www.kegg.jp/dbget-bin/www_bget?ec:" &amp; E927), "")</f>
        <v>https://www.kegg.jp/dbget-bin/www_bget?ec:3.5.3.1</v>
      </c>
      <c r="G927" s="3" t="s">
        <v>7157</v>
      </c>
      <c r="H927" s="1" t="str">
        <f>IF(G927&lt;&gt;"", HYPERLINK("https://www.kegg.jp/entry/" &amp; G927, "https://www.kegg.jp/entry/" &amp; G927), "")</f>
        <v>https://www.kegg.jp/entry/R00551</v>
      </c>
      <c r="I927" t="s">
        <v>13071</v>
      </c>
      <c r="J927" t="s">
        <v>8489</v>
      </c>
    </row>
    <row r="928" spans="1:10" hidden="1" x14ac:dyDescent="0.25">
      <c r="A928" t="s">
        <v>1788</v>
      </c>
      <c r="B928">
        <v>542</v>
      </c>
      <c r="C928" t="s">
        <v>1789</v>
      </c>
      <c r="F928" s="1" t="str">
        <f>IF(E928&lt;&gt;"", HYPERLINK("https://www.kegg.jp/dbget-bin/www_bget?ec:" &amp; E928, "https://www.kegg.jp/dbget-bin/www_bget?ec:" &amp; E928), "")</f>
        <v/>
      </c>
      <c r="G928" s="3"/>
      <c r="H928" s="1" t="str">
        <f>IF(G928&lt;&gt;"", HYPERLINK("https://www.kegg.jp/entry/" &amp; G928, "https://www.kegg.jp/entry/" &amp; G928), "")</f>
        <v/>
      </c>
    </row>
    <row r="929" spans="1:10" hidden="1" x14ac:dyDescent="0.25">
      <c r="A929" t="s">
        <v>1790</v>
      </c>
      <c r="B929">
        <v>387</v>
      </c>
      <c r="C929" t="s">
        <v>1791</v>
      </c>
      <c r="F929" s="1" t="str">
        <f>IF(E929&lt;&gt;"", HYPERLINK("https://www.kegg.jp/dbget-bin/www_bget?ec:" &amp; E929, "https://www.kegg.jp/dbget-bin/www_bget?ec:" &amp; E929), "")</f>
        <v/>
      </c>
      <c r="G929" s="3"/>
      <c r="H929" s="1" t="str">
        <f>IF(G929&lt;&gt;"", HYPERLINK("https://www.kegg.jp/entry/" &amp; G929, "https://www.kegg.jp/entry/" &amp; G929), "")</f>
        <v/>
      </c>
    </row>
    <row r="930" spans="1:10" hidden="1" x14ac:dyDescent="0.25">
      <c r="A930" t="s">
        <v>1792</v>
      </c>
      <c r="B930">
        <v>325</v>
      </c>
      <c r="C930" t="s">
        <v>1793</v>
      </c>
      <c r="F930" s="1" t="str">
        <f>IF(E930&lt;&gt;"", HYPERLINK("https://www.kegg.jp/dbget-bin/www_bget?ec:" &amp; E930, "https://www.kegg.jp/dbget-bin/www_bget?ec:" &amp; E930), "")</f>
        <v/>
      </c>
      <c r="G930" s="3"/>
      <c r="H930" s="1" t="str">
        <f>IF(G930&lt;&gt;"", HYPERLINK("https://www.kegg.jp/entry/" &amp; G930, "https://www.kegg.jp/entry/" &amp; G930), "")</f>
        <v/>
      </c>
    </row>
    <row r="931" spans="1:10" hidden="1" x14ac:dyDescent="0.25">
      <c r="A931" t="s">
        <v>1795</v>
      </c>
      <c r="B931">
        <v>249</v>
      </c>
      <c r="C931" t="s">
        <v>1796</v>
      </c>
      <c r="F931" s="1" t="str">
        <f>IF(E931&lt;&gt;"", HYPERLINK("https://www.kegg.jp/dbget-bin/www_bget?ec:" &amp; E931, "https://www.kegg.jp/dbget-bin/www_bget?ec:" &amp; E931), "")</f>
        <v/>
      </c>
      <c r="G931" s="3"/>
      <c r="H931" s="1" t="str">
        <f>IF(G931&lt;&gt;"", HYPERLINK("https://www.kegg.jp/entry/" &amp; G931, "https://www.kegg.jp/entry/" &amp; G931), "")</f>
        <v/>
      </c>
    </row>
    <row r="932" spans="1:10" hidden="1" x14ac:dyDescent="0.25">
      <c r="A932" t="s">
        <v>1798</v>
      </c>
      <c r="B932">
        <v>1101</v>
      </c>
      <c r="C932" t="s">
        <v>1799</v>
      </c>
      <c r="F932" s="1" t="str">
        <f>IF(E932&lt;&gt;"", HYPERLINK("https://www.kegg.jp/dbget-bin/www_bget?ec:" &amp; E932, "https://www.kegg.jp/dbget-bin/www_bget?ec:" &amp; E932), "")</f>
        <v/>
      </c>
      <c r="G932" s="3"/>
      <c r="H932" s="1" t="str">
        <f>IF(G932&lt;&gt;"", HYPERLINK("https://www.kegg.jp/entry/" &amp; G932, "https://www.kegg.jp/entry/" &amp; G932), "")</f>
        <v/>
      </c>
    </row>
    <row r="933" spans="1:10" hidden="1" x14ac:dyDescent="0.25">
      <c r="A933" t="s">
        <v>1800</v>
      </c>
      <c r="B933">
        <v>392</v>
      </c>
      <c r="C933" t="s">
        <v>1801</v>
      </c>
      <c r="F933" s="1" t="str">
        <f>IF(E933&lt;&gt;"", HYPERLINK("https://www.kegg.jp/dbget-bin/www_bget?ec:" &amp; E933, "https://www.kegg.jp/dbget-bin/www_bget?ec:" &amp; E933), "")</f>
        <v/>
      </c>
      <c r="G933" s="3"/>
      <c r="H933" s="1" t="str">
        <f>IF(G933&lt;&gt;"", HYPERLINK("https://www.kegg.jp/entry/" &amp; G933, "https://www.kegg.jp/entry/" &amp; G933), "")</f>
        <v/>
      </c>
    </row>
    <row r="934" spans="1:10" hidden="1" x14ac:dyDescent="0.25">
      <c r="A934" t="s">
        <v>1803</v>
      </c>
      <c r="B934">
        <v>320</v>
      </c>
      <c r="C934" t="s">
        <v>1804</v>
      </c>
      <c r="F934" s="1" t="str">
        <f>IF(E934&lt;&gt;"", HYPERLINK("https://www.kegg.jp/dbget-bin/www_bget?ec:" &amp; E934, "https://www.kegg.jp/dbget-bin/www_bget?ec:" &amp; E934), "")</f>
        <v/>
      </c>
      <c r="G934" s="3"/>
      <c r="H934" s="1" t="str">
        <f>IF(G934&lt;&gt;"", HYPERLINK("https://www.kegg.jp/entry/" &amp; G934, "https://www.kegg.jp/entry/" &amp; G934), "")</f>
        <v/>
      </c>
    </row>
    <row r="935" spans="1:10" hidden="1" x14ac:dyDescent="0.25">
      <c r="A935" t="s">
        <v>1806</v>
      </c>
      <c r="B935">
        <v>421</v>
      </c>
      <c r="C935" t="s">
        <v>1807</v>
      </c>
      <c r="F935" s="1" t="str">
        <f>IF(E935&lt;&gt;"", HYPERLINK("https://www.kegg.jp/dbget-bin/www_bget?ec:" &amp; E935, "https://www.kegg.jp/dbget-bin/www_bget?ec:" &amp; E935), "")</f>
        <v/>
      </c>
      <c r="G935" s="3"/>
      <c r="H935" s="1" t="str">
        <f>IF(G935&lt;&gt;"", HYPERLINK("https://www.kegg.jp/entry/" &amp; G935, "https://www.kegg.jp/entry/" &amp; G935), "")</f>
        <v/>
      </c>
    </row>
    <row r="936" spans="1:10" hidden="1" x14ac:dyDescent="0.25">
      <c r="A936" t="s">
        <v>1809</v>
      </c>
      <c r="B936">
        <v>144</v>
      </c>
      <c r="C936" t="s">
        <v>1810</v>
      </c>
      <c r="F936" s="1" t="str">
        <f>IF(E936&lt;&gt;"", HYPERLINK("https://www.kegg.jp/dbget-bin/www_bget?ec:" &amp; E936, "https://www.kegg.jp/dbget-bin/www_bget?ec:" &amp; E936), "")</f>
        <v/>
      </c>
      <c r="G936" s="3"/>
      <c r="H936" s="1" t="str">
        <f>IF(G936&lt;&gt;"", HYPERLINK("https://www.kegg.jp/entry/" &amp; G936, "https://www.kegg.jp/entry/" &amp; G936), "")</f>
        <v/>
      </c>
    </row>
    <row r="937" spans="1:10" hidden="1" x14ac:dyDescent="0.25">
      <c r="A937" t="s">
        <v>1812</v>
      </c>
      <c r="B937">
        <v>430</v>
      </c>
      <c r="C937" t="s">
        <v>1813</v>
      </c>
      <c r="F937" s="1" t="str">
        <f>IF(E937&lt;&gt;"", HYPERLINK("https://www.kegg.jp/dbget-bin/www_bget?ec:" &amp; E937, "https://www.kegg.jp/dbget-bin/www_bget?ec:" &amp; E937), "")</f>
        <v/>
      </c>
      <c r="G937" s="3"/>
      <c r="H937" s="1" t="str">
        <f>IF(G937&lt;&gt;"", HYPERLINK("https://www.kegg.jp/entry/" &amp; G937, "https://www.kegg.jp/entry/" &amp; G937), "")</f>
        <v/>
      </c>
    </row>
    <row r="938" spans="1:10" x14ac:dyDescent="0.25">
      <c r="A938" t="s">
        <v>1815</v>
      </c>
      <c r="B938">
        <v>122</v>
      </c>
      <c r="C938" t="s">
        <v>1816</v>
      </c>
      <c r="E938" s="5" t="s">
        <v>6754</v>
      </c>
      <c r="F938" s="1" t="str">
        <f>IF(E938&lt;&gt;"", HYPERLINK("https://www.kegg.jp/dbget-bin/www_bget?ec:" &amp; E938, "https://www.kegg.jp/dbget-bin/www_bget?ec:" &amp; E938), "")</f>
        <v>https://www.kegg.jp/dbget-bin/www_bget?ec:3.5.4.5</v>
      </c>
      <c r="G938" s="9" t="s">
        <v>7571</v>
      </c>
      <c r="H938" s="1" t="str">
        <f>IF(G938&lt;&gt;"", HYPERLINK("https://www.kegg.jp/entry/" &amp; G938, "https://www.kegg.jp/entry/" &amp; G938), "")</f>
        <v>https://www.kegg.jp/entry/R01878</v>
      </c>
      <c r="I938" t="s">
        <v>13072</v>
      </c>
      <c r="J938" t="s">
        <v>13073</v>
      </c>
    </row>
    <row r="939" spans="1:10" x14ac:dyDescent="0.25">
      <c r="A939" t="s">
        <v>1815</v>
      </c>
      <c r="B939">
        <v>122</v>
      </c>
      <c r="C939" t="s">
        <v>1816</v>
      </c>
      <c r="E939" s="5" t="s">
        <v>6754</v>
      </c>
      <c r="F939" s="1" t="str">
        <f>IF(E939&lt;&gt;"", HYPERLINK("https://www.kegg.jp/dbget-bin/www_bget?ec:" &amp; E939, "https://www.kegg.jp/dbget-bin/www_bget?ec:" &amp; E939), "")</f>
        <v>https://www.kegg.jp/dbget-bin/www_bget?ec:3.5.4.5</v>
      </c>
      <c r="G939" s="9" t="s">
        <v>7572</v>
      </c>
      <c r="H939" s="1" t="str">
        <f>IF(G939&lt;&gt;"", HYPERLINK("https://www.kegg.jp/entry/" &amp; G939, "https://www.kegg.jp/entry/" &amp; G939), "")</f>
        <v>https://www.kegg.jp/entry/R02485</v>
      </c>
      <c r="I939" t="s">
        <v>13074</v>
      </c>
      <c r="J939" t="s">
        <v>13075</v>
      </c>
    </row>
    <row r="940" spans="1:10" x14ac:dyDescent="0.25">
      <c r="A940" t="s">
        <v>1815</v>
      </c>
      <c r="B940">
        <v>122</v>
      </c>
      <c r="C940" t="s">
        <v>1816</v>
      </c>
      <c r="E940" s="5" t="s">
        <v>6754</v>
      </c>
      <c r="F940" s="1" t="str">
        <f>IF(E940&lt;&gt;"", HYPERLINK("https://www.kegg.jp/dbget-bin/www_bget?ec:" &amp; E940, "https://www.kegg.jp/dbget-bin/www_bget?ec:" &amp; E940), "")</f>
        <v>https://www.kegg.jp/dbget-bin/www_bget?ec:3.5.4.5</v>
      </c>
      <c r="G940" s="9" t="s">
        <v>7573</v>
      </c>
      <c r="H940" s="1" t="str">
        <f>IF(G940&lt;&gt;"", HYPERLINK("https://www.kegg.jp/entry/" &amp; G940, "https://www.kegg.jp/entry/" &amp; G940), "")</f>
        <v>https://www.kegg.jp/entry/R08221</v>
      </c>
      <c r="I940" t="s">
        <v>13076</v>
      </c>
      <c r="J940" t="s">
        <v>13077</v>
      </c>
    </row>
    <row r="941" spans="1:10" hidden="1" x14ac:dyDescent="0.25">
      <c r="A941" t="s">
        <v>1817</v>
      </c>
      <c r="B941">
        <v>219</v>
      </c>
      <c r="C941" t="s">
        <v>1818</v>
      </c>
      <c r="F941" s="1" t="str">
        <f>IF(E941&lt;&gt;"", HYPERLINK("https://www.kegg.jp/dbget-bin/www_bget?ec:" &amp; E941, "https://www.kegg.jp/dbget-bin/www_bget?ec:" &amp; E941), "")</f>
        <v/>
      </c>
      <c r="G941" s="3"/>
      <c r="H941" s="1" t="str">
        <f>IF(G941&lt;&gt;"", HYPERLINK("https://www.kegg.jp/entry/" &amp; G941, "https://www.kegg.jp/entry/" &amp; G941), "")</f>
        <v/>
      </c>
    </row>
    <row r="942" spans="1:10" hidden="1" x14ac:dyDescent="0.25">
      <c r="A942" t="s">
        <v>1820</v>
      </c>
      <c r="B942">
        <v>283</v>
      </c>
      <c r="C942" t="s">
        <v>1821</v>
      </c>
      <c r="F942" s="1" t="str">
        <f>IF(E942&lt;&gt;"", HYPERLINK("https://www.kegg.jp/dbget-bin/www_bget?ec:" &amp; E942, "https://www.kegg.jp/dbget-bin/www_bget?ec:" &amp; E942), "")</f>
        <v/>
      </c>
      <c r="G942" s="3"/>
      <c r="H942" s="1" t="str">
        <f>IF(G942&lt;&gt;"", HYPERLINK("https://www.kegg.jp/entry/" &amp; G942, "https://www.kegg.jp/entry/" &amp; G942), "")</f>
        <v/>
      </c>
    </row>
    <row r="943" spans="1:10" hidden="1" x14ac:dyDescent="0.25">
      <c r="A943" t="s">
        <v>1822</v>
      </c>
      <c r="B943">
        <v>636</v>
      </c>
      <c r="C943" t="s">
        <v>1823</v>
      </c>
      <c r="F943" s="1" t="str">
        <f>IF(E943&lt;&gt;"", HYPERLINK("https://www.kegg.jp/dbget-bin/www_bget?ec:" &amp; E943, "https://www.kegg.jp/dbget-bin/www_bget?ec:" &amp; E943), "")</f>
        <v/>
      </c>
      <c r="G943" s="3"/>
      <c r="H943" s="1" t="str">
        <f>IF(G943&lt;&gt;"", HYPERLINK("https://www.kegg.jp/entry/" &amp; G943, "https://www.kegg.jp/entry/" &amp; G943), "")</f>
        <v/>
      </c>
    </row>
    <row r="944" spans="1:10" x14ac:dyDescent="0.25">
      <c r="A944" t="s">
        <v>1825</v>
      </c>
      <c r="B944">
        <v>220</v>
      </c>
      <c r="C944" t="s">
        <v>1826</v>
      </c>
      <c r="E944" s="5" t="s">
        <v>6755</v>
      </c>
      <c r="F944" s="1" t="str">
        <f>IF(E944&lt;&gt;"", HYPERLINK("https://www.kegg.jp/dbget-bin/www_bget?ec:" &amp; E944, "https://www.kegg.jp/dbget-bin/www_bget?ec:" &amp; E944), "")</f>
        <v>https://www.kegg.jp/dbget-bin/www_bget?ec:4.3.1.17</v>
      </c>
      <c r="G944" s="9" t="s">
        <v>7431</v>
      </c>
      <c r="H944" s="1" t="str">
        <f>IF(G944&lt;&gt;"", HYPERLINK("https://www.kegg.jp/entry/" &amp; G944, "https://www.kegg.jp/entry/" &amp; G944), "")</f>
        <v>https://www.kegg.jp/entry/R00220</v>
      </c>
      <c r="I944" t="s">
        <v>8143</v>
      </c>
      <c r="J944" t="s">
        <v>12874</v>
      </c>
    </row>
    <row r="945" spans="1:10" x14ac:dyDescent="0.25">
      <c r="A945" t="s">
        <v>1825</v>
      </c>
      <c r="B945">
        <v>220</v>
      </c>
      <c r="C945" t="s">
        <v>1826</v>
      </c>
      <c r="E945" s="5" t="s">
        <v>6755</v>
      </c>
      <c r="F945" s="1" t="str">
        <f>IF(E945&lt;&gt;"", HYPERLINK("https://www.kegg.jp/dbget-bin/www_bget?ec:" &amp; E945, "https://www.kegg.jp/dbget-bin/www_bget?ec:" &amp; E945), "")</f>
        <v>https://www.kegg.jp/dbget-bin/www_bget?ec:4.3.1.17</v>
      </c>
      <c r="G945" s="9" t="s">
        <v>7576</v>
      </c>
      <c r="H945" s="1" t="str">
        <f>IF(G945&lt;&gt;"", HYPERLINK("https://www.kegg.jp/entry/" &amp; G945, "https://www.kegg.jp/entry/" &amp; G945), "")</f>
        <v>https://www.kegg.jp/entry/R00590</v>
      </c>
      <c r="I945" t="s">
        <v>8143</v>
      </c>
      <c r="J945" t="s">
        <v>13078</v>
      </c>
    </row>
    <row r="946" spans="1:10" x14ac:dyDescent="0.25">
      <c r="A946" t="s">
        <v>1825</v>
      </c>
      <c r="B946">
        <v>220</v>
      </c>
      <c r="C946" t="s">
        <v>1826</v>
      </c>
      <c r="E946" s="5" t="s">
        <v>6755</v>
      </c>
      <c r="F946" s="1" t="str">
        <f>IF(E946&lt;&gt;"", HYPERLINK("https://www.kegg.jp/dbget-bin/www_bget?ec:" &amp; E946, "https://www.kegg.jp/dbget-bin/www_bget?ec:" &amp; E946), "")</f>
        <v>https://www.kegg.jp/dbget-bin/www_bget?ec:4.3.1.17</v>
      </c>
      <c r="G946" s="9" t="s">
        <v>7575</v>
      </c>
      <c r="H946" s="1" t="str">
        <f>IF(G946&lt;&gt;"", HYPERLINK("https://www.kegg.jp/entry/" &amp; G946, "https://www.kegg.jp/entry/" &amp; G946), "")</f>
        <v>https://www.kegg.jp/entry/R11099</v>
      </c>
      <c r="I946" t="s">
        <v>13079</v>
      </c>
      <c r="J946" t="s">
        <v>12874</v>
      </c>
    </row>
    <row r="947" spans="1:10" x14ac:dyDescent="0.25">
      <c r="A947" t="s">
        <v>1825</v>
      </c>
      <c r="B947">
        <v>220</v>
      </c>
      <c r="C947" t="s">
        <v>1826</v>
      </c>
      <c r="E947" s="5" t="s">
        <v>6755</v>
      </c>
      <c r="F947" s="1" t="str">
        <f>IF(E947&lt;&gt;"", HYPERLINK("https://www.kegg.jp/dbget-bin/www_bget?ec:" &amp; E947, "https://www.kegg.jp/dbget-bin/www_bget?ec:" &amp; E947), "")</f>
        <v>https://www.kegg.jp/dbget-bin/www_bget?ec:4.3.1.17</v>
      </c>
      <c r="G947" s="9" t="s">
        <v>7574</v>
      </c>
      <c r="H947" s="1" t="str">
        <f>IF(G947&lt;&gt;"", HYPERLINK("https://www.kegg.jp/entry/" &amp; G947, "https://www.kegg.jp/entry/" &amp; G947), "")</f>
        <v>https://www.kegg.jp/entry/R11100</v>
      </c>
      <c r="I947" t="s">
        <v>8212</v>
      </c>
      <c r="J947" t="s">
        <v>8490</v>
      </c>
    </row>
    <row r="948" spans="1:10" x14ac:dyDescent="0.25">
      <c r="A948" t="s">
        <v>1825</v>
      </c>
      <c r="B948">
        <v>220</v>
      </c>
      <c r="C948" t="s">
        <v>1826</v>
      </c>
      <c r="E948" s="5" t="s">
        <v>6755</v>
      </c>
      <c r="F948" s="1" t="str">
        <f>IF(E948&lt;&gt;"", HYPERLINK("https://www.kegg.jp/dbget-bin/www_bget?ec:" &amp; E948, "https://www.kegg.jp/dbget-bin/www_bget?ec:" &amp; E948), "")</f>
        <v>https://www.kegg.jp/dbget-bin/www_bget?ec:4.3.1.17</v>
      </c>
      <c r="G948" s="9" t="s">
        <v>7430</v>
      </c>
      <c r="H948" s="1" t="str">
        <f>IF(G948&lt;&gt;"", HYPERLINK("https://www.kegg.jp/entry/" &amp; G948, "https://www.kegg.jp/entry/" &amp; G948), "")</f>
        <v>https://www.kegg.jp/entry/R06131</v>
      </c>
      <c r="I948" t="s">
        <v>8144</v>
      </c>
      <c r="J948" t="s">
        <v>12875</v>
      </c>
    </row>
    <row r="949" spans="1:10" hidden="1" x14ac:dyDescent="0.25">
      <c r="A949" t="s">
        <v>1828</v>
      </c>
      <c r="B949">
        <v>324</v>
      </c>
      <c r="C949" t="s">
        <v>1829</v>
      </c>
      <c r="F949" s="1" t="str">
        <f>IF(E949&lt;&gt;"", HYPERLINK("https://www.kegg.jp/dbget-bin/www_bget?ec:" &amp; E949, "https://www.kegg.jp/dbget-bin/www_bget?ec:" &amp; E949), "")</f>
        <v/>
      </c>
      <c r="G949" s="3"/>
      <c r="H949" s="1" t="str">
        <f>IF(G949&lt;&gt;"", HYPERLINK("https://www.kegg.jp/entry/" &amp; G949, "https://www.kegg.jp/entry/" &amp; G949), "")</f>
        <v/>
      </c>
    </row>
    <row r="950" spans="1:10" hidden="1" x14ac:dyDescent="0.25">
      <c r="A950" t="s">
        <v>1831</v>
      </c>
      <c r="B950">
        <v>610</v>
      </c>
      <c r="C950" t="s">
        <v>1832</v>
      </c>
      <c r="F950" s="1" t="str">
        <f>IF(E950&lt;&gt;"", HYPERLINK("https://www.kegg.jp/dbget-bin/www_bget?ec:" &amp; E950, "https://www.kegg.jp/dbget-bin/www_bget?ec:" &amp; E950), "")</f>
        <v/>
      </c>
      <c r="G950" s="3"/>
      <c r="H950" s="1" t="str">
        <f>IF(G950&lt;&gt;"", HYPERLINK("https://www.kegg.jp/entry/" &amp; G950, "https://www.kegg.jp/entry/" &amp; G950), "")</f>
        <v/>
      </c>
    </row>
    <row r="951" spans="1:10" hidden="1" x14ac:dyDescent="0.25">
      <c r="A951" t="s">
        <v>1834</v>
      </c>
      <c r="B951">
        <v>736</v>
      </c>
      <c r="C951" t="s">
        <v>1835</v>
      </c>
      <c r="F951" s="1" t="str">
        <f>IF(E951&lt;&gt;"", HYPERLINK("https://www.kegg.jp/dbget-bin/www_bget?ec:" &amp; E951, "https://www.kegg.jp/dbget-bin/www_bget?ec:" &amp; E951), "")</f>
        <v/>
      </c>
      <c r="G951" s="3"/>
      <c r="H951" s="1" t="str">
        <f>IF(G951&lt;&gt;"", HYPERLINK("https://www.kegg.jp/entry/" &amp; G951, "https://www.kegg.jp/entry/" &amp; G951), "")</f>
        <v/>
      </c>
    </row>
    <row r="952" spans="1:10" hidden="1" x14ac:dyDescent="0.25">
      <c r="A952" t="s">
        <v>1836</v>
      </c>
      <c r="B952">
        <v>96</v>
      </c>
      <c r="C952" t="s">
        <v>1837</v>
      </c>
      <c r="F952" s="1" t="str">
        <f>IF(E952&lt;&gt;"", HYPERLINK("https://www.kegg.jp/dbget-bin/www_bget?ec:" &amp; E952, "https://www.kegg.jp/dbget-bin/www_bget?ec:" &amp; E952), "")</f>
        <v/>
      </c>
      <c r="G952" s="3"/>
      <c r="H952" s="1" t="str">
        <f>IF(G952&lt;&gt;"", HYPERLINK("https://www.kegg.jp/entry/" &amp; G952, "https://www.kegg.jp/entry/" &amp; G952), "")</f>
        <v/>
      </c>
    </row>
    <row r="953" spans="1:10" hidden="1" x14ac:dyDescent="0.25">
      <c r="A953" t="s">
        <v>1839</v>
      </c>
      <c r="B953">
        <v>571</v>
      </c>
      <c r="C953" t="s">
        <v>1840</v>
      </c>
      <c r="F953" s="1" t="str">
        <f>IF(E953&lt;&gt;"", HYPERLINK("https://www.kegg.jp/dbget-bin/www_bget?ec:" &amp; E953, "https://www.kegg.jp/dbget-bin/www_bget?ec:" &amp; E953), "")</f>
        <v/>
      </c>
      <c r="G953" s="3"/>
      <c r="H953" s="1" t="str">
        <f>IF(G953&lt;&gt;"", HYPERLINK("https://www.kegg.jp/entry/" &amp; G953, "https://www.kegg.jp/entry/" &amp; G953), "")</f>
        <v/>
      </c>
    </row>
    <row r="954" spans="1:10" hidden="1" x14ac:dyDescent="0.25">
      <c r="A954" t="s">
        <v>1842</v>
      </c>
      <c r="B954">
        <v>91</v>
      </c>
      <c r="C954" t="s">
        <v>1843</v>
      </c>
      <c r="F954" s="1" t="str">
        <f>IF(E954&lt;&gt;"", HYPERLINK("https://www.kegg.jp/dbget-bin/www_bget?ec:" &amp; E954, "https://www.kegg.jp/dbget-bin/www_bget?ec:" &amp; E954), "")</f>
        <v/>
      </c>
      <c r="G954" s="3"/>
      <c r="H954" s="1" t="str">
        <f>IF(G954&lt;&gt;"", HYPERLINK("https://www.kegg.jp/entry/" &amp; G954, "https://www.kegg.jp/entry/" &amp; G954), "")</f>
        <v/>
      </c>
    </row>
    <row r="955" spans="1:10" hidden="1" x14ac:dyDescent="0.25">
      <c r="A955" t="s">
        <v>1845</v>
      </c>
      <c r="B955">
        <v>385</v>
      </c>
      <c r="C955" t="s">
        <v>1846</v>
      </c>
      <c r="F955" s="1" t="str">
        <f>IF(E955&lt;&gt;"", HYPERLINK("https://www.kegg.jp/dbget-bin/www_bget?ec:" &amp; E955, "https://www.kegg.jp/dbget-bin/www_bget?ec:" &amp; E955), "")</f>
        <v/>
      </c>
      <c r="G955" s="3"/>
      <c r="H955" s="1" t="str">
        <f>IF(G955&lt;&gt;"", HYPERLINK("https://www.kegg.jp/entry/" &amp; G955, "https://www.kegg.jp/entry/" &amp; G955), "")</f>
        <v/>
      </c>
    </row>
    <row r="956" spans="1:10" hidden="1" x14ac:dyDescent="0.25">
      <c r="A956" t="s">
        <v>1848</v>
      </c>
      <c r="B956">
        <v>141</v>
      </c>
      <c r="C956" t="s">
        <v>1849</v>
      </c>
      <c r="F956" s="1" t="str">
        <f>IF(E956&lt;&gt;"", HYPERLINK("https://www.kegg.jp/dbget-bin/www_bget?ec:" &amp; E956, "https://www.kegg.jp/dbget-bin/www_bget?ec:" &amp; E956), "")</f>
        <v/>
      </c>
      <c r="G956" s="3"/>
      <c r="H956" s="1" t="str">
        <f>IF(G956&lt;&gt;"", HYPERLINK("https://www.kegg.jp/entry/" &amp; G956, "https://www.kegg.jp/entry/" &amp; G956), "")</f>
        <v/>
      </c>
    </row>
    <row r="957" spans="1:10" hidden="1" x14ac:dyDescent="0.25">
      <c r="A957" t="s">
        <v>1850</v>
      </c>
      <c r="B957">
        <v>77</v>
      </c>
      <c r="C957" t="s">
        <v>1851</v>
      </c>
      <c r="F957" s="1" t="str">
        <f>IF(E957&lt;&gt;"", HYPERLINK("https://www.kegg.jp/dbget-bin/www_bget?ec:" &amp; E957, "https://www.kegg.jp/dbget-bin/www_bget?ec:" &amp; E957), "")</f>
        <v/>
      </c>
      <c r="G957" s="3"/>
      <c r="H957" s="1" t="str">
        <f>IF(G957&lt;&gt;"", HYPERLINK("https://www.kegg.jp/entry/" &amp; G957, "https://www.kegg.jp/entry/" &amp; G957), "")</f>
        <v/>
      </c>
    </row>
    <row r="958" spans="1:10" hidden="1" x14ac:dyDescent="0.25">
      <c r="A958" t="s">
        <v>1852</v>
      </c>
      <c r="B958">
        <v>521</v>
      </c>
      <c r="C958" t="s">
        <v>1853</v>
      </c>
      <c r="F958" s="1" t="str">
        <f>IF(E958&lt;&gt;"", HYPERLINK("https://www.kegg.jp/dbget-bin/www_bget?ec:" &amp; E958, "https://www.kegg.jp/dbget-bin/www_bget?ec:" &amp; E958), "")</f>
        <v/>
      </c>
      <c r="G958" s="3"/>
      <c r="H958" s="1" t="str">
        <f>IF(G958&lt;&gt;"", HYPERLINK("https://www.kegg.jp/entry/" &amp; G958, "https://www.kegg.jp/entry/" &amp; G958), "")</f>
        <v/>
      </c>
    </row>
    <row r="959" spans="1:10" x14ac:dyDescent="0.25">
      <c r="A959" t="s">
        <v>1855</v>
      </c>
      <c r="B959">
        <v>383</v>
      </c>
      <c r="C959" t="s">
        <v>1856</v>
      </c>
      <c r="E959" s="5" t="s">
        <v>6756</v>
      </c>
      <c r="F959" s="1" t="str">
        <f>IF(E959&lt;&gt;"", HYPERLINK("https://www.kegg.jp/dbget-bin/www_bget?ec:" &amp; E959, "https://www.kegg.jp/dbget-bin/www_bget?ec:" &amp; E959), "")</f>
        <v>https://www.kegg.jp/dbget-bin/www_bget?ec:3.5.4.26</v>
      </c>
      <c r="G959" s="3" t="s">
        <v>7158</v>
      </c>
      <c r="H959" s="1" t="str">
        <f>IF(G959&lt;&gt;"", HYPERLINK("https://www.kegg.jp/entry/" &amp; G959, "https://www.kegg.jp/entry/" &amp; G959), "")</f>
        <v>https://www.kegg.jp/entry/R03459</v>
      </c>
      <c r="I959" t="s">
        <v>13080</v>
      </c>
      <c r="J959" t="s">
        <v>13081</v>
      </c>
    </row>
    <row r="960" spans="1:10" x14ac:dyDescent="0.25">
      <c r="A960" t="s">
        <v>1858</v>
      </c>
      <c r="B960">
        <v>194</v>
      </c>
      <c r="C960" t="s">
        <v>1859</v>
      </c>
      <c r="E960" s="5" t="s">
        <v>6757</v>
      </c>
      <c r="F960" s="1" t="str">
        <f>IF(E960&lt;&gt;"", HYPERLINK("https://www.kegg.jp/dbget-bin/www_bget?ec:" &amp; E960, "https://www.kegg.jp/dbget-bin/www_bget?ec:" &amp; E960), "")</f>
        <v>https://www.kegg.jp/dbget-bin/www_bget?ec:2.5.1.9</v>
      </c>
      <c r="G960" s="3" t="s">
        <v>7159</v>
      </c>
      <c r="H960" s="1" t="str">
        <f>IF(G960&lt;&gt;"", HYPERLINK("https://www.kegg.jp/entry/" &amp; G960, "https://www.kegg.jp/entry/" &amp; G960), "")</f>
        <v>https://www.kegg.jp/entry/R00066</v>
      </c>
      <c r="I960" t="s">
        <v>8213</v>
      </c>
      <c r="J960" t="s">
        <v>8491</v>
      </c>
    </row>
    <row r="961" spans="1:10" x14ac:dyDescent="0.25">
      <c r="A961" t="s">
        <v>1861</v>
      </c>
      <c r="B961">
        <v>399</v>
      </c>
      <c r="C961" t="s">
        <v>1862</v>
      </c>
      <c r="E961" s="5" t="s">
        <v>6758</v>
      </c>
      <c r="F961" s="1" t="str">
        <f>IF(E961&lt;&gt;"", HYPERLINK("https://www.kegg.jp/dbget-bin/www_bget?ec:" &amp; E961, "https://www.kegg.jp/dbget-bin/www_bget?ec:" &amp; E961), "")</f>
        <v>https://www.kegg.jp/dbget-bin/www_bget?ec:4.1.99.12</v>
      </c>
      <c r="G961" s="3" t="s">
        <v>7160</v>
      </c>
      <c r="H961" s="1" t="str">
        <f>IF(G961&lt;&gt;"", HYPERLINK("https://www.kegg.jp/entry/" &amp; G961, "https://www.kegg.jp/entry/" &amp; G961), "")</f>
        <v>https://www.kegg.jp/entry/R07281</v>
      </c>
      <c r="I961" t="s">
        <v>8214</v>
      </c>
      <c r="J961" t="s">
        <v>13082</v>
      </c>
    </row>
    <row r="962" spans="1:10" hidden="1" x14ac:dyDescent="0.25">
      <c r="A962" t="s">
        <v>1863</v>
      </c>
      <c r="B962">
        <v>706</v>
      </c>
      <c r="C962" t="s">
        <v>1864</v>
      </c>
      <c r="F962" s="1" t="str">
        <f>IF(E962&lt;&gt;"", HYPERLINK("https://www.kegg.jp/dbget-bin/www_bget?ec:" &amp; E962, "https://www.kegg.jp/dbget-bin/www_bget?ec:" &amp; E962), "")</f>
        <v/>
      </c>
      <c r="G962" s="3"/>
      <c r="H962" s="1" t="str">
        <f>IF(G962&lt;&gt;"", HYPERLINK("https://www.kegg.jp/entry/" &amp; G962, "https://www.kegg.jp/entry/" &amp; G962), "")</f>
        <v/>
      </c>
    </row>
    <row r="963" spans="1:10" hidden="1" x14ac:dyDescent="0.25">
      <c r="A963" t="s">
        <v>1865</v>
      </c>
      <c r="B963">
        <v>117</v>
      </c>
      <c r="C963" t="s">
        <v>1866</v>
      </c>
      <c r="F963" s="1" t="str">
        <f>IF(E963&lt;&gt;"", HYPERLINK("https://www.kegg.jp/dbget-bin/www_bget?ec:" &amp; E963, "https://www.kegg.jp/dbget-bin/www_bget?ec:" &amp; E963), "")</f>
        <v/>
      </c>
      <c r="G963" s="3"/>
      <c r="H963" s="1" t="str">
        <f>IF(G963&lt;&gt;"", HYPERLINK("https://www.kegg.jp/entry/" &amp; G963, "https://www.kegg.jp/entry/" &amp; G963), "")</f>
        <v/>
      </c>
    </row>
    <row r="964" spans="1:10" hidden="1" x14ac:dyDescent="0.25">
      <c r="A964" t="s">
        <v>1868</v>
      </c>
      <c r="B964">
        <v>155</v>
      </c>
      <c r="C964" t="s">
        <v>1869</v>
      </c>
      <c r="F964" s="1" t="str">
        <f>IF(E964&lt;&gt;"", HYPERLINK("https://www.kegg.jp/dbget-bin/www_bget?ec:" &amp; E964, "https://www.kegg.jp/dbget-bin/www_bget?ec:" &amp; E964), "")</f>
        <v/>
      </c>
      <c r="G964" s="3"/>
      <c r="H964" s="1" t="str">
        <f>IF(G964&lt;&gt;"", HYPERLINK("https://www.kegg.jp/entry/" &amp; G964, "https://www.kegg.jp/entry/" &amp; G964), "")</f>
        <v/>
      </c>
    </row>
    <row r="965" spans="1:10" x14ac:dyDescent="0.25">
      <c r="A965" t="s">
        <v>1871</v>
      </c>
      <c r="B965">
        <v>142</v>
      </c>
      <c r="C965" t="s">
        <v>1872</v>
      </c>
      <c r="E965" s="5" t="s">
        <v>6759</v>
      </c>
      <c r="F965" s="1" t="str">
        <f>IF(E965&lt;&gt;"", HYPERLINK("https://www.kegg.jp/dbget-bin/www_bget?ec:" &amp; E965, "https://www.kegg.jp/dbget-bin/www_bget?ec:" &amp; E965), "")</f>
        <v>https://www.kegg.jp/dbget-bin/www_bget?ec:5.4.99.2</v>
      </c>
      <c r="G965" s="3" t="s">
        <v>7161</v>
      </c>
      <c r="H965" s="1" t="str">
        <f>IF(G965&lt;&gt;"", HYPERLINK("https://www.kegg.jp/entry/" &amp; G965, "https://www.kegg.jp/entry/" &amp; G965), "")</f>
        <v>https://www.kegg.jp/entry/R00833</v>
      </c>
      <c r="I965" t="s">
        <v>8215</v>
      </c>
      <c r="J965" t="s">
        <v>8492</v>
      </c>
    </row>
    <row r="966" spans="1:10" x14ac:dyDescent="0.25">
      <c r="A966" t="s">
        <v>1874</v>
      </c>
      <c r="B966">
        <v>551</v>
      </c>
      <c r="C966" t="s">
        <v>1875</v>
      </c>
      <c r="E966" s="5" t="s">
        <v>6759</v>
      </c>
      <c r="F966" s="1" t="str">
        <f>IF(E966&lt;&gt;"", HYPERLINK("https://www.kegg.jp/dbget-bin/www_bget?ec:" &amp; E966, "https://www.kegg.jp/dbget-bin/www_bget?ec:" &amp; E966), "")</f>
        <v>https://www.kegg.jp/dbget-bin/www_bget?ec:5.4.99.2</v>
      </c>
      <c r="G966" s="3" t="s">
        <v>7161</v>
      </c>
      <c r="H966" s="1" t="str">
        <f>IF(G966&lt;&gt;"", HYPERLINK("https://www.kegg.jp/entry/" &amp; G966, "https://www.kegg.jp/entry/" &amp; G966), "")</f>
        <v>https://www.kegg.jp/entry/R00833</v>
      </c>
      <c r="I966" t="s">
        <v>8215</v>
      </c>
      <c r="J966" t="s">
        <v>8492</v>
      </c>
    </row>
    <row r="967" spans="1:10" hidden="1" x14ac:dyDescent="0.25">
      <c r="A967" t="s">
        <v>1877</v>
      </c>
      <c r="B967">
        <v>288</v>
      </c>
      <c r="C967" t="s">
        <v>1878</v>
      </c>
      <c r="F967" s="1" t="str">
        <f>IF(E967&lt;&gt;"", HYPERLINK("https://www.kegg.jp/dbget-bin/www_bget?ec:" &amp; E967, "https://www.kegg.jp/dbget-bin/www_bget?ec:" &amp; E967), "")</f>
        <v/>
      </c>
      <c r="G967" s="3"/>
      <c r="H967" s="1" t="str">
        <f>IF(G967&lt;&gt;"", HYPERLINK("https://www.kegg.jp/entry/" &amp; G967, "https://www.kegg.jp/entry/" &amp; G967), "")</f>
        <v/>
      </c>
    </row>
    <row r="968" spans="1:10" x14ac:dyDescent="0.25">
      <c r="A968" t="s">
        <v>1880</v>
      </c>
      <c r="B968">
        <v>492</v>
      </c>
      <c r="C968" t="s">
        <v>1881</v>
      </c>
      <c r="E968" s="5" t="s">
        <v>6760</v>
      </c>
      <c r="F968" s="1" t="str">
        <f>IF(E968&lt;&gt;"", HYPERLINK("https://www.kegg.jp/dbget-bin/www_bget?ec:" &amp; E968, "https://www.kegg.jp/dbget-bin/www_bget?ec:" &amp; E968), "")</f>
        <v>https://www.kegg.jp/dbget-bin/www_bget?ec:6.1.1.6</v>
      </c>
      <c r="G968" s="3" t="s">
        <v>7162</v>
      </c>
      <c r="H968" s="1" t="str">
        <f>IF(G968&lt;&gt;"", HYPERLINK("https://www.kegg.jp/entry/" &amp; G968, "https://www.kegg.jp/entry/" &amp; G968), "")</f>
        <v>https://www.kegg.jp/entry/R03658</v>
      </c>
      <c r="I968" t="s">
        <v>8216</v>
      </c>
      <c r="J968" t="s">
        <v>13083</v>
      </c>
    </row>
    <row r="969" spans="1:10" hidden="1" x14ac:dyDescent="0.25">
      <c r="A969" t="s">
        <v>1883</v>
      </c>
      <c r="B969">
        <v>156</v>
      </c>
      <c r="C969" t="s">
        <v>1884</v>
      </c>
      <c r="F969" s="1" t="str">
        <f>IF(E969&lt;&gt;"", HYPERLINK("https://www.kegg.jp/dbget-bin/www_bget?ec:" &amp; E969, "https://www.kegg.jp/dbget-bin/www_bget?ec:" &amp; E969), "")</f>
        <v/>
      </c>
      <c r="G969" s="3"/>
      <c r="H969" s="1" t="str">
        <f>IF(G969&lt;&gt;"", HYPERLINK("https://www.kegg.jp/entry/" &amp; G969, "https://www.kegg.jp/entry/" &amp; G969), "")</f>
        <v/>
      </c>
    </row>
    <row r="970" spans="1:10" hidden="1" x14ac:dyDescent="0.25">
      <c r="A970" t="s">
        <v>1885</v>
      </c>
      <c r="B970">
        <v>120</v>
      </c>
      <c r="C970" t="s">
        <v>1886</v>
      </c>
      <c r="F970" s="1" t="str">
        <f>IF(E970&lt;&gt;"", HYPERLINK("https://www.kegg.jp/dbget-bin/www_bget?ec:" &amp; E970, "https://www.kegg.jp/dbget-bin/www_bget?ec:" &amp; E970), "")</f>
        <v/>
      </c>
      <c r="G970" s="3"/>
      <c r="H970" s="1" t="str">
        <f>IF(G970&lt;&gt;"", HYPERLINK("https://www.kegg.jp/entry/" &amp; G970, "https://www.kegg.jp/entry/" &amp; G970), "")</f>
        <v/>
      </c>
    </row>
    <row r="971" spans="1:10" x14ac:dyDescent="0.25">
      <c r="A971" t="s">
        <v>1888</v>
      </c>
      <c r="B971">
        <v>115</v>
      </c>
      <c r="C971" t="s">
        <v>1889</v>
      </c>
      <c r="E971" s="5" t="s">
        <v>6761</v>
      </c>
      <c r="F971" s="1" t="str">
        <f>IF(E971&lt;&gt;"", HYPERLINK("https://www.kegg.jp/dbget-bin/www_bget?ec:" &amp; E971, "https://www.kegg.jp/dbget-bin/www_bget?ec:" &amp; E971), "")</f>
        <v>https://www.kegg.jp/dbget-bin/www_bget?ec:2.7.1.107</v>
      </c>
      <c r="G971" s="3" t="s">
        <v>7163</v>
      </c>
      <c r="H971" s="1" t="str">
        <f>IF(G971&lt;&gt;"", HYPERLINK("https://www.kegg.jp/entry/" &amp; G971, "https://www.kegg.jp/entry/" &amp; G971), "")</f>
        <v>https://www.kegg.jp/entry/R02240</v>
      </c>
      <c r="I971" t="s">
        <v>8217</v>
      </c>
      <c r="J971" t="s">
        <v>8493</v>
      </c>
    </row>
    <row r="972" spans="1:10" hidden="1" x14ac:dyDescent="0.25">
      <c r="A972" t="s">
        <v>1891</v>
      </c>
      <c r="B972">
        <v>138</v>
      </c>
      <c r="C972" t="s">
        <v>1892</v>
      </c>
      <c r="F972" s="1" t="str">
        <f>IF(E972&lt;&gt;"", HYPERLINK("https://www.kegg.jp/dbget-bin/www_bget?ec:" &amp; E972, "https://www.kegg.jp/dbget-bin/www_bget?ec:" &amp; E972), "")</f>
        <v/>
      </c>
      <c r="G972" s="3"/>
      <c r="H972" s="1" t="str">
        <f>IF(G972&lt;&gt;"", HYPERLINK("https://www.kegg.jp/entry/" &amp; G972, "https://www.kegg.jp/entry/" &amp; G972), "")</f>
        <v/>
      </c>
    </row>
    <row r="973" spans="1:10" hidden="1" x14ac:dyDescent="0.25">
      <c r="A973" t="s">
        <v>1894</v>
      </c>
      <c r="B973">
        <v>677</v>
      </c>
      <c r="C973" t="s">
        <v>1895</v>
      </c>
      <c r="F973" s="1" t="str">
        <f>IF(E973&lt;&gt;"", HYPERLINK("https://www.kegg.jp/dbget-bin/www_bget?ec:" &amp; E973, "https://www.kegg.jp/dbget-bin/www_bget?ec:" &amp; E973), "")</f>
        <v/>
      </c>
      <c r="G973" s="3"/>
      <c r="H973" s="1" t="str">
        <f>IF(G973&lt;&gt;"", HYPERLINK("https://www.kegg.jp/entry/" &amp; G973, "https://www.kegg.jp/entry/" &amp; G973), "")</f>
        <v/>
      </c>
    </row>
    <row r="974" spans="1:10" hidden="1" x14ac:dyDescent="0.25">
      <c r="A974" t="s">
        <v>1896</v>
      </c>
      <c r="B974">
        <v>130</v>
      </c>
      <c r="C974" t="s">
        <v>1897</v>
      </c>
      <c r="F974" s="1" t="str">
        <f>IF(E974&lt;&gt;"", HYPERLINK("https://www.kegg.jp/dbget-bin/www_bget?ec:" &amp; E974, "https://www.kegg.jp/dbget-bin/www_bget?ec:" &amp; E974), "")</f>
        <v/>
      </c>
      <c r="G974" s="3"/>
      <c r="H974" s="1" t="str">
        <f>IF(G974&lt;&gt;"", HYPERLINK("https://www.kegg.jp/entry/" &amp; G974, "https://www.kegg.jp/entry/" &amp; G974), "")</f>
        <v/>
      </c>
    </row>
    <row r="975" spans="1:10" hidden="1" x14ac:dyDescent="0.25">
      <c r="A975" t="s">
        <v>1898</v>
      </c>
      <c r="B975">
        <v>325</v>
      </c>
      <c r="C975" t="s">
        <v>1899</v>
      </c>
      <c r="F975" s="1" t="str">
        <f>IF(E975&lt;&gt;"", HYPERLINK("https://www.kegg.jp/dbget-bin/www_bget?ec:" &amp; E975, "https://www.kegg.jp/dbget-bin/www_bget?ec:" &amp; E975), "")</f>
        <v/>
      </c>
      <c r="G975" s="3"/>
      <c r="H975" s="1" t="str">
        <f>IF(G975&lt;&gt;"", HYPERLINK("https://www.kegg.jp/entry/" &amp; G975, "https://www.kegg.jp/entry/" &amp; G975), "")</f>
        <v/>
      </c>
    </row>
    <row r="976" spans="1:10" hidden="1" x14ac:dyDescent="0.25">
      <c r="A976" t="s">
        <v>1900</v>
      </c>
      <c r="B976">
        <v>422</v>
      </c>
      <c r="C976" t="s">
        <v>1901</v>
      </c>
      <c r="F976" s="1" t="str">
        <f>IF(E976&lt;&gt;"", HYPERLINK("https://www.kegg.jp/dbget-bin/www_bget?ec:" &amp; E976, "https://www.kegg.jp/dbget-bin/www_bget?ec:" &amp; E976), "")</f>
        <v/>
      </c>
      <c r="G976" s="3"/>
      <c r="H976" s="1" t="str">
        <f>IF(G976&lt;&gt;"", HYPERLINK("https://www.kegg.jp/entry/" &amp; G976, "https://www.kegg.jp/entry/" &amp; G976), "")</f>
        <v/>
      </c>
    </row>
    <row r="977" spans="1:10" x14ac:dyDescent="0.25">
      <c r="A977" t="s">
        <v>1903</v>
      </c>
      <c r="B977">
        <v>265</v>
      </c>
      <c r="C977" t="s">
        <v>1904</v>
      </c>
      <c r="E977" s="5" t="s">
        <v>6762</v>
      </c>
      <c r="F977" s="1" t="str">
        <f>IF(E977&lt;&gt;"", HYPERLINK("https://www.kegg.jp/dbget-bin/www_bget?ec:" &amp; E977, "https://www.kegg.jp/dbget-bin/www_bget?ec:" &amp; E977), "")</f>
        <v>https://www.kegg.jp/dbget-bin/www_bget?ec:1.1.1.25</v>
      </c>
      <c r="G977" s="9" t="s">
        <v>7577</v>
      </c>
      <c r="H977" s="1" t="str">
        <f>IF(G977&lt;&gt;"", HYPERLINK("https://www.kegg.jp/entry/" &amp; G977, "https://www.kegg.jp/entry/" &amp; G977), "")</f>
        <v>https://www.kegg.jp/entry/R02413</v>
      </c>
      <c r="I977" t="s">
        <v>13084</v>
      </c>
      <c r="J977" t="s">
        <v>13085</v>
      </c>
    </row>
    <row r="978" spans="1:10" x14ac:dyDescent="0.25">
      <c r="A978" t="s">
        <v>1903</v>
      </c>
      <c r="B978">
        <v>265</v>
      </c>
      <c r="C978" t="s">
        <v>1904</v>
      </c>
      <c r="E978" s="5" t="s">
        <v>6762</v>
      </c>
      <c r="F978" s="1" t="str">
        <f>IF(E978&lt;&gt;"", HYPERLINK("https://www.kegg.jp/dbget-bin/www_bget?ec:" &amp; E978, "https://www.kegg.jp/dbget-bin/www_bget?ec:" &amp; E978), "")</f>
        <v>https://www.kegg.jp/dbget-bin/www_bget?ec:1.1.1.25</v>
      </c>
      <c r="G978" s="9" t="s">
        <v>7578</v>
      </c>
      <c r="H978" s="1" t="str">
        <f>IF(G978&lt;&gt;"", HYPERLINK("https://www.kegg.jp/entry/" &amp; G978, "https://www.kegg.jp/entry/" &amp; G978), "")</f>
        <v>https://www.kegg.jp/entry/R12885</v>
      </c>
      <c r="I978" t="s">
        <v>13086</v>
      </c>
      <c r="J978" t="s">
        <v>13087</v>
      </c>
    </row>
    <row r="979" spans="1:10" x14ac:dyDescent="0.25">
      <c r="A979" t="s">
        <v>1906</v>
      </c>
      <c r="B979">
        <v>832</v>
      </c>
      <c r="C979" t="s">
        <v>1907</v>
      </c>
      <c r="E979" s="5" t="s">
        <v>6611</v>
      </c>
      <c r="F979" s="1" t="str">
        <f>IF(E979&lt;&gt;"", HYPERLINK("https://www.kegg.jp/dbget-bin/www_bget?ec:" &amp; E979, "https://www.kegg.jp/dbget-bin/www_bget?ec:" &amp; E979), "")</f>
        <v>https://www.kegg.jp/dbget-bin/www_bget?ec:2.7.7.7</v>
      </c>
      <c r="G979" s="9" t="s">
        <v>7218</v>
      </c>
      <c r="H979" s="1" t="str">
        <f>IF(G979&lt;&gt;"", HYPERLINK("https://www.kegg.jp/entry/" &amp; G979, "https://www.kegg.jp/entry/" &amp; G979), "")</f>
        <v>https://www.kegg.jp/entry/R00379</v>
      </c>
      <c r="I979" t="s">
        <v>12705</v>
      </c>
      <c r="J979" t="s">
        <v>7080</v>
      </c>
    </row>
    <row r="980" spans="1:10" x14ac:dyDescent="0.25">
      <c r="A980" t="s">
        <v>1906</v>
      </c>
      <c r="B980">
        <v>832</v>
      </c>
      <c r="C980" t="s">
        <v>1907</v>
      </c>
      <c r="E980" s="5" t="s">
        <v>6611</v>
      </c>
      <c r="F980" s="1" t="str">
        <f>IF(E980&lt;&gt;"", HYPERLINK("https://www.kegg.jp/dbget-bin/www_bget?ec:" &amp; E980, "https://www.kegg.jp/dbget-bin/www_bget?ec:" &amp; E980), "")</f>
        <v>https://www.kegg.jp/dbget-bin/www_bget?ec:2.7.7.7</v>
      </c>
      <c r="G980" s="9" t="s">
        <v>7315</v>
      </c>
      <c r="H980" s="1" t="str">
        <f>IF(G980&lt;&gt;"", HYPERLINK("https://www.kegg.jp/entry/" &amp; G980, "https://www.kegg.jp/entry/" &amp; G980), "")</f>
        <v>https://www.kegg.jp/entry/R00375</v>
      </c>
      <c r="I980" t="s">
        <v>12706</v>
      </c>
      <c r="J980" t="s">
        <v>7080</v>
      </c>
    </row>
    <row r="981" spans="1:10" x14ac:dyDescent="0.25">
      <c r="A981" t="s">
        <v>1906</v>
      </c>
      <c r="B981">
        <v>832</v>
      </c>
      <c r="C981" t="s">
        <v>1907</v>
      </c>
      <c r="E981" s="5" t="s">
        <v>6611</v>
      </c>
      <c r="F981" s="1" t="str">
        <f>IF(E981&lt;&gt;"", HYPERLINK("https://www.kegg.jp/dbget-bin/www_bget?ec:" &amp; E981, "https://www.kegg.jp/dbget-bin/www_bget?ec:" &amp; E981), "")</f>
        <v>https://www.kegg.jp/dbget-bin/www_bget?ec:2.7.7.7</v>
      </c>
      <c r="G981" s="9" t="s">
        <v>7316</v>
      </c>
      <c r="H981" s="1" t="str">
        <f>IF(G981&lt;&gt;"", HYPERLINK("https://www.kegg.jp/entry/" &amp; G981, "https://www.kegg.jp/entry/" &amp; G981), "")</f>
        <v>https://www.kegg.jp/entry/R00376</v>
      </c>
      <c r="I981" t="s">
        <v>12707</v>
      </c>
      <c r="J981" t="s">
        <v>7080</v>
      </c>
    </row>
    <row r="982" spans="1:10" x14ac:dyDescent="0.25">
      <c r="A982" t="s">
        <v>1906</v>
      </c>
      <c r="B982">
        <v>832</v>
      </c>
      <c r="C982" t="s">
        <v>1907</v>
      </c>
      <c r="E982" s="5" t="s">
        <v>6611</v>
      </c>
      <c r="F982" s="1" t="str">
        <f>IF(E982&lt;&gt;"", HYPERLINK("https://www.kegg.jp/dbget-bin/www_bget?ec:" &amp; E982, "https://www.kegg.jp/dbget-bin/www_bget?ec:" &amp; E982), "")</f>
        <v>https://www.kegg.jp/dbget-bin/www_bget?ec:2.7.7.7</v>
      </c>
      <c r="G982" s="9" t="s">
        <v>7317</v>
      </c>
      <c r="H982" s="1" t="str">
        <f>IF(G982&lt;&gt;"", HYPERLINK("https://www.kegg.jp/entry/" &amp; G982, "https://www.kegg.jp/entry/" &amp; G982), "")</f>
        <v>https://www.kegg.jp/entry/R00377</v>
      </c>
      <c r="I982" t="s">
        <v>12708</v>
      </c>
      <c r="J982" t="s">
        <v>7080</v>
      </c>
    </row>
    <row r="983" spans="1:10" x14ac:dyDescent="0.25">
      <c r="A983" t="s">
        <v>1906</v>
      </c>
      <c r="B983">
        <v>832</v>
      </c>
      <c r="C983" t="s">
        <v>1907</v>
      </c>
      <c r="E983" s="5" t="s">
        <v>6611</v>
      </c>
      <c r="F983" s="1" t="str">
        <f>IF(E983&lt;&gt;"", HYPERLINK("https://www.kegg.jp/dbget-bin/www_bget?ec:" &amp; E983, "https://www.kegg.jp/dbget-bin/www_bget?ec:" &amp; E983), "")</f>
        <v>https://www.kegg.jp/dbget-bin/www_bget?ec:2.7.7.7</v>
      </c>
      <c r="G983" s="9" t="s">
        <v>7318</v>
      </c>
      <c r="H983" s="1" t="str">
        <f>IF(G983&lt;&gt;"", HYPERLINK("https://www.kegg.jp/entry/" &amp; G983, "https://www.kegg.jp/entry/" &amp; G983), "")</f>
        <v>https://www.kegg.jp/entry/R00378</v>
      </c>
      <c r="I983" t="s">
        <v>12709</v>
      </c>
      <c r="J983" t="s">
        <v>7080</v>
      </c>
    </row>
    <row r="984" spans="1:10" x14ac:dyDescent="0.25">
      <c r="A984" t="s">
        <v>1906</v>
      </c>
      <c r="B984">
        <v>832</v>
      </c>
      <c r="C984" t="s">
        <v>1907</v>
      </c>
      <c r="E984" s="5" t="s">
        <v>6611</v>
      </c>
      <c r="F984" s="1" t="str">
        <f>IF(E984&lt;&gt;"", HYPERLINK("https://www.kegg.jp/dbget-bin/www_bget?ec:" &amp; E984, "https://www.kegg.jp/dbget-bin/www_bget?ec:" &amp; E984), "")</f>
        <v>https://www.kegg.jp/dbget-bin/www_bget?ec:2.7.7.7</v>
      </c>
      <c r="G984" s="9" t="s">
        <v>7319</v>
      </c>
      <c r="H984" s="1" t="str">
        <f>IF(G984&lt;&gt;"", HYPERLINK("https://www.kegg.jp/entry/" &amp; G984, "https://www.kegg.jp/entry/" &amp; G984), "")</f>
        <v>https://www.kegg.jp/entry/R11029</v>
      </c>
      <c r="I984" t="s">
        <v>8088</v>
      </c>
      <c r="J984" t="s">
        <v>8391</v>
      </c>
    </row>
    <row r="985" spans="1:10" hidden="1" x14ac:dyDescent="0.25">
      <c r="A985" t="s">
        <v>1908</v>
      </c>
      <c r="B985">
        <v>395</v>
      </c>
      <c r="C985" t="s">
        <v>1909</v>
      </c>
      <c r="F985" s="1" t="str">
        <f>IF(E985&lt;&gt;"", HYPERLINK("https://www.kegg.jp/dbget-bin/www_bget?ec:" &amp; E985, "https://www.kegg.jp/dbget-bin/www_bget?ec:" &amp; E985), "")</f>
        <v/>
      </c>
      <c r="G985" s="3"/>
      <c r="H985" s="1" t="str">
        <f>IF(G985&lt;&gt;"", HYPERLINK("https://www.kegg.jp/entry/" &amp; G985, "https://www.kegg.jp/entry/" &amp; G985), "")</f>
        <v/>
      </c>
    </row>
    <row r="986" spans="1:10" x14ac:dyDescent="0.25">
      <c r="A986" t="s">
        <v>1910</v>
      </c>
      <c r="B986">
        <v>436</v>
      </c>
      <c r="C986" t="s">
        <v>1911</v>
      </c>
      <c r="E986" s="5" t="s">
        <v>6746</v>
      </c>
      <c r="F986" s="1" t="str">
        <f>IF(E986&lt;&gt;"", HYPERLINK("https://www.kegg.jp/dbget-bin/www_bget?ec:" &amp; E986, "https://www.kegg.jp/dbget-bin/www_bget?ec:" &amp; E986), "")</f>
        <v>https://www.kegg.jp/dbget-bin/www_bget?ec:5.4.2.10</v>
      </c>
      <c r="G986" s="3" t="s">
        <v>7153</v>
      </c>
      <c r="H986" s="1" t="str">
        <f>IF(G986&lt;&gt;"", HYPERLINK("https://www.kegg.jp/entry/" &amp; G986, "https://www.kegg.jp/entry/" &amp; G986), "")</f>
        <v>https://www.kegg.jp/entry/R02060</v>
      </c>
      <c r="I986" t="s">
        <v>8209</v>
      </c>
      <c r="J986" t="s">
        <v>8487</v>
      </c>
    </row>
    <row r="987" spans="1:10" hidden="1" x14ac:dyDescent="0.25">
      <c r="A987" t="s">
        <v>1913</v>
      </c>
      <c r="B987">
        <v>94</v>
      </c>
      <c r="C987" t="s">
        <v>1914</v>
      </c>
      <c r="F987" s="1" t="str">
        <f>IF(E987&lt;&gt;"", HYPERLINK("https://www.kegg.jp/dbget-bin/www_bget?ec:" &amp; E987, "https://www.kegg.jp/dbget-bin/www_bget?ec:" &amp; E987), "")</f>
        <v/>
      </c>
      <c r="G987" s="3"/>
      <c r="H987" s="1" t="str">
        <f>IF(G987&lt;&gt;"", HYPERLINK("https://www.kegg.jp/entry/" &amp; G987, "https://www.kegg.jp/entry/" &amp; G987), "")</f>
        <v/>
      </c>
    </row>
    <row r="988" spans="1:10" hidden="1" x14ac:dyDescent="0.25">
      <c r="A988" t="s">
        <v>1916</v>
      </c>
      <c r="B988">
        <v>132</v>
      </c>
      <c r="C988" t="s">
        <v>1917</v>
      </c>
      <c r="F988" s="1" t="str">
        <f>IF(E988&lt;&gt;"", HYPERLINK("https://www.kegg.jp/dbget-bin/www_bget?ec:" &amp; E988, "https://www.kegg.jp/dbget-bin/www_bget?ec:" &amp; E988), "")</f>
        <v/>
      </c>
      <c r="G988" s="3"/>
      <c r="H988" s="1" t="str">
        <f>IF(G988&lt;&gt;"", HYPERLINK("https://www.kegg.jp/entry/" &amp; G988, "https://www.kegg.jp/entry/" &amp; G988), "")</f>
        <v/>
      </c>
    </row>
    <row r="989" spans="1:10" x14ac:dyDescent="0.25">
      <c r="A989" t="s">
        <v>1919</v>
      </c>
      <c r="B989">
        <v>414</v>
      </c>
      <c r="C989" t="s">
        <v>1920</v>
      </c>
      <c r="E989" s="5" t="s">
        <v>6763</v>
      </c>
      <c r="F989" s="1" t="str">
        <f>IF(E989&lt;&gt;"", HYPERLINK("https://www.kegg.jp/dbget-bin/www_bget?ec:" &amp; E989, "https://www.kegg.jp/dbget-bin/www_bget?ec:" &amp; E989), "")</f>
        <v>https://www.kegg.jp/dbget-bin/www_bget?ec:2.6.1.11</v>
      </c>
      <c r="G989" s="3" t="s">
        <v>7164</v>
      </c>
      <c r="H989" s="1" t="str">
        <f>IF(G989&lt;&gt;"", HYPERLINK("https://www.kegg.jp/entry/" &amp; G989, "https://www.kegg.jp/entry/" &amp; G989), "")</f>
        <v>https://www.kegg.jp/entry/R02283</v>
      </c>
      <c r="I989" t="s">
        <v>13088</v>
      </c>
      <c r="J989" t="s">
        <v>13089</v>
      </c>
    </row>
    <row r="990" spans="1:10" hidden="1" x14ac:dyDescent="0.25">
      <c r="A990" t="s">
        <v>1922</v>
      </c>
      <c r="B990">
        <v>737</v>
      </c>
      <c r="C990" t="s">
        <v>1923</v>
      </c>
      <c r="F990" s="1" t="str">
        <f>IF(E990&lt;&gt;"", HYPERLINK("https://www.kegg.jp/dbget-bin/www_bget?ec:" &amp; E990, "https://www.kegg.jp/dbget-bin/www_bget?ec:" &amp; E990), "")</f>
        <v/>
      </c>
      <c r="G990" s="3"/>
      <c r="H990" s="1" t="str">
        <f>IF(G990&lt;&gt;"", HYPERLINK("https://www.kegg.jp/entry/" &amp; G990, "https://www.kegg.jp/entry/" &amp; G990), "")</f>
        <v/>
      </c>
    </row>
    <row r="991" spans="1:10" hidden="1" x14ac:dyDescent="0.25">
      <c r="A991" t="s">
        <v>1924</v>
      </c>
      <c r="B991">
        <v>370</v>
      </c>
      <c r="C991" t="s">
        <v>1925</v>
      </c>
      <c r="F991" s="1" t="str">
        <f>IF(E991&lt;&gt;"", HYPERLINK("https://www.kegg.jp/dbget-bin/www_bget?ec:" &amp; E991, "https://www.kegg.jp/dbget-bin/www_bget?ec:" &amp; E991), "")</f>
        <v/>
      </c>
      <c r="G991" s="3"/>
      <c r="H991" s="1" t="str">
        <f>IF(G991&lt;&gt;"", HYPERLINK("https://www.kegg.jp/entry/" &amp; G991, "https://www.kegg.jp/entry/" &amp; G991), "")</f>
        <v/>
      </c>
    </row>
    <row r="992" spans="1:10" x14ac:dyDescent="0.25">
      <c r="A992" t="s">
        <v>1927</v>
      </c>
      <c r="B992">
        <v>438</v>
      </c>
      <c r="C992" t="s">
        <v>1928</v>
      </c>
      <c r="E992" s="5" t="s">
        <v>6764</v>
      </c>
      <c r="F992" s="1" t="str">
        <f>IF(E992&lt;&gt;"", HYPERLINK("https://www.kegg.jp/dbget-bin/www_bget?ec:" &amp; E992, "https://www.kegg.jp/dbget-bin/www_bget?ec:" &amp; E992), "")</f>
        <v>https://www.kegg.jp/dbget-bin/www_bget?ec:2.7.7.72</v>
      </c>
      <c r="G992" s="9" t="s">
        <v>7579</v>
      </c>
      <c r="H992" s="1" t="str">
        <f>IF(G992&lt;&gt;"", HYPERLINK("https://www.kegg.jp/entry/" &amp; G992, "https://www.kegg.jp/entry/" &amp; G992), "")</f>
        <v>https://www.kegg.jp/entry/R09382</v>
      </c>
      <c r="I992" t="s">
        <v>13090</v>
      </c>
      <c r="J992" t="s">
        <v>13091</v>
      </c>
    </row>
    <row r="993" spans="1:10" x14ac:dyDescent="0.25">
      <c r="A993" t="s">
        <v>1927</v>
      </c>
      <c r="B993">
        <v>438</v>
      </c>
      <c r="C993" t="s">
        <v>1928</v>
      </c>
      <c r="E993" s="5" t="s">
        <v>6764</v>
      </c>
      <c r="F993" s="1" t="str">
        <f>IF(E993&lt;&gt;"", HYPERLINK("https://www.kegg.jp/dbget-bin/www_bget?ec:" &amp; E993, "https://www.kegg.jp/dbget-bin/www_bget?ec:" &amp; E993), "")</f>
        <v>https://www.kegg.jp/dbget-bin/www_bget?ec:2.7.7.72</v>
      </c>
      <c r="G993" s="9" t="s">
        <v>7582</v>
      </c>
      <c r="H993" s="1" t="str">
        <f>IF(G993&lt;&gt;"", HYPERLINK("https://www.kegg.jp/entry/" &amp; G993, "https://www.kegg.jp/entry/" &amp; G993), "")</f>
        <v>https://www.kegg.jp/entry/R09383</v>
      </c>
      <c r="I993" t="s">
        <v>13092</v>
      </c>
      <c r="J993" t="s">
        <v>13093</v>
      </c>
    </row>
    <row r="994" spans="1:10" x14ac:dyDescent="0.25">
      <c r="A994" t="s">
        <v>1927</v>
      </c>
      <c r="B994">
        <v>438</v>
      </c>
      <c r="C994" t="s">
        <v>1928</v>
      </c>
      <c r="E994" s="5" t="s">
        <v>6764</v>
      </c>
      <c r="F994" s="1" t="str">
        <f>IF(E994&lt;&gt;"", HYPERLINK("https://www.kegg.jp/dbget-bin/www_bget?ec:" &amp; E994, "https://www.kegg.jp/dbget-bin/www_bget?ec:" &amp; E994), "")</f>
        <v>https://www.kegg.jp/dbget-bin/www_bget?ec:2.7.7.72</v>
      </c>
      <c r="G994" s="9" t="s">
        <v>7581</v>
      </c>
      <c r="H994" s="1" t="str">
        <f>IF(G994&lt;&gt;"", HYPERLINK("https://www.kegg.jp/entry/" &amp; G994, "https://www.kegg.jp/entry/" &amp; G994), "")</f>
        <v>https://www.kegg.jp/entry/R09384</v>
      </c>
      <c r="I994" t="s">
        <v>13094</v>
      </c>
      <c r="J994" t="s">
        <v>13095</v>
      </c>
    </row>
    <row r="995" spans="1:10" x14ac:dyDescent="0.25">
      <c r="A995" t="s">
        <v>1927</v>
      </c>
      <c r="B995">
        <v>438</v>
      </c>
      <c r="C995" t="s">
        <v>1928</v>
      </c>
      <c r="E995" s="5" t="s">
        <v>6764</v>
      </c>
      <c r="F995" s="1" t="str">
        <f>IF(E995&lt;&gt;"", HYPERLINK("https://www.kegg.jp/dbget-bin/www_bget?ec:" &amp; E995, "https://www.kegg.jp/dbget-bin/www_bget?ec:" &amp; E995), "")</f>
        <v>https://www.kegg.jp/dbget-bin/www_bget?ec:2.7.7.72</v>
      </c>
      <c r="G995" s="9" t="s">
        <v>7580</v>
      </c>
      <c r="H995" s="1" t="str">
        <f>IF(G995&lt;&gt;"", HYPERLINK("https://www.kegg.jp/entry/" &amp; G995, "https://www.kegg.jp/entry/" &amp; G995), "")</f>
        <v>https://www.kegg.jp/entry/R09386</v>
      </c>
      <c r="I995" t="s">
        <v>13096</v>
      </c>
      <c r="J995" t="s">
        <v>13091</v>
      </c>
    </row>
    <row r="996" spans="1:10" x14ac:dyDescent="0.25">
      <c r="A996" t="s">
        <v>1930</v>
      </c>
      <c r="B996">
        <v>200</v>
      </c>
      <c r="C996" t="s">
        <v>1931</v>
      </c>
      <c r="E996" s="5" t="s">
        <v>6765</v>
      </c>
      <c r="F996" s="1" t="str">
        <f>IF(E996&lt;&gt;"", HYPERLINK("https://www.kegg.jp/dbget-bin/www_bget?ec:" &amp; E996, "https://www.kegg.jp/dbget-bin/www_bget?ec:" &amp; E996), "")</f>
        <v>https://www.kegg.jp/dbget-bin/www_bget?ec:2.7.1.24</v>
      </c>
      <c r="G996" s="3" t="s">
        <v>7165</v>
      </c>
      <c r="H996" s="1" t="str">
        <f>IF(G996&lt;&gt;"", HYPERLINK("https://www.kegg.jp/entry/" &amp; G996, "https://www.kegg.jp/entry/" &amp; G996), "")</f>
        <v>https://www.kegg.jp/entry/R00130</v>
      </c>
      <c r="I996" t="s">
        <v>8218</v>
      </c>
      <c r="J996" t="s">
        <v>8494</v>
      </c>
    </row>
    <row r="997" spans="1:10" hidden="1" x14ac:dyDescent="0.25">
      <c r="A997" t="s">
        <v>1933</v>
      </c>
      <c r="B997">
        <v>227</v>
      </c>
      <c r="C997" t="s">
        <v>1934</v>
      </c>
      <c r="F997" s="1" t="str">
        <f>IF(E997&lt;&gt;"", HYPERLINK("https://www.kegg.jp/dbget-bin/www_bget?ec:" &amp; E997, "https://www.kegg.jp/dbget-bin/www_bget?ec:" &amp; E997), "")</f>
        <v/>
      </c>
      <c r="G997" s="3"/>
      <c r="H997" s="1" t="str">
        <f>IF(G997&lt;&gt;"", HYPERLINK("https://www.kegg.jp/entry/" &amp; G997, "https://www.kegg.jp/entry/" &amp; G997), "")</f>
        <v/>
      </c>
    </row>
    <row r="998" spans="1:10" hidden="1" x14ac:dyDescent="0.25">
      <c r="A998" t="s">
        <v>1936</v>
      </c>
      <c r="B998">
        <v>135</v>
      </c>
      <c r="C998" t="s">
        <v>1937</v>
      </c>
      <c r="F998" s="1" t="str">
        <f>IF(E998&lt;&gt;"", HYPERLINK("https://www.kegg.jp/dbget-bin/www_bget?ec:" &amp; E998, "https://www.kegg.jp/dbget-bin/www_bget?ec:" &amp; E998), "")</f>
        <v/>
      </c>
      <c r="G998" s="3"/>
      <c r="H998" s="1" t="str">
        <f>IF(G998&lt;&gt;"", HYPERLINK("https://www.kegg.jp/entry/" &amp; G998, "https://www.kegg.jp/entry/" &amp; G998), "")</f>
        <v/>
      </c>
    </row>
    <row r="999" spans="1:10" hidden="1" x14ac:dyDescent="0.25">
      <c r="A999" t="s">
        <v>1939</v>
      </c>
      <c r="B999">
        <v>179</v>
      </c>
      <c r="C999" t="s">
        <v>1940</v>
      </c>
      <c r="F999" s="1" t="str">
        <f>IF(E999&lt;&gt;"", HYPERLINK("https://www.kegg.jp/dbget-bin/www_bget?ec:" &amp; E999, "https://www.kegg.jp/dbget-bin/www_bget?ec:" &amp; E999), "")</f>
        <v/>
      </c>
      <c r="G999" s="3"/>
      <c r="H999" s="1" t="str">
        <f>IF(G999&lt;&gt;"", HYPERLINK("https://www.kegg.jp/entry/" &amp; G999, "https://www.kegg.jp/entry/" &amp; G999), "")</f>
        <v/>
      </c>
    </row>
    <row r="1000" spans="1:10" x14ac:dyDescent="0.25">
      <c r="A1000" t="s">
        <v>1941</v>
      </c>
      <c r="B1000">
        <v>474</v>
      </c>
      <c r="C1000" t="s">
        <v>1942</v>
      </c>
      <c r="E1000" s="5" t="s">
        <v>6651</v>
      </c>
      <c r="F1000" s="1" t="str">
        <f>IF(E1000&lt;&gt;"", HYPERLINK("https://www.kegg.jp/dbget-bin/www_bget?ec:" &amp; E1000, "https://www.kegg.jp/dbget-bin/www_bget?ec:" &amp; E1000), "")</f>
        <v>https://www.kegg.jp/dbget-bin/www_bget?ec:4.3.2.1</v>
      </c>
      <c r="G1000" s="3" t="s">
        <v>7104</v>
      </c>
      <c r="H1000" s="1" t="str">
        <f>IF(G1000&lt;&gt;"", HYPERLINK("https://www.kegg.jp/entry/" &amp; G1000, "https://www.kegg.jp/entry/" &amp; G1000), "")</f>
        <v>https://www.kegg.jp/entry/R01086</v>
      </c>
      <c r="I1000" t="s">
        <v>8136</v>
      </c>
      <c r="J1000" t="s">
        <v>12865</v>
      </c>
    </row>
    <row r="1001" spans="1:10" x14ac:dyDescent="0.25">
      <c r="A1001" t="s">
        <v>1944</v>
      </c>
      <c r="B1001">
        <v>310</v>
      </c>
      <c r="C1001" t="s">
        <v>1945</v>
      </c>
      <c r="E1001" s="5" t="s">
        <v>6766</v>
      </c>
      <c r="F1001" s="1" t="str">
        <f>IF(E1001&lt;&gt;"", HYPERLINK("https://www.kegg.jp/dbget-bin/www_bget?ec:" &amp; E1001, "https://www.kegg.jp/dbget-bin/www_bget?ec:" &amp; E1001), "")</f>
        <v>https://www.kegg.jp/dbget-bin/www_bget?ec:5.1.3.2</v>
      </c>
      <c r="G1001" s="9" t="s">
        <v>7583</v>
      </c>
      <c r="H1001" s="1" t="str">
        <f>IF(G1001&lt;&gt;"", HYPERLINK("https://www.kegg.jp/entry/" &amp; G1001, "https://www.kegg.jp/entry/" &amp; G1001), "")</f>
        <v>https://www.kegg.jp/entry/R00291</v>
      </c>
      <c r="I1001" t="s">
        <v>8219</v>
      </c>
      <c r="J1001" t="s">
        <v>8495</v>
      </c>
    </row>
    <row r="1002" spans="1:10" x14ac:dyDescent="0.25">
      <c r="A1002" t="s">
        <v>1944</v>
      </c>
      <c r="B1002">
        <v>310</v>
      </c>
      <c r="C1002" t="s">
        <v>1945</v>
      </c>
      <c r="E1002" s="5" t="s">
        <v>6766</v>
      </c>
      <c r="F1002" s="1" t="str">
        <f>IF(E1002&lt;&gt;"", HYPERLINK("https://www.kegg.jp/dbget-bin/www_bget?ec:" &amp; E1002, "https://www.kegg.jp/dbget-bin/www_bget?ec:" &amp; E1002), "")</f>
        <v>https://www.kegg.jp/dbget-bin/www_bget?ec:5.1.3.2</v>
      </c>
      <c r="G1002" s="9" t="s">
        <v>7584</v>
      </c>
      <c r="H1002" s="1" t="str">
        <f>IF(G1002&lt;&gt;"", HYPERLINK("https://www.kegg.jp/entry/" &amp; G1002, "https://www.kegg.jp/entry/" &amp; G1002), "")</f>
        <v>https://www.kegg.jp/entry/R00418</v>
      </c>
      <c r="I1002" t="s">
        <v>8208</v>
      </c>
      <c r="J1002" t="s">
        <v>8496</v>
      </c>
    </row>
    <row r="1003" spans="1:10" x14ac:dyDescent="0.25">
      <c r="A1003" t="s">
        <v>1944</v>
      </c>
      <c r="B1003">
        <v>310</v>
      </c>
      <c r="C1003" t="s">
        <v>1945</v>
      </c>
      <c r="E1003" s="5" t="s">
        <v>6766</v>
      </c>
      <c r="F1003" s="1" t="str">
        <f>IF(E1003&lt;&gt;"", HYPERLINK("https://www.kegg.jp/dbget-bin/www_bget?ec:" &amp; E1003, "https://www.kegg.jp/dbget-bin/www_bget?ec:" &amp; E1003), "")</f>
        <v>https://www.kegg.jp/dbget-bin/www_bget?ec:5.1.3.2</v>
      </c>
      <c r="G1003" s="9" t="s">
        <v>7585</v>
      </c>
      <c r="H1003" s="1" t="str">
        <f>IF(G1003&lt;&gt;"", HYPERLINK("https://www.kegg.jp/entry/" &amp; G1003, "https://www.kegg.jp/entry/" &amp; G1003), "")</f>
        <v>https://www.kegg.jp/entry/R02984</v>
      </c>
      <c r="I1003" t="s">
        <v>8220</v>
      </c>
      <c r="J1003" t="s">
        <v>8497</v>
      </c>
    </row>
    <row r="1004" spans="1:10" hidden="1" x14ac:dyDescent="0.25">
      <c r="A1004" t="s">
        <v>1947</v>
      </c>
      <c r="B1004">
        <v>188</v>
      </c>
      <c r="C1004" t="s">
        <v>1948</v>
      </c>
      <c r="F1004" s="1" t="str">
        <f>IF(E1004&lt;&gt;"", HYPERLINK("https://www.kegg.jp/dbget-bin/www_bget?ec:" &amp; E1004, "https://www.kegg.jp/dbget-bin/www_bget?ec:" &amp; E1004), "")</f>
        <v/>
      </c>
      <c r="G1004" s="3"/>
      <c r="H1004" s="1" t="str">
        <f>IF(G1004&lt;&gt;"", HYPERLINK("https://www.kegg.jp/entry/" &amp; G1004, "https://www.kegg.jp/entry/" &amp; G1004), "")</f>
        <v/>
      </c>
    </row>
    <row r="1005" spans="1:10" hidden="1" x14ac:dyDescent="0.25">
      <c r="A1005" t="s">
        <v>1949</v>
      </c>
      <c r="B1005">
        <v>804</v>
      </c>
      <c r="C1005" t="s">
        <v>1950</v>
      </c>
      <c r="D1005" t="s">
        <v>6767</v>
      </c>
      <c r="E1005" s="5" t="s">
        <v>7586</v>
      </c>
      <c r="F1005" s="1" t="str">
        <f>IF(E1005&lt;&gt;"", HYPERLINK("https://www.kegg.jp/dbget-bin/www_bget?ec:" &amp; E1005, "https://www.kegg.jp/dbget-bin/www_bget?ec:" &amp; E1005), "")</f>
        <v>https://www.kegg.jp/dbget-bin/www_bget?ec:7.2.2.9</v>
      </c>
      <c r="G1005" s="3"/>
      <c r="H1005" s="1" t="str">
        <f>IF(G1005&lt;&gt;"", HYPERLINK("https://www.kegg.jp/entry/" &amp; G1005, "https://www.kegg.jp/entry/" &amp; G1005), "")</f>
        <v/>
      </c>
    </row>
    <row r="1006" spans="1:10" hidden="1" x14ac:dyDescent="0.25">
      <c r="A1006" t="s">
        <v>1952</v>
      </c>
      <c r="B1006">
        <v>150</v>
      </c>
      <c r="C1006" t="s">
        <v>1953</v>
      </c>
      <c r="F1006" s="1" t="str">
        <f>IF(E1006&lt;&gt;"", HYPERLINK("https://www.kegg.jp/dbget-bin/www_bget?ec:" &amp; E1006, "https://www.kegg.jp/dbget-bin/www_bget?ec:" &amp; E1006), "")</f>
        <v/>
      </c>
      <c r="G1006" s="3"/>
      <c r="H1006" s="1" t="str">
        <f>IF(G1006&lt;&gt;"", HYPERLINK("https://www.kegg.jp/entry/" &amp; G1006, "https://www.kegg.jp/entry/" &amp; G1006), "")</f>
        <v/>
      </c>
    </row>
    <row r="1007" spans="1:10" hidden="1" x14ac:dyDescent="0.25">
      <c r="A1007" t="s">
        <v>1955</v>
      </c>
      <c r="B1007">
        <v>321</v>
      </c>
      <c r="C1007" t="s">
        <v>1956</v>
      </c>
      <c r="F1007" s="1" t="str">
        <f>IF(E1007&lt;&gt;"", HYPERLINK("https://www.kegg.jp/dbget-bin/www_bget?ec:" &amp; E1007, "https://www.kegg.jp/dbget-bin/www_bget?ec:" &amp; E1007), "")</f>
        <v/>
      </c>
      <c r="G1007" s="3"/>
      <c r="H1007" s="1" t="str">
        <f>IF(G1007&lt;&gt;"", HYPERLINK("https://www.kegg.jp/entry/" &amp; G1007, "https://www.kegg.jp/entry/" &amp; G1007), "")</f>
        <v/>
      </c>
    </row>
    <row r="1008" spans="1:10" hidden="1" x14ac:dyDescent="0.25">
      <c r="A1008" t="s">
        <v>1958</v>
      </c>
      <c r="B1008">
        <v>148</v>
      </c>
      <c r="C1008" t="s">
        <v>1959</v>
      </c>
      <c r="F1008" s="1" t="str">
        <f>IF(E1008&lt;&gt;"", HYPERLINK("https://www.kegg.jp/dbget-bin/www_bget?ec:" &amp; E1008, "https://www.kegg.jp/dbget-bin/www_bget?ec:" &amp; E1008), "")</f>
        <v/>
      </c>
      <c r="G1008" s="3"/>
      <c r="H1008" s="1" t="str">
        <f>IF(G1008&lt;&gt;"", HYPERLINK("https://www.kegg.jp/entry/" &amp; G1008, "https://www.kegg.jp/entry/" &amp; G1008), "")</f>
        <v/>
      </c>
    </row>
    <row r="1009" spans="1:10" hidden="1" x14ac:dyDescent="0.25">
      <c r="A1009" t="s">
        <v>1961</v>
      </c>
      <c r="B1009">
        <v>575</v>
      </c>
      <c r="C1009" t="s">
        <v>1962</v>
      </c>
      <c r="F1009" s="1" t="str">
        <f>IF(E1009&lt;&gt;"", HYPERLINK("https://www.kegg.jp/dbget-bin/www_bget?ec:" &amp; E1009, "https://www.kegg.jp/dbget-bin/www_bget?ec:" &amp; E1009), "")</f>
        <v/>
      </c>
      <c r="G1009" s="3"/>
      <c r="H1009" s="1" t="str">
        <f>IF(G1009&lt;&gt;"", HYPERLINK("https://www.kegg.jp/entry/" &amp; G1009, "https://www.kegg.jp/entry/" &amp; G1009), "")</f>
        <v/>
      </c>
    </row>
    <row r="1010" spans="1:10" x14ac:dyDescent="0.25">
      <c r="A1010" t="s">
        <v>1963</v>
      </c>
      <c r="B1010">
        <v>713</v>
      </c>
      <c r="C1010" t="s">
        <v>1964</v>
      </c>
      <c r="E1010" s="5" t="s">
        <v>6674</v>
      </c>
      <c r="F1010" s="1" t="str">
        <f>IF(E1010&lt;&gt;"", HYPERLINK("https://www.kegg.jp/dbget-bin/www_bget?ec:" &amp; E1010, "https://www.kegg.jp/dbget-bin/www_bget?ec:" &amp; E1010), "")</f>
        <v>https://www.kegg.jp/dbget-bin/www_bget?ec:2.7.7.8</v>
      </c>
      <c r="G1010" s="9" t="s">
        <v>7447</v>
      </c>
      <c r="H1010" s="1" t="str">
        <f>IF(G1010&lt;&gt;"", HYPERLINK("https://www.kegg.jp/entry/" &amp; G1010, "https://www.kegg.jp/entry/" &amp; G1010), "")</f>
        <v>https://www.kegg.jp/entry/R07282</v>
      </c>
      <c r="I1010" t="s">
        <v>12894</v>
      </c>
      <c r="J1010" t="s">
        <v>8436</v>
      </c>
    </row>
    <row r="1011" spans="1:10" x14ac:dyDescent="0.25">
      <c r="A1011" t="s">
        <v>1963</v>
      </c>
      <c r="B1011">
        <v>713</v>
      </c>
      <c r="C1011" t="s">
        <v>1964</v>
      </c>
      <c r="E1011" s="5" t="s">
        <v>6674</v>
      </c>
      <c r="F1011" s="1" t="str">
        <f>IF(E1011&lt;&gt;"", HYPERLINK("https://www.kegg.jp/dbget-bin/www_bget?ec:" &amp; E1011, "https://www.kegg.jp/dbget-bin/www_bget?ec:" &amp; E1011), "")</f>
        <v>https://www.kegg.jp/dbget-bin/www_bget?ec:2.7.7.8</v>
      </c>
      <c r="G1011" s="9" t="s">
        <v>7451</v>
      </c>
      <c r="H1011" s="1" t="str">
        <f>IF(G1011&lt;&gt;"", HYPERLINK("https://www.kegg.jp/entry/" &amp; G1011, "https://www.kegg.jp/entry/" &amp; G1011), "")</f>
        <v>https://www.kegg.jp/entry/R00437</v>
      </c>
      <c r="I1011" t="s">
        <v>12894</v>
      </c>
      <c r="J1011" t="s">
        <v>12895</v>
      </c>
    </row>
    <row r="1012" spans="1:10" x14ac:dyDescent="0.25">
      <c r="A1012" t="s">
        <v>1963</v>
      </c>
      <c r="B1012">
        <v>713</v>
      </c>
      <c r="C1012" t="s">
        <v>1964</v>
      </c>
      <c r="E1012" s="5" t="s">
        <v>6674</v>
      </c>
      <c r="F1012" s="1" t="str">
        <f>IF(E1012&lt;&gt;"", HYPERLINK("https://www.kegg.jp/dbget-bin/www_bget?ec:" &amp; E1012, "https://www.kegg.jp/dbget-bin/www_bget?ec:" &amp; E1012), "")</f>
        <v>https://www.kegg.jp/dbget-bin/www_bget?ec:2.7.7.8</v>
      </c>
      <c r="G1012" s="9" t="s">
        <v>7450</v>
      </c>
      <c r="H1012" s="1" t="str">
        <f>IF(G1012&lt;&gt;"", HYPERLINK("https://www.kegg.jp/entry/" &amp; G1012, "https://www.kegg.jp/entry/" &amp; G1012), "")</f>
        <v>https://www.kegg.jp/entry/R00438</v>
      </c>
      <c r="I1012" t="s">
        <v>12894</v>
      </c>
      <c r="J1012" t="s">
        <v>12896</v>
      </c>
    </row>
    <row r="1013" spans="1:10" x14ac:dyDescent="0.25">
      <c r="A1013" t="s">
        <v>1963</v>
      </c>
      <c r="B1013">
        <v>713</v>
      </c>
      <c r="C1013" t="s">
        <v>1964</v>
      </c>
      <c r="E1013" s="5" t="s">
        <v>6674</v>
      </c>
      <c r="F1013" s="1" t="str">
        <f>IF(E1013&lt;&gt;"", HYPERLINK("https://www.kegg.jp/dbget-bin/www_bget?ec:" &amp; E1013, "https://www.kegg.jp/dbget-bin/www_bget?ec:" &amp; E1013), "")</f>
        <v>https://www.kegg.jp/dbget-bin/www_bget?ec:2.7.7.8</v>
      </c>
      <c r="G1013" s="9" t="s">
        <v>7449</v>
      </c>
      <c r="H1013" s="1" t="str">
        <f>IF(G1013&lt;&gt;"", HYPERLINK("https://www.kegg.jp/entry/" &amp; G1013, "https://www.kegg.jp/entry/" &amp; G1013), "")</f>
        <v>https://www.kegg.jp/entry/R00439</v>
      </c>
      <c r="I1013" t="s">
        <v>12894</v>
      </c>
      <c r="J1013" t="s">
        <v>12897</v>
      </c>
    </row>
    <row r="1014" spans="1:10" x14ac:dyDescent="0.25">
      <c r="A1014" t="s">
        <v>1963</v>
      </c>
      <c r="B1014">
        <v>713</v>
      </c>
      <c r="C1014" t="s">
        <v>1964</v>
      </c>
      <c r="E1014" s="5" t="s">
        <v>6674</v>
      </c>
      <c r="F1014" s="1" t="str">
        <f>IF(E1014&lt;&gt;"", HYPERLINK("https://www.kegg.jp/dbget-bin/www_bget?ec:" &amp; E1014, "https://www.kegg.jp/dbget-bin/www_bget?ec:" &amp; E1014), "")</f>
        <v>https://www.kegg.jp/dbget-bin/www_bget?ec:2.7.7.8</v>
      </c>
      <c r="G1014" s="9" t="s">
        <v>7448</v>
      </c>
      <c r="H1014" s="1" t="str">
        <f>IF(G1014&lt;&gt;"", HYPERLINK("https://www.kegg.jp/entry/" &amp; G1014, "https://www.kegg.jp/entry/" &amp; G1014), "")</f>
        <v>https://www.kegg.jp/entry/R00440</v>
      </c>
      <c r="I1014" t="s">
        <v>12894</v>
      </c>
      <c r="J1014" t="s">
        <v>8437</v>
      </c>
    </row>
    <row r="1015" spans="1:10" hidden="1" x14ac:dyDescent="0.25">
      <c r="A1015" t="s">
        <v>1966</v>
      </c>
      <c r="B1015">
        <v>105</v>
      </c>
      <c r="C1015" t="s">
        <v>1967</v>
      </c>
      <c r="F1015" s="1" t="str">
        <f>IF(E1015&lt;&gt;"", HYPERLINK("https://www.kegg.jp/dbget-bin/www_bget?ec:" &amp; E1015, "https://www.kegg.jp/dbget-bin/www_bget?ec:" &amp; E1015), "")</f>
        <v/>
      </c>
      <c r="G1015" s="3"/>
      <c r="H1015" s="1" t="str">
        <f>IF(G1015&lt;&gt;"", HYPERLINK("https://www.kegg.jp/entry/" &amp; G1015, "https://www.kegg.jp/entry/" &amp; G1015), "")</f>
        <v/>
      </c>
    </row>
    <row r="1016" spans="1:10" hidden="1" x14ac:dyDescent="0.25">
      <c r="A1016" t="s">
        <v>1968</v>
      </c>
      <c r="B1016">
        <v>385</v>
      </c>
      <c r="C1016" t="s">
        <v>1969</v>
      </c>
      <c r="F1016" s="1" t="str">
        <f>IF(E1016&lt;&gt;"", HYPERLINK("https://www.kegg.jp/dbget-bin/www_bget?ec:" &amp; E1016, "https://www.kegg.jp/dbget-bin/www_bget?ec:" &amp; E1016), "")</f>
        <v/>
      </c>
      <c r="G1016" s="3"/>
      <c r="H1016" s="1" t="str">
        <f>IF(G1016&lt;&gt;"", HYPERLINK("https://www.kegg.jp/entry/" &amp; G1016, "https://www.kegg.jp/entry/" &amp; G1016), "")</f>
        <v/>
      </c>
    </row>
    <row r="1017" spans="1:10" hidden="1" x14ac:dyDescent="0.25">
      <c r="A1017" t="s">
        <v>1970</v>
      </c>
      <c r="B1017">
        <v>181</v>
      </c>
      <c r="C1017" t="s">
        <v>1971</v>
      </c>
      <c r="F1017" s="1" t="str">
        <f>IF(E1017&lt;&gt;"", HYPERLINK("https://www.kegg.jp/dbget-bin/www_bget?ec:" &amp; E1017, "https://www.kegg.jp/dbget-bin/www_bget?ec:" &amp; E1017), "")</f>
        <v/>
      </c>
      <c r="G1017" s="3"/>
      <c r="H1017" s="1" t="str">
        <f>IF(G1017&lt;&gt;"", HYPERLINK("https://www.kegg.jp/entry/" &amp; G1017, "https://www.kegg.jp/entry/" &amp; G1017), "")</f>
        <v/>
      </c>
    </row>
    <row r="1018" spans="1:10" x14ac:dyDescent="0.25">
      <c r="A1018" t="s">
        <v>1973</v>
      </c>
      <c r="B1018">
        <v>563</v>
      </c>
      <c r="C1018" t="s">
        <v>1974</v>
      </c>
      <c r="D1018" t="s">
        <v>6768</v>
      </c>
      <c r="E1018" s="5" t="s">
        <v>7587</v>
      </c>
      <c r="F1018" s="1" t="str">
        <f>IF(E1018&lt;&gt;"", HYPERLINK("https://www.kegg.jp/dbget-bin/www_bget?ec:" &amp; E1018, "https://www.kegg.jp/dbget-bin/www_bget?ec:" &amp; E1018), "")</f>
        <v>https://www.kegg.jp/dbget-bin/www_bget?ec:7.1.1.9</v>
      </c>
      <c r="G1018" s="9" t="s">
        <v>7588</v>
      </c>
      <c r="H1018" s="1" t="str">
        <f>IF(G1018&lt;&gt;"", HYPERLINK("https://www.kegg.jp/entry/" &amp; G1018, "https://www.kegg.jp/entry/" &amp; G1018), "")</f>
        <v>https://www.kegg.jp/entry/R00081</v>
      </c>
      <c r="I1018" t="s">
        <v>13097</v>
      </c>
      <c r="J1018" t="s">
        <v>13098</v>
      </c>
    </row>
    <row r="1019" spans="1:10" x14ac:dyDescent="0.25">
      <c r="A1019" t="s">
        <v>1973</v>
      </c>
      <c r="B1019">
        <v>563</v>
      </c>
      <c r="C1019" t="s">
        <v>1974</v>
      </c>
      <c r="D1019" t="s">
        <v>6768</v>
      </c>
      <c r="E1019" s="5" t="s">
        <v>7587</v>
      </c>
      <c r="F1019" s="1" t="str">
        <f>IF(E1019&lt;&gt;"", HYPERLINK("https://www.kegg.jp/dbget-bin/www_bget?ec:" &amp; E1019, "https://www.kegg.jp/dbget-bin/www_bget?ec:" &amp; E1019), "")</f>
        <v>https://www.kegg.jp/dbget-bin/www_bget?ec:7.1.1.9</v>
      </c>
      <c r="G1019" s="9" t="s">
        <v>7589</v>
      </c>
      <c r="H1019" s="1" t="str">
        <f>IF(G1019&lt;&gt;"", HYPERLINK("https://www.kegg.jp/entry/" &amp; G1019, "https://www.kegg.jp/entry/" &amp; G1019), "")</f>
        <v>https://www.kegg.jp/entry/R00082</v>
      </c>
      <c r="I1019" t="s">
        <v>8221</v>
      </c>
      <c r="J1019" t="s">
        <v>13099</v>
      </c>
    </row>
    <row r="1020" spans="1:10" x14ac:dyDescent="0.25">
      <c r="A1020" t="s">
        <v>1976</v>
      </c>
      <c r="B1020">
        <v>170</v>
      </c>
      <c r="C1020" t="s">
        <v>1977</v>
      </c>
      <c r="D1020" t="s">
        <v>6768</v>
      </c>
      <c r="E1020" s="5" t="s">
        <v>7587</v>
      </c>
      <c r="F1020" s="1" t="str">
        <f>IF(E1020&lt;&gt;"", HYPERLINK("https://www.kegg.jp/dbget-bin/www_bget?ec:" &amp; E1020, "https://www.kegg.jp/dbget-bin/www_bget?ec:" &amp; E1020), "")</f>
        <v>https://www.kegg.jp/dbget-bin/www_bget?ec:7.1.1.9</v>
      </c>
      <c r="G1020" s="9" t="s">
        <v>7588</v>
      </c>
      <c r="H1020" s="1" t="str">
        <f>IF(G1020&lt;&gt;"", HYPERLINK("https://www.kegg.jp/entry/" &amp; G1020, "https://www.kegg.jp/entry/" &amp; G1020), "")</f>
        <v>https://www.kegg.jp/entry/R00081</v>
      </c>
      <c r="I1020" t="s">
        <v>13097</v>
      </c>
      <c r="J1020" t="s">
        <v>13098</v>
      </c>
    </row>
    <row r="1021" spans="1:10" x14ac:dyDescent="0.25">
      <c r="A1021" t="s">
        <v>1976</v>
      </c>
      <c r="B1021">
        <v>170</v>
      </c>
      <c r="C1021" t="s">
        <v>1977</v>
      </c>
      <c r="D1021" t="s">
        <v>6768</v>
      </c>
      <c r="E1021" s="5" t="s">
        <v>7587</v>
      </c>
      <c r="F1021" s="1" t="str">
        <f>IF(E1021&lt;&gt;"", HYPERLINK("https://www.kegg.jp/dbget-bin/www_bget?ec:" &amp; E1021, "https://www.kegg.jp/dbget-bin/www_bget?ec:" &amp; E1021), "")</f>
        <v>https://www.kegg.jp/dbget-bin/www_bget?ec:7.1.1.9</v>
      </c>
      <c r="G1021" s="9" t="s">
        <v>7589</v>
      </c>
      <c r="H1021" s="1" t="str">
        <f>IF(G1021&lt;&gt;"", HYPERLINK("https://www.kegg.jp/entry/" &amp; G1021, "https://www.kegg.jp/entry/" &amp; G1021), "")</f>
        <v>https://www.kegg.jp/entry/R00082</v>
      </c>
      <c r="I1021" t="s">
        <v>8221</v>
      </c>
      <c r="J1021" t="s">
        <v>13099</v>
      </c>
    </row>
    <row r="1022" spans="1:10" hidden="1" x14ac:dyDescent="0.25">
      <c r="A1022" t="s">
        <v>1979</v>
      </c>
      <c r="B1022">
        <v>34</v>
      </c>
      <c r="C1022" t="s">
        <v>1980</v>
      </c>
      <c r="F1022" s="1" t="str">
        <f>IF(E1022&lt;&gt;"", HYPERLINK("https://www.kegg.jp/dbget-bin/www_bget?ec:" &amp; E1022, "https://www.kegg.jp/dbget-bin/www_bget?ec:" &amp; E1022), "")</f>
        <v/>
      </c>
      <c r="G1022" s="3"/>
      <c r="H1022" s="1" t="str">
        <f>IF(G1022&lt;&gt;"", HYPERLINK("https://www.kegg.jp/entry/" &amp; G1022, "https://www.kegg.jp/entry/" &amp; G1022), "")</f>
        <v/>
      </c>
    </row>
    <row r="1023" spans="1:10" hidden="1" x14ac:dyDescent="0.25">
      <c r="A1023" t="s">
        <v>1982</v>
      </c>
      <c r="B1023">
        <v>196</v>
      </c>
      <c r="C1023" t="s">
        <v>1983</v>
      </c>
      <c r="F1023" s="1" t="str">
        <f>IF(E1023&lt;&gt;"", HYPERLINK("https://www.kegg.jp/dbget-bin/www_bget?ec:" &amp; E1023, "https://www.kegg.jp/dbget-bin/www_bget?ec:" &amp; E1023), "")</f>
        <v/>
      </c>
      <c r="G1023" s="3"/>
      <c r="H1023" s="1" t="str">
        <f>IF(G1023&lt;&gt;"", HYPERLINK("https://www.kegg.jp/entry/" &amp; G1023, "https://www.kegg.jp/entry/" &amp; G1023), "")</f>
        <v/>
      </c>
    </row>
    <row r="1024" spans="1:10" hidden="1" x14ac:dyDescent="0.25">
      <c r="A1024" t="s">
        <v>1984</v>
      </c>
      <c r="B1024">
        <v>163</v>
      </c>
      <c r="C1024" t="s">
        <v>1985</v>
      </c>
      <c r="F1024" s="1" t="str">
        <f>IF(E1024&lt;&gt;"", HYPERLINK("https://www.kegg.jp/dbget-bin/www_bget?ec:" &amp; E1024, "https://www.kegg.jp/dbget-bin/www_bget?ec:" &amp; E1024), "")</f>
        <v/>
      </c>
      <c r="G1024" s="3"/>
      <c r="H1024" s="1" t="str">
        <f>IF(G1024&lt;&gt;"", HYPERLINK("https://www.kegg.jp/entry/" &amp; G1024, "https://www.kegg.jp/entry/" &amp; G1024), "")</f>
        <v/>
      </c>
    </row>
    <row r="1025" spans="1:10" hidden="1" x14ac:dyDescent="0.25">
      <c r="A1025" t="s">
        <v>1986</v>
      </c>
      <c r="B1025">
        <v>440</v>
      </c>
      <c r="C1025" t="s">
        <v>1987</v>
      </c>
      <c r="F1025" s="1" t="str">
        <f>IF(E1025&lt;&gt;"", HYPERLINK("https://www.kegg.jp/dbget-bin/www_bget?ec:" &amp; E1025, "https://www.kegg.jp/dbget-bin/www_bget?ec:" &amp; E1025), "")</f>
        <v/>
      </c>
      <c r="G1025" s="3"/>
      <c r="H1025" s="1" t="str">
        <f>IF(G1025&lt;&gt;"", HYPERLINK("https://www.kegg.jp/entry/" &amp; G1025, "https://www.kegg.jp/entry/" &amp; G1025), "")</f>
        <v/>
      </c>
    </row>
    <row r="1026" spans="1:10" x14ac:dyDescent="0.25">
      <c r="A1026" t="s">
        <v>1989</v>
      </c>
      <c r="B1026">
        <v>324</v>
      </c>
      <c r="C1026" t="s">
        <v>1990</v>
      </c>
      <c r="E1026" s="5" t="s">
        <v>6769</v>
      </c>
      <c r="F1026" s="1" t="str">
        <f>IF(E1026&lt;&gt;"", HYPERLINK("https://www.kegg.jp/dbget-bin/www_bget?ec:" &amp; E1026, "https://www.kegg.jp/dbget-bin/www_bget?ec:" &amp; E1026), "")</f>
        <v>https://www.kegg.jp/dbget-bin/www_bget?ec:3.5.3.11</v>
      </c>
      <c r="G1026" s="3" t="s">
        <v>7166</v>
      </c>
      <c r="H1026" s="1" t="str">
        <f>IF(G1026&lt;&gt;"", HYPERLINK("https://www.kegg.jp/entry/" &amp; G1026, "https://www.kegg.jp/entry/" &amp; G1026), "")</f>
        <v>https://www.kegg.jp/entry/R01157</v>
      </c>
      <c r="I1026" t="s">
        <v>13100</v>
      </c>
      <c r="J1026" t="s">
        <v>13101</v>
      </c>
    </row>
    <row r="1027" spans="1:10" hidden="1" x14ac:dyDescent="0.25">
      <c r="A1027" t="s">
        <v>1992</v>
      </c>
      <c r="B1027">
        <v>295</v>
      </c>
      <c r="C1027" t="s">
        <v>1993</v>
      </c>
      <c r="F1027" s="1" t="str">
        <f>IF(E1027&lt;&gt;"", HYPERLINK("https://www.kegg.jp/dbget-bin/www_bget?ec:" &amp; E1027, "https://www.kegg.jp/dbget-bin/www_bget?ec:" &amp; E1027), "")</f>
        <v/>
      </c>
      <c r="G1027" s="3"/>
      <c r="H1027" s="1" t="str">
        <f>IF(G1027&lt;&gt;"", HYPERLINK("https://www.kegg.jp/entry/" &amp; G1027, "https://www.kegg.jp/entry/" &amp; G1027), "")</f>
        <v/>
      </c>
    </row>
    <row r="1028" spans="1:10" hidden="1" x14ac:dyDescent="0.25">
      <c r="A1028" t="s">
        <v>1994</v>
      </c>
      <c r="B1028">
        <v>54</v>
      </c>
      <c r="C1028" t="s">
        <v>1995</v>
      </c>
      <c r="F1028" s="1" t="str">
        <f>IF(E1028&lt;&gt;"", HYPERLINK("https://www.kegg.jp/dbget-bin/www_bget?ec:" &amp; E1028, "https://www.kegg.jp/dbget-bin/www_bget?ec:" &amp; E1028), "")</f>
        <v/>
      </c>
      <c r="G1028" s="3"/>
      <c r="H1028" s="1" t="str">
        <f>IF(G1028&lt;&gt;"", HYPERLINK("https://www.kegg.jp/entry/" &amp; G1028, "https://www.kegg.jp/entry/" &amp; G1028), "")</f>
        <v/>
      </c>
    </row>
    <row r="1029" spans="1:10" hidden="1" x14ac:dyDescent="0.25">
      <c r="A1029" t="s">
        <v>1996</v>
      </c>
      <c r="B1029">
        <v>304</v>
      </c>
      <c r="C1029" t="s">
        <v>1997</v>
      </c>
      <c r="F1029" s="1" t="str">
        <f>IF(E1029&lt;&gt;"", HYPERLINK("https://www.kegg.jp/dbget-bin/www_bget?ec:" &amp; E1029, "https://www.kegg.jp/dbget-bin/www_bget?ec:" &amp; E1029), "")</f>
        <v/>
      </c>
      <c r="G1029" s="3"/>
      <c r="H1029" s="1" t="str">
        <f>IF(G1029&lt;&gt;"", HYPERLINK("https://www.kegg.jp/entry/" &amp; G1029, "https://www.kegg.jp/entry/" &amp; G1029), "")</f>
        <v/>
      </c>
    </row>
    <row r="1030" spans="1:10" hidden="1" x14ac:dyDescent="0.25">
      <c r="A1030" t="s">
        <v>1999</v>
      </c>
      <c r="B1030">
        <v>184</v>
      </c>
      <c r="C1030" t="s">
        <v>2000</v>
      </c>
      <c r="F1030" s="1" t="str">
        <f>IF(E1030&lt;&gt;"", HYPERLINK("https://www.kegg.jp/dbget-bin/www_bget?ec:" &amp; E1030, "https://www.kegg.jp/dbget-bin/www_bget?ec:" &amp; E1030), "")</f>
        <v/>
      </c>
      <c r="G1030" s="3"/>
      <c r="H1030" s="1" t="str">
        <f>IF(G1030&lt;&gt;"", HYPERLINK("https://www.kegg.jp/entry/" &amp; G1030, "https://www.kegg.jp/entry/" &amp; G1030), "")</f>
        <v/>
      </c>
    </row>
    <row r="1031" spans="1:10" hidden="1" x14ac:dyDescent="0.25">
      <c r="A1031" t="s">
        <v>2002</v>
      </c>
      <c r="B1031">
        <v>165</v>
      </c>
      <c r="C1031" t="s">
        <v>2003</v>
      </c>
      <c r="F1031" s="1" t="str">
        <f>IF(E1031&lt;&gt;"", HYPERLINK("https://www.kegg.jp/dbget-bin/www_bget?ec:" &amp; E1031, "https://www.kegg.jp/dbget-bin/www_bget?ec:" &amp; E1031), "")</f>
        <v/>
      </c>
      <c r="G1031" s="3"/>
      <c r="H1031" s="1" t="str">
        <f>IF(G1031&lt;&gt;"", HYPERLINK("https://www.kegg.jp/entry/" &amp; G1031, "https://www.kegg.jp/entry/" &amp; G1031), "")</f>
        <v/>
      </c>
    </row>
    <row r="1032" spans="1:10" x14ac:dyDescent="0.25">
      <c r="A1032" t="s">
        <v>2005</v>
      </c>
      <c r="B1032">
        <v>445</v>
      </c>
      <c r="C1032" t="s">
        <v>2006</v>
      </c>
      <c r="E1032" s="5" t="s">
        <v>6770</v>
      </c>
      <c r="F1032" s="1" t="str">
        <f>IF(E1032&lt;&gt;"", HYPERLINK("https://www.kegg.jp/dbget-bin/www_bget?ec:" &amp; E1032, "https://www.kegg.jp/dbget-bin/www_bget?ec:" &amp; E1032), "")</f>
        <v>https://www.kegg.jp/dbget-bin/www_bget?ec:6.3.4.14</v>
      </c>
      <c r="G1032" s="3" t="s">
        <v>7167</v>
      </c>
      <c r="H1032" s="1" t="str">
        <f>IF(G1032&lt;&gt;"", HYPERLINK("https://www.kegg.jp/entry/" &amp; G1032, "https://www.kegg.jp/entry/" &amp; G1032), "")</f>
        <v>https://www.kegg.jp/entry/R04385</v>
      </c>
      <c r="I1032" t="s">
        <v>13102</v>
      </c>
      <c r="J1032" t="s">
        <v>8498</v>
      </c>
    </row>
    <row r="1033" spans="1:10" hidden="1" x14ac:dyDescent="0.25">
      <c r="A1033" t="s">
        <v>2007</v>
      </c>
      <c r="B1033">
        <v>110</v>
      </c>
      <c r="C1033" t="s">
        <v>2008</v>
      </c>
      <c r="F1033" s="1" t="str">
        <f>IF(E1033&lt;&gt;"", HYPERLINK("https://www.kegg.jp/dbget-bin/www_bget?ec:" &amp; E1033, "https://www.kegg.jp/dbget-bin/www_bget?ec:" &amp; E1033), "")</f>
        <v/>
      </c>
      <c r="G1033" s="3"/>
      <c r="H1033" s="1" t="str">
        <f>IF(G1033&lt;&gt;"", HYPERLINK("https://www.kegg.jp/entry/" &amp; G1033, "https://www.kegg.jp/entry/" &amp; G1033), "")</f>
        <v/>
      </c>
    </row>
    <row r="1034" spans="1:10" hidden="1" x14ac:dyDescent="0.25">
      <c r="A1034" t="s">
        <v>2010</v>
      </c>
      <c r="B1034">
        <v>151</v>
      </c>
      <c r="C1034" t="s">
        <v>2011</v>
      </c>
      <c r="F1034" s="1" t="str">
        <f>IF(E1034&lt;&gt;"", HYPERLINK("https://www.kegg.jp/dbget-bin/www_bget?ec:" &amp; E1034, "https://www.kegg.jp/dbget-bin/www_bget?ec:" &amp; E1034), "")</f>
        <v/>
      </c>
      <c r="G1034" s="3"/>
      <c r="H1034" s="1" t="str">
        <f>IF(G1034&lt;&gt;"", HYPERLINK("https://www.kegg.jp/entry/" &amp; G1034, "https://www.kegg.jp/entry/" &amp; G1034), "")</f>
        <v/>
      </c>
    </row>
    <row r="1035" spans="1:10" x14ac:dyDescent="0.25">
      <c r="A1035" t="s">
        <v>2013</v>
      </c>
      <c r="B1035">
        <v>283</v>
      </c>
      <c r="C1035" t="s">
        <v>2014</v>
      </c>
      <c r="E1035" s="5" t="s">
        <v>6771</v>
      </c>
      <c r="F1035" s="1" t="str">
        <f>IF(E1035&lt;&gt;"", HYPERLINK("https://www.kegg.jp/dbget-bin/www_bget?ec:" &amp; E1035, "https://www.kegg.jp/dbget-bin/www_bget?ec:" &amp; E1035), "")</f>
        <v>https://www.kegg.jp/dbget-bin/www_bget?ec:1.5.1.5</v>
      </c>
      <c r="G1035" s="3" t="s">
        <v>7168</v>
      </c>
      <c r="H1035" s="1" t="str">
        <f>IF(G1035&lt;&gt;"", HYPERLINK("https://www.kegg.jp/entry/" &amp; G1035, "https://www.kegg.jp/entry/" &amp; G1035), "")</f>
        <v>https://www.kegg.jp/entry/R01220</v>
      </c>
      <c r="I1035" t="s">
        <v>13103</v>
      </c>
      <c r="J1035" t="s">
        <v>13104</v>
      </c>
    </row>
    <row r="1036" spans="1:10" hidden="1" x14ac:dyDescent="0.25">
      <c r="A1036" t="s">
        <v>2015</v>
      </c>
      <c r="B1036">
        <v>151</v>
      </c>
      <c r="C1036" t="s">
        <v>2016</v>
      </c>
      <c r="F1036" s="1" t="str">
        <f>IF(E1036&lt;&gt;"", HYPERLINK("https://www.kegg.jp/dbget-bin/www_bget?ec:" &amp; E1036, "https://www.kegg.jp/dbget-bin/www_bget?ec:" &amp; E1036), "")</f>
        <v/>
      </c>
      <c r="G1036" s="3"/>
      <c r="H1036" s="1" t="str">
        <f>IF(G1036&lt;&gt;"", HYPERLINK("https://www.kegg.jp/entry/" &amp; G1036, "https://www.kegg.jp/entry/" &amp; G1036), "")</f>
        <v/>
      </c>
    </row>
    <row r="1037" spans="1:10" hidden="1" x14ac:dyDescent="0.25">
      <c r="A1037" t="s">
        <v>2017</v>
      </c>
      <c r="B1037">
        <v>66</v>
      </c>
      <c r="C1037" t="s">
        <v>2018</v>
      </c>
      <c r="F1037" s="1" t="str">
        <f>IF(E1037&lt;&gt;"", HYPERLINK("https://www.kegg.jp/dbget-bin/www_bget?ec:" &amp; E1037, "https://www.kegg.jp/dbget-bin/www_bget?ec:" &amp; E1037), "")</f>
        <v/>
      </c>
      <c r="G1037" s="3"/>
      <c r="H1037" s="1" t="str">
        <f>IF(G1037&lt;&gt;"", HYPERLINK("https://www.kegg.jp/entry/" &amp; G1037, "https://www.kegg.jp/entry/" &amp; G1037), "")</f>
        <v/>
      </c>
    </row>
    <row r="1038" spans="1:10" hidden="1" x14ac:dyDescent="0.25">
      <c r="A1038" t="s">
        <v>2020</v>
      </c>
      <c r="B1038">
        <v>661</v>
      </c>
      <c r="C1038" t="s">
        <v>2021</v>
      </c>
      <c r="F1038" s="1" t="str">
        <f>IF(E1038&lt;&gt;"", HYPERLINK("https://www.kegg.jp/dbget-bin/www_bget?ec:" &amp; E1038, "https://www.kegg.jp/dbget-bin/www_bget?ec:" &amp; E1038), "")</f>
        <v/>
      </c>
      <c r="G1038" s="3"/>
      <c r="H1038" s="1" t="str">
        <f>IF(G1038&lt;&gt;"", HYPERLINK("https://www.kegg.jp/entry/" &amp; G1038, "https://www.kegg.jp/entry/" &amp; G1038), "")</f>
        <v/>
      </c>
    </row>
    <row r="1039" spans="1:10" hidden="1" x14ac:dyDescent="0.25">
      <c r="A1039" t="s">
        <v>2022</v>
      </c>
      <c r="B1039">
        <v>176</v>
      </c>
      <c r="C1039" t="s">
        <v>2023</v>
      </c>
      <c r="F1039" s="1" t="str">
        <f>IF(E1039&lt;&gt;"", HYPERLINK("https://www.kegg.jp/dbget-bin/www_bget?ec:" &amp; E1039, "https://www.kegg.jp/dbget-bin/www_bget?ec:" &amp; E1039), "")</f>
        <v/>
      </c>
      <c r="G1039" s="3"/>
      <c r="H1039" s="1" t="str">
        <f>IF(G1039&lt;&gt;"", HYPERLINK("https://www.kegg.jp/entry/" &amp; G1039, "https://www.kegg.jp/entry/" &amp; G1039), "")</f>
        <v/>
      </c>
    </row>
    <row r="1040" spans="1:10" hidden="1" x14ac:dyDescent="0.25">
      <c r="A1040" t="s">
        <v>2025</v>
      </c>
      <c r="B1040">
        <v>312</v>
      </c>
      <c r="C1040" t="s">
        <v>2026</v>
      </c>
      <c r="F1040" s="1" t="str">
        <f>IF(E1040&lt;&gt;"", HYPERLINK("https://www.kegg.jp/dbget-bin/www_bget?ec:" &amp; E1040, "https://www.kegg.jp/dbget-bin/www_bget?ec:" &amp; E1040), "")</f>
        <v/>
      </c>
      <c r="G1040" s="3"/>
      <c r="H1040" s="1" t="str">
        <f>IF(G1040&lt;&gt;"", HYPERLINK("https://www.kegg.jp/entry/" &amp; G1040, "https://www.kegg.jp/entry/" &amp; G1040), "")</f>
        <v/>
      </c>
    </row>
    <row r="1041" spans="1:10" x14ac:dyDescent="0.25">
      <c r="A1041" t="s">
        <v>2028</v>
      </c>
      <c r="B1041">
        <v>47</v>
      </c>
      <c r="C1041" t="s">
        <v>2029</v>
      </c>
      <c r="E1041" s="5" t="s">
        <v>6772</v>
      </c>
      <c r="F1041" s="1" t="str">
        <f>IF(E1041&lt;&gt;"", HYPERLINK("https://www.kegg.jp/dbget-bin/www_bget?ec:" &amp; E1041, "https://www.kegg.jp/dbget-bin/www_bget?ec:" &amp; E1041), "")</f>
        <v>https://www.kegg.jp/dbget-bin/www_bget?ec:1.1.1.27</v>
      </c>
      <c r="G1041" s="9" t="s">
        <v>7590</v>
      </c>
      <c r="H1041" s="1" t="str">
        <f>IF(G1041&lt;&gt;"", HYPERLINK("https://www.kegg.jp/entry/" &amp; G1041, "https://www.kegg.jp/entry/" &amp; G1041), "")</f>
        <v>https://www.kegg.jp/entry/R00703</v>
      </c>
      <c r="I1041" t="s">
        <v>13105</v>
      </c>
      <c r="J1041" t="s">
        <v>13106</v>
      </c>
    </row>
    <row r="1042" spans="1:10" x14ac:dyDescent="0.25">
      <c r="A1042" t="s">
        <v>2028</v>
      </c>
      <c r="B1042">
        <v>47</v>
      </c>
      <c r="C1042" t="s">
        <v>2029</v>
      </c>
      <c r="E1042" s="5" t="s">
        <v>6772</v>
      </c>
      <c r="F1042" s="1" t="str">
        <f>IF(E1042&lt;&gt;"", HYPERLINK("https://www.kegg.jp/dbget-bin/www_bget?ec:" &amp; E1042, "https://www.kegg.jp/dbget-bin/www_bget?ec:" &amp; E1042), "")</f>
        <v>https://www.kegg.jp/dbget-bin/www_bget?ec:1.1.1.27</v>
      </c>
      <c r="G1042" s="9" t="s">
        <v>7591</v>
      </c>
      <c r="H1042" s="1" t="str">
        <f>IF(G1042&lt;&gt;"", HYPERLINK("https://www.kegg.jp/entry/" &amp; G1042, "https://www.kegg.jp/entry/" &amp; G1042), "")</f>
        <v>https://www.kegg.jp/entry/R01000</v>
      </c>
      <c r="I1042" t="s">
        <v>13107</v>
      </c>
      <c r="J1042" t="s">
        <v>13108</v>
      </c>
    </row>
    <row r="1043" spans="1:10" x14ac:dyDescent="0.25">
      <c r="A1043" t="s">
        <v>2028</v>
      </c>
      <c r="B1043">
        <v>47</v>
      </c>
      <c r="C1043" t="s">
        <v>2029</v>
      </c>
      <c r="E1043" s="5" t="s">
        <v>6772</v>
      </c>
      <c r="F1043" s="1" t="str">
        <f>IF(E1043&lt;&gt;"", HYPERLINK("https://www.kegg.jp/dbget-bin/www_bget?ec:" &amp; E1043, "https://www.kegg.jp/dbget-bin/www_bget?ec:" &amp; E1043), "")</f>
        <v>https://www.kegg.jp/dbget-bin/www_bget?ec:1.1.1.27</v>
      </c>
      <c r="G1043" s="9" t="s">
        <v>7592</v>
      </c>
      <c r="H1043" s="1" t="str">
        <f>IF(G1043&lt;&gt;"", HYPERLINK("https://www.kegg.jp/entry/" &amp; G1043, "https://www.kegg.jp/entry/" &amp; G1043), "")</f>
        <v>https://www.kegg.jp/entry/R03104</v>
      </c>
      <c r="I1043" t="s">
        <v>13109</v>
      </c>
      <c r="J1043" t="s">
        <v>13110</v>
      </c>
    </row>
    <row r="1044" spans="1:10" hidden="1" x14ac:dyDescent="0.25">
      <c r="A1044" t="s">
        <v>2030</v>
      </c>
      <c r="B1044">
        <v>563</v>
      </c>
      <c r="C1044" t="s">
        <v>2031</v>
      </c>
      <c r="F1044" s="1" t="str">
        <f>IF(E1044&lt;&gt;"", HYPERLINK("https://www.kegg.jp/dbget-bin/www_bget?ec:" &amp; E1044, "https://www.kegg.jp/dbget-bin/www_bget?ec:" &amp; E1044), "")</f>
        <v/>
      </c>
      <c r="G1044" s="3"/>
      <c r="H1044" s="1" t="str">
        <f>IF(G1044&lt;&gt;"", HYPERLINK("https://www.kegg.jp/entry/" &amp; G1044, "https://www.kegg.jp/entry/" &amp; G1044), "")</f>
        <v/>
      </c>
    </row>
    <row r="1045" spans="1:10" hidden="1" x14ac:dyDescent="0.25">
      <c r="A1045" t="s">
        <v>2033</v>
      </c>
      <c r="B1045">
        <v>279</v>
      </c>
      <c r="C1045" t="s">
        <v>2034</v>
      </c>
      <c r="F1045" s="1" t="str">
        <f>IF(E1045&lt;&gt;"", HYPERLINK("https://www.kegg.jp/dbget-bin/www_bget?ec:" &amp; E1045, "https://www.kegg.jp/dbget-bin/www_bget?ec:" &amp; E1045), "")</f>
        <v/>
      </c>
      <c r="G1045" s="3"/>
      <c r="H1045" s="1" t="str">
        <f>IF(G1045&lt;&gt;"", HYPERLINK("https://www.kegg.jp/entry/" &amp; G1045, "https://www.kegg.jp/entry/" &amp; G1045), "")</f>
        <v/>
      </c>
    </row>
    <row r="1046" spans="1:10" hidden="1" x14ac:dyDescent="0.25">
      <c r="A1046" t="s">
        <v>2036</v>
      </c>
      <c r="B1046">
        <v>804</v>
      </c>
      <c r="C1046" t="s">
        <v>2037</v>
      </c>
      <c r="E1046" s="5" t="s">
        <v>6691</v>
      </c>
      <c r="F1046" s="1" t="str">
        <f>IF(E1046&lt;&gt;"", HYPERLINK("https://www.kegg.jp/dbget-bin/www_bget?ec:" &amp; E1046, "https://www.kegg.jp/dbget-bin/www_bget?ec:" &amp; E1046), "")</f>
        <v>https://www.kegg.jp/dbget-bin/www_bget?ec:3.4.21.53</v>
      </c>
      <c r="G1046" s="3"/>
      <c r="H1046" s="1" t="str">
        <f>IF(G1046&lt;&gt;"", HYPERLINK("https://www.kegg.jp/entry/" &amp; G1046, "https://www.kegg.jp/entry/" &amp; G1046), "")</f>
        <v/>
      </c>
    </row>
    <row r="1047" spans="1:10" hidden="1" x14ac:dyDescent="0.25">
      <c r="A1047" t="s">
        <v>2039</v>
      </c>
      <c r="B1047">
        <v>368</v>
      </c>
      <c r="C1047" t="s">
        <v>2040</v>
      </c>
      <c r="F1047" s="1" t="str">
        <f>IF(E1047&lt;&gt;"", HYPERLINK("https://www.kegg.jp/dbget-bin/www_bget?ec:" &amp; E1047, "https://www.kegg.jp/dbget-bin/www_bget?ec:" &amp; E1047), "")</f>
        <v/>
      </c>
      <c r="G1047" s="3"/>
      <c r="H1047" s="1" t="str">
        <f>IF(G1047&lt;&gt;"", HYPERLINK("https://www.kegg.jp/entry/" &amp; G1047, "https://www.kegg.jp/entry/" &amp; G1047), "")</f>
        <v/>
      </c>
    </row>
    <row r="1048" spans="1:10" hidden="1" x14ac:dyDescent="0.25">
      <c r="A1048" t="s">
        <v>2041</v>
      </c>
      <c r="B1048">
        <v>209</v>
      </c>
      <c r="C1048" t="s">
        <v>2042</v>
      </c>
      <c r="F1048" s="1" t="str">
        <f>IF(E1048&lt;&gt;"", HYPERLINK("https://www.kegg.jp/dbget-bin/www_bget?ec:" &amp; E1048, "https://www.kegg.jp/dbget-bin/www_bget?ec:" &amp; E1048), "")</f>
        <v/>
      </c>
      <c r="G1048" s="3"/>
      <c r="H1048" s="1" t="str">
        <f>IF(G1048&lt;&gt;"", HYPERLINK("https://www.kegg.jp/entry/" &amp; G1048, "https://www.kegg.jp/entry/" &amp; G1048), "")</f>
        <v/>
      </c>
    </row>
    <row r="1049" spans="1:10" hidden="1" x14ac:dyDescent="0.25">
      <c r="A1049" t="s">
        <v>2043</v>
      </c>
      <c r="B1049">
        <v>490</v>
      </c>
      <c r="C1049" t="s">
        <v>2044</v>
      </c>
      <c r="F1049" s="1" t="str">
        <f>IF(E1049&lt;&gt;"", HYPERLINK("https://www.kegg.jp/dbget-bin/www_bget?ec:" &amp; E1049, "https://www.kegg.jp/dbget-bin/www_bget?ec:" &amp; E1049), "")</f>
        <v/>
      </c>
      <c r="G1049" s="3"/>
      <c r="H1049" s="1" t="str">
        <f>IF(G1049&lt;&gt;"", HYPERLINK("https://www.kegg.jp/entry/" &amp; G1049, "https://www.kegg.jp/entry/" &amp; G1049), "")</f>
        <v/>
      </c>
    </row>
    <row r="1050" spans="1:10" hidden="1" x14ac:dyDescent="0.25">
      <c r="A1050" t="s">
        <v>2045</v>
      </c>
      <c r="B1050">
        <v>135</v>
      </c>
      <c r="C1050" t="s">
        <v>2046</v>
      </c>
      <c r="F1050" s="1" t="str">
        <f>IF(E1050&lt;&gt;"", HYPERLINK("https://www.kegg.jp/dbget-bin/www_bget?ec:" &amp; E1050, "https://www.kegg.jp/dbget-bin/www_bget?ec:" &amp; E1050), "")</f>
        <v/>
      </c>
      <c r="G1050" s="3"/>
      <c r="H1050" s="1" t="str">
        <f>IF(G1050&lt;&gt;"", HYPERLINK("https://www.kegg.jp/entry/" &amp; G1050, "https://www.kegg.jp/entry/" &amp; G1050), "")</f>
        <v/>
      </c>
    </row>
    <row r="1051" spans="1:10" hidden="1" x14ac:dyDescent="0.25">
      <c r="A1051" t="s">
        <v>2047</v>
      </c>
      <c r="B1051">
        <v>537</v>
      </c>
      <c r="C1051" t="s">
        <v>2048</v>
      </c>
      <c r="F1051" s="1" t="str">
        <f>IF(E1051&lt;&gt;"", HYPERLINK("https://www.kegg.jp/dbget-bin/www_bget?ec:" &amp; E1051, "https://www.kegg.jp/dbget-bin/www_bget?ec:" &amp; E1051), "")</f>
        <v/>
      </c>
      <c r="G1051" s="3"/>
      <c r="H1051" s="1" t="str">
        <f>IF(G1051&lt;&gt;"", HYPERLINK("https://www.kegg.jp/entry/" &amp; G1051, "https://www.kegg.jp/entry/" &amp; G1051), "")</f>
        <v/>
      </c>
    </row>
    <row r="1052" spans="1:10" hidden="1" x14ac:dyDescent="0.25">
      <c r="A1052" t="s">
        <v>2049</v>
      </c>
      <c r="B1052">
        <v>101</v>
      </c>
      <c r="C1052" t="s">
        <v>2050</v>
      </c>
      <c r="F1052" s="1" t="str">
        <f>IF(E1052&lt;&gt;"", HYPERLINK("https://www.kegg.jp/dbget-bin/www_bget?ec:" &amp; E1052, "https://www.kegg.jp/dbget-bin/www_bget?ec:" &amp; E1052), "")</f>
        <v/>
      </c>
      <c r="G1052" s="3"/>
      <c r="H1052" s="1" t="str">
        <f>IF(G1052&lt;&gt;"", HYPERLINK("https://www.kegg.jp/entry/" &amp; G1052, "https://www.kegg.jp/entry/" &amp; G1052), "")</f>
        <v/>
      </c>
    </row>
    <row r="1053" spans="1:10" hidden="1" x14ac:dyDescent="0.25">
      <c r="A1053" t="s">
        <v>2051</v>
      </c>
      <c r="B1053">
        <v>422</v>
      </c>
      <c r="C1053" t="s">
        <v>2052</v>
      </c>
      <c r="F1053" s="1" t="str">
        <f>IF(E1053&lt;&gt;"", HYPERLINK("https://www.kegg.jp/dbget-bin/www_bget?ec:" &amp; E1053, "https://www.kegg.jp/dbget-bin/www_bget?ec:" &amp; E1053), "")</f>
        <v/>
      </c>
      <c r="G1053" s="3"/>
      <c r="H1053" s="1" t="str">
        <f>IF(G1053&lt;&gt;"", HYPERLINK("https://www.kegg.jp/entry/" &amp; G1053, "https://www.kegg.jp/entry/" &amp; G1053), "")</f>
        <v/>
      </c>
    </row>
    <row r="1054" spans="1:10" hidden="1" x14ac:dyDescent="0.25">
      <c r="A1054" t="s">
        <v>2053</v>
      </c>
      <c r="B1054">
        <v>52</v>
      </c>
      <c r="C1054" t="s">
        <v>2054</v>
      </c>
      <c r="F1054" s="1" t="str">
        <f>IF(E1054&lt;&gt;"", HYPERLINK("https://www.kegg.jp/dbget-bin/www_bget?ec:" &amp; E1054, "https://www.kegg.jp/dbget-bin/www_bget?ec:" &amp; E1054), "")</f>
        <v/>
      </c>
      <c r="G1054" s="3"/>
      <c r="H1054" s="1" t="str">
        <f>IF(G1054&lt;&gt;"", HYPERLINK("https://www.kegg.jp/entry/" &amp; G1054, "https://www.kegg.jp/entry/" &amp; G1054), "")</f>
        <v/>
      </c>
    </row>
    <row r="1055" spans="1:10" hidden="1" x14ac:dyDescent="0.25">
      <c r="A1055" t="s">
        <v>2055</v>
      </c>
      <c r="B1055">
        <v>39</v>
      </c>
      <c r="C1055" t="s">
        <v>2056</v>
      </c>
      <c r="F1055" s="1" t="str">
        <f>IF(E1055&lt;&gt;"", HYPERLINK("https://www.kegg.jp/dbget-bin/www_bget?ec:" &amp; E1055, "https://www.kegg.jp/dbget-bin/www_bget?ec:" &amp; E1055), "")</f>
        <v/>
      </c>
      <c r="G1055" s="3"/>
      <c r="H1055" s="1" t="str">
        <f>IF(G1055&lt;&gt;"", HYPERLINK("https://www.kegg.jp/entry/" &amp; G1055, "https://www.kegg.jp/entry/" &amp; G1055), "")</f>
        <v/>
      </c>
    </row>
    <row r="1056" spans="1:10" hidden="1" x14ac:dyDescent="0.25">
      <c r="A1056" t="s">
        <v>2058</v>
      </c>
      <c r="B1056">
        <v>287</v>
      </c>
      <c r="C1056" t="s">
        <v>2059</v>
      </c>
      <c r="F1056" s="1" t="str">
        <f>IF(E1056&lt;&gt;"", HYPERLINK("https://www.kegg.jp/dbget-bin/www_bget?ec:" &amp; E1056, "https://www.kegg.jp/dbget-bin/www_bget?ec:" &amp; E1056), "")</f>
        <v/>
      </c>
      <c r="G1056" s="3"/>
      <c r="H1056" s="1" t="str">
        <f>IF(G1056&lt;&gt;"", HYPERLINK("https://www.kegg.jp/entry/" &amp; G1056, "https://www.kegg.jp/entry/" &amp; G1056), "")</f>
        <v/>
      </c>
    </row>
    <row r="1057" spans="1:10" x14ac:dyDescent="0.25">
      <c r="A1057" t="s">
        <v>2061</v>
      </c>
      <c r="B1057">
        <v>339</v>
      </c>
      <c r="C1057" t="s">
        <v>2062</v>
      </c>
      <c r="E1057" s="5" t="s">
        <v>6773</v>
      </c>
      <c r="F1057" s="1" t="str">
        <f>IF(E1057&lt;&gt;"", HYPERLINK("https://www.kegg.jp/dbget-bin/www_bget?ec:" &amp; E1057, "https://www.kegg.jp/dbget-bin/www_bget?ec:" &amp; E1057), "")</f>
        <v>https://www.kegg.jp/dbget-bin/www_bget?ec:1.1.1.22</v>
      </c>
      <c r="G1057" s="3" t="s">
        <v>7169</v>
      </c>
      <c r="H1057" s="1" t="str">
        <f>IF(G1057&lt;&gt;"", HYPERLINK("https://www.kegg.jp/entry/" &amp; G1057, "https://www.kegg.jp/entry/" &amp; G1057), "")</f>
        <v>https://www.kegg.jp/entry/R00286</v>
      </c>
      <c r="I1057" t="s">
        <v>13111</v>
      </c>
      <c r="J1057" t="s">
        <v>13112</v>
      </c>
    </row>
    <row r="1058" spans="1:10" hidden="1" x14ac:dyDescent="0.25">
      <c r="A1058" t="s">
        <v>2064</v>
      </c>
      <c r="B1058">
        <v>381</v>
      </c>
      <c r="C1058" t="s">
        <v>2065</v>
      </c>
      <c r="F1058" s="1" t="str">
        <f>IF(E1058&lt;&gt;"", HYPERLINK("https://www.kegg.jp/dbget-bin/www_bget?ec:" &amp; E1058, "https://www.kegg.jp/dbget-bin/www_bget?ec:" &amp; E1058), "")</f>
        <v/>
      </c>
      <c r="G1058" s="3"/>
      <c r="H1058" s="1" t="str">
        <f>IF(G1058&lt;&gt;"", HYPERLINK("https://www.kegg.jp/entry/" &amp; G1058, "https://www.kegg.jp/entry/" &amp; G1058), "")</f>
        <v/>
      </c>
    </row>
    <row r="1059" spans="1:10" hidden="1" x14ac:dyDescent="0.25">
      <c r="A1059" t="s">
        <v>2067</v>
      </c>
      <c r="B1059">
        <v>506</v>
      </c>
      <c r="C1059" t="s">
        <v>2068</v>
      </c>
      <c r="F1059" s="1" t="str">
        <f>IF(E1059&lt;&gt;"", HYPERLINK("https://www.kegg.jp/dbget-bin/www_bget?ec:" &amp; E1059, "https://www.kegg.jp/dbget-bin/www_bget?ec:" &amp; E1059), "")</f>
        <v/>
      </c>
      <c r="G1059" s="3"/>
      <c r="H1059" s="1" t="str">
        <f>IF(G1059&lt;&gt;"", HYPERLINK("https://www.kegg.jp/entry/" &amp; G1059, "https://www.kegg.jp/entry/" &amp; G1059), "")</f>
        <v/>
      </c>
    </row>
    <row r="1060" spans="1:10" hidden="1" x14ac:dyDescent="0.25">
      <c r="A1060" t="s">
        <v>2070</v>
      </c>
      <c r="B1060">
        <v>449</v>
      </c>
      <c r="C1060" t="s">
        <v>2071</v>
      </c>
      <c r="F1060" s="1" t="str">
        <f>IF(E1060&lt;&gt;"", HYPERLINK("https://www.kegg.jp/dbget-bin/www_bget?ec:" &amp; E1060, "https://www.kegg.jp/dbget-bin/www_bget?ec:" &amp; E1060), "")</f>
        <v/>
      </c>
      <c r="G1060" s="3"/>
      <c r="H1060" s="1" t="str">
        <f>IF(G1060&lt;&gt;"", HYPERLINK("https://www.kegg.jp/entry/" &amp; G1060, "https://www.kegg.jp/entry/" &amp; G1060), "")</f>
        <v/>
      </c>
    </row>
    <row r="1061" spans="1:10" hidden="1" x14ac:dyDescent="0.25">
      <c r="A1061" t="s">
        <v>2073</v>
      </c>
      <c r="B1061">
        <v>396</v>
      </c>
      <c r="C1061" t="s">
        <v>2074</v>
      </c>
      <c r="F1061" s="1" t="str">
        <f>IF(E1061&lt;&gt;"", HYPERLINK("https://www.kegg.jp/dbget-bin/www_bget?ec:" &amp; E1061, "https://www.kegg.jp/dbget-bin/www_bget?ec:" &amp; E1061), "")</f>
        <v/>
      </c>
      <c r="G1061" s="3"/>
      <c r="H1061" s="1" t="str">
        <f>IF(G1061&lt;&gt;"", HYPERLINK("https://www.kegg.jp/entry/" &amp; G1061, "https://www.kegg.jp/entry/" &amp; G1061), "")</f>
        <v/>
      </c>
    </row>
    <row r="1062" spans="1:10" x14ac:dyDescent="0.25">
      <c r="A1062" t="s">
        <v>2076</v>
      </c>
      <c r="B1062">
        <v>255</v>
      </c>
      <c r="C1062" t="s">
        <v>2077</v>
      </c>
      <c r="E1062" s="5" t="s">
        <v>6774</v>
      </c>
      <c r="F1062" s="1" t="str">
        <f>IF(E1062&lt;&gt;"", HYPERLINK("https://www.kegg.jp/dbget-bin/www_bget?ec:" &amp; E1062, "https://www.kegg.jp/dbget-bin/www_bget?ec:" &amp; E1062), "")</f>
        <v>https://www.kegg.jp/dbget-bin/www_bget?ec:2.4.1.187</v>
      </c>
      <c r="G1062" s="9" t="s">
        <v>7593</v>
      </c>
      <c r="H1062" s="1" t="str">
        <f>IF(G1062&lt;&gt;"", HYPERLINK("https://www.kegg.jp/entry/" &amp; G1062, "https://www.kegg.jp/entry/" &amp; G1062), "")</f>
        <v>https://www.kegg.jp/entry/R05566</v>
      </c>
      <c r="I1062" t="s">
        <v>8222</v>
      </c>
      <c r="J1062" t="s">
        <v>8499</v>
      </c>
    </row>
    <row r="1063" spans="1:10" x14ac:dyDescent="0.25">
      <c r="A1063" t="s">
        <v>3592</v>
      </c>
      <c r="B1063">
        <v>500</v>
      </c>
      <c r="C1063" t="s">
        <v>3593</v>
      </c>
      <c r="E1063" s="5" t="s">
        <v>6904</v>
      </c>
      <c r="F1063" s="1" t="str">
        <f>IF(E1063&lt;&gt;"", HYPERLINK("https://www.kegg.jp/dbget-bin/www_bget?ec:" &amp; E1063, "https://www.kegg.jp/dbget-bin/www_bget?ec:" &amp; E1063), "")</f>
        <v>https://www.kegg.jp/dbget-bin/www_bget?ec:2.4.1.25</v>
      </c>
      <c r="G1063" s="9" t="s">
        <v>7811</v>
      </c>
      <c r="H1063" s="1" t="str">
        <f>IF(G1063&lt;&gt;"", HYPERLINK("https://www.kegg.jp/entry/" &amp; G1063, "https://www.kegg.jp/entry/" &amp; G1063), "")</f>
        <v>https://www.kegg.jp/entry/R06069</v>
      </c>
      <c r="I1063" t="s">
        <v>13473</v>
      </c>
      <c r="J1063" t="s">
        <v>13474</v>
      </c>
    </row>
    <row r="1064" spans="1:10" x14ac:dyDescent="0.25">
      <c r="A1064" t="s">
        <v>2079</v>
      </c>
      <c r="B1064">
        <v>349</v>
      </c>
      <c r="C1064" t="s">
        <v>2080</v>
      </c>
      <c r="E1064" s="5" t="s">
        <v>6775</v>
      </c>
      <c r="F1064" s="1" t="str">
        <f>IF(E1064&lt;&gt;"", HYPERLINK("https://www.kegg.jp/dbget-bin/www_bget?ec:" &amp; E1064, "https://www.kegg.jp/dbget-bin/www_bget?ec:" &amp; E1064), "")</f>
        <v>https://www.kegg.jp/dbget-bin/www_bget?ec:4.2.1.47</v>
      </c>
      <c r="G1064" s="3" t="s">
        <v>7170</v>
      </c>
      <c r="H1064" s="1" t="str">
        <f>IF(G1064&lt;&gt;"", HYPERLINK("https://www.kegg.jp/entry/" &amp; G1064, "https://www.kegg.jp/entry/" &amp; G1064), "")</f>
        <v>https://www.kegg.jp/entry/R00888</v>
      </c>
      <c r="I1064" t="s">
        <v>8223</v>
      </c>
      <c r="J1064" t="s">
        <v>13115</v>
      </c>
    </row>
    <row r="1065" spans="1:10" x14ac:dyDescent="0.25">
      <c r="A1065" t="s">
        <v>2082</v>
      </c>
      <c r="B1065">
        <v>317</v>
      </c>
      <c r="C1065" t="s">
        <v>2083</v>
      </c>
      <c r="E1065" s="5" t="s">
        <v>6776</v>
      </c>
      <c r="F1065" s="1" t="str">
        <f>IF(E1065&lt;&gt;"", HYPERLINK("https://www.kegg.jp/dbget-bin/www_bget?ec:" &amp; E1065, "https://www.kegg.jp/dbget-bin/www_bget?ec:" &amp; E1065), "")</f>
        <v>https://www.kegg.jp/dbget-bin/www_bget?ec:1.1.1.271</v>
      </c>
      <c r="G1065" s="9" t="s">
        <v>7595</v>
      </c>
      <c r="H1065" s="1" t="str">
        <f>IF(G1065&lt;&gt;"", HYPERLINK("https://www.kegg.jp/entry/" &amp; G1065, "https://www.kegg.jp/entry/" &amp; G1065), "")</f>
        <v>https://www.kegg.jp/entry/R05692</v>
      </c>
      <c r="I1065" t="s">
        <v>13116</v>
      </c>
      <c r="J1065" t="s">
        <v>13117</v>
      </c>
    </row>
    <row r="1066" spans="1:10" x14ac:dyDescent="0.25">
      <c r="A1066" t="s">
        <v>2082</v>
      </c>
      <c r="B1066">
        <v>317</v>
      </c>
      <c r="C1066" t="s">
        <v>2083</v>
      </c>
      <c r="E1066" s="5" t="s">
        <v>6776</v>
      </c>
      <c r="F1066" s="1" t="str">
        <f>IF(E1066&lt;&gt;"", HYPERLINK("https://www.kegg.jp/dbget-bin/www_bget?ec:" &amp; E1066, "https://www.kegg.jp/dbget-bin/www_bget?ec:" &amp; E1066), "")</f>
        <v>https://www.kegg.jp/dbget-bin/www_bget?ec:1.1.1.271</v>
      </c>
      <c r="G1066" s="9" t="s">
        <v>7596</v>
      </c>
      <c r="H1066" s="1" t="str">
        <f>IF(G1066&lt;&gt;"", HYPERLINK("https://www.kegg.jp/entry/" &amp; G1066, "https://www.kegg.jp/entry/" &amp; G1066), "")</f>
        <v>https://www.kegg.jp/entry/R07059</v>
      </c>
      <c r="I1066" t="s">
        <v>8224</v>
      </c>
      <c r="J1066" t="s">
        <v>8500</v>
      </c>
    </row>
    <row r="1067" spans="1:10" x14ac:dyDescent="0.25">
      <c r="A1067" t="s">
        <v>2082</v>
      </c>
      <c r="B1067">
        <v>317</v>
      </c>
      <c r="C1067" t="s">
        <v>2083</v>
      </c>
      <c r="E1067" s="5" t="s">
        <v>6776</v>
      </c>
      <c r="F1067" s="1" t="str">
        <f>IF(E1067&lt;&gt;"", HYPERLINK("https://www.kegg.jp/dbget-bin/www_bget?ec:" &amp; E1067, "https://www.kegg.jp/dbget-bin/www_bget?ec:" &amp; E1067), "")</f>
        <v>https://www.kegg.jp/dbget-bin/www_bget?ec:1.1.1.271</v>
      </c>
      <c r="G1067" s="9" t="s">
        <v>7597</v>
      </c>
      <c r="H1067" s="1" t="str">
        <f>IF(G1067&lt;&gt;"", HYPERLINK("https://www.kegg.jp/entry/" &amp; G1067, "https://www.kegg.jp/entry/" &amp; G1067), "")</f>
        <v>https://www.kegg.jp/entry/R07060</v>
      </c>
      <c r="I1067" t="s">
        <v>13118</v>
      </c>
      <c r="J1067" t="s">
        <v>13116</v>
      </c>
    </row>
    <row r="1068" spans="1:10" hidden="1" x14ac:dyDescent="0.25">
      <c r="A1068" t="s">
        <v>2084</v>
      </c>
      <c r="B1068">
        <v>98</v>
      </c>
      <c r="C1068" t="s">
        <v>2085</v>
      </c>
      <c r="F1068" s="1" t="str">
        <f>IF(E1068&lt;&gt;"", HYPERLINK("https://www.kegg.jp/dbget-bin/www_bget?ec:" &amp; E1068, "https://www.kegg.jp/dbget-bin/www_bget?ec:" &amp; E1068), "")</f>
        <v/>
      </c>
      <c r="G1068" s="3"/>
      <c r="H1068" s="1" t="str">
        <f>IF(G1068&lt;&gt;"", HYPERLINK("https://www.kegg.jp/entry/" &amp; G1068, "https://www.kegg.jp/entry/" &amp; G1068), "")</f>
        <v/>
      </c>
    </row>
    <row r="1069" spans="1:10" hidden="1" x14ac:dyDescent="0.25">
      <c r="A1069" t="s">
        <v>2087</v>
      </c>
      <c r="B1069">
        <v>298</v>
      </c>
      <c r="C1069" t="s">
        <v>2088</v>
      </c>
      <c r="F1069" s="1" t="str">
        <f>IF(E1069&lt;&gt;"", HYPERLINK("https://www.kegg.jp/dbget-bin/www_bget?ec:" &amp; E1069, "https://www.kegg.jp/dbget-bin/www_bget?ec:" &amp; E1069), "")</f>
        <v/>
      </c>
      <c r="G1069" s="3"/>
      <c r="H1069" s="1" t="str">
        <f>IF(G1069&lt;&gt;"", HYPERLINK("https://www.kegg.jp/entry/" &amp; G1069, "https://www.kegg.jp/entry/" &amp; G1069), "")</f>
        <v/>
      </c>
    </row>
    <row r="1070" spans="1:10" x14ac:dyDescent="0.25">
      <c r="A1070" t="s">
        <v>2089</v>
      </c>
      <c r="B1070">
        <v>466</v>
      </c>
      <c r="C1070" t="s">
        <v>2090</v>
      </c>
      <c r="E1070" s="5" t="s">
        <v>6746</v>
      </c>
      <c r="F1070" s="1" t="str">
        <f>IF(E1070&lt;&gt;"", HYPERLINK("https://www.kegg.jp/dbget-bin/www_bget?ec:" &amp; E1070, "https://www.kegg.jp/dbget-bin/www_bget?ec:" &amp; E1070), "")</f>
        <v>https://www.kegg.jp/dbget-bin/www_bget?ec:5.4.2.10</v>
      </c>
      <c r="G1070" s="3" t="s">
        <v>7153</v>
      </c>
      <c r="H1070" s="1" t="str">
        <f>IF(G1070&lt;&gt;"", HYPERLINK("https://www.kegg.jp/entry/" &amp; G1070, "https://www.kegg.jp/entry/" &amp; G1070), "")</f>
        <v>https://www.kegg.jp/entry/R02060</v>
      </c>
      <c r="I1070" t="s">
        <v>8209</v>
      </c>
      <c r="J1070" t="s">
        <v>8487</v>
      </c>
    </row>
    <row r="1071" spans="1:10" x14ac:dyDescent="0.25">
      <c r="A1071" t="s">
        <v>2091</v>
      </c>
      <c r="B1071">
        <v>324</v>
      </c>
      <c r="C1071" t="s">
        <v>2092</v>
      </c>
      <c r="E1071" s="5" t="s">
        <v>6672</v>
      </c>
      <c r="F1071" s="1" t="str">
        <f>IF(E1071&lt;&gt;"", HYPERLINK("https://www.kegg.jp/dbget-bin/www_bget?ec:" &amp; E1071, "https://www.kegg.jp/dbget-bin/www_bget?ec:" &amp; E1071), "")</f>
        <v>https://www.kegg.jp/dbget-bin/www_bget?ec:2.7.7.22</v>
      </c>
      <c r="G1071" s="3" t="s">
        <v>7114</v>
      </c>
      <c r="H1071" s="1" t="str">
        <f>IF(G1071&lt;&gt;"", HYPERLINK("https://www.kegg.jp/entry/" &amp; G1071, "https://www.kegg.jp/entry/" &amp; G1071), "")</f>
        <v>https://www.kegg.jp/entry/R00883</v>
      </c>
      <c r="I1071" t="s">
        <v>8152</v>
      </c>
      <c r="J1071" t="s">
        <v>8434</v>
      </c>
    </row>
    <row r="1072" spans="1:10" x14ac:dyDescent="0.25">
      <c r="A1072" t="s">
        <v>2094</v>
      </c>
      <c r="B1072">
        <v>76</v>
      </c>
      <c r="C1072" t="s">
        <v>2095</v>
      </c>
      <c r="E1072" s="5" t="s">
        <v>6773</v>
      </c>
      <c r="F1072" s="1" t="str">
        <f>IF(E1072&lt;&gt;"", HYPERLINK("https://www.kegg.jp/dbget-bin/www_bget?ec:" &amp; E1072, "https://www.kegg.jp/dbget-bin/www_bget?ec:" &amp; E1072), "")</f>
        <v>https://www.kegg.jp/dbget-bin/www_bget?ec:1.1.1.22</v>
      </c>
      <c r="G1072" s="3" t="s">
        <v>7169</v>
      </c>
      <c r="H1072" s="1" t="str">
        <f>IF(G1072&lt;&gt;"", HYPERLINK("https://www.kegg.jp/entry/" &amp; G1072, "https://www.kegg.jp/entry/" &amp; G1072), "")</f>
        <v>https://www.kegg.jp/entry/R00286</v>
      </c>
      <c r="I1072" t="s">
        <v>13111</v>
      </c>
      <c r="J1072" t="s">
        <v>13112</v>
      </c>
    </row>
    <row r="1073" spans="1:10" x14ac:dyDescent="0.25">
      <c r="A1073" t="s">
        <v>2097</v>
      </c>
      <c r="B1073">
        <v>494</v>
      </c>
      <c r="C1073" t="s">
        <v>2098</v>
      </c>
      <c r="E1073" s="5" t="s">
        <v>6777</v>
      </c>
      <c r="F1073" s="1" t="str">
        <f>IF(E1073&lt;&gt;"", HYPERLINK("https://www.kegg.jp/dbget-bin/www_bget?ec:" &amp; E1073, "https://www.kegg.jp/dbget-bin/www_bget?ec:" &amp; E1073), "")</f>
        <v>https://www.kegg.jp/dbget-bin/www_bget?ec:2.7.8.6</v>
      </c>
      <c r="G1073" s="3" t="s">
        <v>7171</v>
      </c>
      <c r="H1073" s="1" t="str">
        <f>IF(G1073&lt;&gt;"", HYPERLINK("https://www.kegg.jp/entry/" &amp; G1073, "https://www.kegg.jp/entry/" &amp; G1073), "")</f>
        <v>https://www.kegg.jp/entry/R01535</v>
      </c>
      <c r="I1073" t="s">
        <v>8225</v>
      </c>
      <c r="J1073" t="s">
        <v>8501</v>
      </c>
    </row>
    <row r="1074" spans="1:10" hidden="1" x14ac:dyDescent="0.25">
      <c r="A1074" t="s">
        <v>2100</v>
      </c>
      <c r="B1074">
        <v>818</v>
      </c>
      <c r="C1074" t="s">
        <v>2101</v>
      </c>
      <c r="F1074" s="1" t="str">
        <f>IF(E1074&lt;&gt;"", HYPERLINK("https://www.kegg.jp/dbget-bin/www_bget?ec:" &amp; E1074, "https://www.kegg.jp/dbget-bin/www_bget?ec:" &amp; E1074), "")</f>
        <v/>
      </c>
      <c r="G1074" s="3"/>
      <c r="H1074" s="1" t="str">
        <f>IF(G1074&lt;&gt;"", HYPERLINK("https://www.kegg.jp/entry/" &amp; G1074, "https://www.kegg.jp/entry/" &amp; G1074), "")</f>
        <v/>
      </c>
    </row>
    <row r="1075" spans="1:10" hidden="1" x14ac:dyDescent="0.25">
      <c r="A1075" t="s">
        <v>2102</v>
      </c>
      <c r="B1075">
        <v>368</v>
      </c>
      <c r="C1075" t="s">
        <v>2103</v>
      </c>
      <c r="E1075" s="5" t="s">
        <v>6778</v>
      </c>
      <c r="F1075" s="1" t="str">
        <f>IF(E1075&lt;&gt;"", HYPERLINK("https://www.kegg.jp/dbget-bin/www_bget?ec:" &amp; E1075, "https://www.kegg.jp/dbget-bin/www_bget?ec:" &amp; E1075), "")</f>
        <v>https://www.kegg.jp/dbget-bin/www_bget?ec:2.4.1.-</v>
      </c>
      <c r="G1075" s="3"/>
      <c r="H1075" s="1" t="str">
        <f>IF(G1075&lt;&gt;"", HYPERLINK("https://www.kegg.jp/entry/" &amp; G1075, "https://www.kegg.jp/entry/" &amp; G1075), "")</f>
        <v/>
      </c>
    </row>
    <row r="1076" spans="1:10" hidden="1" x14ac:dyDescent="0.25">
      <c r="A1076" t="s">
        <v>2104</v>
      </c>
      <c r="B1076">
        <v>105</v>
      </c>
      <c r="C1076" t="s">
        <v>2105</v>
      </c>
      <c r="F1076" s="1" t="str">
        <f>IF(E1076&lt;&gt;"", HYPERLINK("https://www.kegg.jp/dbget-bin/www_bget?ec:" &amp; E1076, "https://www.kegg.jp/dbget-bin/www_bget?ec:" &amp; E1076), "")</f>
        <v/>
      </c>
      <c r="G1076" s="3"/>
      <c r="H1076" s="1" t="str">
        <f>IF(G1076&lt;&gt;"", HYPERLINK("https://www.kegg.jp/entry/" &amp; G1076, "https://www.kegg.jp/entry/" &amp; G1076), "")</f>
        <v/>
      </c>
    </row>
    <row r="1077" spans="1:10" hidden="1" x14ac:dyDescent="0.25">
      <c r="A1077" t="s">
        <v>2107</v>
      </c>
      <c r="B1077">
        <v>407</v>
      </c>
      <c r="C1077" t="s">
        <v>2108</v>
      </c>
      <c r="F1077" s="1" t="str">
        <f>IF(E1077&lt;&gt;"", HYPERLINK("https://www.kegg.jp/dbget-bin/www_bget?ec:" &amp; E1077, "https://www.kegg.jp/dbget-bin/www_bget?ec:" &amp; E1077), "")</f>
        <v/>
      </c>
      <c r="G1077" s="3"/>
      <c r="H1077" s="1" t="str">
        <f>IF(G1077&lt;&gt;"", HYPERLINK("https://www.kegg.jp/entry/" &amp; G1077, "https://www.kegg.jp/entry/" &amp; G1077), "")</f>
        <v/>
      </c>
    </row>
    <row r="1078" spans="1:10" hidden="1" x14ac:dyDescent="0.25">
      <c r="A1078" t="s">
        <v>2109</v>
      </c>
      <c r="B1078">
        <v>127</v>
      </c>
      <c r="C1078" t="s">
        <v>2110</v>
      </c>
      <c r="F1078" s="1" t="str">
        <f>IF(E1078&lt;&gt;"", HYPERLINK("https://www.kegg.jp/dbget-bin/www_bget?ec:" &amp; E1078, "https://www.kegg.jp/dbget-bin/www_bget?ec:" &amp; E1078), "")</f>
        <v/>
      </c>
      <c r="G1078" s="3"/>
      <c r="H1078" s="1" t="str">
        <f>IF(G1078&lt;&gt;"", HYPERLINK("https://www.kegg.jp/entry/" &amp; G1078, "https://www.kegg.jp/entry/" &amp; G1078), "")</f>
        <v/>
      </c>
    </row>
    <row r="1079" spans="1:10" hidden="1" x14ac:dyDescent="0.25">
      <c r="A1079" t="s">
        <v>2111</v>
      </c>
      <c r="B1079">
        <v>100</v>
      </c>
      <c r="C1079" t="s">
        <v>2112</v>
      </c>
      <c r="F1079" s="1" t="str">
        <f>IF(E1079&lt;&gt;"", HYPERLINK("https://www.kegg.jp/dbget-bin/www_bget?ec:" &amp; E1079, "https://www.kegg.jp/dbget-bin/www_bget?ec:" &amp; E1079), "")</f>
        <v/>
      </c>
      <c r="G1079" s="3"/>
      <c r="H1079" s="1" t="str">
        <f>IF(G1079&lt;&gt;"", HYPERLINK("https://www.kegg.jp/entry/" &amp; G1079, "https://www.kegg.jp/entry/" &amp; G1079), "")</f>
        <v/>
      </c>
    </row>
    <row r="1080" spans="1:10" x14ac:dyDescent="0.25">
      <c r="A1080" t="s">
        <v>2114</v>
      </c>
      <c r="B1080">
        <v>462</v>
      </c>
      <c r="C1080" t="s">
        <v>2115</v>
      </c>
      <c r="E1080" s="5" t="s">
        <v>6779</v>
      </c>
      <c r="F1080" s="1" t="str">
        <f>IF(E1080&lt;&gt;"", HYPERLINK("https://www.kegg.jp/dbget-bin/www_bget?ec:" &amp; E1080, "https://www.kegg.jp/dbget-bin/www_bget?ec:" &amp; E1080), "")</f>
        <v>https://www.kegg.jp/dbget-bin/www_bget?ec:6.6.1.1</v>
      </c>
      <c r="G1080" s="3" t="s">
        <v>7172</v>
      </c>
      <c r="H1080" s="1" t="str">
        <f>IF(G1080&lt;&gt;"", HYPERLINK("https://www.kegg.jp/entry/" &amp; G1080, "https://www.kegg.jp/entry/" &amp; G1080), "")</f>
        <v>https://www.kegg.jp/entry/R03877</v>
      </c>
      <c r="I1080" t="s">
        <v>13119</v>
      </c>
      <c r="J1080" t="s">
        <v>13120</v>
      </c>
    </row>
    <row r="1081" spans="1:10" hidden="1" x14ac:dyDescent="0.25">
      <c r="A1081" t="s">
        <v>2117</v>
      </c>
      <c r="B1081">
        <v>194</v>
      </c>
      <c r="C1081" t="s">
        <v>2118</v>
      </c>
      <c r="E1081" s="5" t="s">
        <v>6780</v>
      </c>
      <c r="F1081" s="1" t="str">
        <f>IF(E1081&lt;&gt;"", HYPERLINK("https://www.kegg.jp/dbget-bin/www_bget?ec:" &amp; E1081, "https://www.kegg.jp/dbget-bin/www_bget?ec:" &amp; E1081), "")</f>
        <v>https://www.kegg.jp/dbget-bin/www_bget?ec:3.4.25.-</v>
      </c>
      <c r="G1081" s="3"/>
      <c r="H1081" s="1" t="str">
        <f>IF(G1081&lt;&gt;"", HYPERLINK("https://www.kegg.jp/entry/" &amp; G1081, "https://www.kegg.jp/entry/" &amp; G1081), "")</f>
        <v/>
      </c>
    </row>
    <row r="1082" spans="1:10" hidden="1" x14ac:dyDescent="0.25">
      <c r="A1082" t="s">
        <v>2120</v>
      </c>
      <c r="B1082">
        <v>416</v>
      </c>
      <c r="C1082" t="s">
        <v>2121</v>
      </c>
      <c r="F1082" s="1" t="str">
        <f>IF(E1082&lt;&gt;"", HYPERLINK("https://www.kegg.jp/dbget-bin/www_bget?ec:" &amp; E1082, "https://www.kegg.jp/dbget-bin/www_bget?ec:" &amp; E1082), "")</f>
        <v/>
      </c>
      <c r="G1082" s="3"/>
      <c r="H1082" s="1" t="str">
        <f>IF(G1082&lt;&gt;"", HYPERLINK("https://www.kegg.jp/entry/" &amp; G1082, "https://www.kegg.jp/entry/" &amp; G1082), "")</f>
        <v/>
      </c>
    </row>
    <row r="1083" spans="1:10" hidden="1" x14ac:dyDescent="0.25">
      <c r="A1083" t="s">
        <v>2123</v>
      </c>
      <c r="B1083">
        <v>357</v>
      </c>
      <c r="C1083" t="s">
        <v>2124</v>
      </c>
      <c r="F1083" s="1" t="str">
        <f>IF(E1083&lt;&gt;"", HYPERLINK("https://www.kegg.jp/dbget-bin/www_bget?ec:" &amp; E1083, "https://www.kegg.jp/dbget-bin/www_bget?ec:" &amp; E1083), "")</f>
        <v/>
      </c>
      <c r="G1083" s="3"/>
      <c r="H1083" s="1" t="str">
        <f>IF(G1083&lt;&gt;"", HYPERLINK("https://www.kegg.jp/entry/" &amp; G1083, "https://www.kegg.jp/entry/" &amp; G1083), "")</f>
        <v/>
      </c>
    </row>
    <row r="1084" spans="1:10" hidden="1" x14ac:dyDescent="0.25">
      <c r="A1084" t="s">
        <v>2126</v>
      </c>
      <c r="B1084">
        <v>54</v>
      </c>
      <c r="C1084" t="s">
        <v>2127</v>
      </c>
      <c r="F1084" s="1" t="str">
        <f>IF(E1084&lt;&gt;"", HYPERLINK("https://www.kegg.jp/dbget-bin/www_bget?ec:" &amp; E1084, "https://www.kegg.jp/dbget-bin/www_bget?ec:" &amp; E1084), "")</f>
        <v/>
      </c>
      <c r="G1084" s="3"/>
      <c r="H1084" s="1" t="str">
        <f>IF(G1084&lt;&gt;"", HYPERLINK("https://www.kegg.jp/entry/" &amp; G1084, "https://www.kegg.jp/entry/" &amp; G1084), "")</f>
        <v/>
      </c>
    </row>
    <row r="1085" spans="1:10" hidden="1" x14ac:dyDescent="0.25">
      <c r="C1085" t="s">
        <v>2129</v>
      </c>
      <c r="F1085" s="1" t="str">
        <f>IF(E1085&lt;&gt;"", HYPERLINK("https://www.kegg.jp/dbget-bin/www_bget?ec:" &amp; E1085, "https://www.kegg.jp/dbget-bin/www_bget?ec:" &amp; E1085), "")</f>
        <v/>
      </c>
      <c r="G1085" s="3"/>
      <c r="H1085" s="1" t="str">
        <f>IF(G1085&lt;&gt;"", HYPERLINK("https://www.kegg.jp/entry/" &amp; G1085, "https://www.kegg.jp/entry/" &amp; G1085), "")</f>
        <v/>
      </c>
    </row>
    <row r="1086" spans="1:10" hidden="1" x14ac:dyDescent="0.25">
      <c r="C1086" t="s">
        <v>2130</v>
      </c>
      <c r="F1086" s="1" t="str">
        <f>IF(E1086&lt;&gt;"", HYPERLINK("https://www.kegg.jp/dbget-bin/www_bget?ec:" &amp; E1086, "https://www.kegg.jp/dbget-bin/www_bget?ec:" &amp; E1086), "")</f>
        <v/>
      </c>
      <c r="G1086" s="3"/>
      <c r="H1086" s="1" t="str">
        <f>IF(G1086&lt;&gt;"", HYPERLINK("https://www.kegg.jp/entry/" &amp; G1086, "https://www.kegg.jp/entry/" &amp; G1086), "")</f>
        <v/>
      </c>
    </row>
    <row r="1087" spans="1:10" hidden="1" x14ac:dyDescent="0.25">
      <c r="C1087" t="s">
        <v>2131</v>
      </c>
      <c r="F1087" s="1" t="str">
        <f>IF(E1087&lt;&gt;"", HYPERLINK("https://www.kegg.jp/dbget-bin/www_bget?ec:" &amp; E1087, "https://www.kegg.jp/dbget-bin/www_bget?ec:" &amp; E1087), "")</f>
        <v/>
      </c>
      <c r="G1087" s="3"/>
      <c r="H1087" s="1" t="str">
        <f>IF(G1087&lt;&gt;"", HYPERLINK("https://www.kegg.jp/entry/" &amp; G1087, "https://www.kegg.jp/entry/" &amp; G1087), "")</f>
        <v/>
      </c>
    </row>
    <row r="1088" spans="1:10" hidden="1" x14ac:dyDescent="0.25">
      <c r="A1088" t="s">
        <v>2133</v>
      </c>
      <c r="B1088">
        <v>416</v>
      </c>
      <c r="C1088" t="s">
        <v>2134</v>
      </c>
      <c r="F1088" s="1" t="str">
        <f>IF(E1088&lt;&gt;"", HYPERLINK("https://www.kegg.jp/dbget-bin/www_bget?ec:" &amp; E1088, "https://www.kegg.jp/dbget-bin/www_bget?ec:" &amp; E1088), "")</f>
        <v/>
      </c>
      <c r="G1088" s="3"/>
      <c r="H1088" s="1" t="str">
        <f>IF(G1088&lt;&gt;"", HYPERLINK("https://www.kegg.jp/entry/" &amp; G1088, "https://www.kegg.jp/entry/" &amp; G1088), "")</f>
        <v/>
      </c>
    </row>
    <row r="1089" spans="1:10" hidden="1" x14ac:dyDescent="0.25">
      <c r="A1089" t="s">
        <v>2135</v>
      </c>
      <c r="B1089">
        <v>45</v>
      </c>
      <c r="C1089" t="s">
        <v>2136</v>
      </c>
      <c r="F1089" s="1" t="str">
        <f>IF(E1089&lt;&gt;"", HYPERLINK("https://www.kegg.jp/dbget-bin/www_bget?ec:" &amp; E1089, "https://www.kegg.jp/dbget-bin/www_bget?ec:" &amp; E1089), "")</f>
        <v/>
      </c>
      <c r="G1089" s="3"/>
      <c r="H1089" s="1" t="str">
        <f>IF(G1089&lt;&gt;"", HYPERLINK("https://www.kegg.jp/entry/" &amp; G1089, "https://www.kegg.jp/entry/" &amp; G1089), "")</f>
        <v/>
      </c>
    </row>
    <row r="1090" spans="1:10" hidden="1" x14ac:dyDescent="0.25">
      <c r="A1090" t="s">
        <v>2137</v>
      </c>
      <c r="B1090">
        <v>81</v>
      </c>
      <c r="C1090" t="s">
        <v>2138</v>
      </c>
      <c r="F1090" s="1" t="str">
        <f>IF(E1090&lt;&gt;"", HYPERLINK("https://www.kegg.jp/dbget-bin/www_bget?ec:" &amp; E1090, "https://www.kegg.jp/dbget-bin/www_bget?ec:" &amp; E1090), "")</f>
        <v/>
      </c>
      <c r="G1090" s="3"/>
      <c r="H1090" s="1" t="str">
        <f>IF(G1090&lt;&gt;"", HYPERLINK("https://www.kegg.jp/entry/" &amp; G1090, "https://www.kegg.jp/entry/" &amp; G1090), "")</f>
        <v/>
      </c>
    </row>
    <row r="1091" spans="1:10" x14ac:dyDescent="0.25">
      <c r="A1091" t="s">
        <v>2140</v>
      </c>
      <c r="B1091">
        <v>237</v>
      </c>
      <c r="C1091" t="s">
        <v>2141</v>
      </c>
      <c r="E1091" s="5" t="s">
        <v>6781</v>
      </c>
      <c r="F1091" s="1" t="str">
        <f>IF(E1091&lt;&gt;"", HYPERLINK("https://www.kegg.jp/dbget-bin/www_bget?ec:" &amp; E1091, "https://www.kegg.jp/dbget-bin/www_bget?ec:" &amp; E1091), "")</f>
        <v>https://www.kegg.jp/dbget-bin/www_bget?ec:2.1.1.72</v>
      </c>
      <c r="G1091" s="3" t="s">
        <v>7173</v>
      </c>
      <c r="H1091" s="1" t="str">
        <f>IF(G1091&lt;&gt;"", HYPERLINK("https://www.kegg.jp/entry/" &amp; G1091, "https://www.kegg.jp/entry/" &amp; G1091), "")</f>
        <v>https://www.kegg.jp/entry/R02961</v>
      </c>
      <c r="I1091" t="s">
        <v>8226</v>
      </c>
      <c r="J1091" t="s">
        <v>8502</v>
      </c>
    </row>
    <row r="1092" spans="1:10" hidden="1" x14ac:dyDescent="0.25">
      <c r="A1092" t="s">
        <v>2142</v>
      </c>
      <c r="B1092">
        <v>142</v>
      </c>
      <c r="C1092" t="s">
        <v>2143</v>
      </c>
      <c r="F1092" s="1" t="str">
        <f>IF(E1092&lt;&gt;"", HYPERLINK("https://www.kegg.jp/dbget-bin/www_bget?ec:" &amp; E1092, "https://www.kegg.jp/dbget-bin/www_bget?ec:" &amp; E1092), "")</f>
        <v/>
      </c>
      <c r="G1092" s="3"/>
      <c r="H1092" s="1" t="str">
        <f>IF(G1092&lt;&gt;"", HYPERLINK("https://www.kegg.jp/entry/" &amp; G1092, "https://www.kegg.jp/entry/" &amp; G1092), "")</f>
        <v/>
      </c>
    </row>
    <row r="1093" spans="1:10" hidden="1" x14ac:dyDescent="0.25">
      <c r="A1093" t="s">
        <v>2144</v>
      </c>
      <c r="B1093">
        <v>156</v>
      </c>
      <c r="C1093" t="s">
        <v>2145</v>
      </c>
      <c r="F1093" s="1" t="str">
        <f>IF(E1093&lt;&gt;"", HYPERLINK("https://www.kegg.jp/dbget-bin/www_bget?ec:" &amp; E1093, "https://www.kegg.jp/dbget-bin/www_bget?ec:" &amp; E1093), "")</f>
        <v/>
      </c>
      <c r="G1093" s="3"/>
      <c r="H1093" s="1" t="str">
        <f>IF(G1093&lt;&gt;"", HYPERLINK("https://www.kegg.jp/entry/" &amp; G1093, "https://www.kegg.jp/entry/" &amp; G1093), "")</f>
        <v/>
      </c>
    </row>
    <row r="1094" spans="1:10" hidden="1" x14ac:dyDescent="0.25">
      <c r="A1094" t="s">
        <v>2146</v>
      </c>
      <c r="B1094">
        <v>110</v>
      </c>
      <c r="C1094" t="s">
        <v>2147</v>
      </c>
      <c r="F1094" s="1" t="str">
        <f>IF(E1094&lt;&gt;"", HYPERLINK("https://www.kegg.jp/dbget-bin/www_bget?ec:" &amp; E1094, "https://www.kegg.jp/dbget-bin/www_bget?ec:" &amp; E1094), "")</f>
        <v/>
      </c>
      <c r="G1094" s="3"/>
      <c r="H1094" s="1" t="str">
        <f>IF(G1094&lt;&gt;"", HYPERLINK("https://www.kegg.jp/entry/" &amp; G1094, "https://www.kegg.jp/entry/" &amp; G1094), "")</f>
        <v/>
      </c>
    </row>
    <row r="1095" spans="1:10" hidden="1" x14ac:dyDescent="0.25">
      <c r="A1095" t="s">
        <v>2148</v>
      </c>
      <c r="B1095">
        <v>108</v>
      </c>
      <c r="C1095" t="s">
        <v>2149</v>
      </c>
      <c r="F1095" s="1" t="str">
        <f>IF(E1095&lt;&gt;"", HYPERLINK("https://www.kegg.jp/dbget-bin/www_bget?ec:" &amp; E1095, "https://www.kegg.jp/dbget-bin/www_bget?ec:" &amp; E1095), "")</f>
        <v/>
      </c>
      <c r="G1095" s="3"/>
      <c r="H1095" s="1" t="str">
        <f>IF(G1095&lt;&gt;"", HYPERLINK("https://www.kegg.jp/entry/" &amp; G1095, "https://www.kegg.jp/entry/" &amp; G1095), "")</f>
        <v/>
      </c>
    </row>
    <row r="1096" spans="1:10" hidden="1" x14ac:dyDescent="0.25">
      <c r="A1096" t="s">
        <v>2150</v>
      </c>
      <c r="B1096">
        <v>100</v>
      </c>
      <c r="C1096" t="s">
        <v>2151</v>
      </c>
      <c r="F1096" s="1" t="str">
        <f>IF(E1096&lt;&gt;"", HYPERLINK("https://www.kegg.jp/dbget-bin/www_bget?ec:" &amp; E1096, "https://www.kegg.jp/dbget-bin/www_bget?ec:" &amp; E1096), "")</f>
        <v/>
      </c>
      <c r="G1096" s="3"/>
      <c r="H1096" s="1" t="str">
        <f>IF(G1096&lt;&gt;"", HYPERLINK("https://www.kegg.jp/entry/" &amp; G1096, "https://www.kegg.jp/entry/" &amp; G1096), "")</f>
        <v/>
      </c>
    </row>
    <row r="1097" spans="1:10" hidden="1" x14ac:dyDescent="0.25">
      <c r="A1097" t="s">
        <v>2152</v>
      </c>
      <c r="B1097">
        <v>184</v>
      </c>
      <c r="C1097" t="s">
        <v>2153</v>
      </c>
      <c r="F1097" s="1" t="str">
        <f>IF(E1097&lt;&gt;"", HYPERLINK("https://www.kegg.jp/dbget-bin/www_bget?ec:" &amp; E1097, "https://www.kegg.jp/dbget-bin/www_bget?ec:" &amp; E1097), "")</f>
        <v/>
      </c>
      <c r="G1097" s="3"/>
      <c r="H1097" s="1" t="str">
        <f>IF(G1097&lt;&gt;"", HYPERLINK("https://www.kegg.jp/entry/" &amp; G1097, "https://www.kegg.jp/entry/" &amp; G1097), "")</f>
        <v/>
      </c>
    </row>
    <row r="1098" spans="1:10" hidden="1" x14ac:dyDescent="0.25">
      <c r="A1098" t="s">
        <v>2154</v>
      </c>
      <c r="B1098">
        <v>421</v>
      </c>
      <c r="C1098" t="s">
        <v>2155</v>
      </c>
      <c r="F1098" s="1" t="str">
        <f>IF(E1098&lt;&gt;"", HYPERLINK("https://www.kegg.jp/dbget-bin/www_bget?ec:" &amp; E1098, "https://www.kegg.jp/dbget-bin/www_bget?ec:" &amp; E1098), "")</f>
        <v/>
      </c>
      <c r="G1098" s="3"/>
      <c r="H1098" s="1" t="str">
        <f>IF(G1098&lt;&gt;"", HYPERLINK("https://www.kegg.jp/entry/" &amp; G1098, "https://www.kegg.jp/entry/" &amp; G1098), "")</f>
        <v/>
      </c>
    </row>
    <row r="1099" spans="1:10" hidden="1" x14ac:dyDescent="0.25">
      <c r="A1099" t="s">
        <v>2157</v>
      </c>
      <c r="B1099">
        <v>359</v>
      </c>
      <c r="C1099" t="s">
        <v>2158</v>
      </c>
      <c r="E1099" s="5" t="s">
        <v>6782</v>
      </c>
      <c r="F1099" s="1" t="str">
        <f>IF(E1099&lt;&gt;"", HYPERLINK("https://www.kegg.jp/dbget-bin/www_bget?ec:" &amp; E1099, "https://www.kegg.jp/dbget-bin/www_bget?ec:" &amp; E1099), "")</f>
        <v>https://www.kegg.jp/dbget-bin/www_bget?ec:2.7.7.-</v>
      </c>
      <c r="G1099" s="3"/>
      <c r="H1099" s="1" t="str">
        <f>IF(G1099&lt;&gt;"", HYPERLINK("https://www.kegg.jp/entry/" &amp; G1099, "https://www.kegg.jp/entry/" &amp; G1099), "")</f>
        <v/>
      </c>
    </row>
    <row r="1100" spans="1:10" hidden="1" x14ac:dyDescent="0.25">
      <c r="A1100" t="s">
        <v>2160</v>
      </c>
      <c r="B1100">
        <v>308</v>
      </c>
      <c r="C1100" t="s">
        <v>2161</v>
      </c>
      <c r="F1100" s="1" t="str">
        <f>IF(E1100&lt;&gt;"", HYPERLINK("https://www.kegg.jp/dbget-bin/www_bget?ec:" &amp; E1100, "https://www.kegg.jp/dbget-bin/www_bget?ec:" &amp; E1100), "")</f>
        <v/>
      </c>
      <c r="G1100" s="3"/>
      <c r="H1100" s="1" t="str">
        <f>IF(G1100&lt;&gt;"", HYPERLINK("https://www.kegg.jp/entry/" &amp; G1100, "https://www.kegg.jp/entry/" &amp; G1100), "")</f>
        <v/>
      </c>
    </row>
    <row r="1101" spans="1:10" hidden="1" x14ac:dyDescent="0.25">
      <c r="A1101" t="s">
        <v>2162</v>
      </c>
      <c r="B1101">
        <v>56</v>
      </c>
      <c r="C1101" t="s">
        <v>2163</v>
      </c>
      <c r="F1101" s="1" t="str">
        <f>IF(E1101&lt;&gt;"", HYPERLINK("https://www.kegg.jp/dbget-bin/www_bget?ec:" &amp; E1101, "https://www.kegg.jp/dbget-bin/www_bget?ec:" &amp; E1101), "")</f>
        <v/>
      </c>
      <c r="G1101" s="3"/>
      <c r="H1101" s="1" t="str">
        <f>IF(G1101&lt;&gt;"", HYPERLINK("https://www.kegg.jp/entry/" &amp; G1101, "https://www.kegg.jp/entry/" &amp; G1101), "")</f>
        <v/>
      </c>
    </row>
    <row r="1102" spans="1:10" hidden="1" x14ac:dyDescent="0.25">
      <c r="A1102" t="s">
        <v>2164</v>
      </c>
      <c r="B1102">
        <v>85</v>
      </c>
      <c r="C1102" t="s">
        <v>2165</v>
      </c>
      <c r="F1102" s="1" t="str">
        <f>IF(E1102&lt;&gt;"", HYPERLINK("https://www.kegg.jp/dbget-bin/www_bget?ec:" &amp; E1102, "https://www.kegg.jp/dbget-bin/www_bget?ec:" &amp; E1102), "")</f>
        <v/>
      </c>
      <c r="G1102" s="3"/>
      <c r="H1102" s="1" t="str">
        <f>IF(G1102&lt;&gt;"", HYPERLINK("https://www.kegg.jp/entry/" &amp; G1102, "https://www.kegg.jp/entry/" &amp; G1102), "")</f>
        <v/>
      </c>
    </row>
    <row r="1103" spans="1:10" hidden="1" x14ac:dyDescent="0.25">
      <c r="A1103" t="s">
        <v>2166</v>
      </c>
      <c r="B1103">
        <v>63</v>
      </c>
      <c r="C1103" t="s">
        <v>2167</v>
      </c>
      <c r="F1103" s="1" t="str">
        <f>IF(E1103&lt;&gt;"", HYPERLINK("https://www.kegg.jp/dbget-bin/www_bget?ec:" &amp; E1103, "https://www.kegg.jp/dbget-bin/www_bget?ec:" &amp; E1103), "")</f>
        <v/>
      </c>
      <c r="G1103" s="3"/>
      <c r="H1103" s="1" t="str">
        <f>IF(G1103&lt;&gt;"", HYPERLINK("https://www.kegg.jp/entry/" &amp; G1103, "https://www.kegg.jp/entry/" &amp; G1103), "")</f>
        <v/>
      </c>
    </row>
    <row r="1104" spans="1:10" hidden="1" x14ac:dyDescent="0.25">
      <c r="A1104" t="s">
        <v>2168</v>
      </c>
      <c r="B1104">
        <v>53</v>
      </c>
      <c r="C1104" t="s">
        <v>2169</v>
      </c>
      <c r="F1104" s="1" t="str">
        <f>IF(E1104&lt;&gt;"", HYPERLINK("https://www.kegg.jp/dbget-bin/www_bget?ec:" &amp; E1104, "https://www.kegg.jp/dbget-bin/www_bget?ec:" &amp; E1104), "")</f>
        <v/>
      </c>
      <c r="G1104" s="3"/>
      <c r="H1104" s="1" t="str">
        <f>IF(G1104&lt;&gt;"", HYPERLINK("https://www.kegg.jp/entry/" &amp; G1104, "https://www.kegg.jp/entry/" &amp; G1104), "")</f>
        <v/>
      </c>
    </row>
    <row r="1105" spans="1:10" hidden="1" x14ac:dyDescent="0.25">
      <c r="A1105" t="s">
        <v>2170</v>
      </c>
      <c r="B1105">
        <v>94</v>
      </c>
      <c r="C1105" t="s">
        <v>2171</v>
      </c>
      <c r="F1105" s="1" t="str">
        <f>IF(E1105&lt;&gt;"", HYPERLINK("https://www.kegg.jp/dbget-bin/www_bget?ec:" &amp; E1105, "https://www.kegg.jp/dbget-bin/www_bget?ec:" &amp; E1105), "")</f>
        <v/>
      </c>
      <c r="G1105" s="3"/>
      <c r="H1105" s="1" t="str">
        <f>IF(G1105&lt;&gt;"", HYPERLINK("https://www.kegg.jp/entry/" &amp; G1105, "https://www.kegg.jp/entry/" &amp; G1105), "")</f>
        <v/>
      </c>
    </row>
    <row r="1106" spans="1:10" hidden="1" x14ac:dyDescent="0.25">
      <c r="A1106" t="s">
        <v>2172</v>
      </c>
      <c r="B1106">
        <v>80</v>
      </c>
      <c r="C1106" t="s">
        <v>2173</v>
      </c>
      <c r="F1106" s="1" t="str">
        <f>IF(E1106&lt;&gt;"", HYPERLINK("https://www.kegg.jp/dbget-bin/www_bget?ec:" &amp; E1106, "https://www.kegg.jp/dbget-bin/www_bget?ec:" &amp; E1106), "")</f>
        <v/>
      </c>
      <c r="G1106" s="3"/>
      <c r="H1106" s="1" t="str">
        <f>IF(G1106&lt;&gt;"", HYPERLINK("https://www.kegg.jp/entry/" &amp; G1106, "https://www.kegg.jp/entry/" &amp; G1106), "")</f>
        <v/>
      </c>
    </row>
    <row r="1107" spans="1:10" hidden="1" x14ac:dyDescent="0.25">
      <c r="A1107" t="s">
        <v>2174</v>
      </c>
      <c r="B1107">
        <v>96</v>
      </c>
      <c r="C1107" t="s">
        <v>2175</v>
      </c>
      <c r="F1107" s="1" t="str">
        <f>IF(E1107&lt;&gt;"", HYPERLINK("https://www.kegg.jp/dbget-bin/www_bget?ec:" &amp; E1107, "https://www.kegg.jp/dbget-bin/www_bget?ec:" &amp; E1107), "")</f>
        <v/>
      </c>
      <c r="G1107" s="3"/>
      <c r="H1107" s="1" t="str">
        <f>IF(G1107&lt;&gt;"", HYPERLINK("https://www.kegg.jp/entry/" &amp; G1107, "https://www.kegg.jp/entry/" &amp; G1107), "")</f>
        <v/>
      </c>
    </row>
    <row r="1108" spans="1:10" hidden="1" x14ac:dyDescent="0.25">
      <c r="A1108" t="s">
        <v>2176</v>
      </c>
      <c r="B1108">
        <v>39</v>
      </c>
      <c r="C1108" t="s">
        <v>2177</v>
      </c>
      <c r="F1108" s="1" t="str">
        <f>IF(E1108&lt;&gt;"", HYPERLINK("https://www.kegg.jp/dbget-bin/www_bget?ec:" &amp; E1108, "https://www.kegg.jp/dbget-bin/www_bget?ec:" &amp; E1108), "")</f>
        <v/>
      </c>
      <c r="G1108" s="3"/>
      <c r="H1108" s="1" t="str">
        <f>IF(G1108&lt;&gt;"", HYPERLINK("https://www.kegg.jp/entry/" &amp; G1108, "https://www.kegg.jp/entry/" &amp; G1108), "")</f>
        <v/>
      </c>
    </row>
    <row r="1109" spans="1:10" hidden="1" x14ac:dyDescent="0.25">
      <c r="A1109" t="s">
        <v>2178</v>
      </c>
      <c r="B1109">
        <v>127</v>
      </c>
      <c r="C1109" t="s">
        <v>2179</v>
      </c>
      <c r="F1109" s="1" t="str">
        <f>IF(E1109&lt;&gt;"", HYPERLINK("https://www.kegg.jp/dbget-bin/www_bget?ec:" &amp; E1109, "https://www.kegg.jp/dbget-bin/www_bget?ec:" &amp; E1109), "")</f>
        <v/>
      </c>
      <c r="G1109" s="3"/>
      <c r="H1109" s="1" t="str">
        <f>IF(G1109&lt;&gt;"", HYPERLINK("https://www.kegg.jp/entry/" &amp; G1109, "https://www.kegg.jp/entry/" &amp; G1109), "")</f>
        <v/>
      </c>
    </row>
    <row r="1110" spans="1:10" hidden="1" x14ac:dyDescent="0.25">
      <c r="A1110" t="s">
        <v>2181</v>
      </c>
      <c r="B1110">
        <v>393</v>
      </c>
      <c r="C1110" t="s">
        <v>2182</v>
      </c>
      <c r="F1110" s="1" t="str">
        <f>IF(E1110&lt;&gt;"", HYPERLINK("https://www.kegg.jp/dbget-bin/www_bget?ec:" &amp; E1110, "https://www.kegg.jp/dbget-bin/www_bget?ec:" &amp; E1110), "")</f>
        <v/>
      </c>
      <c r="G1110" s="3"/>
      <c r="H1110" s="1" t="str">
        <f>IF(G1110&lt;&gt;"", HYPERLINK("https://www.kegg.jp/entry/" &amp; G1110, "https://www.kegg.jp/entry/" &amp; G1110), "")</f>
        <v/>
      </c>
    </row>
    <row r="1111" spans="1:10" hidden="1" x14ac:dyDescent="0.25">
      <c r="C1111" t="s">
        <v>2184</v>
      </c>
      <c r="F1111" s="1" t="str">
        <f>IF(E1111&lt;&gt;"", HYPERLINK("https://www.kegg.jp/dbget-bin/www_bget?ec:" &amp; E1111, "https://www.kegg.jp/dbget-bin/www_bget?ec:" &amp; E1111), "")</f>
        <v/>
      </c>
      <c r="G1111" s="3"/>
      <c r="H1111" s="1" t="str">
        <f>IF(G1111&lt;&gt;"", HYPERLINK("https://www.kegg.jp/entry/" &amp; G1111, "https://www.kegg.jp/entry/" &amp; G1111), "")</f>
        <v/>
      </c>
    </row>
    <row r="1112" spans="1:10" hidden="1" x14ac:dyDescent="0.25">
      <c r="A1112" t="s">
        <v>2185</v>
      </c>
      <c r="B1112">
        <v>46</v>
      </c>
      <c r="C1112" t="s">
        <v>2186</v>
      </c>
      <c r="F1112" s="1" t="str">
        <f>IF(E1112&lt;&gt;"", HYPERLINK("https://www.kegg.jp/dbget-bin/www_bget?ec:" &amp; E1112, "https://www.kegg.jp/dbget-bin/www_bget?ec:" &amp; E1112), "")</f>
        <v/>
      </c>
      <c r="G1112" s="3"/>
      <c r="H1112" s="1" t="str">
        <f>IF(G1112&lt;&gt;"", HYPERLINK("https://www.kegg.jp/entry/" &amp; G1112, "https://www.kegg.jp/entry/" &amp; G1112), "")</f>
        <v/>
      </c>
    </row>
    <row r="1113" spans="1:10" x14ac:dyDescent="0.25">
      <c r="A1113" t="s">
        <v>2187</v>
      </c>
      <c r="B1113">
        <v>412</v>
      </c>
      <c r="C1113" t="s">
        <v>2188</v>
      </c>
      <c r="E1113" s="5" t="s">
        <v>6627</v>
      </c>
      <c r="F1113" s="1" t="str">
        <f>IF(E1113&lt;&gt;"", HYPERLINK("https://www.kegg.jp/dbget-bin/www_bget?ec:" &amp; E1113, "https://www.kegg.jp/dbget-bin/www_bget?ec:" &amp; E1113), "")</f>
        <v>https://www.kegg.jp/dbget-bin/www_bget?ec:1.3.8.1</v>
      </c>
      <c r="G1113" s="3" t="s">
        <v>7359</v>
      </c>
      <c r="H1113" s="1" t="str">
        <f>IF(G1113&lt;&gt;"", HYPERLINK("https://www.kegg.jp/entry/" &amp; G1113, "https://www.kegg.jp/entry/" &amp; G1113), "")</f>
        <v>https://www.kegg.jp/entry/R01178</v>
      </c>
      <c r="I1113" t="s">
        <v>12780</v>
      </c>
      <c r="J1113" t="s">
        <v>12781</v>
      </c>
    </row>
    <row r="1114" spans="1:10" x14ac:dyDescent="0.25">
      <c r="A1114" t="s">
        <v>2187</v>
      </c>
      <c r="B1114">
        <v>412</v>
      </c>
      <c r="C1114" t="s">
        <v>2188</v>
      </c>
      <c r="E1114" s="5" t="s">
        <v>6627</v>
      </c>
      <c r="F1114" s="1" t="str">
        <f>IF(E1114&lt;&gt;"", HYPERLINK("https://www.kegg.jp/dbget-bin/www_bget?ec:" &amp; E1114, "https://www.kegg.jp/dbget-bin/www_bget?ec:" &amp; E1114), "")</f>
        <v>https://www.kegg.jp/dbget-bin/www_bget?ec:1.3.8.1</v>
      </c>
      <c r="G1114" s="3" t="s">
        <v>7364</v>
      </c>
      <c r="H1114" s="1" t="str">
        <f>IF(G1114&lt;&gt;"", HYPERLINK("https://www.kegg.jp/entry/" &amp; G1114, "https://www.kegg.jp/entry/" &amp; G1114), "")</f>
        <v>https://www.kegg.jp/entry/R01175</v>
      </c>
      <c r="I1114" t="s">
        <v>12782</v>
      </c>
      <c r="J1114" t="s">
        <v>12783</v>
      </c>
    </row>
    <row r="1115" spans="1:10" x14ac:dyDescent="0.25">
      <c r="A1115" t="s">
        <v>2187</v>
      </c>
      <c r="B1115">
        <v>412</v>
      </c>
      <c r="C1115" t="s">
        <v>2188</v>
      </c>
      <c r="E1115" s="5" t="s">
        <v>6627</v>
      </c>
      <c r="F1115" s="1" t="str">
        <f>IF(E1115&lt;&gt;"", HYPERLINK("https://www.kegg.jp/dbget-bin/www_bget?ec:" &amp; E1115, "https://www.kegg.jp/dbget-bin/www_bget?ec:" &amp; E1115), "")</f>
        <v>https://www.kegg.jp/dbget-bin/www_bget?ec:1.3.8.1</v>
      </c>
      <c r="G1115" s="3" t="s">
        <v>7363</v>
      </c>
      <c r="H1115" s="1" t="str">
        <f>IF(G1115&lt;&gt;"", HYPERLINK("https://www.kegg.jp/entry/" &amp; G1115, "https://www.kegg.jp/entry/" &amp; G1115), "")</f>
        <v>https://www.kegg.jp/entry/R04751</v>
      </c>
      <c r="I1115" t="s">
        <v>12784</v>
      </c>
      <c r="J1115" t="s">
        <v>12785</v>
      </c>
    </row>
    <row r="1116" spans="1:10" x14ac:dyDescent="0.25">
      <c r="A1116" t="s">
        <v>2187</v>
      </c>
      <c r="B1116">
        <v>412</v>
      </c>
      <c r="C1116" t="s">
        <v>2188</v>
      </c>
      <c r="E1116" s="5" t="s">
        <v>6627</v>
      </c>
      <c r="F1116" s="1" t="str">
        <f>IF(E1116&lt;&gt;"", HYPERLINK("https://www.kegg.jp/dbget-bin/www_bget?ec:" &amp; E1116, "https://www.kegg.jp/dbget-bin/www_bget?ec:" &amp; E1116), "")</f>
        <v>https://www.kegg.jp/dbget-bin/www_bget?ec:1.3.8.1</v>
      </c>
      <c r="G1116" s="3" t="s">
        <v>7362</v>
      </c>
      <c r="H1116" s="1" t="str">
        <f>IF(G1116&lt;&gt;"", HYPERLINK("https://www.kegg.jp/entry/" &amp; G1116, "https://www.kegg.jp/entry/" &amp; G1116), "")</f>
        <v>https://www.kegg.jp/entry/R02661</v>
      </c>
      <c r="I1116" t="s">
        <v>12786</v>
      </c>
      <c r="J1116" t="s">
        <v>12787</v>
      </c>
    </row>
    <row r="1117" spans="1:10" x14ac:dyDescent="0.25">
      <c r="A1117" t="s">
        <v>2187</v>
      </c>
      <c r="B1117">
        <v>412</v>
      </c>
      <c r="C1117" t="s">
        <v>2188</v>
      </c>
      <c r="E1117" s="5" t="s">
        <v>6627</v>
      </c>
      <c r="F1117" s="1" t="str">
        <f>IF(E1117&lt;&gt;"", HYPERLINK("https://www.kegg.jp/dbget-bin/www_bget?ec:" &amp; E1117, "https://www.kegg.jp/dbget-bin/www_bget?ec:" &amp; E1117), "")</f>
        <v>https://www.kegg.jp/dbget-bin/www_bget?ec:1.3.8.1</v>
      </c>
      <c r="G1117" s="3" t="s">
        <v>7361</v>
      </c>
      <c r="H1117" s="1" t="str">
        <f>IF(G1117&lt;&gt;"", HYPERLINK("https://www.kegg.jp/entry/" &amp; G1117, "https://www.kegg.jp/entry/" &amp; G1117), "")</f>
        <v>https://www.kegg.jp/entry/R03172</v>
      </c>
      <c r="I1117" t="s">
        <v>12788</v>
      </c>
      <c r="J1117" t="s">
        <v>12789</v>
      </c>
    </row>
    <row r="1118" spans="1:10" x14ac:dyDescent="0.25">
      <c r="A1118" t="s">
        <v>2187</v>
      </c>
      <c r="B1118">
        <v>412</v>
      </c>
      <c r="C1118" t="s">
        <v>2188</v>
      </c>
      <c r="E1118" s="5" t="s">
        <v>6627</v>
      </c>
      <c r="F1118" s="1" t="str">
        <f>IF(E1118&lt;&gt;"", HYPERLINK("https://www.kegg.jp/dbget-bin/www_bget?ec:" &amp; E1118, "https://www.kegg.jp/dbget-bin/www_bget?ec:" &amp; E1118), "")</f>
        <v>https://www.kegg.jp/dbget-bin/www_bget?ec:1.3.8.1</v>
      </c>
      <c r="G1118" s="3" t="s">
        <v>7360</v>
      </c>
      <c r="H1118" s="1" t="str">
        <f>IF(G1118&lt;&gt;"", HYPERLINK("https://www.kegg.jp/entry/" &amp; G1118, "https://www.kegg.jp/entry/" &amp; G1118), "")</f>
        <v>https://www.kegg.jp/entry/R04432</v>
      </c>
      <c r="I1118" t="s">
        <v>12790</v>
      </c>
      <c r="J1118" t="s">
        <v>12791</v>
      </c>
    </row>
    <row r="1119" spans="1:10" x14ac:dyDescent="0.25">
      <c r="A1119" t="s">
        <v>2190</v>
      </c>
      <c r="B1119">
        <v>384</v>
      </c>
      <c r="C1119" t="s">
        <v>2191</v>
      </c>
      <c r="E1119" s="5" t="s">
        <v>6783</v>
      </c>
      <c r="F1119" s="1" t="str">
        <f>IF(E1119&lt;&gt;"", HYPERLINK("https://www.kegg.jp/dbget-bin/www_bget?ec:" &amp; E1119, "https://www.kegg.jp/dbget-bin/www_bget?ec:" &amp; E1119), "")</f>
        <v>https://www.kegg.jp/dbget-bin/www_bget?ec:2.3.1.9</v>
      </c>
      <c r="G1119" s="3" t="s">
        <v>7598</v>
      </c>
      <c r="H1119" s="1" t="str">
        <f>IF(G1119&lt;&gt;"", HYPERLINK("https://www.kegg.jp/entry/" &amp; G1119, "https://www.kegg.jp/entry/" &amp; G1119), "")</f>
        <v>https://www.kegg.jp/entry/R00238</v>
      </c>
      <c r="I1119" t="s">
        <v>8227</v>
      </c>
      <c r="J1119" t="s">
        <v>8503</v>
      </c>
    </row>
    <row r="1120" spans="1:10" x14ac:dyDescent="0.25">
      <c r="A1120" t="s">
        <v>2190</v>
      </c>
      <c r="B1120">
        <v>384</v>
      </c>
      <c r="C1120" t="s">
        <v>2191</v>
      </c>
      <c r="E1120" s="5" t="s">
        <v>6783</v>
      </c>
      <c r="F1120" s="1" t="str">
        <f>IF(E1120&lt;&gt;"", HYPERLINK("https://www.kegg.jp/dbget-bin/www_bget?ec:" &amp; E1120, "https://www.kegg.jp/dbget-bin/www_bget?ec:" &amp; E1120), "")</f>
        <v>https://www.kegg.jp/dbget-bin/www_bget?ec:2.3.1.9</v>
      </c>
      <c r="G1120" s="3" t="s">
        <v>7599</v>
      </c>
      <c r="H1120" s="1" t="str">
        <f>IF(G1120&lt;&gt;"", HYPERLINK("https://www.kegg.jp/entry/" &amp; G1120, "https://www.kegg.jp/entry/" &amp; G1120), "")</f>
        <v>https://www.kegg.jp/entry/R00927</v>
      </c>
      <c r="I1120" t="s">
        <v>13121</v>
      </c>
      <c r="J1120" t="s">
        <v>8504</v>
      </c>
    </row>
    <row r="1121" spans="1:10" x14ac:dyDescent="0.25">
      <c r="A1121" t="s">
        <v>2190</v>
      </c>
      <c r="B1121">
        <v>384</v>
      </c>
      <c r="C1121" t="s">
        <v>2191</v>
      </c>
      <c r="E1121" s="5" t="s">
        <v>6783</v>
      </c>
      <c r="F1121" s="1" t="str">
        <f>IF(E1121&lt;&gt;"", HYPERLINK("https://www.kegg.jp/dbget-bin/www_bget?ec:" &amp; E1121, "https://www.kegg.jp/dbget-bin/www_bget?ec:" &amp; E1121), "")</f>
        <v>https://www.kegg.jp/dbget-bin/www_bget?ec:2.3.1.9</v>
      </c>
      <c r="G1121" s="3" t="s">
        <v>7600</v>
      </c>
      <c r="H1121" s="1" t="str">
        <f>IF(G1121&lt;&gt;"", HYPERLINK("https://www.kegg.jp/entry/" &amp; G1121, "https://www.kegg.jp/entry/" &amp; G1121), "")</f>
        <v>https://www.kegg.jp/entry/R01177</v>
      </c>
      <c r="I1121" t="s">
        <v>8228</v>
      </c>
      <c r="J1121" t="s">
        <v>8505</v>
      </c>
    </row>
    <row r="1122" spans="1:10" x14ac:dyDescent="0.25">
      <c r="A1122" t="s">
        <v>2193</v>
      </c>
      <c r="B1122">
        <v>242</v>
      </c>
      <c r="C1122" t="s">
        <v>2194</v>
      </c>
      <c r="E1122" s="5" t="s">
        <v>6784</v>
      </c>
      <c r="F1122" s="1" t="str">
        <f>IF(E1122&lt;&gt;"", HYPERLINK("https://www.kegg.jp/dbget-bin/www_bget?ec:" &amp; E1122, "https://www.kegg.jp/dbget-bin/www_bget?ec:" &amp; E1122), "")</f>
        <v>https://www.kegg.jp/dbget-bin/www_bget?ec:1.1.1.35</v>
      </c>
      <c r="G1122" s="3" t="s">
        <v>7601</v>
      </c>
      <c r="H1122" s="1" t="str">
        <f>IF(G1122&lt;&gt;"", HYPERLINK("https://www.kegg.jp/entry/" &amp; G1122, "https://www.kegg.jp/entry/" &amp; G1122), "")</f>
        <v>https://www.kegg.jp/entry/R01778</v>
      </c>
      <c r="I1122" t="s">
        <v>13122</v>
      </c>
      <c r="J1122" t="s">
        <v>13123</v>
      </c>
    </row>
    <row r="1123" spans="1:10" x14ac:dyDescent="0.25">
      <c r="A1123" t="s">
        <v>2193</v>
      </c>
      <c r="B1123">
        <v>242</v>
      </c>
      <c r="C1123" t="s">
        <v>2194</v>
      </c>
      <c r="E1123" s="5" t="s">
        <v>6784</v>
      </c>
      <c r="F1123" s="1" t="str">
        <f>IF(E1123&lt;&gt;"", HYPERLINK("https://www.kegg.jp/dbget-bin/www_bget?ec:" &amp; E1123, "https://www.kegg.jp/dbget-bin/www_bget?ec:" &amp; E1123), "")</f>
        <v>https://www.kegg.jp/dbget-bin/www_bget?ec:1.1.1.35</v>
      </c>
      <c r="G1123" s="3" t="s">
        <v>7615</v>
      </c>
      <c r="H1123" s="1" t="str">
        <f>IF(G1123&lt;&gt;"", HYPERLINK("https://www.kegg.jp/entry/" &amp; G1123, "https://www.kegg.jp/entry/" &amp; G1123), "")</f>
        <v>https://www.kegg.jp/entry/R01975</v>
      </c>
      <c r="I1123" t="s">
        <v>13124</v>
      </c>
      <c r="J1123" t="s">
        <v>13125</v>
      </c>
    </row>
    <row r="1124" spans="1:10" x14ac:dyDescent="0.25">
      <c r="A1124" t="s">
        <v>2193</v>
      </c>
      <c r="B1124">
        <v>242</v>
      </c>
      <c r="C1124" t="s">
        <v>2194</v>
      </c>
      <c r="E1124" s="5" t="s">
        <v>6784</v>
      </c>
      <c r="F1124" s="1" t="str">
        <f>IF(E1124&lt;&gt;"", HYPERLINK("https://www.kegg.jp/dbget-bin/www_bget?ec:" &amp; E1124, "https://www.kegg.jp/dbget-bin/www_bget?ec:" &amp; E1124), "")</f>
        <v>https://www.kegg.jp/dbget-bin/www_bget?ec:1.1.1.35</v>
      </c>
      <c r="G1124" s="3" t="s">
        <v>7614</v>
      </c>
      <c r="H1124" s="1" t="str">
        <f>IF(G1124&lt;&gt;"", HYPERLINK("https://www.kegg.jp/entry/" &amp; G1124, "https://www.kegg.jp/entry/" &amp; G1124), "")</f>
        <v>https://www.kegg.jp/entry/R04203</v>
      </c>
      <c r="I1124" t="s">
        <v>13126</v>
      </c>
      <c r="J1124" t="s">
        <v>13127</v>
      </c>
    </row>
    <row r="1125" spans="1:10" x14ac:dyDescent="0.25">
      <c r="A1125" t="s">
        <v>2193</v>
      </c>
      <c r="B1125">
        <v>242</v>
      </c>
      <c r="C1125" t="s">
        <v>2194</v>
      </c>
      <c r="E1125" s="5" t="s">
        <v>6784</v>
      </c>
      <c r="F1125" s="1" t="str">
        <f>IF(E1125&lt;&gt;"", HYPERLINK("https://www.kegg.jp/dbget-bin/www_bget?ec:" &amp; E1125, "https://www.kegg.jp/dbget-bin/www_bget?ec:" &amp; E1125), "")</f>
        <v>https://www.kegg.jp/dbget-bin/www_bget?ec:1.1.1.35</v>
      </c>
      <c r="G1125" s="3" t="s">
        <v>7613</v>
      </c>
      <c r="H1125" s="1" t="str">
        <f>IF(G1125&lt;&gt;"", HYPERLINK("https://www.kegg.jp/entry/" &amp; G1125, "https://www.kegg.jp/entry/" &amp; G1125), "")</f>
        <v>https://www.kegg.jp/entry/R04737</v>
      </c>
      <c r="I1125" t="s">
        <v>13128</v>
      </c>
      <c r="J1125" t="s">
        <v>13129</v>
      </c>
    </row>
    <row r="1126" spans="1:10" x14ac:dyDescent="0.25">
      <c r="A1126" t="s">
        <v>2193</v>
      </c>
      <c r="B1126">
        <v>242</v>
      </c>
      <c r="C1126" t="s">
        <v>2194</v>
      </c>
      <c r="E1126" s="5" t="s">
        <v>6784</v>
      </c>
      <c r="F1126" s="1" t="str">
        <f>IF(E1126&lt;&gt;"", HYPERLINK("https://www.kegg.jp/dbget-bin/www_bget?ec:" &amp; E1126, "https://www.kegg.jp/dbget-bin/www_bget?ec:" &amp; E1126), "")</f>
        <v>https://www.kegg.jp/dbget-bin/www_bget?ec:1.1.1.35</v>
      </c>
      <c r="G1126" s="3" t="s">
        <v>7612</v>
      </c>
      <c r="H1126" s="1" t="str">
        <f>IF(G1126&lt;&gt;"", HYPERLINK("https://www.kegg.jp/entry/" &amp; G1126, "https://www.kegg.jp/entry/" &amp; G1126), "")</f>
        <v>https://www.kegg.jp/entry/R04739</v>
      </c>
      <c r="I1126" t="s">
        <v>13130</v>
      </c>
      <c r="J1126" t="s">
        <v>13131</v>
      </c>
    </row>
    <row r="1127" spans="1:10" x14ac:dyDescent="0.25">
      <c r="A1127" t="s">
        <v>2193</v>
      </c>
      <c r="B1127">
        <v>242</v>
      </c>
      <c r="C1127" t="s">
        <v>2194</v>
      </c>
      <c r="E1127" s="5" t="s">
        <v>6784</v>
      </c>
      <c r="F1127" s="1" t="str">
        <f>IF(E1127&lt;&gt;"", HYPERLINK("https://www.kegg.jp/dbget-bin/www_bget?ec:" &amp; E1127, "https://www.kegg.jp/dbget-bin/www_bget?ec:" &amp; E1127), "")</f>
        <v>https://www.kegg.jp/dbget-bin/www_bget?ec:1.1.1.35</v>
      </c>
      <c r="G1127" s="3" t="s">
        <v>7611</v>
      </c>
      <c r="H1127" s="1" t="str">
        <f>IF(G1127&lt;&gt;"", HYPERLINK("https://www.kegg.jp/entry/" &amp; G1127, "https://www.kegg.jp/entry/" &amp; G1127), "")</f>
        <v>https://www.kegg.jp/entry/R04741</v>
      </c>
      <c r="I1127" t="s">
        <v>13132</v>
      </c>
      <c r="J1127" t="s">
        <v>13133</v>
      </c>
    </row>
    <row r="1128" spans="1:10" x14ac:dyDescent="0.25">
      <c r="A1128" t="s">
        <v>2193</v>
      </c>
      <c r="B1128">
        <v>242</v>
      </c>
      <c r="C1128" t="s">
        <v>2194</v>
      </c>
      <c r="E1128" s="5" t="s">
        <v>6784</v>
      </c>
      <c r="F1128" s="1" t="str">
        <f>IF(E1128&lt;&gt;"", HYPERLINK("https://www.kegg.jp/dbget-bin/www_bget?ec:" &amp; E1128, "https://www.kegg.jp/dbget-bin/www_bget?ec:" &amp; E1128), "")</f>
        <v>https://www.kegg.jp/dbget-bin/www_bget?ec:1.1.1.35</v>
      </c>
      <c r="G1128" s="3" t="s">
        <v>7610</v>
      </c>
      <c r="H1128" s="1" t="str">
        <f>IF(G1128&lt;&gt;"", HYPERLINK("https://www.kegg.jp/entry/" &amp; G1128, "https://www.kegg.jp/entry/" &amp; G1128), "")</f>
        <v>https://www.kegg.jp/entry/R04743</v>
      </c>
      <c r="I1128" t="s">
        <v>13134</v>
      </c>
      <c r="J1128" t="s">
        <v>13135</v>
      </c>
    </row>
    <row r="1129" spans="1:10" x14ac:dyDescent="0.25">
      <c r="A1129" t="s">
        <v>2193</v>
      </c>
      <c r="B1129">
        <v>242</v>
      </c>
      <c r="C1129" t="s">
        <v>2194</v>
      </c>
      <c r="E1129" s="5" t="s">
        <v>6784</v>
      </c>
      <c r="F1129" s="1" t="str">
        <f>IF(E1129&lt;&gt;"", HYPERLINK("https://www.kegg.jp/dbget-bin/www_bget?ec:" &amp; E1129, "https://www.kegg.jp/dbget-bin/www_bget?ec:" &amp; E1129), "")</f>
        <v>https://www.kegg.jp/dbget-bin/www_bget?ec:1.1.1.35</v>
      </c>
      <c r="G1129" s="3" t="s">
        <v>7609</v>
      </c>
      <c r="H1129" s="1" t="str">
        <f>IF(G1129&lt;&gt;"", HYPERLINK("https://www.kegg.jp/entry/" &amp; G1129, "https://www.kegg.jp/entry/" &amp; G1129), "")</f>
        <v>https://www.kegg.jp/entry/R04745</v>
      </c>
      <c r="I1129" t="s">
        <v>13136</v>
      </c>
      <c r="J1129" t="s">
        <v>13137</v>
      </c>
    </row>
    <row r="1130" spans="1:10" x14ac:dyDescent="0.25">
      <c r="A1130" t="s">
        <v>2193</v>
      </c>
      <c r="B1130">
        <v>242</v>
      </c>
      <c r="C1130" t="s">
        <v>2194</v>
      </c>
      <c r="E1130" s="5" t="s">
        <v>6784</v>
      </c>
      <c r="F1130" s="1" t="str">
        <f>IF(E1130&lt;&gt;"", HYPERLINK("https://www.kegg.jp/dbget-bin/www_bget?ec:" &amp; E1130, "https://www.kegg.jp/dbget-bin/www_bget?ec:" &amp; E1130), "")</f>
        <v>https://www.kegg.jp/dbget-bin/www_bget?ec:1.1.1.35</v>
      </c>
      <c r="G1130" s="3" t="s">
        <v>7608</v>
      </c>
      <c r="H1130" s="1" t="str">
        <f>IF(G1130&lt;&gt;"", HYPERLINK("https://www.kegg.jp/entry/" &amp; G1130, "https://www.kegg.jp/entry/" &amp; G1130), "")</f>
        <v>https://www.kegg.jp/entry/R04748</v>
      </c>
      <c r="I1130" t="s">
        <v>13138</v>
      </c>
      <c r="J1130" t="s">
        <v>13139</v>
      </c>
    </row>
    <row r="1131" spans="1:10" x14ac:dyDescent="0.25">
      <c r="A1131" t="s">
        <v>2193</v>
      </c>
      <c r="B1131">
        <v>242</v>
      </c>
      <c r="C1131" t="s">
        <v>2194</v>
      </c>
      <c r="E1131" s="5" t="s">
        <v>6784</v>
      </c>
      <c r="F1131" s="1" t="str">
        <f>IF(E1131&lt;&gt;"", HYPERLINK("https://www.kegg.jp/dbget-bin/www_bget?ec:" &amp; E1131, "https://www.kegg.jp/dbget-bin/www_bget?ec:" &amp; E1131), "")</f>
        <v>https://www.kegg.jp/dbget-bin/www_bget?ec:1.1.1.35</v>
      </c>
      <c r="G1131" s="3" t="s">
        <v>7607</v>
      </c>
      <c r="H1131" s="1" t="str">
        <f>IF(G1131&lt;&gt;"", HYPERLINK("https://www.kegg.jp/entry/" &amp; G1131, "https://www.kegg.jp/entry/" &amp; G1131), "")</f>
        <v>https://www.kegg.jp/entry/R06941</v>
      </c>
      <c r="I1131" t="s">
        <v>13140</v>
      </c>
      <c r="J1131" t="s">
        <v>13141</v>
      </c>
    </row>
    <row r="1132" spans="1:10" x14ac:dyDescent="0.25">
      <c r="A1132" t="s">
        <v>2193</v>
      </c>
      <c r="B1132">
        <v>242</v>
      </c>
      <c r="C1132" t="s">
        <v>2194</v>
      </c>
      <c r="E1132" s="5" t="s">
        <v>6784</v>
      </c>
      <c r="F1132" s="1" t="str">
        <f>IF(E1132&lt;&gt;"", HYPERLINK("https://www.kegg.jp/dbget-bin/www_bget?ec:" &amp; E1132, "https://www.kegg.jp/dbget-bin/www_bget?ec:" &amp; E1132), "")</f>
        <v>https://www.kegg.jp/dbget-bin/www_bget?ec:1.1.1.35</v>
      </c>
      <c r="G1132" s="3" t="s">
        <v>7606</v>
      </c>
      <c r="H1132" s="1" t="str">
        <f>IF(G1132&lt;&gt;"", HYPERLINK("https://www.kegg.jp/entry/" &amp; G1132, "https://www.kegg.jp/entry/" &amp; G1132), "")</f>
        <v>https://www.kegg.jp/entry/R07890</v>
      </c>
      <c r="I1132" t="s">
        <v>13142</v>
      </c>
      <c r="J1132" t="s">
        <v>13143</v>
      </c>
    </row>
    <row r="1133" spans="1:10" x14ac:dyDescent="0.25">
      <c r="A1133" t="s">
        <v>2193</v>
      </c>
      <c r="B1133">
        <v>242</v>
      </c>
      <c r="C1133" t="s">
        <v>2194</v>
      </c>
      <c r="E1133" s="5" t="s">
        <v>6784</v>
      </c>
      <c r="F1133" s="1" t="str">
        <f>IF(E1133&lt;&gt;"", HYPERLINK("https://www.kegg.jp/dbget-bin/www_bget?ec:" &amp; E1133, "https://www.kegg.jp/dbget-bin/www_bget?ec:" &amp; E1133), "")</f>
        <v>https://www.kegg.jp/dbget-bin/www_bget?ec:1.1.1.35</v>
      </c>
      <c r="G1133" s="3" t="s">
        <v>7605</v>
      </c>
      <c r="H1133" s="1" t="str">
        <f>IF(G1133&lt;&gt;"", HYPERLINK("https://www.kegg.jp/entry/" &amp; G1133, "https://www.kegg.jp/entry/" &amp; G1133), "")</f>
        <v>https://www.kegg.jp/entry/R07894</v>
      </c>
      <c r="I1133" t="s">
        <v>13144</v>
      </c>
      <c r="J1133" t="s">
        <v>13145</v>
      </c>
    </row>
    <row r="1134" spans="1:10" x14ac:dyDescent="0.25">
      <c r="A1134" t="s">
        <v>2193</v>
      </c>
      <c r="B1134">
        <v>242</v>
      </c>
      <c r="C1134" t="s">
        <v>2194</v>
      </c>
      <c r="E1134" s="5" t="s">
        <v>6784</v>
      </c>
      <c r="F1134" s="1" t="str">
        <f>IF(E1134&lt;&gt;"", HYPERLINK("https://www.kegg.jp/dbget-bin/www_bget?ec:" &amp; E1134, "https://www.kegg.jp/dbget-bin/www_bget?ec:" &amp; E1134), "")</f>
        <v>https://www.kegg.jp/dbget-bin/www_bget?ec:1.1.1.35</v>
      </c>
      <c r="G1134" s="3" t="s">
        <v>7604</v>
      </c>
      <c r="H1134" s="1" t="str">
        <f>IF(G1134&lt;&gt;"", HYPERLINK("https://www.kegg.jp/entry/" &amp; G1134, "https://www.kegg.jp/entry/" &amp; G1134), "")</f>
        <v>https://www.kegg.jp/entry/R07898</v>
      </c>
      <c r="I1134" t="s">
        <v>13146</v>
      </c>
      <c r="J1134" t="s">
        <v>13147</v>
      </c>
    </row>
    <row r="1135" spans="1:10" x14ac:dyDescent="0.25">
      <c r="A1135" t="s">
        <v>2193</v>
      </c>
      <c r="B1135">
        <v>242</v>
      </c>
      <c r="C1135" t="s">
        <v>2194</v>
      </c>
      <c r="E1135" s="5" t="s">
        <v>6784</v>
      </c>
      <c r="F1135" s="1" t="str">
        <f>IF(E1135&lt;&gt;"", HYPERLINK("https://www.kegg.jp/dbget-bin/www_bget?ec:" &amp; E1135, "https://www.kegg.jp/dbget-bin/www_bget?ec:" &amp; E1135), "")</f>
        <v>https://www.kegg.jp/dbget-bin/www_bget?ec:1.1.1.35</v>
      </c>
      <c r="G1135" s="3" t="s">
        <v>7603</v>
      </c>
      <c r="H1135" s="1" t="str">
        <f>IF(G1135&lt;&gt;"", HYPERLINK("https://www.kegg.jp/entry/" &amp; G1135, "https://www.kegg.jp/entry/" &amp; G1135), "")</f>
        <v>https://www.kegg.jp/entry/R05305</v>
      </c>
      <c r="I1135" t="s">
        <v>13148</v>
      </c>
      <c r="J1135" t="s">
        <v>13149</v>
      </c>
    </row>
    <row r="1136" spans="1:10" x14ac:dyDescent="0.25">
      <c r="A1136" t="s">
        <v>2193</v>
      </c>
      <c r="B1136">
        <v>242</v>
      </c>
      <c r="C1136" t="s">
        <v>2194</v>
      </c>
      <c r="E1136" s="5" t="s">
        <v>6784</v>
      </c>
      <c r="F1136" s="1" t="str">
        <f>IF(E1136&lt;&gt;"", HYPERLINK("https://www.kegg.jp/dbget-bin/www_bget?ec:" &amp; E1136, "https://www.kegg.jp/dbget-bin/www_bget?ec:" &amp; E1136), "")</f>
        <v>https://www.kegg.jp/dbget-bin/www_bget?ec:1.1.1.35</v>
      </c>
      <c r="G1136" s="3" t="s">
        <v>7602</v>
      </c>
      <c r="H1136" s="1" t="str">
        <f>IF(G1136&lt;&gt;"", HYPERLINK("https://www.kegg.jp/entry/" &amp; G1136, "https://www.kegg.jp/entry/" &amp; G1136), "")</f>
        <v>https://www.kegg.jp/entry/R08094</v>
      </c>
      <c r="I1136" t="s">
        <v>13150</v>
      </c>
      <c r="J1136" t="s">
        <v>13151</v>
      </c>
    </row>
    <row r="1137" spans="1:10" x14ac:dyDescent="0.25">
      <c r="A1137" t="s">
        <v>2196</v>
      </c>
      <c r="B1137">
        <v>277</v>
      </c>
      <c r="C1137" t="s">
        <v>2197</v>
      </c>
      <c r="E1137" s="5" t="s">
        <v>6785</v>
      </c>
      <c r="F1137" s="1" t="str">
        <f>IF(E1137&lt;&gt;"", HYPERLINK("https://www.kegg.jp/dbget-bin/www_bget?ec:" &amp; E1137, "https://www.kegg.jp/dbget-bin/www_bget?ec:" &amp; E1137), "")</f>
        <v>https://www.kegg.jp/dbget-bin/www_bget?ec:5.1.99.4</v>
      </c>
      <c r="G1137" s="3" t="s">
        <v>7616</v>
      </c>
      <c r="H1137" s="1" t="str">
        <f>IF(G1137&lt;&gt;"", HYPERLINK("https://www.kegg.jp/entry/" &amp; G1137, "https://www.kegg.jp/entry/" &amp; G1137), "")</f>
        <v>https://www.kegg.jp/entry/R04729</v>
      </c>
      <c r="I1137" t="s">
        <v>8229</v>
      </c>
      <c r="J1137" t="s">
        <v>8506</v>
      </c>
    </row>
    <row r="1138" spans="1:10" x14ac:dyDescent="0.25">
      <c r="A1138" t="s">
        <v>2196</v>
      </c>
      <c r="B1138">
        <v>277</v>
      </c>
      <c r="C1138" t="s">
        <v>2197</v>
      </c>
      <c r="E1138" s="5" t="s">
        <v>6785</v>
      </c>
      <c r="F1138" s="1" t="str">
        <f>IF(E1138&lt;&gt;"", HYPERLINK("https://www.kegg.jp/dbget-bin/www_bget?ec:" &amp; E1138, "https://www.kegg.jp/dbget-bin/www_bget?ec:" &amp; E1138), "")</f>
        <v>https://www.kegg.jp/dbget-bin/www_bget?ec:5.1.99.4</v>
      </c>
      <c r="G1138" s="3" t="s">
        <v>7617</v>
      </c>
      <c r="H1138" s="1" t="str">
        <f>IF(G1138&lt;&gt;"", HYPERLINK("https://www.kegg.jp/entry/" &amp; G1138, "https://www.kegg.jp/entry/" &amp; G1138), "")</f>
        <v>https://www.kegg.jp/entry/R08734</v>
      </c>
      <c r="I1138" t="s">
        <v>8230</v>
      </c>
      <c r="J1138" t="s">
        <v>8507</v>
      </c>
    </row>
    <row r="1139" spans="1:10" x14ac:dyDescent="0.25">
      <c r="A1139" t="s">
        <v>2196</v>
      </c>
      <c r="B1139">
        <v>277</v>
      </c>
      <c r="C1139" t="s">
        <v>2197</v>
      </c>
      <c r="E1139" s="5" t="s">
        <v>6785</v>
      </c>
      <c r="F1139" s="1" t="str">
        <f>IF(E1139&lt;&gt;"", HYPERLINK("https://www.kegg.jp/dbget-bin/www_bget?ec:" &amp; E1139, "https://www.kegg.jp/dbget-bin/www_bget?ec:" &amp; E1139), "")</f>
        <v>https://www.kegg.jp/dbget-bin/www_bget?ec:5.1.99.4</v>
      </c>
      <c r="G1139" s="3" t="s">
        <v>7618</v>
      </c>
      <c r="H1139" s="1" t="str">
        <f>IF(G1139&lt;&gt;"", HYPERLINK("https://www.kegg.jp/entry/" &amp; G1139, "https://www.kegg.jp/entry/" &amp; G1139), "")</f>
        <v>https://www.kegg.jp/entry/R08739</v>
      </c>
      <c r="I1139" t="s">
        <v>8231</v>
      </c>
      <c r="J1139" t="s">
        <v>8508</v>
      </c>
    </row>
    <row r="1140" spans="1:10" x14ac:dyDescent="0.25">
      <c r="A1140" t="s">
        <v>2196</v>
      </c>
      <c r="B1140">
        <v>277</v>
      </c>
      <c r="C1140" t="s">
        <v>2197</v>
      </c>
      <c r="E1140" s="5" t="s">
        <v>6785</v>
      </c>
      <c r="F1140" s="1" t="str">
        <f>IF(E1140&lt;&gt;"", HYPERLINK("https://www.kegg.jp/dbget-bin/www_bget?ec:" &amp; E1140, "https://www.kegg.jp/dbget-bin/www_bget?ec:" &amp; E1140), "")</f>
        <v>https://www.kegg.jp/dbget-bin/www_bget?ec:5.1.99.4</v>
      </c>
      <c r="G1140" s="3" t="s">
        <v>7619</v>
      </c>
      <c r="H1140" s="1" t="str">
        <f>IF(G1140&lt;&gt;"", HYPERLINK("https://www.kegg.jp/entry/" &amp; G1140, "https://www.kegg.jp/entry/" &amp; G1140), "")</f>
        <v>https://www.kegg.jp/entry/R13462</v>
      </c>
      <c r="I1140" t="s">
        <v>8232</v>
      </c>
      <c r="J1140" t="s">
        <v>8509</v>
      </c>
    </row>
    <row r="1141" spans="1:10" x14ac:dyDescent="0.25">
      <c r="A1141" t="s">
        <v>2199</v>
      </c>
      <c r="B1141">
        <v>861</v>
      </c>
      <c r="C1141" t="s">
        <v>2200</v>
      </c>
      <c r="D1141" t="s">
        <v>6786</v>
      </c>
      <c r="E1141" s="5" t="s">
        <v>7622</v>
      </c>
      <c r="F1141" s="1" t="str">
        <f>IF(E1141&lt;&gt;"", HYPERLINK("https://www.kegg.jp/dbget-bin/www_bget?ec:" &amp; E1141, "https://www.kegg.jp/dbget-bin/www_bget?ec:" &amp; E1141), "")</f>
        <v>https://www.kegg.jp/dbget-bin/www_bget?ec:1.7.1.1</v>
      </c>
      <c r="G1141" s="3" t="s">
        <v>7628</v>
      </c>
      <c r="H1141" s="1" t="str">
        <f>IF(G1141&lt;&gt;"", HYPERLINK("https://www.kegg.jp/entry/" &amp; G1141, "https://www.kegg.jp/entry/" &amp; G1141), "")</f>
        <v>https://www.kegg.jp/entry/R00794</v>
      </c>
      <c r="I1141" t="s">
        <v>13152</v>
      </c>
      <c r="J1141" t="s">
        <v>13153</v>
      </c>
    </row>
    <row r="1142" spans="1:10" x14ac:dyDescent="0.25">
      <c r="A1142" t="s">
        <v>2199</v>
      </c>
      <c r="B1142">
        <v>861</v>
      </c>
      <c r="C1142" t="s">
        <v>2200</v>
      </c>
      <c r="D1142" t="s">
        <v>6786</v>
      </c>
      <c r="E1142" s="5" t="s">
        <v>7623</v>
      </c>
      <c r="F1142" s="1" t="str">
        <f>IF(E1142&lt;&gt;"", HYPERLINK("https://www.kegg.jp/dbget-bin/www_bget?ec:" &amp; E1142, "https://www.kegg.jp/dbget-bin/www_bget?ec:" &amp; E1142), "")</f>
        <v>https://www.kegg.jp/dbget-bin/www_bget?ec:1.7.1.2</v>
      </c>
      <c r="G1142" s="3" t="s">
        <v>7628</v>
      </c>
      <c r="H1142" s="1" t="str">
        <f>IF(G1142&lt;&gt;"", HYPERLINK("https://www.kegg.jp/entry/" &amp; G1142, "https://www.kegg.jp/entry/" &amp; G1142), "")</f>
        <v>https://www.kegg.jp/entry/R00794</v>
      </c>
      <c r="I1142" t="s">
        <v>13152</v>
      </c>
      <c r="J1142" t="s">
        <v>13153</v>
      </c>
    </row>
    <row r="1143" spans="1:10" x14ac:dyDescent="0.25">
      <c r="A1143" t="s">
        <v>2199</v>
      </c>
      <c r="B1143">
        <v>861</v>
      </c>
      <c r="C1143" t="s">
        <v>2200</v>
      </c>
      <c r="D1143" t="s">
        <v>6786</v>
      </c>
      <c r="E1143" s="5" t="s">
        <v>7623</v>
      </c>
      <c r="F1143" s="1" t="str">
        <f>IF(E1143&lt;&gt;"", HYPERLINK("https://www.kegg.jp/dbget-bin/www_bget?ec:" &amp; E1143, "https://www.kegg.jp/dbget-bin/www_bget?ec:" &amp; E1143), "")</f>
        <v>https://www.kegg.jp/dbget-bin/www_bget?ec:1.7.1.2</v>
      </c>
      <c r="G1143" s="3" t="s">
        <v>7629</v>
      </c>
      <c r="H1143" s="1" t="str">
        <f>IF(G1143&lt;&gt;"", HYPERLINK("https://www.kegg.jp/entry/" &amp; G1143, "https://www.kegg.jp/entry/" &amp; G1143), "")</f>
        <v>https://www.kegg.jp/entry/R00796</v>
      </c>
      <c r="I1143" t="s">
        <v>13154</v>
      </c>
      <c r="J1143" t="s">
        <v>13155</v>
      </c>
    </row>
    <row r="1144" spans="1:10" x14ac:dyDescent="0.25">
      <c r="A1144" t="s">
        <v>2199</v>
      </c>
      <c r="B1144">
        <v>861</v>
      </c>
      <c r="C1144" t="s">
        <v>2200</v>
      </c>
      <c r="D1144" t="s">
        <v>6786</v>
      </c>
      <c r="E1144" s="5" t="s">
        <v>7624</v>
      </c>
      <c r="F1144" s="1" t="str">
        <f>IF(E1144&lt;&gt;"", HYPERLINK("https://www.kegg.jp/dbget-bin/www_bget?ec:" &amp; E1144, "https://www.kegg.jp/dbget-bin/www_bget?ec:" &amp; E1144), "")</f>
        <v>https://www.kegg.jp/dbget-bin/www_bget?ec:1.7.1.3</v>
      </c>
      <c r="G1144" s="3" t="s">
        <v>7629</v>
      </c>
      <c r="H1144" s="1" t="str">
        <f>IF(G1144&lt;&gt;"", HYPERLINK("https://www.kegg.jp/entry/" &amp; G1144, "https://www.kegg.jp/entry/" &amp; G1144), "")</f>
        <v>https://www.kegg.jp/entry/R00796</v>
      </c>
      <c r="I1144" t="s">
        <v>13154</v>
      </c>
      <c r="J1144" t="s">
        <v>13155</v>
      </c>
    </row>
    <row r="1145" spans="1:10" x14ac:dyDescent="0.25">
      <c r="A1145" t="s">
        <v>2199</v>
      </c>
      <c r="B1145">
        <v>861</v>
      </c>
      <c r="C1145" t="s">
        <v>2200</v>
      </c>
      <c r="D1145" t="s">
        <v>6786</v>
      </c>
      <c r="E1145" s="5" t="s">
        <v>7625</v>
      </c>
      <c r="F1145" s="1" t="str">
        <f>IF(E1145&lt;&gt;"", HYPERLINK("https://www.kegg.jp/dbget-bin/www_bget?ec:" &amp; E1145, "https://www.kegg.jp/dbget-bin/www_bget?ec:" &amp; E1145), "")</f>
        <v>https://www.kegg.jp/dbget-bin/www_bget?ec:1.7.5.1</v>
      </c>
      <c r="G1145" s="3" t="s">
        <v>7630</v>
      </c>
      <c r="H1145" s="1" t="str">
        <f>IF(G1145&lt;&gt;"", HYPERLINK("https://www.kegg.jp/entry/" &amp; G1145, "https://www.kegg.jp/entry/" &amp; G1145), "")</f>
        <v>https://www.kegg.jp/entry/R09497</v>
      </c>
      <c r="I1145" t="s">
        <v>8233</v>
      </c>
      <c r="J1145" t="s">
        <v>13156</v>
      </c>
    </row>
    <row r="1146" spans="1:10" x14ac:dyDescent="0.25">
      <c r="A1146" t="s">
        <v>2199</v>
      </c>
      <c r="B1146">
        <v>861</v>
      </c>
      <c r="C1146" t="s">
        <v>2200</v>
      </c>
      <c r="D1146" t="s">
        <v>6786</v>
      </c>
      <c r="E1146" s="5" t="s">
        <v>7626</v>
      </c>
      <c r="F1146" s="1" t="str">
        <f>IF(E1146&lt;&gt;"", HYPERLINK("https://www.kegg.jp/dbget-bin/www_bget?ec:" &amp; E1146, "https://www.kegg.jp/dbget-bin/www_bget?ec:" &amp; E1146), "")</f>
        <v>https://www.kegg.jp/dbget-bin/www_bget?ec:1.7.7.2</v>
      </c>
      <c r="G1146" s="3" t="s">
        <v>7631</v>
      </c>
      <c r="H1146" s="1" t="str">
        <f>IF(G1146&lt;&gt;"", HYPERLINK("https://www.kegg.jp/entry/" &amp; G1146, "https://www.kegg.jp/entry/" &amp; G1146), "")</f>
        <v>https://www.kegg.jp/entry/R00791</v>
      </c>
      <c r="I1146" t="s">
        <v>13157</v>
      </c>
      <c r="J1146" t="s">
        <v>13158</v>
      </c>
    </row>
    <row r="1147" spans="1:10" x14ac:dyDescent="0.25">
      <c r="A1147" t="s">
        <v>2199</v>
      </c>
      <c r="B1147">
        <v>861</v>
      </c>
      <c r="C1147" t="s">
        <v>2200</v>
      </c>
      <c r="D1147" t="s">
        <v>6786</v>
      </c>
      <c r="E1147" s="5" t="s">
        <v>7627</v>
      </c>
      <c r="F1147" s="1" t="str">
        <f>IF(E1147&lt;&gt;"", HYPERLINK("https://www.kegg.jp/dbget-bin/www_bget?ec:" &amp; E1147, "https://www.kegg.jp/dbget-bin/www_bget?ec:" &amp; E1147), "")</f>
        <v>https://www.kegg.jp/dbget-bin/www_bget?ec:1.9.6.1</v>
      </c>
      <c r="G1147" s="3" t="s">
        <v>7632</v>
      </c>
      <c r="H1147" s="1" t="str">
        <f>IF(G1147&lt;&gt;"", HYPERLINK("https://www.kegg.jp/entry/" &amp; G1147, "https://www.kegg.jp/entry/" &amp; G1147), "")</f>
        <v xml:space="preserve">https://www.kegg.jp/entry/R03071 </v>
      </c>
      <c r="I1147" t="s">
        <v>13159</v>
      </c>
      <c r="J1147" t="s">
        <v>13160</v>
      </c>
    </row>
    <row r="1148" spans="1:10" x14ac:dyDescent="0.25">
      <c r="A1148" t="s">
        <v>2199</v>
      </c>
      <c r="B1148">
        <v>861</v>
      </c>
      <c r="C1148" t="s">
        <v>2200</v>
      </c>
      <c r="D1148" t="s">
        <v>6786</v>
      </c>
      <c r="E1148" s="5" t="s">
        <v>7627</v>
      </c>
      <c r="F1148" s="1" t="str">
        <f>IF(E1148&lt;&gt;"", HYPERLINK("https://www.kegg.jp/dbget-bin/www_bget?ec:" &amp; E1148, "https://www.kegg.jp/dbget-bin/www_bget?ec:" &amp; E1148), "")</f>
        <v>https://www.kegg.jp/dbget-bin/www_bget?ec:1.9.6.1</v>
      </c>
      <c r="G1148" s="3" t="s">
        <v>7633</v>
      </c>
      <c r="H1148" s="1" t="str">
        <f>IF(G1148&lt;&gt;"", HYPERLINK("https://www.kegg.jp/entry/" &amp; G1148, "https://www.kegg.jp/entry/" &amp; G1148), "")</f>
        <v>https://www.kegg.jp/entry/R00792</v>
      </c>
      <c r="I1148" t="s">
        <v>8234</v>
      </c>
      <c r="J1148" t="s">
        <v>13161</v>
      </c>
    </row>
    <row r="1149" spans="1:10" x14ac:dyDescent="0.25">
      <c r="A1149" t="s">
        <v>2202</v>
      </c>
      <c r="B1149">
        <v>160</v>
      </c>
      <c r="C1149" t="s">
        <v>2203</v>
      </c>
      <c r="E1149" s="5" t="s">
        <v>6787</v>
      </c>
      <c r="F1149" s="1" t="str">
        <f>IF(E1149&lt;&gt;"", HYPERLINK("https://www.kegg.jp/dbget-bin/www_bget?ec:" &amp; E1149, "https://www.kegg.jp/dbget-bin/www_bget?ec:" &amp; E1149), "")</f>
        <v>https://www.kegg.jp/dbget-bin/www_bget?ec:1.20.9.1</v>
      </c>
      <c r="G1149" s="3" t="s">
        <v>7620</v>
      </c>
      <c r="H1149" s="1" t="str">
        <f>IF(G1149&lt;&gt;"", HYPERLINK("https://www.kegg.jp/entry/" &amp; G1149, "https://www.kegg.jp/entry/" &amp; G1149), "")</f>
        <v>https://www.kegg.jp/entry/R05751</v>
      </c>
      <c r="I1149" t="s">
        <v>13162</v>
      </c>
      <c r="J1149" t="s">
        <v>13163</v>
      </c>
    </row>
    <row r="1150" spans="1:10" x14ac:dyDescent="0.25">
      <c r="A1150" t="s">
        <v>2202</v>
      </c>
      <c r="B1150">
        <v>160</v>
      </c>
      <c r="C1150" t="s">
        <v>2203</v>
      </c>
      <c r="E1150" s="5" t="s">
        <v>6787</v>
      </c>
      <c r="F1150" s="1" t="str">
        <f>IF(E1150&lt;&gt;"", HYPERLINK("https://www.kegg.jp/dbget-bin/www_bget?ec:" &amp; E1150, "https://www.kegg.jp/dbget-bin/www_bget?ec:" &amp; E1150), "")</f>
        <v>https://www.kegg.jp/dbget-bin/www_bget?ec:1.20.9.1</v>
      </c>
      <c r="G1150" s="3" t="s">
        <v>7621</v>
      </c>
      <c r="H1150" s="1" t="str">
        <f>IF(G1150&lt;&gt;"", HYPERLINK("https://www.kegg.jp/entry/" &amp; G1150, "https://www.kegg.jp/entry/" &amp; G1150), "")</f>
        <v>https://www.kegg.jp/entry/R09787</v>
      </c>
      <c r="I1150" t="s">
        <v>13164</v>
      </c>
      <c r="J1150" t="s">
        <v>13165</v>
      </c>
    </row>
    <row r="1151" spans="1:10" hidden="1" x14ac:dyDescent="0.25">
      <c r="A1151" t="s">
        <v>2205</v>
      </c>
      <c r="B1151">
        <v>117</v>
      </c>
      <c r="C1151" t="s">
        <v>2206</v>
      </c>
      <c r="F1151" s="1" t="str">
        <f>IF(E1151&lt;&gt;"", HYPERLINK("https://www.kegg.jp/dbget-bin/www_bget?ec:" &amp; E1151, "https://www.kegg.jp/dbget-bin/www_bget?ec:" &amp; E1151), "")</f>
        <v/>
      </c>
      <c r="G1151" s="3"/>
      <c r="H1151" s="1" t="str">
        <f>IF(G1151&lt;&gt;"", HYPERLINK("https://www.kegg.jp/entry/" &amp; G1151, "https://www.kegg.jp/entry/" &amp; G1151), "")</f>
        <v/>
      </c>
    </row>
    <row r="1152" spans="1:10" hidden="1" x14ac:dyDescent="0.25">
      <c r="A1152" t="s">
        <v>2208</v>
      </c>
      <c r="B1152">
        <v>489</v>
      </c>
      <c r="C1152" t="s">
        <v>2209</v>
      </c>
      <c r="F1152" s="1" t="str">
        <f>IF(E1152&lt;&gt;"", HYPERLINK("https://www.kegg.jp/dbget-bin/www_bget?ec:" &amp; E1152, "https://www.kegg.jp/dbget-bin/www_bget?ec:" &amp; E1152), "")</f>
        <v/>
      </c>
      <c r="G1152" s="3"/>
      <c r="H1152" s="1" t="str">
        <f>IF(G1152&lt;&gt;"", HYPERLINK("https://www.kegg.jp/entry/" &amp; G1152, "https://www.kegg.jp/entry/" &amp; G1152), "")</f>
        <v/>
      </c>
    </row>
    <row r="1153" spans="1:10" hidden="1" x14ac:dyDescent="0.25">
      <c r="A1153" t="s">
        <v>2211</v>
      </c>
      <c r="B1153">
        <v>349</v>
      </c>
      <c r="C1153" t="s">
        <v>2212</v>
      </c>
      <c r="F1153" s="1" t="str">
        <f>IF(E1153&lt;&gt;"", HYPERLINK("https://www.kegg.jp/dbget-bin/www_bget?ec:" &amp; E1153, "https://www.kegg.jp/dbget-bin/www_bget?ec:" &amp; E1153), "")</f>
        <v/>
      </c>
      <c r="G1153" s="3"/>
      <c r="H1153" s="1" t="str">
        <f>IF(G1153&lt;&gt;"", HYPERLINK("https://www.kegg.jp/entry/" &amp; G1153, "https://www.kegg.jp/entry/" &amp; G1153), "")</f>
        <v/>
      </c>
    </row>
    <row r="1154" spans="1:10" hidden="1" x14ac:dyDescent="0.25">
      <c r="A1154" t="s">
        <v>2214</v>
      </c>
      <c r="B1154">
        <v>277</v>
      </c>
      <c r="C1154" t="s">
        <v>2215</v>
      </c>
      <c r="F1154" s="1" t="str">
        <f>IF(E1154&lt;&gt;"", HYPERLINK("https://www.kegg.jp/dbget-bin/www_bget?ec:" &amp; E1154, "https://www.kegg.jp/dbget-bin/www_bget?ec:" &amp; E1154), "")</f>
        <v/>
      </c>
      <c r="G1154" s="3"/>
      <c r="H1154" s="1" t="str">
        <f>IF(G1154&lt;&gt;"", HYPERLINK("https://www.kegg.jp/entry/" &amp; G1154, "https://www.kegg.jp/entry/" &amp; G1154), "")</f>
        <v/>
      </c>
    </row>
    <row r="1155" spans="1:10" hidden="1" x14ac:dyDescent="0.25">
      <c r="A1155" t="s">
        <v>2217</v>
      </c>
      <c r="B1155">
        <v>379</v>
      </c>
      <c r="C1155" t="s">
        <v>2218</v>
      </c>
      <c r="F1155" s="1" t="str">
        <f>IF(E1155&lt;&gt;"", HYPERLINK("https://www.kegg.jp/dbget-bin/www_bget?ec:" &amp; E1155, "https://www.kegg.jp/dbget-bin/www_bget?ec:" &amp; E1155), "")</f>
        <v/>
      </c>
      <c r="G1155" s="3"/>
      <c r="H1155" s="1" t="str">
        <f>IF(G1155&lt;&gt;"", HYPERLINK("https://www.kegg.jp/entry/" &amp; G1155, "https://www.kegg.jp/entry/" &amp; G1155), "")</f>
        <v/>
      </c>
    </row>
    <row r="1156" spans="1:10" x14ac:dyDescent="0.25">
      <c r="A1156" t="s">
        <v>2220</v>
      </c>
      <c r="B1156">
        <v>432</v>
      </c>
      <c r="C1156" t="s">
        <v>2221</v>
      </c>
      <c r="E1156" s="5" t="s">
        <v>6788</v>
      </c>
      <c r="F1156" s="1" t="str">
        <f>IF(E1156&lt;&gt;"", HYPERLINK("https://www.kegg.jp/dbget-bin/www_bget?ec:" &amp; E1156, "https://www.kegg.jp/dbget-bin/www_bget?ec:" &amp; E1156), "")</f>
        <v>https://www.kegg.jp/dbget-bin/www_bget?ec:2.6.1.19</v>
      </c>
      <c r="G1156" s="3" t="s">
        <v>7634</v>
      </c>
      <c r="H1156" s="1" t="str">
        <f>IF(G1156&lt;&gt;"", HYPERLINK("https://www.kegg.jp/entry/" &amp; G1156, "https://www.kegg.jp/entry/" &amp; G1156), "")</f>
        <v>https://www.kegg.jp/entry/R01648</v>
      </c>
      <c r="I1156" t="s">
        <v>13166</v>
      </c>
      <c r="J1156" t="s">
        <v>13167</v>
      </c>
    </row>
    <row r="1157" spans="1:10" x14ac:dyDescent="0.25">
      <c r="A1157" t="s">
        <v>2220</v>
      </c>
      <c r="B1157">
        <v>432</v>
      </c>
      <c r="C1157" t="s">
        <v>2221</v>
      </c>
      <c r="E1157" s="5" t="s">
        <v>6788</v>
      </c>
      <c r="F1157" s="1" t="str">
        <f>IF(E1157&lt;&gt;"", HYPERLINK("https://www.kegg.jp/dbget-bin/www_bget?ec:" &amp; E1157, "https://www.kegg.jp/dbget-bin/www_bget?ec:" &amp; E1157), "")</f>
        <v>https://www.kegg.jp/dbget-bin/www_bget?ec:2.6.1.19</v>
      </c>
      <c r="G1157" s="3" t="s">
        <v>7635</v>
      </c>
      <c r="H1157" s="1" t="str">
        <f>IF(G1157&lt;&gt;"", HYPERLINK("https://www.kegg.jp/entry/" &amp; G1157, "https://www.kegg.jp/entry/" &amp; G1157), "")</f>
        <v>https://www.kegg.jp/entry/R00908</v>
      </c>
      <c r="I1157" t="s">
        <v>13168</v>
      </c>
      <c r="J1157" t="s">
        <v>13169</v>
      </c>
    </row>
    <row r="1158" spans="1:10" x14ac:dyDescent="0.25">
      <c r="A1158" t="s">
        <v>2223</v>
      </c>
      <c r="B1158">
        <v>182</v>
      </c>
      <c r="C1158" t="s">
        <v>2224</v>
      </c>
      <c r="E1158" s="5" t="s">
        <v>6789</v>
      </c>
      <c r="F1158" s="1" t="str">
        <f>IF(E1158&lt;&gt;"", HYPERLINK("https://www.kegg.jp/dbget-bin/www_bget?ec:" &amp; E1158, "https://www.kegg.jp/dbget-bin/www_bget?ec:" &amp; E1158), "")</f>
        <v>https://www.kegg.jp/dbget-bin/www_bget?ec:3.6.1.13</v>
      </c>
      <c r="G1158" s="3" t="s">
        <v>7174</v>
      </c>
      <c r="H1158" s="1" t="str">
        <f>IF(G1158&lt;&gt;"", HYPERLINK("https://www.kegg.jp/entry/" &amp; G1158, "https://www.kegg.jp/entry/" &amp; G1158), "")</f>
        <v>https://www.kegg.jp/entry/R01054</v>
      </c>
      <c r="I1158" t="s">
        <v>13170</v>
      </c>
      <c r="J1158" t="s">
        <v>8510</v>
      </c>
    </row>
    <row r="1159" spans="1:10" hidden="1" x14ac:dyDescent="0.25">
      <c r="A1159" t="s">
        <v>2225</v>
      </c>
      <c r="B1159">
        <v>127</v>
      </c>
      <c r="C1159" t="s">
        <v>2226</v>
      </c>
      <c r="F1159" s="1" t="str">
        <f>IF(E1159&lt;&gt;"", HYPERLINK("https://www.kegg.jp/dbget-bin/www_bget?ec:" &amp; E1159, "https://www.kegg.jp/dbget-bin/www_bget?ec:" &amp; E1159), "")</f>
        <v/>
      </c>
      <c r="G1159" s="3"/>
      <c r="H1159" s="1" t="str">
        <f>IF(G1159&lt;&gt;"", HYPERLINK("https://www.kegg.jp/entry/" &amp; G1159, "https://www.kegg.jp/entry/" &amp; G1159), "")</f>
        <v/>
      </c>
    </row>
    <row r="1160" spans="1:10" x14ac:dyDescent="0.25">
      <c r="A1160" t="s">
        <v>2228</v>
      </c>
      <c r="B1160">
        <v>496</v>
      </c>
      <c r="C1160" t="s">
        <v>2229</v>
      </c>
      <c r="E1160" s="5" t="s">
        <v>6790</v>
      </c>
      <c r="F1160" s="1" t="str">
        <f>IF(E1160&lt;&gt;"", HYPERLINK("https://www.kegg.jp/dbget-bin/www_bget?ec:" &amp; E1160, "https://www.kegg.jp/dbget-bin/www_bget?ec:" &amp; E1160), "")</f>
        <v>https://www.kegg.jp/dbget-bin/www_bget?ec:3.5.4.10</v>
      </c>
      <c r="G1160" s="3" t="s">
        <v>7175</v>
      </c>
      <c r="H1160" s="1" t="str">
        <f>IF(G1160&lt;&gt;"", HYPERLINK("https://www.kegg.jp/entry/" &amp; G1160, "https://www.kegg.jp/entry/" &amp; G1160), "")</f>
        <v>https://www.kegg.jp/entry/R01127</v>
      </c>
      <c r="I1160" t="s">
        <v>12740</v>
      </c>
      <c r="J1160" t="s">
        <v>8511</v>
      </c>
    </row>
    <row r="1161" spans="1:10" hidden="1" x14ac:dyDescent="0.25">
      <c r="A1161" t="s">
        <v>2231</v>
      </c>
      <c r="B1161">
        <v>368</v>
      </c>
      <c r="C1161" t="s">
        <v>2232</v>
      </c>
      <c r="F1161" s="1" t="str">
        <f>IF(E1161&lt;&gt;"", HYPERLINK("https://www.kegg.jp/dbget-bin/www_bget?ec:" &amp; E1161, "https://www.kegg.jp/dbget-bin/www_bget?ec:" &amp; E1161), "")</f>
        <v/>
      </c>
      <c r="G1161" s="3"/>
      <c r="H1161" s="1" t="str">
        <f>IF(G1161&lt;&gt;"", HYPERLINK("https://www.kegg.jp/entry/" &amp; G1161, "https://www.kegg.jp/entry/" &amp; G1161), "")</f>
        <v/>
      </c>
    </row>
    <row r="1162" spans="1:10" hidden="1" x14ac:dyDescent="0.25">
      <c r="A1162" t="s">
        <v>2234</v>
      </c>
      <c r="B1162">
        <v>152</v>
      </c>
      <c r="C1162" t="s">
        <v>2235</v>
      </c>
      <c r="E1162" s="5" t="s">
        <v>6791</v>
      </c>
      <c r="F1162" s="1" t="str">
        <f>IF(E1162&lt;&gt;"", HYPERLINK("https://www.kegg.jp/dbget-bin/www_bget?ec:" &amp; E1162, "https://www.kegg.jp/dbget-bin/www_bget?ec:" &amp; E1162), "")</f>
        <v>https://www.kegg.jp/dbget-bin/www_bget?ec:3.6.1.n1</v>
      </c>
      <c r="G1162" s="3"/>
      <c r="H1162" s="1" t="str">
        <f>IF(G1162&lt;&gt;"", HYPERLINK("https://www.kegg.jp/entry/" &amp; G1162, "https://www.kegg.jp/entry/" &amp; G1162), "")</f>
        <v/>
      </c>
    </row>
    <row r="1163" spans="1:10" hidden="1" x14ac:dyDescent="0.25">
      <c r="A1163" t="s">
        <v>2236</v>
      </c>
      <c r="B1163">
        <v>280</v>
      </c>
      <c r="C1163" t="s">
        <v>2237</v>
      </c>
      <c r="F1163" s="1" t="str">
        <f>IF(E1163&lt;&gt;"", HYPERLINK("https://www.kegg.jp/dbget-bin/www_bget?ec:" &amp; E1163, "https://www.kegg.jp/dbget-bin/www_bget?ec:" &amp; E1163), "")</f>
        <v/>
      </c>
      <c r="G1163" s="3"/>
      <c r="H1163" s="1" t="str">
        <f>IF(G1163&lt;&gt;"", HYPERLINK("https://www.kegg.jp/entry/" &amp; G1163, "https://www.kegg.jp/entry/" &amp; G1163), "")</f>
        <v/>
      </c>
    </row>
    <row r="1164" spans="1:10" hidden="1" x14ac:dyDescent="0.25">
      <c r="A1164" t="s">
        <v>2238</v>
      </c>
      <c r="B1164">
        <v>280</v>
      </c>
      <c r="C1164" t="s">
        <v>2239</v>
      </c>
      <c r="F1164" s="1" t="str">
        <f>IF(E1164&lt;&gt;"", HYPERLINK("https://www.kegg.jp/dbget-bin/www_bget?ec:" &amp; E1164, "https://www.kegg.jp/dbget-bin/www_bget?ec:" &amp; E1164), "")</f>
        <v/>
      </c>
      <c r="G1164" s="3"/>
      <c r="H1164" s="1" t="str">
        <f>IF(G1164&lt;&gt;"", HYPERLINK("https://www.kegg.jp/entry/" &amp; G1164, "https://www.kegg.jp/entry/" &amp; G1164), "")</f>
        <v/>
      </c>
    </row>
    <row r="1165" spans="1:10" hidden="1" x14ac:dyDescent="0.25">
      <c r="A1165" t="s">
        <v>2240</v>
      </c>
      <c r="B1165">
        <v>39</v>
      </c>
      <c r="C1165" t="s">
        <v>2241</v>
      </c>
      <c r="F1165" s="1" t="str">
        <f>IF(E1165&lt;&gt;"", HYPERLINK("https://www.kegg.jp/dbget-bin/www_bget?ec:" &amp; E1165, "https://www.kegg.jp/dbget-bin/www_bget?ec:" &amp; E1165), "")</f>
        <v/>
      </c>
      <c r="G1165" s="3"/>
      <c r="H1165" s="1" t="str">
        <f>IF(G1165&lt;&gt;"", HYPERLINK("https://www.kegg.jp/entry/" &amp; G1165, "https://www.kegg.jp/entry/" &amp; G1165), "")</f>
        <v/>
      </c>
    </row>
    <row r="1166" spans="1:10" hidden="1" x14ac:dyDescent="0.25">
      <c r="A1166" t="s">
        <v>2243</v>
      </c>
      <c r="B1166">
        <v>56</v>
      </c>
      <c r="C1166" t="s">
        <v>2244</v>
      </c>
      <c r="F1166" s="1" t="str">
        <f>IF(E1166&lt;&gt;"", HYPERLINK("https://www.kegg.jp/dbget-bin/www_bget?ec:" &amp; E1166, "https://www.kegg.jp/dbget-bin/www_bget?ec:" &amp; E1166), "")</f>
        <v/>
      </c>
      <c r="G1166" s="3"/>
      <c r="H1166" s="1" t="str">
        <f>IF(G1166&lt;&gt;"", HYPERLINK("https://www.kegg.jp/entry/" &amp; G1166, "https://www.kegg.jp/entry/" &amp; G1166), "")</f>
        <v/>
      </c>
    </row>
    <row r="1167" spans="1:10" hidden="1" x14ac:dyDescent="0.25">
      <c r="A1167" t="s">
        <v>2245</v>
      </c>
      <c r="B1167">
        <v>51</v>
      </c>
      <c r="C1167" t="s">
        <v>2246</v>
      </c>
      <c r="F1167" s="1" t="str">
        <f>IF(E1167&lt;&gt;"", HYPERLINK("https://www.kegg.jp/dbget-bin/www_bget?ec:" &amp; E1167, "https://www.kegg.jp/dbget-bin/www_bget?ec:" &amp; E1167), "")</f>
        <v/>
      </c>
      <c r="G1167" s="3"/>
      <c r="H1167" s="1" t="str">
        <f>IF(G1167&lt;&gt;"", HYPERLINK("https://www.kegg.jp/entry/" &amp; G1167, "https://www.kegg.jp/entry/" &amp; G1167), "")</f>
        <v/>
      </c>
    </row>
    <row r="1168" spans="1:10" x14ac:dyDescent="0.25">
      <c r="A1168" t="s">
        <v>2248</v>
      </c>
      <c r="B1168">
        <v>133</v>
      </c>
      <c r="C1168" t="s">
        <v>2249</v>
      </c>
      <c r="E1168" s="5" t="s">
        <v>6792</v>
      </c>
      <c r="F1168" s="1" t="str">
        <f>IF(E1168&lt;&gt;"", HYPERLINK("https://www.kegg.jp/dbget-bin/www_bget?ec:" &amp; E1168, "https://www.kegg.jp/dbget-bin/www_bget?ec:" &amp; E1168), "")</f>
        <v>https://www.kegg.jp/dbget-bin/www_bget?ec:4.1.1.20</v>
      </c>
      <c r="G1168" s="3" t="s">
        <v>7176</v>
      </c>
      <c r="H1168" s="1" t="str">
        <f>IF(G1168&lt;&gt;"", HYPERLINK("https://www.kegg.jp/entry/" &amp; G1168, "https://www.kegg.jp/entry/" &amp; G1168), "")</f>
        <v>https://www.kegg.jp/entry/R00451</v>
      </c>
      <c r="I1168" t="s">
        <v>8235</v>
      </c>
      <c r="J1168" t="s">
        <v>13171</v>
      </c>
    </row>
    <row r="1169" spans="1:10" x14ac:dyDescent="0.25">
      <c r="A1169" t="s">
        <v>2250</v>
      </c>
      <c r="B1169">
        <v>179</v>
      </c>
      <c r="C1169" t="s">
        <v>2251</v>
      </c>
      <c r="E1169" s="5" t="s">
        <v>6792</v>
      </c>
      <c r="F1169" s="1" t="str">
        <f>IF(E1169&lt;&gt;"", HYPERLINK("https://www.kegg.jp/dbget-bin/www_bget?ec:" &amp; E1169, "https://www.kegg.jp/dbget-bin/www_bget?ec:" &amp; E1169), "")</f>
        <v>https://www.kegg.jp/dbget-bin/www_bget?ec:4.1.1.20</v>
      </c>
      <c r="G1169" s="3" t="s">
        <v>7176</v>
      </c>
      <c r="H1169" s="1" t="str">
        <f>IF(G1169&lt;&gt;"", HYPERLINK("https://www.kegg.jp/entry/" &amp; G1169, "https://www.kegg.jp/entry/" &amp; G1169), "")</f>
        <v>https://www.kegg.jp/entry/R00451</v>
      </c>
      <c r="I1169" t="s">
        <v>8235</v>
      </c>
      <c r="J1169" t="s">
        <v>13171</v>
      </c>
    </row>
    <row r="1170" spans="1:10" x14ac:dyDescent="0.25">
      <c r="A1170" t="s">
        <v>2253</v>
      </c>
      <c r="B1170">
        <v>269</v>
      </c>
      <c r="C1170" t="s">
        <v>2254</v>
      </c>
      <c r="E1170" s="5" t="s">
        <v>6793</v>
      </c>
      <c r="F1170" s="1" t="str">
        <f>IF(E1170&lt;&gt;"", HYPERLINK("https://www.kegg.jp/dbget-bin/www_bget?ec:" &amp; E1170, "https://www.kegg.jp/dbget-bin/www_bget?ec:" &amp; E1170), "")</f>
        <v>https://www.kegg.jp/dbget-bin/www_bget?ec:3.5.1.25</v>
      </c>
      <c r="G1170" s="3" t="s">
        <v>7177</v>
      </c>
      <c r="H1170" s="1" t="str">
        <f>IF(G1170&lt;&gt;"", HYPERLINK("https://www.kegg.jp/entry/" &amp; G1170, "https://www.kegg.jp/entry/" &amp; G1170), "")</f>
        <v>https://www.kegg.jp/entry/R02059</v>
      </c>
      <c r="I1170" t="s">
        <v>13172</v>
      </c>
      <c r="J1170" t="s">
        <v>13173</v>
      </c>
    </row>
    <row r="1171" spans="1:10" hidden="1" x14ac:dyDescent="0.25">
      <c r="A1171" t="s">
        <v>2255</v>
      </c>
      <c r="B1171">
        <v>52</v>
      </c>
      <c r="C1171" t="s">
        <v>2256</v>
      </c>
      <c r="F1171" s="1" t="str">
        <f>IF(E1171&lt;&gt;"", HYPERLINK("https://www.kegg.jp/dbget-bin/www_bget?ec:" &amp; E1171, "https://www.kegg.jp/dbget-bin/www_bget?ec:" &amp; E1171), "")</f>
        <v/>
      </c>
      <c r="G1171" s="3"/>
      <c r="H1171" s="1" t="str">
        <f>IF(G1171&lt;&gt;"", HYPERLINK("https://www.kegg.jp/entry/" &amp; G1171, "https://www.kegg.jp/entry/" &amp; G1171), "")</f>
        <v/>
      </c>
    </row>
    <row r="1172" spans="1:10" hidden="1" x14ac:dyDescent="0.25">
      <c r="A1172" t="s">
        <v>2257</v>
      </c>
      <c r="B1172">
        <v>417</v>
      </c>
      <c r="C1172" t="s">
        <v>2258</v>
      </c>
      <c r="F1172" s="1" t="str">
        <f>IF(E1172&lt;&gt;"", HYPERLINK("https://www.kegg.jp/dbget-bin/www_bget?ec:" &amp; E1172, "https://www.kegg.jp/dbget-bin/www_bget?ec:" &amp; E1172), "")</f>
        <v/>
      </c>
      <c r="G1172" s="3"/>
      <c r="H1172" s="1" t="str">
        <f>IF(G1172&lt;&gt;"", HYPERLINK("https://www.kegg.jp/entry/" &amp; G1172, "https://www.kegg.jp/entry/" &amp; G1172), "")</f>
        <v/>
      </c>
    </row>
    <row r="1173" spans="1:10" hidden="1" x14ac:dyDescent="0.25">
      <c r="A1173" t="s">
        <v>2260</v>
      </c>
      <c r="B1173">
        <v>253</v>
      </c>
      <c r="C1173" t="s">
        <v>2261</v>
      </c>
      <c r="F1173" s="1" t="str">
        <f>IF(E1173&lt;&gt;"", HYPERLINK("https://www.kegg.jp/dbget-bin/www_bget?ec:" &amp; E1173, "https://www.kegg.jp/dbget-bin/www_bget?ec:" &amp; E1173), "")</f>
        <v/>
      </c>
      <c r="G1173" s="3"/>
      <c r="H1173" s="1" t="str">
        <f>IF(G1173&lt;&gt;"", HYPERLINK("https://www.kegg.jp/entry/" &amp; G1173, "https://www.kegg.jp/entry/" &amp; G1173), "")</f>
        <v/>
      </c>
    </row>
    <row r="1174" spans="1:10" x14ac:dyDescent="0.25">
      <c r="A1174" t="s">
        <v>2263</v>
      </c>
      <c r="B1174">
        <v>860</v>
      </c>
      <c r="C1174" t="s">
        <v>2264</v>
      </c>
      <c r="E1174" s="5" t="s">
        <v>6794</v>
      </c>
      <c r="F1174" s="1" t="str">
        <f>IF(E1174&lt;&gt;"", HYPERLINK("https://www.kegg.jp/dbget-bin/www_bget?ec:" &amp; E1174, "https://www.kegg.jp/dbget-bin/www_bget?ec:" &amp; E1174), "")</f>
        <v>https://www.kegg.jp/dbget-bin/www_bget?ec:2.7.9.1</v>
      </c>
      <c r="G1174" s="3" t="s">
        <v>7178</v>
      </c>
      <c r="H1174" s="1" t="str">
        <f>IF(G1174&lt;&gt;"", HYPERLINK("https://www.kegg.jp/entry/" &amp; G1174, "https://www.kegg.jp/entry/" &amp; G1174), "")</f>
        <v>https://www.kegg.jp/entry/R00206</v>
      </c>
      <c r="I1174" t="s">
        <v>13174</v>
      </c>
      <c r="J1174" t="s">
        <v>13175</v>
      </c>
    </row>
    <row r="1175" spans="1:10" x14ac:dyDescent="0.25">
      <c r="A1175" t="s">
        <v>2266</v>
      </c>
      <c r="B1175">
        <v>639</v>
      </c>
      <c r="C1175" t="s">
        <v>2267</v>
      </c>
      <c r="E1175" s="5" t="s">
        <v>6795</v>
      </c>
      <c r="F1175" s="1" t="str">
        <f>IF(E1175&lt;&gt;"", HYPERLINK("https://www.kegg.jp/dbget-bin/www_bget?ec:" &amp; E1175, "https://www.kegg.jp/dbget-bin/www_bget?ec:" &amp; E1175), "")</f>
        <v>https://www.kegg.jp/dbget-bin/www_bget?ec:2.7.7.62</v>
      </c>
      <c r="G1175" s="3" t="s">
        <v>7179</v>
      </c>
      <c r="H1175" s="1" t="str">
        <f>IF(G1175&lt;&gt;"", HYPERLINK("https://www.kegg.jp/entry/" &amp; G1175, "https://www.kegg.jp/entry/" &amp; G1175), "")</f>
        <v>https://www.kegg.jp/entry/R05222</v>
      </c>
      <c r="I1175" t="s">
        <v>13176</v>
      </c>
      <c r="J1175" t="s">
        <v>13177</v>
      </c>
    </row>
    <row r="1176" spans="1:10" hidden="1" x14ac:dyDescent="0.25">
      <c r="A1176" t="s">
        <v>2268</v>
      </c>
      <c r="B1176">
        <v>85</v>
      </c>
      <c r="C1176" t="s">
        <v>2269</v>
      </c>
      <c r="F1176" s="1" t="str">
        <f>IF(E1176&lt;&gt;"", HYPERLINK("https://www.kegg.jp/dbget-bin/www_bget?ec:" &amp; E1176, "https://www.kegg.jp/dbget-bin/www_bget?ec:" &amp; E1176), "")</f>
        <v/>
      </c>
      <c r="G1176" s="3"/>
      <c r="H1176" s="1" t="str">
        <f>IF(G1176&lt;&gt;"", HYPERLINK("https://www.kegg.jp/entry/" &amp; G1176, "https://www.kegg.jp/entry/" &amp; G1176), "")</f>
        <v/>
      </c>
    </row>
    <row r="1177" spans="1:10" hidden="1" x14ac:dyDescent="0.25">
      <c r="A1177" t="s">
        <v>2270</v>
      </c>
      <c r="B1177">
        <v>109</v>
      </c>
      <c r="C1177" t="s">
        <v>2271</v>
      </c>
      <c r="F1177" s="1" t="str">
        <f>IF(E1177&lt;&gt;"", HYPERLINK("https://www.kegg.jp/dbget-bin/www_bget?ec:" &amp; E1177, "https://www.kegg.jp/dbget-bin/www_bget?ec:" &amp; E1177), "")</f>
        <v/>
      </c>
      <c r="G1177" s="3"/>
      <c r="H1177" s="1" t="str">
        <f>IF(G1177&lt;&gt;"", HYPERLINK("https://www.kegg.jp/entry/" &amp; G1177, "https://www.kegg.jp/entry/" &amp; G1177), "")</f>
        <v/>
      </c>
    </row>
    <row r="1178" spans="1:10" x14ac:dyDescent="0.25">
      <c r="A1178" t="s">
        <v>2273</v>
      </c>
      <c r="B1178">
        <v>331</v>
      </c>
      <c r="C1178" t="s">
        <v>2274</v>
      </c>
      <c r="E1178" s="5" t="s">
        <v>6796</v>
      </c>
      <c r="F1178" s="1" t="str">
        <f>IF(E1178&lt;&gt;"", HYPERLINK("https://www.kegg.jp/dbget-bin/www_bget?ec:" &amp; E1178, "https://www.kegg.jp/dbget-bin/www_bget?ec:" &amp; E1178), "")</f>
        <v>https://www.kegg.jp/dbget-bin/www_bget?ec:4.1.1.81</v>
      </c>
      <c r="G1178" s="3" t="s">
        <v>7180</v>
      </c>
      <c r="H1178" s="1" t="str">
        <f>IF(G1178&lt;&gt;"", HYPERLINK("https://www.kegg.jp/entry/" &amp; G1178, "https://www.kegg.jp/entry/" &amp; G1178), "")</f>
        <v>https://www.kegg.jp/entry/R06530</v>
      </c>
      <c r="I1178" t="s">
        <v>8236</v>
      </c>
      <c r="J1178" t="s">
        <v>13178</v>
      </c>
    </row>
    <row r="1179" spans="1:10" x14ac:dyDescent="0.25">
      <c r="A1179" t="s">
        <v>2276</v>
      </c>
      <c r="B1179">
        <v>363</v>
      </c>
      <c r="C1179" t="s">
        <v>2277</v>
      </c>
      <c r="E1179" s="5" t="s">
        <v>6797</v>
      </c>
      <c r="F1179" s="1" t="str">
        <f>IF(E1179&lt;&gt;"", HYPERLINK("https://www.kegg.jp/dbget-bin/www_bget?ec:" &amp; E1179, "https://www.kegg.jp/dbget-bin/www_bget?ec:" &amp; E1179), "")</f>
        <v>https://www.kegg.jp/dbget-bin/www_bget?ec:3.1.3.11</v>
      </c>
      <c r="G1179" s="3" t="s">
        <v>7636</v>
      </c>
      <c r="H1179" s="1" t="str">
        <f>IF(G1179&lt;&gt;"", HYPERLINK("https://www.kegg.jp/entry/" &amp; G1179, "https://www.kegg.jp/entry/" &amp; G1179), "")</f>
        <v>https://www.kegg.jp/entry/R00762</v>
      </c>
      <c r="I1179" t="s">
        <v>13179</v>
      </c>
      <c r="J1179" t="s">
        <v>13180</v>
      </c>
    </row>
    <row r="1180" spans="1:10" x14ac:dyDescent="0.25">
      <c r="A1180" t="s">
        <v>2276</v>
      </c>
      <c r="B1180">
        <v>363</v>
      </c>
      <c r="C1180" t="s">
        <v>2277</v>
      </c>
      <c r="E1180" s="5" t="s">
        <v>6797</v>
      </c>
      <c r="F1180" s="1" t="str">
        <f>IF(E1180&lt;&gt;"", HYPERLINK("https://www.kegg.jp/dbget-bin/www_bget?ec:" &amp; E1180, "https://www.kegg.jp/dbget-bin/www_bget?ec:" &amp; E1180), "")</f>
        <v>https://www.kegg.jp/dbget-bin/www_bget?ec:3.1.3.11</v>
      </c>
      <c r="G1180" s="3" t="s">
        <v>7638</v>
      </c>
      <c r="H1180" s="1" t="str">
        <f>IF(G1180&lt;&gt;"", HYPERLINK("https://www.kegg.jp/entry/" &amp; G1180, "https://www.kegg.jp/entry/" &amp; G1180), "")</f>
        <v>https://www.kegg.jp/entry/R04780</v>
      </c>
      <c r="I1180" t="s">
        <v>13181</v>
      </c>
      <c r="J1180" t="s">
        <v>13182</v>
      </c>
    </row>
    <row r="1181" spans="1:10" x14ac:dyDescent="0.25">
      <c r="A1181" t="s">
        <v>2276</v>
      </c>
      <c r="B1181">
        <v>363</v>
      </c>
      <c r="C1181" t="s">
        <v>2277</v>
      </c>
      <c r="E1181" s="5" t="s">
        <v>6797</v>
      </c>
      <c r="F1181" s="1" t="str">
        <f>IF(E1181&lt;&gt;"", HYPERLINK("https://www.kegg.jp/dbget-bin/www_bget?ec:" &amp; E1181, "https://www.kegg.jp/dbget-bin/www_bget?ec:" &amp; E1181), "")</f>
        <v>https://www.kegg.jp/dbget-bin/www_bget?ec:3.1.3.11</v>
      </c>
      <c r="G1181" s="3" t="s">
        <v>7637</v>
      </c>
      <c r="H1181" s="1" t="str">
        <f>IF(G1181&lt;&gt;"", HYPERLINK("https://www.kegg.jp/entry/" &amp; G1181, "https://www.kegg.jp/entry/" &amp; G1181), "")</f>
        <v>https://www.kegg.jp/entry/R01845</v>
      </c>
      <c r="I1181" t="s">
        <v>13183</v>
      </c>
      <c r="J1181" t="s">
        <v>13184</v>
      </c>
    </row>
    <row r="1182" spans="1:10" hidden="1" x14ac:dyDescent="0.25">
      <c r="A1182" t="s">
        <v>2279</v>
      </c>
      <c r="B1182">
        <v>109</v>
      </c>
      <c r="C1182" t="s">
        <v>2280</v>
      </c>
      <c r="F1182" s="1" t="str">
        <f>IF(E1182&lt;&gt;"", HYPERLINK("https://www.kegg.jp/dbget-bin/www_bget?ec:" &amp; E1182, "https://www.kegg.jp/dbget-bin/www_bget?ec:" &amp; E1182), "")</f>
        <v/>
      </c>
      <c r="G1182" s="3"/>
      <c r="H1182" s="1" t="str">
        <f>IF(G1182&lt;&gt;"", HYPERLINK("https://www.kegg.jp/entry/" &amp; G1182, "https://www.kegg.jp/entry/" &amp; G1182), "")</f>
        <v/>
      </c>
    </row>
    <row r="1183" spans="1:10" hidden="1" x14ac:dyDescent="0.25">
      <c r="A1183" t="s">
        <v>2282</v>
      </c>
      <c r="B1183">
        <v>71</v>
      </c>
      <c r="C1183" t="s">
        <v>2283</v>
      </c>
      <c r="F1183" s="1" t="str">
        <f>IF(E1183&lt;&gt;"", HYPERLINK("https://www.kegg.jp/dbget-bin/www_bget?ec:" &amp; E1183, "https://www.kegg.jp/dbget-bin/www_bget?ec:" &amp; E1183), "")</f>
        <v/>
      </c>
      <c r="G1183" s="3"/>
      <c r="H1183" s="1" t="str">
        <f>IF(G1183&lt;&gt;"", HYPERLINK("https://www.kegg.jp/entry/" &amp; G1183, "https://www.kegg.jp/entry/" &amp; G1183), "")</f>
        <v/>
      </c>
    </row>
    <row r="1184" spans="1:10" x14ac:dyDescent="0.25">
      <c r="A1184" t="s">
        <v>2285</v>
      </c>
      <c r="B1184">
        <v>284</v>
      </c>
      <c r="C1184" t="s">
        <v>2286</v>
      </c>
      <c r="E1184" s="5" t="s">
        <v>6798</v>
      </c>
      <c r="F1184" s="1" t="str">
        <f>IF(E1184&lt;&gt;"", HYPERLINK("https://www.kegg.jp/dbget-bin/www_bget?ec:" &amp; E1184, "https://www.kegg.jp/dbget-bin/www_bget?ec:" &amp; E1184), "")</f>
        <v>https://www.kegg.jp/dbget-bin/www_bget?ec:6.3.1.10</v>
      </c>
      <c r="G1184" s="3" t="s">
        <v>7639</v>
      </c>
      <c r="H1184" s="1" t="str">
        <f>IF(G1184&lt;&gt;"", HYPERLINK("https://www.kegg.jp/entry/" &amp; G1184, "https://www.kegg.jp/entry/" &amp; G1184), "")</f>
        <v>https://www.kegg.jp/entry/R06529</v>
      </c>
      <c r="I1184" t="s">
        <v>13185</v>
      </c>
      <c r="J1184" t="s">
        <v>13186</v>
      </c>
    </row>
    <row r="1185" spans="1:10" x14ac:dyDescent="0.25">
      <c r="A1185" t="s">
        <v>2285</v>
      </c>
      <c r="B1185">
        <v>284</v>
      </c>
      <c r="C1185" t="s">
        <v>2286</v>
      </c>
      <c r="E1185" s="5" t="s">
        <v>6798</v>
      </c>
      <c r="F1185" s="1" t="str">
        <f>IF(E1185&lt;&gt;"", HYPERLINK("https://www.kegg.jp/dbget-bin/www_bget?ec:" &amp; E1185, "https://www.kegg.jp/dbget-bin/www_bget?ec:" &amp; E1185), "")</f>
        <v>https://www.kegg.jp/dbget-bin/www_bget?ec:6.3.1.10</v>
      </c>
      <c r="G1185" s="3" t="s">
        <v>7640</v>
      </c>
      <c r="H1185" s="1" t="str">
        <f>IF(G1185&lt;&gt;"", HYPERLINK("https://www.kegg.jp/entry/" &amp; G1185, "https://www.kegg.jp/entry/" &amp; G1185), "")</f>
        <v>https://www.kegg.jp/entry/R07302</v>
      </c>
      <c r="I1185" t="s">
        <v>13187</v>
      </c>
      <c r="J1185" t="s">
        <v>8512</v>
      </c>
    </row>
    <row r="1186" spans="1:10" x14ac:dyDescent="0.25">
      <c r="A1186" t="s">
        <v>2288</v>
      </c>
      <c r="B1186">
        <v>172</v>
      </c>
      <c r="C1186" t="s">
        <v>2289</v>
      </c>
      <c r="E1186" s="5" t="s">
        <v>6799</v>
      </c>
      <c r="F1186" s="1" t="str">
        <f>IF(E1186&lt;&gt;"", HYPERLINK("https://www.kegg.jp/dbget-bin/www_bget?ec:" &amp; E1186, "https://www.kegg.jp/dbget-bin/www_bget?ec:" &amp; E1186), "")</f>
        <v>https://www.kegg.jp/dbget-bin/www_bget?ec:3.1.3.73</v>
      </c>
      <c r="G1186" s="3" t="s">
        <v>7641</v>
      </c>
      <c r="H1186" s="1" t="str">
        <f>IF(G1186&lt;&gt;"", HYPERLINK("https://www.kegg.jp/entry/" &amp; G1186, "https://www.kegg.jp/entry/" &amp; G1186), "")</f>
        <v>https://www.kegg.jp/entry/R04594</v>
      </c>
      <c r="I1186" t="s">
        <v>13188</v>
      </c>
      <c r="J1186" t="s">
        <v>13189</v>
      </c>
    </row>
    <row r="1187" spans="1:10" x14ac:dyDescent="0.25">
      <c r="A1187" t="s">
        <v>2288</v>
      </c>
      <c r="B1187">
        <v>172</v>
      </c>
      <c r="C1187" t="s">
        <v>2289</v>
      </c>
      <c r="E1187" s="5" t="s">
        <v>6799</v>
      </c>
      <c r="F1187" s="1" t="str">
        <f>IF(E1187&lt;&gt;"", HYPERLINK("https://www.kegg.jp/dbget-bin/www_bget?ec:" &amp; E1187, "https://www.kegg.jp/dbget-bin/www_bget?ec:" &amp; E1187), "")</f>
        <v>https://www.kegg.jp/dbget-bin/www_bget?ec:3.1.3.73</v>
      </c>
      <c r="G1187" s="3" t="s">
        <v>7642</v>
      </c>
      <c r="H1187" s="1" t="str">
        <f>IF(G1187&lt;&gt;"", HYPERLINK("https://www.kegg.jp/entry/" &amp; G1187, "https://www.kegg.jp/entry/" &amp; G1187), "")</f>
        <v>https://www.kegg.jp/entry/R11173</v>
      </c>
      <c r="I1187" t="s">
        <v>13190</v>
      </c>
      <c r="J1187" t="s">
        <v>13191</v>
      </c>
    </row>
    <row r="1188" spans="1:10" x14ac:dyDescent="0.25">
      <c r="A1188" t="s">
        <v>2291</v>
      </c>
      <c r="B1188">
        <v>329</v>
      </c>
      <c r="C1188" t="s">
        <v>2292</v>
      </c>
      <c r="E1188" s="5" t="s">
        <v>6800</v>
      </c>
      <c r="F1188" s="1" t="str">
        <f>IF(E1188&lt;&gt;"", HYPERLINK("https://www.kegg.jp/dbget-bin/www_bget?ec:" &amp; E1188, "https://www.kegg.jp/dbget-bin/www_bget?ec:" &amp; E1188), "")</f>
        <v>https://www.kegg.jp/dbget-bin/www_bget?ec:2.4.2.21</v>
      </c>
      <c r="G1188" s="3" t="s">
        <v>7181</v>
      </c>
      <c r="H1188" s="1" t="str">
        <f>IF(G1188&lt;&gt;"", HYPERLINK("https://www.kegg.jp/entry/" &amp; G1188, "https://www.kegg.jp/entry/" &amp; G1188), "")</f>
        <v>https://www.kegg.jp/entry/R04148</v>
      </c>
      <c r="I1188" t="s">
        <v>8237</v>
      </c>
      <c r="J1188" t="s">
        <v>13192</v>
      </c>
    </row>
    <row r="1189" spans="1:10" hidden="1" x14ac:dyDescent="0.25">
      <c r="A1189" t="s">
        <v>2294</v>
      </c>
      <c r="B1189">
        <v>112</v>
      </c>
      <c r="C1189" t="s">
        <v>2295</v>
      </c>
      <c r="F1189" s="1" t="str">
        <f>IF(E1189&lt;&gt;"", HYPERLINK("https://www.kegg.jp/dbget-bin/www_bget?ec:" &amp; E1189, "https://www.kegg.jp/dbget-bin/www_bget?ec:" &amp; E1189), "")</f>
        <v/>
      </c>
      <c r="G1189" s="3"/>
      <c r="H1189" s="1" t="str">
        <f>IF(G1189&lt;&gt;"", HYPERLINK("https://www.kegg.jp/entry/" &amp; G1189, "https://www.kegg.jp/entry/" &amp; G1189), "")</f>
        <v/>
      </c>
    </row>
    <row r="1190" spans="1:10" x14ac:dyDescent="0.25">
      <c r="A1190" t="s">
        <v>2297</v>
      </c>
      <c r="B1190">
        <v>230</v>
      </c>
      <c r="C1190" t="s">
        <v>2298</v>
      </c>
      <c r="E1190" s="5" t="s">
        <v>6801</v>
      </c>
      <c r="F1190" s="1" t="str">
        <f>IF(E1190&lt;&gt;"", HYPERLINK("https://www.kegg.jp/dbget-bin/www_bget?ec:" &amp; E1190, "https://www.kegg.jp/dbget-bin/www_bget?ec:" &amp; E1190), "")</f>
        <v>https://www.kegg.jp/dbget-bin/www_bget?ec:2.7.8.26</v>
      </c>
      <c r="G1190" s="3" t="s">
        <v>7643</v>
      </c>
      <c r="H1190" s="1" t="str">
        <f>IF(G1190&lt;&gt;"", HYPERLINK("https://www.kegg.jp/entry/" &amp; G1190, "https://www.kegg.jp/entry/" &amp; G1190), "")</f>
        <v>https://www.kegg.jp/entry/R05223</v>
      </c>
      <c r="I1190" t="s">
        <v>13193</v>
      </c>
      <c r="J1190" t="s">
        <v>13194</v>
      </c>
    </row>
    <row r="1191" spans="1:10" x14ac:dyDescent="0.25">
      <c r="A1191" t="s">
        <v>2297</v>
      </c>
      <c r="B1191">
        <v>230</v>
      </c>
      <c r="C1191" t="s">
        <v>2298</v>
      </c>
      <c r="E1191" s="5" t="s">
        <v>6801</v>
      </c>
      <c r="F1191" s="1" t="str">
        <f>IF(E1191&lt;&gt;"", HYPERLINK("https://www.kegg.jp/dbget-bin/www_bget?ec:" &amp; E1191, "https://www.kegg.jp/dbget-bin/www_bget?ec:" &amp; E1191), "")</f>
        <v>https://www.kegg.jp/dbget-bin/www_bget?ec:2.7.8.26</v>
      </c>
      <c r="G1191" s="3" t="s">
        <v>7644</v>
      </c>
      <c r="H1191" s="1" t="str">
        <f>IF(G1191&lt;&gt;"", HYPERLINK("https://www.kegg.jp/entry/" &amp; G1191, "https://www.kegg.jp/entry/" &amp; G1191), "")</f>
        <v>https://www.kegg.jp/entry/R11174</v>
      </c>
      <c r="I1191" t="s">
        <v>13195</v>
      </c>
      <c r="J1191" t="s">
        <v>8513</v>
      </c>
    </row>
    <row r="1192" spans="1:10" x14ac:dyDescent="0.25">
      <c r="A1192" t="s">
        <v>2300</v>
      </c>
      <c r="B1192">
        <v>187</v>
      </c>
      <c r="C1192" t="s">
        <v>2301</v>
      </c>
      <c r="E1192" s="5" t="s">
        <v>6802</v>
      </c>
      <c r="F1192" s="1" t="str">
        <f>IF(E1192&lt;&gt;"", HYPERLINK("https://www.kegg.jp/dbget-bin/www_bget?ec:" &amp; E1192, "https://www.kegg.jp/dbget-bin/www_bget?ec:" &amp; E1192), "")</f>
        <v>https://www.kegg.jp/dbget-bin/www_bget?ec:2.5.1.17</v>
      </c>
      <c r="G1192" s="3" t="s">
        <v>7645</v>
      </c>
      <c r="H1192" s="1" t="str">
        <f>IF(G1192&lt;&gt;"", HYPERLINK("https://www.kegg.jp/entry/" &amp; G1192, "https://www.kegg.jp/entry/" &amp; G1192), "")</f>
        <v>https://www.kegg.jp/entry/R12183</v>
      </c>
      <c r="I1192" t="s">
        <v>8238</v>
      </c>
      <c r="J1192" t="s">
        <v>13196</v>
      </c>
    </row>
    <row r="1193" spans="1:10" x14ac:dyDescent="0.25">
      <c r="A1193" t="s">
        <v>2300</v>
      </c>
      <c r="B1193">
        <v>187</v>
      </c>
      <c r="C1193" t="s">
        <v>2301</v>
      </c>
      <c r="E1193" s="5" t="s">
        <v>6802</v>
      </c>
      <c r="F1193" s="1" t="str">
        <f>IF(E1193&lt;&gt;"", HYPERLINK("https://www.kegg.jp/dbget-bin/www_bget?ec:" &amp; E1193, "https://www.kegg.jp/dbget-bin/www_bget?ec:" &amp; E1193), "")</f>
        <v>https://www.kegg.jp/dbget-bin/www_bget?ec:2.5.1.17</v>
      </c>
      <c r="G1193" s="3" t="s">
        <v>7649</v>
      </c>
      <c r="H1193" s="1" t="str">
        <f>IF(G1193&lt;&gt;"", HYPERLINK("https://www.kegg.jp/entry/" &amp; G1193, "https://www.kegg.jp/entry/" &amp; G1193), "")</f>
        <v>https://www.kegg.jp/entry/R12184</v>
      </c>
      <c r="I1193" t="s">
        <v>13197</v>
      </c>
      <c r="J1193" t="s">
        <v>13198</v>
      </c>
    </row>
    <row r="1194" spans="1:10" x14ac:dyDescent="0.25">
      <c r="A1194" t="s">
        <v>2300</v>
      </c>
      <c r="B1194">
        <v>187</v>
      </c>
      <c r="C1194" t="s">
        <v>2301</v>
      </c>
      <c r="E1194" s="5" t="s">
        <v>6802</v>
      </c>
      <c r="F1194" s="1" t="str">
        <f>IF(E1194&lt;&gt;"", HYPERLINK("https://www.kegg.jp/dbget-bin/www_bget?ec:" &amp; E1194, "https://www.kegg.jp/dbget-bin/www_bget?ec:" &amp; E1194), "")</f>
        <v>https://www.kegg.jp/dbget-bin/www_bget?ec:2.5.1.17</v>
      </c>
      <c r="G1194" s="3" t="s">
        <v>7648</v>
      </c>
      <c r="H1194" s="1" t="str">
        <f>IF(G1194&lt;&gt;"", HYPERLINK("https://www.kegg.jp/entry/" &amp; G1194, "https://www.kegg.jp/entry/" &amp; G1194), "")</f>
        <v>https://www.kegg.jp/entry/R01492</v>
      </c>
      <c r="I1194" t="s">
        <v>8239</v>
      </c>
      <c r="J1194" t="s">
        <v>13199</v>
      </c>
    </row>
    <row r="1195" spans="1:10" x14ac:dyDescent="0.25">
      <c r="A1195" t="s">
        <v>2300</v>
      </c>
      <c r="B1195">
        <v>187</v>
      </c>
      <c r="C1195" t="s">
        <v>2301</v>
      </c>
      <c r="E1195" s="5" t="s">
        <v>6802</v>
      </c>
      <c r="F1195" s="1" t="str">
        <f>IF(E1195&lt;&gt;"", HYPERLINK("https://www.kegg.jp/dbget-bin/www_bget?ec:" &amp; E1195, "https://www.kegg.jp/dbget-bin/www_bget?ec:" &amp; E1195), "")</f>
        <v>https://www.kegg.jp/dbget-bin/www_bget?ec:2.5.1.17</v>
      </c>
      <c r="G1195" s="3" t="s">
        <v>7647</v>
      </c>
      <c r="H1195" s="1" t="str">
        <f>IF(G1195&lt;&gt;"", HYPERLINK("https://www.kegg.jp/entry/" &amp; G1195, "https://www.kegg.jp/entry/" &amp; G1195), "")</f>
        <v>https://www.kegg.jp/entry/R05220</v>
      </c>
      <c r="I1195" t="s">
        <v>13200</v>
      </c>
      <c r="J1195" t="s">
        <v>13201</v>
      </c>
    </row>
    <row r="1196" spans="1:10" x14ac:dyDescent="0.25">
      <c r="A1196" t="s">
        <v>2300</v>
      </c>
      <c r="B1196">
        <v>187</v>
      </c>
      <c r="C1196" t="s">
        <v>2301</v>
      </c>
      <c r="E1196" s="5" t="s">
        <v>6802</v>
      </c>
      <c r="F1196" s="1" t="str">
        <f>IF(E1196&lt;&gt;"", HYPERLINK("https://www.kegg.jp/dbget-bin/www_bget?ec:" &amp; E1196, "https://www.kegg.jp/dbget-bin/www_bget?ec:" &amp; E1196), "")</f>
        <v>https://www.kegg.jp/dbget-bin/www_bget?ec:2.5.1.17</v>
      </c>
      <c r="G1196" s="3" t="s">
        <v>7646</v>
      </c>
      <c r="H1196" s="1" t="str">
        <f>IF(G1196&lt;&gt;"", HYPERLINK("https://www.kegg.jp/entry/" &amp; G1196, "https://www.kegg.jp/entry/" &amp; G1196), "")</f>
        <v>https://www.kegg.jp/entry/R07268</v>
      </c>
      <c r="I1196" t="s">
        <v>8240</v>
      </c>
      <c r="J1196" t="s">
        <v>8514</v>
      </c>
    </row>
    <row r="1197" spans="1:10" hidden="1" x14ac:dyDescent="0.25">
      <c r="A1197" t="s">
        <v>2303</v>
      </c>
      <c r="B1197">
        <v>199</v>
      </c>
      <c r="C1197" t="s">
        <v>2304</v>
      </c>
      <c r="F1197" s="1" t="str">
        <f>IF(E1197&lt;&gt;"", HYPERLINK("https://www.kegg.jp/dbget-bin/www_bget?ec:" &amp; E1197, "https://www.kegg.jp/dbget-bin/www_bget?ec:" &amp; E1197), "")</f>
        <v/>
      </c>
      <c r="G1197" s="3"/>
      <c r="H1197" s="1" t="str">
        <f>IF(G1197&lt;&gt;"", HYPERLINK("https://www.kegg.jp/entry/" &amp; G1197, "https://www.kegg.jp/entry/" &amp; G1197), "")</f>
        <v/>
      </c>
    </row>
    <row r="1198" spans="1:10" hidden="1" x14ac:dyDescent="0.25">
      <c r="A1198" t="s">
        <v>2306</v>
      </c>
      <c r="B1198">
        <v>440</v>
      </c>
      <c r="C1198" t="s">
        <v>2307</v>
      </c>
      <c r="F1198" s="1" t="str">
        <f>IF(E1198&lt;&gt;"", HYPERLINK("https://www.kegg.jp/dbget-bin/www_bget?ec:" &amp; E1198, "https://www.kegg.jp/dbget-bin/www_bget?ec:" &amp; E1198), "")</f>
        <v/>
      </c>
      <c r="G1198" s="3"/>
      <c r="H1198" s="1" t="str">
        <f>IF(G1198&lt;&gt;"", HYPERLINK("https://www.kegg.jp/entry/" &amp; G1198, "https://www.kegg.jp/entry/" &amp; G1198), "")</f>
        <v/>
      </c>
    </row>
    <row r="1199" spans="1:10" x14ac:dyDescent="0.25">
      <c r="A1199" t="s">
        <v>2309</v>
      </c>
      <c r="B1199">
        <v>350</v>
      </c>
      <c r="C1199" t="s">
        <v>2310</v>
      </c>
      <c r="E1199" s="5" t="s">
        <v>6803</v>
      </c>
      <c r="F1199" s="1" t="str">
        <f>IF(E1199&lt;&gt;"", HYPERLINK("https://www.kegg.jp/dbget-bin/www_bget?ec:" &amp; E1199, "https://www.kegg.jp/dbget-bin/www_bget?ec:" &amp; E1199), "")</f>
        <v>https://www.kegg.jp/dbget-bin/www_bget?ec:2.7.7.4</v>
      </c>
      <c r="G1199" s="3" t="s">
        <v>7650</v>
      </c>
      <c r="H1199" s="1" t="str">
        <f>IF(G1199&lt;&gt;"", HYPERLINK("https://www.kegg.jp/entry/" &amp; G1199, "https://www.kegg.jp/entry/" &amp; G1199), "")</f>
        <v>https://www.kegg.jp/entry/R00529</v>
      </c>
      <c r="I1199" t="s">
        <v>8241</v>
      </c>
      <c r="J1199" t="s">
        <v>8515</v>
      </c>
    </row>
    <row r="1200" spans="1:10" x14ac:dyDescent="0.25">
      <c r="A1200" t="s">
        <v>2309</v>
      </c>
      <c r="B1200">
        <v>350</v>
      </c>
      <c r="C1200" t="s">
        <v>2310</v>
      </c>
      <c r="E1200" s="5" t="s">
        <v>6803</v>
      </c>
      <c r="F1200" s="1" t="str">
        <f>IF(E1200&lt;&gt;"", HYPERLINK("https://www.kegg.jp/dbget-bin/www_bget?ec:" &amp; E1200, "https://www.kegg.jp/dbget-bin/www_bget?ec:" &amp; E1200), "")</f>
        <v>https://www.kegg.jp/dbget-bin/www_bget?ec:2.7.7.4</v>
      </c>
      <c r="G1200" s="3" t="s">
        <v>7651</v>
      </c>
      <c r="H1200" s="1" t="str">
        <f>IF(G1200&lt;&gt;"", HYPERLINK("https://www.kegg.jp/entry/" &amp; G1200, "https://www.kegg.jp/entry/" &amp; G1200), "")</f>
        <v>https://www.kegg.jp/entry/R04929</v>
      </c>
      <c r="I1200" t="s">
        <v>8242</v>
      </c>
      <c r="J1200" t="s">
        <v>8516</v>
      </c>
    </row>
    <row r="1201" spans="1:10" x14ac:dyDescent="0.25">
      <c r="A1201" t="s">
        <v>2312</v>
      </c>
      <c r="B1201">
        <v>238</v>
      </c>
      <c r="C1201" t="s">
        <v>2313</v>
      </c>
      <c r="E1201" s="5" t="s">
        <v>6804</v>
      </c>
      <c r="F1201" s="1" t="str">
        <f>IF(E1201&lt;&gt;"", HYPERLINK("https://www.kegg.jp/dbget-bin/www_bget?ec:" &amp; E1201, "https://www.kegg.jp/dbget-bin/www_bget?ec:" &amp; E1201), "")</f>
        <v>https://www.kegg.jp/dbget-bin/www_bget?ec:2.1.1.107</v>
      </c>
      <c r="G1201" s="3" t="s">
        <v>7652</v>
      </c>
      <c r="H1201" s="1" t="str">
        <f>IF(G1201&lt;&gt;"", HYPERLINK("https://www.kegg.jp/entry/" &amp; G1201, "https://www.kegg.jp/entry/" &amp; G1201), "")</f>
        <v>https://www.kegg.jp/entry/R03194</v>
      </c>
      <c r="I1201" t="s">
        <v>8243</v>
      </c>
      <c r="J1201" t="s">
        <v>8517</v>
      </c>
    </row>
    <row r="1202" spans="1:10" x14ac:dyDescent="0.25">
      <c r="A1202" t="s">
        <v>2312</v>
      </c>
      <c r="B1202">
        <v>238</v>
      </c>
      <c r="C1202" t="s">
        <v>2313</v>
      </c>
      <c r="E1202" s="5" t="s">
        <v>6804</v>
      </c>
      <c r="F1202" s="1" t="str">
        <f>IF(E1202&lt;&gt;"", HYPERLINK("https://www.kegg.jp/dbget-bin/www_bget?ec:" &amp; E1202, "https://www.kegg.jp/dbget-bin/www_bget?ec:" &amp; E1202), "")</f>
        <v>https://www.kegg.jp/dbget-bin/www_bget?ec:2.1.1.107</v>
      </c>
      <c r="G1202" s="3" t="s">
        <v>7655</v>
      </c>
      <c r="H1202" s="1" t="str">
        <f>IF(G1202&lt;&gt;"", HYPERLINK("https://www.kegg.jp/entry/" &amp; G1202, "https://www.kegg.jp/entry/" &amp; G1202), "")</f>
        <v>https://www.kegg.jp/entry/R07237</v>
      </c>
      <c r="I1202" t="s">
        <v>8243</v>
      </c>
      <c r="J1202" t="s">
        <v>8518</v>
      </c>
    </row>
    <row r="1203" spans="1:10" x14ac:dyDescent="0.25">
      <c r="A1203" t="s">
        <v>2312</v>
      </c>
      <c r="B1203">
        <v>238</v>
      </c>
      <c r="C1203" t="s">
        <v>2313</v>
      </c>
      <c r="E1203" s="5" t="s">
        <v>6804</v>
      </c>
      <c r="F1203" s="1" t="str">
        <f>IF(E1203&lt;&gt;"", HYPERLINK("https://www.kegg.jp/dbget-bin/www_bget?ec:" &amp; E1203, "https://www.kegg.jp/dbget-bin/www_bget?ec:" &amp; E1203), "")</f>
        <v>https://www.kegg.jp/dbget-bin/www_bget?ec:2.1.1.107</v>
      </c>
      <c r="G1203" s="3" t="s">
        <v>7654</v>
      </c>
      <c r="H1203" s="1" t="str">
        <f>IF(G1203&lt;&gt;"", HYPERLINK("https://www.kegg.jp/entry/" &amp; G1203, "https://www.kegg.jp/entry/" &amp; G1203), "")</f>
        <v>https://www.kegg.jp/entry/R07238</v>
      </c>
      <c r="I1203" t="s">
        <v>8244</v>
      </c>
      <c r="J1203" t="s">
        <v>8517</v>
      </c>
    </row>
    <row r="1204" spans="1:10" x14ac:dyDescent="0.25">
      <c r="A1204" t="s">
        <v>2312</v>
      </c>
      <c r="B1204">
        <v>238</v>
      </c>
      <c r="C1204" t="s">
        <v>2313</v>
      </c>
      <c r="E1204" s="5" t="s">
        <v>6804</v>
      </c>
      <c r="F1204" s="1" t="str">
        <f>IF(E1204&lt;&gt;"", HYPERLINK("https://www.kegg.jp/dbget-bin/www_bget?ec:" &amp; E1204, "https://www.kegg.jp/dbget-bin/www_bget?ec:" &amp; E1204), "")</f>
        <v>https://www.kegg.jp/dbget-bin/www_bget?ec:2.1.1.107</v>
      </c>
      <c r="G1204" s="3" t="s">
        <v>7653</v>
      </c>
      <c r="H1204" s="1" t="str">
        <f>IF(G1204&lt;&gt;"", HYPERLINK("https://www.kegg.jp/entry/" &amp; G1204, "https://www.kegg.jp/entry/" &amp; G1204), "")</f>
        <v>https://www.kegg.jp/entry/R03950</v>
      </c>
      <c r="I1204" t="s">
        <v>8245</v>
      </c>
      <c r="J1204" t="s">
        <v>8519</v>
      </c>
    </row>
    <row r="1205" spans="1:10" hidden="1" x14ac:dyDescent="0.25">
      <c r="A1205" t="s">
        <v>2315</v>
      </c>
      <c r="B1205">
        <v>246</v>
      </c>
      <c r="C1205" t="s">
        <v>2316</v>
      </c>
      <c r="F1205" s="1" t="str">
        <f>IF(E1205&lt;&gt;"", HYPERLINK("https://www.kegg.jp/dbget-bin/www_bget?ec:" &amp; E1205, "https://www.kegg.jp/dbget-bin/www_bget?ec:" &amp; E1205), "")</f>
        <v/>
      </c>
      <c r="G1205" s="3"/>
      <c r="H1205" s="1" t="str">
        <f>IF(G1205&lt;&gt;"", HYPERLINK("https://www.kegg.jp/entry/" &amp; G1205, "https://www.kegg.jp/entry/" &amp; G1205), "")</f>
        <v/>
      </c>
    </row>
    <row r="1206" spans="1:10" x14ac:dyDescent="0.25">
      <c r="A1206" t="s">
        <v>2318</v>
      </c>
      <c r="B1206">
        <v>219</v>
      </c>
      <c r="C1206" t="s">
        <v>2319</v>
      </c>
      <c r="E1206" s="5" t="s">
        <v>6805</v>
      </c>
      <c r="F1206" s="1" t="str">
        <f>IF(E1206&lt;&gt;"", HYPERLINK("https://www.kegg.jp/dbget-bin/www_bget?ec:" &amp; E1206, "https://www.kegg.jp/dbget-bin/www_bget?ec:" &amp; E1206), "")</f>
        <v>https://www.kegg.jp/dbget-bin/www_bget?ec:1.8.4.10</v>
      </c>
      <c r="G1206" s="3" t="s">
        <v>7182</v>
      </c>
      <c r="H1206" s="1" t="str">
        <f>IF(G1206&lt;&gt;"", HYPERLINK("https://www.kegg.jp/entry/" &amp; G1206, "https://www.kegg.jp/entry/" &amp; G1206), "")</f>
        <v>https://www.kegg.jp/entry/R07176</v>
      </c>
      <c r="I1206" t="s">
        <v>8246</v>
      </c>
      <c r="J1206" t="s">
        <v>8520</v>
      </c>
    </row>
    <row r="1207" spans="1:10" x14ac:dyDescent="0.25">
      <c r="A1207" t="s">
        <v>2321</v>
      </c>
      <c r="B1207">
        <v>216</v>
      </c>
      <c r="C1207" t="s">
        <v>2322</v>
      </c>
      <c r="E1207" s="5" t="s">
        <v>6806</v>
      </c>
      <c r="F1207" s="1" t="str">
        <f>IF(E1207&lt;&gt;"", HYPERLINK("https://www.kegg.jp/dbget-bin/www_bget?ec:" &amp; E1207, "https://www.kegg.jp/dbget-bin/www_bget?ec:" &amp; E1207), "")</f>
        <v>https://www.kegg.jp/dbget-bin/www_bget?ec:1.3.1.76</v>
      </c>
      <c r="G1207" s="3" t="s">
        <v>7183</v>
      </c>
      <c r="H1207" s="1" t="str">
        <f>IF(G1207&lt;&gt;"", HYPERLINK("https://www.kegg.jp/entry/" &amp; G1207, "https://www.kegg.jp/entry/" &amp; G1207), "")</f>
        <v>https://www.kegg.jp/entry/R03947</v>
      </c>
      <c r="I1207" t="s">
        <v>13202</v>
      </c>
      <c r="J1207" t="s">
        <v>13203</v>
      </c>
    </row>
    <row r="1208" spans="1:10" x14ac:dyDescent="0.25">
      <c r="A1208" t="s">
        <v>2323</v>
      </c>
      <c r="B1208">
        <v>253</v>
      </c>
      <c r="C1208" t="s">
        <v>2324</v>
      </c>
      <c r="E1208" s="5" t="s">
        <v>6710</v>
      </c>
      <c r="F1208" s="1" t="str">
        <f>IF(E1208&lt;&gt;"", HYPERLINK("https://www.kegg.jp/dbget-bin/www_bget?ec:" &amp; E1208, "https://www.kegg.jp/dbget-bin/www_bget?ec:" &amp; E1208), "")</f>
        <v>https://www.kegg.jp/dbget-bin/www_bget?ec:4.2.1.75</v>
      </c>
      <c r="G1208" s="3" t="s">
        <v>7131</v>
      </c>
      <c r="H1208" s="1" t="str">
        <f>IF(G1208&lt;&gt;"", HYPERLINK("https://www.kegg.jp/entry/" &amp; G1208, "https://www.kegg.jp/entry/" &amp; G1208), "")</f>
        <v>https://www.kegg.jp/entry/R03165</v>
      </c>
      <c r="I1208" t="s">
        <v>8190</v>
      </c>
      <c r="J1208" t="s">
        <v>12980</v>
      </c>
    </row>
    <row r="1209" spans="1:10" x14ac:dyDescent="0.25">
      <c r="A1209" t="s">
        <v>2326</v>
      </c>
      <c r="B1209">
        <v>575</v>
      </c>
      <c r="C1209" t="s">
        <v>2327</v>
      </c>
      <c r="E1209" s="5" t="s">
        <v>6807</v>
      </c>
      <c r="F1209" s="1" t="str">
        <f>IF(E1209&lt;&gt;"", HYPERLINK("https://www.kegg.jp/dbget-bin/www_bget?ec:" &amp; E1209, "https://www.kegg.jp/dbget-bin/www_bget?ec:" &amp; E1209), "")</f>
        <v>https://www.kegg.jp/dbget-bin/www_bget?ec:1.8.7.1</v>
      </c>
      <c r="G1209" s="3" t="s">
        <v>7656</v>
      </c>
      <c r="H1209" s="1" t="str">
        <f>IF(G1209&lt;&gt;"", HYPERLINK("https://www.kegg.jp/entry/" &amp; G1209, "https://www.kegg.jp/entry/" &amp; G1209), "")</f>
        <v>https://www.kegg.jp/entry/R00859</v>
      </c>
      <c r="I1209" t="s">
        <v>13204</v>
      </c>
      <c r="J1209" t="s">
        <v>13205</v>
      </c>
    </row>
    <row r="1210" spans="1:10" x14ac:dyDescent="0.25">
      <c r="A1210" t="s">
        <v>2326</v>
      </c>
      <c r="B1210">
        <v>575</v>
      </c>
      <c r="C1210" t="s">
        <v>2327</v>
      </c>
      <c r="E1210" s="5" t="s">
        <v>6807</v>
      </c>
      <c r="F1210" s="1" t="str">
        <f>IF(E1210&lt;&gt;"", HYPERLINK("https://www.kegg.jp/dbget-bin/www_bget?ec:" &amp; E1210, "https://www.kegg.jp/dbget-bin/www_bget?ec:" &amp; E1210), "")</f>
        <v>https://www.kegg.jp/dbget-bin/www_bget?ec:1.8.7.1</v>
      </c>
      <c r="G1210" s="3" t="s">
        <v>7657</v>
      </c>
      <c r="H1210" s="1" t="str">
        <f>IF(G1210&lt;&gt;"", HYPERLINK("https://www.kegg.jp/entry/" &amp; G1210, "https://www.kegg.jp/entry/" &amp; G1210), "")</f>
        <v>https://www.kegg.jp/entry/R03600</v>
      </c>
      <c r="I1210" t="s">
        <v>13206</v>
      </c>
      <c r="J1210" t="s">
        <v>13207</v>
      </c>
    </row>
    <row r="1211" spans="1:10" hidden="1" x14ac:dyDescent="0.25">
      <c r="A1211" t="s">
        <v>2328</v>
      </c>
      <c r="B1211">
        <v>39</v>
      </c>
      <c r="C1211" t="s">
        <v>2329</v>
      </c>
      <c r="F1211" s="1" t="str">
        <f>IF(E1211&lt;&gt;"", HYPERLINK("https://www.kegg.jp/dbget-bin/www_bget?ec:" &amp; E1211, "https://www.kegg.jp/dbget-bin/www_bget?ec:" &amp; E1211), "")</f>
        <v/>
      </c>
      <c r="G1211" s="3"/>
      <c r="H1211" s="1" t="str">
        <f>IF(G1211&lt;&gt;"", HYPERLINK("https://www.kegg.jp/entry/" &amp; G1211, "https://www.kegg.jp/entry/" &amp; G1211), "")</f>
        <v/>
      </c>
    </row>
    <row r="1212" spans="1:10" hidden="1" x14ac:dyDescent="0.25">
      <c r="A1212" t="s">
        <v>2330</v>
      </c>
      <c r="B1212">
        <v>134</v>
      </c>
      <c r="C1212" t="s">
        <v>2331</v>
      </c>
      <c r="F1212" s="1" t="str">
        <f>IF(E1212&lt;&gt;"", HYPERLINK("https://www.kegg.jp/dbget-bin/www_bget?ec:" &amp; E1212, "https://www.kegg.jp/dbget-bin/www_bget?ec:" &amp; E1212), "")</f>
        <v/>
      </c>
      <c r="G1212" s="3"/>
      <c r="H1212" s="1" t="str">
        <f>IF(G1212&lt;&gt;"", HYPERLINK("https://www.kegg.jp/entry/" &amp; G1212, "https://www.kegg.jp/entry/" &amp; G1212), "")</f>
        <v/>
      </c>
    </row>
    <row r="1213" spans="1:10" hidden="1" x14ac:dyDescent="0.25">
      <c r="A1213" t="s">
        <v>2333</v>
      </c>
      <c r="B1213">
        <v>250</v>
      </c>
      <c r="C1213" t="s">
        <v>2334</v>
      </c>
      <c r="F1213" s="1" t="str">
        <f>IF(E1213&lt;&gt;"", HYPERLINK("https://www.kegg.jp/dbget-bin/www_bget?ec:" &amp; E1213, "https://www.kegg.jp/dbget-bin/www_bget?ec:" &amp; E1213), "")</f>
        <v/>
      </c>
      <c r="G1213" s="3"/>
      <c r="H1213" s="1" t="str">
        <f>IF(G1213&lt;&gt;"", HYPERLINK("https://www.kegg.jp/entry/" &amp; G1213, "https://www.kegg.jp/entry/" &amp; G1213), "")</f>
        <v/>
      </c>
    </row>
    <row r="1214" spans="1:10" hidden="1" x14ac:dyDescent="0.25">
      <c r="A1214" t="s">
        <v>2336</v>
      </c>
      <c r="B1214">
        <v>324</v>
      </c>
      <c r="C1214" t="s">
        <v>2337</v>
      </c>
      <c r="F1214" s="1" t="str">
        <f>IF(E1214&lt;&gt;"", HYPERLINK("https://www.kegg.jp/dbget-bin/www_bget?ec:" &amp; E1214, "https://www.kegg.jp/dbget-bin/www_bget?ec:" &amp; E1214), "")</f>
        <v/>
      </c>
      <c r="G1214" s="3"/>
      <c r="H1214" s="1" t="str">
        <f>IF(G1214&lt;&gt;"", HYPERLINK("https://www.kegg.jp/entry/" &amp; G1214, "https://www.kegg.jp/entry/" &amp; G1214), "")</f>
        <v/>
      </c>
    </row>
    <row r="1215" spans="1:10" hidden="1" x14ac:dyDescent="0.25">
      <c r="A1215" t="s">
        <v>2339</v>
      </c>
      <c r="B1215">
        <v>309</v>
      </c>
      <c r="C1215" t="s">
        <v>2340</v>
      </c>
      <c r="F1215" s="1" t="str">
        <f>IF(E1215&lt;&gt;"", HYPERLINK("https://www.kegg.jp/dbget-bin/www_bget?ec:" &amp; E1215, "https://www.kegg.jp/dbget-bin/www_bget?ec:" &amp; E1215), "")</f>
        <v/>
      </c>
      <c r="G1215" s="3"/>
      <c r="H1215" s="1" t="str">
        <f>IF(G1215&lt;&gt;"", HYPERLINK("https://www.kegg.jp/entry/" &amp; G1215, "https://www.kegg.jp/entry/" &amp; G1215), "")</f>
        <v/>
      </c>
    </row>
    <row r="1216" spans="1:10" x14ac:dyDescent="0.25">
      <c r="A1216" t="s">
        <v>2342</v>
      </c>
      <c r="B1216">
        <v>206</v>
      </c>
      <c r="C1216" t="s">
        <v>2343</v>
      </c>
      <c r="E1216" s="5" t="s">
        <v>6808</v>
      </c>
      <c r="F1216" s="1" t="str">
        <f>IF(E1216&lt;&gt;"", HYPERLINK("https://www.kegg.jp/dbget-bin/www_bget?ec:" &amp; E1216, "https://www.kegg.jp/dbget-bin/www_bget?ec:" &amp; E1216), "")</f>
        <v>https://www.kegg.jp/dbget-bin/www_bget?ec:2.5.1.3</v>
      </c>
      <c r="G1216" s="3" t="s">
        <v>7658</v>
      </c>
      <c r="H1216" s="1" t="str">
        <f>IF(G1216&lt;&gt;"", HYPERLINK("https://www.kegg.jp/entry/" &amp; G1216, "https://www.kegg.jp/entry/" &amp; G1216), "")</f>
        <v>https://www.kegg.jp/entry/R03223</v>
      </c>
      <c r="I1216" t="s">
        <v>13208</v>
      </c>
      <c r="J1216" t="s">
        <v>8521</v>
      </c>
    </row>
    <row r="1217" spans="1:10" x14ac:dyDescent="0.25">
      <c r="A1217" t="s">
        <v>2342</v>
      </c>
      <c r="B1217">
        <v>206</v>
      </c>
      <c r="C1217" t="s">
        <v>2343</v>
      </c>
      <c r="E1217" s="5" t="s">
        <v>6808</v>
      </c>
      <c r="F1217" s="1" t="str">
        <f>IF(E1217&lt;&gt;"", HYPERLINK("https://www.kegg.jp/dbget-bin/www_bget?ec:" &amp; E1217, "https://www.kegg.jp/dbget-bin/www_bget?ec:" &amp; E1217), "")</f>
        <v>https://www.kegg.jp/dbget-bin/www_bget?ec:2.5.1.3</v>
      </c>
      <c r="G1217" s="3" t="s">
        <v>7659</v>
      </c>
      <c r="H1217" s="1" t="str">
        <f>IF(G1217&lt;&gt;"", HYPERLINK("https://www.kegg.jp/entry/" &amp; G1217, "https://www.kegg.jp/entry/" &amp; G1217), "")</f>
        <v>https://www.kegg.jp/entry/R10712</v>
      </c>
      <c r="I1217" t="s">
        <v>8247</v>
      </c>
      <c r="J1217" t="s">
        <v>13209</v>
      </c>
    </row>
    <row r="1218" spans="1:10" x14ac:dyDescent="0.25">
      <c r="A1218" t="s">
        <v>2342</v>
      </c>
      <c r="B1218">
        <v>206</v>
      </c>
      <c r="C1218" t="s">
        <v>2343</v>
      </c>
      <c r="E1218" s="5" t="s">
        <v>6808</v>
      </c>
      <c r="F1218" s="1" t="str">
        <f>IF(E1218&lt;&gt;"", HYPERLINK("https://www.kegg.jp/dbget-bin/www_bget?ec:" &amp; E1218, "https://www.kegg.jp/dbget-bin/www_bget?ec:" &amp; E1218), "")</f>
        <v>https://www.kegg.jp/dbget-bin/www_bget?ec:2.5.1.3</v>
      </c>
      <c r="G1218" s="3" t="s">
        <v>7660</v>
      </c>
      <c r="H1218" s="1" t="str">
        <f>IF(G1218&lt;&gt;"", HYPERLINK("https://www.kegg.jp/entry/" &amp; G1218, "https://www.kegg.jp/entry/" &amp; G1218), "")</f>
        <v>https://www.kegg.jp/entry/R11312</v>
      </c>
      <c r="I1218" t="s">
        <v>8248</v>
      </c>
      <c r="J1218" t="s">
        <v>13209</v>
      </c>
    </row>
    <row r="1219" spans="1:10" hidden="1" x14ac:dyDescent="0.25">
      <c r="A1219" t="s">
        <v>2345</v>
      </c>
      <c r="B1219">
        <v>64</v>
      </c>
      <c r="C1219" t="s">
        <v>2346</v>
      </c>
      <c r="F1219" s="1" t="str">
        <f>IF(E1219&lt;&gt;"", HYPERLINK("https://www.kegg.jp/dbget-bin/www_bget?ec:" &amp; E1219, "https://www.kegg.jp/dbget-bin/www_bget?ec:" &amp; E1219), "")</f>
        <v/>
      </c>
      <c r="G1219" s="3"/>
      <c r="H1219" s="1" t="str">
        <f>IF(G1219&lt;&gt;"", HYPERLINK("https://www.kegg.jp/entry/" &amp; G1219, "https://www.kegg.jp/entry/" &amp; G1219), "")</f>
        <v/>
      </c>
    </row>
    <row r="1220" spans="1:10" hidden="1" x14ac:dyDescent="0.25">
      <c r="A1220" t="s">
        <v>2348</v>
      </c>
      <c r="B1220">
        <v>260</v>
      </c>
      <c r="C1220" t="s">
        <v>2349</v>
      </c>
      <c r="F1220" s="1" t="str">
        <f>IF(E1220&lt;&gt;"", HYPERLINK("https://www.kegg.jp/dbget-bin/www_bget?ec:" &amp; E1220, "https://www.kegg.jp/dbget-bin/www_bget?ec:" &amp; E1220), "")</f>
        <v/>
      </c>
      <c r="G1220" s="3"/>
      <c r="H1220" s="1" t="str">
        <f>IF(G1220&lt;&gt;"", HYPERLINK("https://www.kegg.jp/entry/" &amp; G1220, "https://www.kegg.jp/entry/" &amp; G1220), "")</f>
        <v/>
      </c>
    </row>
    <row r="1221" spans="1:10" x14ac:dyDescent="0.25">
      <c r="A1221" t="s">
        <v>2351</v>
      </c>
      <c r="B1221">
        <v>309</v>
      </c>
      <c r="C1221" t="s">
        <v>2352</v>
      </c>
      <c r="E1221" s="5" t="s">
        <v>6809</v>
      </c>
      <c r="F1221" s="1" t="str">
        <f>IF(E1221&lt;&gt;"", HYPERLINK("https://www.kegg.jp/dbget-bin/www_bget?ec:" &amp; E1221, "https://www.kegg.jp/dbget-bin/www_bget?ec:" &amp; E1221), "")</f>
        <v>https://www.kegg.jp/dbget-bin/www_bget?ec:1.4.3.19</v>
      </c>
      <c r="G1221" s="3" t="s">
        <v>7661</v>
      </c>
      <c r="H1221" s="1" t="str">
        <f>IF(G1221&lt;&gt;"", HYPERLINK("https://www.kegg.jp/entry/" &amp; G1221, "https://www.kegg.jp/entry/" &amp; G1221), "")</f>
        <v>https://www.kegg.jp/entry/R00366</v>
      </c>
      <c r="I1221" t="s">
        <v>13210</v>
      </c>
      <c r="J1221" t="s">
        <v>13211</v>
      </c>
    </row>
    <row r="1222" spans="1:10" x14ac:dyDescent="0.25">
      <c r="A1222" t="s">
        <v>2351</v>
      </c>
      <c r="B1222">
        <v>309</v>
      </c>
      <c r="C1222" t="s">
        <v>2352</v>
      </c>
      <c r="E1222" s="5" t="s">
        <v>6809</v>
      </c>
      <c r="F1222" s="1" t="str">
        <f>IF(E1222&lt;&gt;"", HYPERLINK("https://www.kegg.jp/dbget-bin/www_bget?ec:" &amp; E1222, "https://www.kegg.jp/dbget-bin/www_bget?ec:" &amp; E1222), "")</f>
        <v>https://www.kegg.jp/dbget-bin/www_bget?ec:1.4.3.19</v>
      </c>
      <c r="G1222" s="3" t="s">
        <v>7666</v>
      </c>
      <c r="H1222" s="1" t="str">
        <f>IF(G1222&lt;&gt;"", HYPERLINK("https://www.kegg.jp/entry/" &amp; G1222, "https://www.kegg.jp/entry/" &amp; G1222), "")</f>
        <v>https://www.kegg.jp/entry/R07463</v>
      </c>
      <c r="I1222" t="s">
        <v>13212</v>
      </c>
      <c r="J1222" t="s">
        <v>13213</v>
      </c>
    </row>
    <row r="1223" spans="1:10" x14ac:dyDescent="0.25">
      <c r="A1223" t="s">
        <v>2351</v>
      </c>
      <c r="B1223">
        <v>309</v>
      </c>
      <c r="C1223" t="s">
        <v>2352</v>
      </c>
      <c r="E1223" s="5" t="s">
        <v>6809</v>
      </c>
      <c r="F1223" s="1" t="str">
        <f>IF(E1223&lt;&gt;"", HYPERLINK("https://www.kegg.jp/dbget-bin/www_bget?ec:" &amp; E1223, "https://www.kegg.jp/dbget-bin/www_bget?ec:" &amp; E1223), "")</f>
        <v>https://www.kegg.jp/dbget-bin/www_bget?ec:1.4.3.19</v>
      </c>
      <c r="G1223" s="3" t="s">
        <v>7665</v>
      </c>
      <c r="H1223" s="1" t="str">
        <f>IF(G1223&lt;&gt;"", HYPERLINK("https://www.kegg.jp/entry/" &amp; G1223, "https://www.kegg.jp/entry/" &amp; G1223), "")</f>
        <v>https://www.kegg.jp/entry/R10245</v>
      </c>
      <c r="I1223" t="s">
        <v>13214</v>
      </c>
      <c r="J1223" t="s">
        <v>13215</v>
      </c>
    </row>
    <row r="1224" spans="1:10" x14ac:dyDescent="0.25">
      <c r="A1224" t="s">
        <v>2351</v>
      </c>
      <c r="B1224">
        <v>309</v>
      </c>
      <c r="C1224" t="s">
        <v>2352</v>
      </c>
      <c r="E1224" s="5" t="s">
        <v>6809</v>
      </c>
      <c r="F1224" s="1" t="str">
        <f>IF(E1224&lt;&gt;"", HYPERLINK("https://www.kegg.jp/dbget-bin/www_bget?ec:" &amp; E1224, "https://www.kegg.jp/dbget-bin/www_bget?ec:" &amp; E1224), "")</f>
        <v>https://www.kegg.jp/dbget-bin/www_bget?ec:1.4.3.19</v>
      </c>
      <c r="G1224" s="3" t="s">
        <v>7664</v>
      </c>
      <c r="H1224" s="1" t="str">
        <f>IF(G1224&lt;&gt;"", HYPERLINK("https://www.kegg.jp/entry/" &amp; G1224, "https://www.kegg.jp/entry/" &amp; G1224), "")</f>
        <v>https://www.kegg.jp/entry/R05861</v>
      </c>
      <c r="I1224" t="s">
        <v>13216</v>
      </c>
      <c r="J1224" t="s">
        <v>13217</v>
      </c>
    </row>
    <row r="1225" spans="1:10" x14ac:dyDescent="0.25">
      <c r="A1225" t="s">
        <v>2351</v>
      </c>
      <c r="B1225">
        <v>309</v>
      </c>
      <c r="C1225" t="s">
        <v>2352</v>
      </c>
      <c r="E1225" s="5" t="s">
        <v>6809</v>
      </c>
      <c r="F1225" s="1" t="str">
        <f>IF(E1225&lt;&gt;"", HYPERLINK("https://www.kegg.jp/dbget-bin/www_bget?ec:" &amp; E1225, "https://www.kegg.jp/dbget-bin/www_bget?ec:" &amp; E1225), "")</f>
        <v>https://www.kegg.jp/dbget-bin/www_bget?ec:1.4.3.19</v>
      </c>
      <c r="G1225" s="3" t="s">
        <v>7663</v>
      </c>
      <c r="H1225" s="1" t="str">
        <f>IF(G1225&lt;&gt;"", HYPERLINK("https://www.kegg.jp/entry/" &amp; G1225, "https://www.kegg.jp/entry/" &amp; G1225), "")</f>
        <v>https://www.kegg.jp/entry/R05862</v>
      </c>
      <c r="I1225" t="s">
        <v>13218</v>
      </c>
      <c r="J1225" t="s">
        <v>13219</v>
      </c>
    </row>
    <row r="1226" spans="1:10" x14ac:dyDescent="0.25">
      <c r="A1226" t="s">
        <v>2351</v>
      </c>
      <c r="B1226">
        <v>309</v>
      </c>
      <c r="C1226" t="s">
        <v>2352</v>
      </c>
      <c r="E1226" s="5" t="s">
        <v>6809</v>
      </c>
      <c r="F1226" s="1" t="str">
        <f>IF(E1226&lt;&gt;"", HYPERLINK("https://www.kegg.jp/dbget-bin/www_bget?ec:" &amp; E1226, "https://www.kegg.jp/dbget-bin/www_bget?ec:" &amp; E1226), "")</f>
        <v>https://www.kegg.jp/dbget-bin/www_bget?ec:1.4.3.19</v>
      </c>
      <c r="G1226" s="3" t="s">
        <v>7662</v>
      </c>
      <c r="H1226" s="1" t="str">
        <f>IF(G1226&lt;&gt;"", HYPERLINK("https://www.kegg.jp/entry/" &amp; G1226, "https://www.kegg.jp/entry/" &amp; G1226), "")</f>
        <v>https://www.kegg.jp/entry/R05863</v>
      </c>
      <c r="I1226" t="s">
        <v>13220</v>
      </c>
      <c r="J1226" t="s">
        <v>13221</v>
      </c>
    </row>
    <row r="1227" spans="1:10" x14ac:dyDescent="0.25">
      <c r="A1227" t="s">
        <v>2354</v>
      </c>
      <c r="B1227">
        <v>432</v>
      </c>
      <c r="C1227" t="s">
        <v>2355</v>
      </c>
      <c r="E1227" s="5" t="s">
        <v>6810</v>
      </c>
      <c r="F1227" s="1" t="str">
        <f>IF(E1227&lt;&gt;"", HYPERLINK("https://www.kegg.jp/dbget-bin/www_bget?ec:" &amp; E1227, "https://www.kegg.jp/dbget-bin/www_bget?ec:" &amp; E1227), "")</f>
        <v>https://www.kegg.jp/dbget-bin/www_bget?ec:4.1.99.17</v>
      </c>
      <c r="G1227" s="3" t="s">
        <v>7184</v>
      </c>
      <c r="H1227" s="1" t="str">
        <f>IF(G1227&lt;&gt;"", HYPERLINK("https://www.kegg.jp/entry/" &amp; G1227, "https://www.kegg.jp/entry/" &amp; G1227), "")</f>
        <v>https://www.kegg.jp/entry/R03472</v>
      </c>
      <c r="I1227" t="s">
        <v>13222</v>
      </c>
      <c r="J1227" t="s">
        <v>13223</v>
      </c>
    </row>
    <row r="1228" spans="1:10" x14ac:dyDescent="0.25">
      <c r="A1228" t="s">
        <v>2357</v>
      </c>
      <c r="B1228">
        <v>259</v>
      </c>
      <c r="C1228" t="s">
        <v>2358</v>
      </c>
      <c r="E1228" s="5" t="s">
        <v>6811</v>
      </c>
      <c r="F1228" s="1" t="str">
        <f>IF(E1228&lt;&gt;"", HYPERLINK("https://www.kegg.jp/dbget-bin/www_bget?ec:" &amp; E1228, "https://www.kegg.jp/dbget-bin/www_bget?ec:" &amp; E1228), "")</f>
        <v>https://www.kegg.jp/dbget-bin/www_bget?ec:2.7.4.7</v>
      </c>
      <c r="G1228" s="3" t="s">
        <v>7185</v>
      </c>
      <c r="H1228" s="1" t="str">
        <f>IF(G1228&lt;&gt;"", HYPERLINK("https://www.kegg.jp/entry/" &amp; G1228, "https://www.kegg.jp/entry/" &amp; G1228), "")</f>
        <v>https://www.kegg.jp/entry/R04509</v>
      </c>
      <c r="I1228" t="s">
        <v>8249</v>
      </c>
      <c r="J1228" t="s">
        <v>8522</v>
      </c>
    </row>
    <row r="1229" spans="1:10" hidden="1" x14ac:dyDescent="0.25">
      <c r="A1229" t="s">
        <v>2360</v>
      </c>
      <c r="B1229">
        <v>594</v>
      </c>
      <c r="C1229" t="s">
        <v>2361</v>
      </c>
      <c r="F1229" s="1" t="str">
        <f>IF(E1229&lt;&gt;"", HYPERLINK("https://www.kegg.jp/dbget-bin/www_bget?ec:" &amp; E1229, "https://www.kegg.jp/dbget-bin/www_bget?ec:" &amp; E1229), "")</f>
        <v/>
      </c>
      <c r="G1229" s="3"/>
      <c r="H1229" s="1" t="str">
        <f>IF(G1229&lt;&gt;"", HYPERLINK("https://www.kegg.jp/entry/" &amp; G1229, "https://www.kegg.jp/entry/" &amp; G1229), "")</f>
        <v/>
      </c>
    </row>
    <row r="1230" spans="1:10" hidden="1" x14ac:dyDescent="0.25">
      <c r="A1230" t="s">
        <v>2363</v>
      </c>
      <c r="B1230">
        <v>454</v>
      </c>
      <c r="C1230" t="s">
        <v>2364</v>
      </c>
      <c r="F1230" s="1" t="str">
        <f>IF(E1230&lt;&gt;"", HYPERLINK("https://www.kegg.jp/dbget-bin/www_bget?ec:" &amp; E1230, "https://www.kegg.jp/dbget-bin/www_bget?ec:" &amp; E1230), "")</f>
        <v/>
      </c>
      <c r="G1230" s="3"/>
      <c r="H1230" s="1" t="str">
        <f>IF(G1230&lt;&gt;"", HYPERLINK("https://www.kegg.jp/entry/" &amp; G1230, "https://www.kegg.jp/entry/" &amp; G1230), "")</f>
        <v/>
      </c>
    </row>
    <row r="1231" spans="1:10" hidden="1" x14ac:dyDescent="0.25">
      <c r="A1231" t="s">
        <v>2366</v>
      </c>
      <c r="B1231">
        <v>367</v>
      </c>
      <c r="C1231" t="s">
        <v>2367</v>
      </c>
      <c r="F1231" s="1" t="str">
        <f>IF(E1231&lt;&gt;"", HYPERLINK("https://www.kegg.jp/dbget-bin/www_bget?ec:" &amp; E1231, "https://www.kegg.jp/dbget-bin/www_bget?ec:" &amp; E1231), "")</f>
        <v/>
      </c>
      <c r="G1231" s="3"/>
      <c r="H1231" s="1" t="str">
        <f>IF(G1231&lt;&gt;"", HYPERLINK("https://www.kegg.jp/entry/" &amp; G1231, "https://www.kegg.jp/entry/" &amp; G1231), "")</f>
        <v/>
      </c>
    </row>
    <row r="1232" spans="1:10" hidden="1" x14ac:dyDescent="0.25">
      <c r="A1232" t="s">
        <v>2369</v>
      </c>
      <c r="B1232">
        <v>413</v>
      </c>
      <c r="C1232" t="s">
        <v>2370</v>
      </c>
      <c r="F1232" s="1" t="str">
        <f>IF(E1232&lt;&gt;"", HYPERLINK("https://www.kegg.jp/dbget-bin/www_bget?ec:" &amp; E1232, "https://www.kegg.jp/dbget-bin/www_bget?ec:" &amp; E1232), "")</f>
        <v/>
      </c>
      <c r="G1232" s="3"/>
      <c r="H1232" s="1" t="str">
        <f>IF(G1232&lt;&gt;"", HYPERLINK("https://www.kegg.jp/entry/" &amp; G1232, "https://www.kegg.jp/entry/" &amp; G1232), "")</f>
        <v/>
      </c>
    </row>
    <row r="1233" spans="1:10" hidden="1" x14ac:dyDescent="0.25">
      <c r="A1233" t="s">
        <v>2372</v>
      </c>
      <c r="B1233">
        <v>298</v>
      </c>
      <c r="C1233" t="s">
        <v>2373</v>
      </c>
      <c r="F1233" s="1" t="str">
        <f>IF(E1233&lt;&gt;"", HYPERLINK("https://www.kegg.jp/dbget-bin/www_bget?ec:" &amp; E1233, "https://www.kegg.jp/dbget-bin/www_bget?ec:" &amp; E1233), "")</f>
        <v/>
      </c>
      <c r="G1233" s="3"/>
      <c r="H1233" s="1" t="str">
        <f>IF(G1233&lt;&gt;"", HYPERLINK("https://www.kegg.jp/entry/" &amp; G1233, "https://www.kegg.jp/entry/" &amp; G1233), "")</f>
        <v/>
      </c>
    </row>
    <row r="1234" spans="1:10" hidden="1" x14ac:dyDescent="0.25">
      <c r="A1234" t="s">
        <v>2374</v>
      </c>
      <c r="B1234">
        <v>348</v>
      </c>
      <c r="C1234" t="s">
        <v>2375</v>
      </c>
      <c r="F1234" s="1" t="str">
        <f>IF(E1234&lt;&gt;"", HYPERLINK("https://www.kegg.jp/dbget-bin/www_bget?ec:" &amp; E1234, "https://www.kegg.jp/dbget-bin/www_bget?ec:" &amp; E1234), "")</f>
        <v/>
      </c>
      <c r="G1234" s="3"/>
      <c r="H1234" s="1" t="str">
        <f>IF(G1234&lt;&gt;"", HYPERLINK("https://www.kegg.jp/entry/" &amp; G1234, "https://www.kegg.jp/entry/" &amp; G1234), "")</f>
        <v/>
      </c>
    </row>
    <row r="1235" spans="1:10" hidden="1" x14ac:dyDescent="0.25">
      <c r="A1235" t="s">
        <v>2376</v>
      </c>
      <c r="B1235">
        <v>243</v>
      </c>
      <c r="C1235" t="s">
        <v>2377</v>
      </c>
      <c r="F1235" s="1" t="str">
        <f>IF(E1235&lt;&gt;"", HYPERLINK("https://www.kegg.jp/dbget-bin/www_bget?ec:" &amp; E1235, "https://www.kegg.jp/dbget-bin/www_bget?ec:" &amp; E1235), "")</f>
        <v/>
      </c>
      <c r="G1235" s="3"/>
      <c r="H1235" s="1" t="str">
        <f>IF(G1235&lt;&gt;"", HYPERLINK("https://www.kegg.jp/entry/" &amp; G1235, "https://www.kegg.jp/entry/" &amp; G1235), "")</f>
        <v/>
      </c>
    </row>
    <row r="1236" spans="1:10" x14ac:dyDescent="0.25">
      <c r="A1236" t="s">
        <v>2379</v>
      </c>
      <c r="B1236">
        <v>87</v>
      </c>
      <c r="C1236" t="s">
        <v>2380</v>
      </c>
      <c r="E1236" s="5" t="s">
        <v>6812</v>
      </c>
      <c r="F1236" s="1" t="str">
        <f>IF(E1236&lt;&gt;"", HYPERLINK("https://www.kegg.jp/dbget-bin/www_bget?ec:" &amp; E1236, "https://www.kegg.jp/dbget-bin/www_bget?ec:" &amp; E1236), "")</f>
        <v>https://www.kegg.jp/dbget-bin/www_bget?ec:5.3.1.8</v>
      </c>
      <c r="G1236" s="3" t="s">
        <v>7667</v>
      </c>
      <c r="H1236" s="1" t="str">
        <f>IF(G1236&lt;&gt;"", HYPERLINK("https://www.kegg.jp/entry/" &amp; G1236, "https://www.kegg.jp/entry/" &amp; G1236), "")</f>
        <v>https://www.kegg.jp/entry/R00772</v>
      </c>
      <c r="I1236" t="s">
        <v>8250</v>
      </c>
      <c r="J1236" t="s">
        <v>8523</v>
      </c>
    </row>
    <row r="1237" spans="1:10" x14ac:dyDescent="0.25">
      <c r="A1237" t="s">
        <v>2379</v>
      </c>
      <c r="B1237">
        <v>87</v>
      </c>
      <c r="C1237" t="s">
        <v>2380</v>
      </c>
      <c r="E1237" s="5" t="s">
        <v>6812</v>
      </c>
      <c r="F1237" s="1" t="str">
        <f>IF(E1237&lt;&gt;"", HYPERLINK("https://www.kegg.jp/dbget-bin/www_bget?ec:" &amp; E1237, "https://www.kegg.jp/dbget-bin/www_bget?ec:" &amp; E1237), "")</f>
        <v>https://www.kegg.jp/dbget-bin/www_bget?ec:5.3.1.8</v>
      </c>
      <c r="G1237" s="3" t="s">
        <v>7668</v>
      </c>
      <c r="H1237" s="1" t="str">
        <f>IF(G1237&lt;&gt;"", HYPERLINK("https://www.kegg.jp/entry/" &amp; G1237, "https://www.kegg.jp/entry/" &amp; G1237), "")</f>
        <v>https://www.kegg.jp/entry/R01819</v>
      </c>
      <c r="I1237" t="s">
        <v>8250</v>
      </c>
      <c r="J1237" t="s">
        <v>8524</v>
      </c>
    </row>
    <row r="1238" spans="1:10" x14ac:dyDescent="0.25">
      <c r="A1238" t="s">
        <v>2381</v>
      </c>
      <c r="B1238">
        <v>446</v>
      </c>
      <c r="C1238" t="s">
        <v>2382</v>
      </c>
      <c r="E1238" s="5" t="s">
        <v>6746</v>
      </c>
      <c r="F1238" s="1" t="str">
        <f>IF(E1238&lt;&gt;"", HYPERLINK("https://www.kegg.jp/dbget-bin/www_bget?ec:" &amp; E1238, "https://www.kegg.jp/dbget-bin/www_bget?ec:" &amp; E1238), "")</f>
        <v>https://www.kegg.jp/dbget-bin/www_bget?ec:5.4.2.10</v>
      </c>
      <c r="G1238" s="3" t="s">
        <v>7153</v>
      </c>
      <c r="H1238" s="1" t="str">
        <f>IF(G1238&lt;&gt;"", HYPERLINK("https://www.kegg.jp/entry/" &amp; G1238, "https://www.kegg.jp/entry/" &amp; G1238), "")</f>
        <v>https://www.kegg.jp/entry/R02060</v>
      </c>
      <c r="I1238" t="s">
        <v>8209</v>
      </c>
      <c r="J1238" t="s">
        <v>8487</v>
      </c>
    </row>
    <row r="1239" spans="1:10" x14ac:dyDescent="0.25">
      <c r="A1239" t="s">
        <v>2383</v>
      </c>
      <c r="B1239">
        <v>69</v>
      </c>
      <c r="C1239" t="s">
        <v>2384</v>
      </c>
      <c r="E1239" s="5" t="s">
        <v>6672</v>
      </c>
      <c r="F1239" s="1" t="str">
        <f>IF(E1239&lt;&gt;"", HYPERLINK("https://www.kegg.jp/dbget-bin/www_bget?ec:" &amp; E1239, "https://www.kegg.jp/dbget-bin/www_bget?ec:" &amp; E1239), "")</f>
        <v>https://www.kegg.jp/dbget-bin/www_bget?ec:2.7.7.22</v>
      </c>
      <c r="G1239" s="3" t="s">
        <v>7114</v>
      </c>
      <c r="H1239" s="1" t="str">
        <f>IF(G1239&lt;&gt;"", HYPERLINK("https://www.kegg.jp/entry/" &amp; G1239, "https://www.kegg.jp/entry/" &amp; G1239), "")</f>
        <v>https://www.kegg.jp/entry/R00883</v>
      </c>
      <c r="I1239" t="s">
        <v>8152</v>
      </c>
      <c r="J1239" t="s">
        <v>8434</v>
      </c>
    </row>
    <row r="1240" spans="1:10" hidden="1" x14ac:dyDescent="0.25">
      <c r="A1240" t="s">
        <v>2385</v>
      </c>
      <c r="B1240">
        <v>139</v>
      </c>
      <c r="C1240" t="s">
        <v>2386</v>
      </c>
      <c r="F1240" s="1" t="str">
        <f>IF(E1240&lt;&gt;"", HYPERLINK("https://www.kegg.jp/dbget-bin/www_bget?ec:" &amp; E1240, "https://www.kegg.jp/dbget-bin/www_bget?ec:" &amp; E1240), "")</f>
        <v/>
      </c>
      <c r="G1240" s="3"/>
      <c r="H1240" s="1" t="str">
        <f>IF(G1240&lt;&gt;"", HYPERLINK("https://www.kegg.jp/entry/" &amp; G1240, "https://www.kegg.jp/entry/" &amp; G1240), "")</f>
        <v/>
      </c>
    </row>
    <row r="1241" spans="1:10" hidden="1" x14ac:dyDescent="0.25">
      <c r="A1241" t="s">
        <v>2388</v>
      </c>
      <c r="B1241">
        <v>223</v>
      </c>
      <c r="C1241" t="s">
        <v>2389</v>
      </c>
      <c r="F1241" s="1" t="str">
        <f>IF(E1241&lt;&gt;"", HYPERLINK("https://www.kegg.jp/dbget-bin/www_bget?ec:" &amp; E1241, "https://www.kegg.jp/dbget-bin/www_bget?ec:" &amp; E1241), "")</f>
        <v/>
      </c>
      <c r="G1241" s="3"/>
      <c r="H1241" s="1" t="str">
        <f>IF(G1241&lt;&gt;"", HYPERLINK("https://www.kegg.jp/entry/" &amp; G1241, "https://www.kegg.jp/entry/" &amp; G1241), "")</f>
        <v/>
      </c>
    </row>
    <row r="1242" spans="1:10" hidden="1" x14ac:dyDescent="0.25">
      <c r="A1242" t="s">
        <v>2391</v>
      </c>
      <c r="B1242">
        <v>626</v>
      </c>
      <c r="C1242" t="s">
        <v>2392</v>
      </c>
      <c r="F1242" s="1" t="str">
        <f>IF(E1242&lt;&gt;"", HYPERLINK("https://www.kegg.jp/dbget-bin/www_bget?ec:" &amp; E1242, "https://www.kegg.jp/dbget-bin/www_bget?ec:" &amp; E1242), "")</f>
        <v/>
      </c>
      <c r="G1242" s="3"/>
      <c r="H1242" s="1" t="str">
        <f>IF(G1242&lt;&gt;"", HYPERLINK("https://www.kegg.jp/entry/" &amp; G1242, "https://www.kegg.jp/entry/" &amp; G1242), "")</f>
        <v/>
      </c>
    </row>
    <row r="1243" spans="1:10" hidden="1" x14ac:dyDescent="0.25">
      <c r="A1243" t="s">
        <v>2393</v>
      </c>
      <c r="B1243">
        <v>80</v>
      </c>
      <c r="C1243" t="s">
        <v>2394</v>
      </c>
      <c r="F1243" s="1" t="str">
        <f>IF(E1243&lt;&gt;"", HYPERLINK("https://www.kegg.jp/dbget-bin/www_bget?ec:" &amp; E1243, "https://www.kegg.jp/dbget-bin/www_bget?ec:" &amp; E1243), "")</f>
        <v/>
      </c>
      <c r="G1243" s="3"/>
      <c r="H1243" s="1" t="str">
        <f>IF(G1243&lt;&gt;"", HYPERLINK("https://www.kegg.jp/entry/" &amp; G1243, "https://www.kegg.jp/entry/" &amp; G1243), "")</f>
        <v/>
      </c>
    </row>
    <row r="1244" spans="1:10" x14ac:dyDescent="0.25">
      <c r="A1244" t="s">
        <v>2395</v>
      </c>
      <c r="B1244">
        <v>386</v>
      </c>
      <c r="C1244" t="s">
        <v>2396</v>
      </c>
      <c r="E1244" s="5" t="s">
        <v>6627</v>
      </c>
      <c r="F1244" s="1" t="str">
        <f>IF(E1244&lt;&gt;"", HYPERLINK("https://www.kegg.jp/dbget-bin/www_bget?ec:" &amp; E1244, "https://www.kegg.jp/dbget-bin/www_bget?ec:" &amp; E1244), "")</f>
        <v>https://www.kegg.jp/dbget-bin/www_bget?ec:1.3.8.1</v>
      </c>
      <c r="G1244" s="3" t="s">
        <v>7359</v>
      </c>
      <c r="H1244" s="1" t="str">
        <f>IF(G1244&lt;&gt;"", HYPERLINK("https://www.kegg.jp/entry/" &amp; G1244, "https://www.kegg.jp/entry/" &amp; G1244), "")</f>
        <v>https://www.kegg.jp/entry/R01178</v>
      </c>
      <c r="I1244" t="s">
        <v>12780</v>
      </c>
      <c r="J1244" t="s">
        <v>12781</v>
      </c>
    </row>
    <row r="1245" spans="1:10" x14ac:dyDescent="0.25">
      <c r="A1245" t="s">
        <v>2395</v>
      </c>
      <c r="B1245">
        <v>386</v>
      </c>
      <c r="C1245" t="s">
        <v>2396</v>
      </c>
      <c r="E1245" s="5" t="s">
        <v>6627</v>
      </c>
      <c r="F1245" s="1" t="str">
        <f>IF(E1245&lt;&gt;"", HYPERLINK("https://www.kegg.jp/dbget-bin/www_bget?ec:" &amp; E1245, "https://www.kegg.jp/dbget-bin/www_bget?ec:" &amp; E1245), "")</f>
        <v>https://www.kegg.jp/dbget-bin/www_bget?ec:1.3.8.1</v>
      </c>
      <c r="G1245" s="3" t="s">
        <v>7364</v>
      </c>
      <c r="H1245" s="1" t="str">
        <f>IF(G1245&lt;&gt;"", HYPERLINK("https://www.kegg.jp/entry/" &amp; G1245, "https://www.kegg.jp/entry/" &amp; G1245), "")</f>
        <v>https://www.kegg.jp/entry/R01175</v>
      </c>
      <c r="I1245" t="s">
        <v>12782</v>
      </c>
      <c r="J1245" t="s">
        <v>12783</v>
      </c>
    </row>
    <row r="1246" spans="1:10" x14ac:dyDescent="0.25">
      <c r="A1246" t="s">
        <v>2395</v>
      </c>
      <c r="B1246">
        <v>386</v>
      </c>
      <c r="C1246" t="s">
        <v>2396</v>
      </c>
      <c r="E1246" s="5" t="s">
        <v>6627</v>
      </c>
      <c r="F1246" s="1" t="str">
        <f>IF(E1246&lt;&gt;"", HYPERLINK("https://www.kegg.jp/dbget-bin/www_bget?ec:" &amp; E1246, "https://www.kegg.jp/dbget-bin/www_bget?ec:" &amp; E1246), "")</f>
        <v>https://www.kegg.jp/dbget-bin/www_bget?ec:1.3.8.1</v>
      </c>
      <c r="G1246" s="3" t="s">
        <v>7363</v>
      </c>
      <c r="H1246" s="1" t="str">
        <f>IF(G1246&lt;&gt;"", HYPERLINK("https://www.kegg.jp/entry/" &amp; G1246, "https://www.kegg.jp/entry/" &amp; G1246), "")</f>
        <v>https://www.kegg.jp/entry/R04751</v>
      </c>
      <c r="I1246" t="s">
        <v>12784</v>
      </c>
      <c r="J1246" t="s">
        <v>12785</v>
      </c>
    </row>
    <row r="1247" spans="1:10" x14ac:dyDescent="0.25">
      <c r="A1247" t="s">
        <v>2395</v>
      </c>
      <c r="B1247">
        <v>386</v>
      </c>
      <c r="C1247" t="s">
        <v>2396</v>
      </c>
      <c r="E1247" s="5" t="s">
        <v>6627</v>
      </c>
      <c r="F1247" s="1" t="str">
        <f>IF(E1247&lt;&gt;"", HYPERLINK("https://www.kegg.jp/dbget-bin/www_bget?ec:" &amp; E1247, "https://www.kegg.jp/dbget-bin/www_bget?ec:" &amp; E1247), "")</f>
        <v>https://www.kegg.jp/dbget-bin/www_bget?ec:1.3.8.1</v>
      </c>
      <c r="G1247" s="3" t="s">
        <v>7362</v>
      </c>
      <c r="H1247" s="1" t="str">
        <f>IF(G1247&lt;&gt;"", HYPERLINK("https://www.kegg.jp/entry/" &amp; G1247, "https://www.kegg.jp/entry/" &amp; G1247), "")</f>
        <v>https://www.kegg.jp/entry/R02661</v>
      </c>
      <c r="I1247" t="s">
        <v>12786</v>
      </c>
      <c r="J1247" t="s">
        <v>12787</v>
      </c>
    </row>
    <row r="1248" spans="1:10" x14ac:dyDescent="0.25">
      <c r="A1248" t="s">
        <v>2395</v>
      </c>
      <c r="B1248">
        <v>386</v>
      </c>
      <c r="C1248" t="s">
        <v>2396</v>
      </c>
      <c r="E1248" s="5" t="s">
        <v>6627</v>
      </c>
      <c r="F1248" s="1" t="str">
        <f>IF(E1248&lt;&gt;"", HYPERLINK("https://www.kegg.jp/dbget-bin/www_bget?ec:" &amp; E1248, "https://www.kegg.jp/dbget-bin/www_bget?ec:" &amp; E1248), "")</f>
        <v>https://www.kegg.jp/dbget-bin/www_bget?ec:1.3.8.1</v>
      </c>
      <c r="G1248" s="3" t="s">
        <v>7361</v>
      </c>
      <c r="H1248" s="1" t="str">
        <f>IF(G1248&lt;&gt;"", HYPERLINK("https://www.kegg.jp/entry/" &amp; G1248, "https://www.kegg.jp/entry/" &amp; G1248), "")</f>
        <v>https://www.kegg.jp/entry/R03172</v>
      </c>
      <c r="I1248" t="s">
        <v>12788</v>
      </c>
      <c r="J1248" t="s">
        <v>12789</v>
      </c>
    </row>
    <row r="1249" spans="1:10" x14ac:dyDescent="0.25">
      <c r="A1249" t="s">
        <v>2395</v>
      </c>
      <c r="B1249">
        <v>386</v>
      </c>
      <c r="C1249" t="s">
        <v>2396</v>
      </c>
      <c r="E1249" s="5" t="s">
        <v>6627</v>
      </c>
      <c r="F1249" s="1" t="str">
        <f>IF(E1249&lt;&gt;"", HYPERLINK("https://www.kegg.jp/dbget-bin/www_bget?ec:" &amp; E1249, "https://www.kegg.jp/dbget-bin/www_bget?ec:" &amp; E1249), "")</f>
        <v>https://www.kegg.jp/dbget-bin/www_bget?ec:1.3.8.1</v>
      </c>
      <c r="G1249" s="3" t="s">
        <v>7360</v>
      </c>
      <c r="H1249" s="1" t="str">
        <f>IF(G1249&lt;&gt;"", HYPERLINK("https://www.kegg.jp/entry/" &amp; G1249, "https://www.kegg.jp/entry/" &amp; G1249), "")</f>
        <v>https://www.kegg.jp/entry/R04432</v>
      </c>
      <c r="I1249" t="s">
        <v>12790</v>
      </c>
      <c r="J1249" t="s">
        <v>12791</v>
      </c>
    </row>
    <row r="1250" spans="1:10" hidden="1" x14ac:dyDescent="0.25">
      <c r="A1250" t="s">
        <v>2397</v>
      </c>
      <c r="B1250">
        <v>325</v>
      </c>
      <c r="C1250" t="s">
        <v>2398</v>
      </c>
      <c r="F1250" s="1" t="str">
        <f>IF(E1250&lt;&gt;"", HYPERLINK("https://www.kegg.jp/dbget-bin/www_bget?ec:" &amp; E1250, "https://www.kegg.jp/dbget-bin/www_bget?ec:" &amp; E1250), "")</f>
        <v/>
      </c>
      <c r="G1250" s="3"/>
      <c r="H1250" s="1" t="str">
        <f>IF(G1250&lt;&gt;"", HYPERLINK("https://www.kegg.jp/entry/" &amp; G1250, "https://www.kegg.jp/entry/" &amp; G1250), "")</f>
        <v/>
      </c>
    </row>
    <row r="1251" spans="1:10" hidden="1" x14ac:dyDescent="0.25">
      <c r="A1251" t="s">
        <v>2399</v>
      </c>
      <c r="B1251">
        <v>116</v>
      </c>
      <c r="C1251" t="s">
        <v>2400</v>
      </c>
      <c r="F1251" s="1" t="str">
        <f>IF(E1251&lt;&gt;"", HYPERLINK("https://www.kegg.jp/dbget-bin/www_bget?ec:" &amp; E1251, "https://www.kegg.jp/dbget-bin/www_bget?ec:" &amp; E1251), "")</f>
        <v/>
      </c>
      <c r="G1251" s="3"/>
      <c r="H1251" s="1" t="str">
        <f>IF(G1251&lt;&gt;"", HYPERLINK("https://www.kegg.jp/entry/" &amp; G1251, "https://www.kegg.jp/entry/" &amp; G1251), "")</f>
        <v/>
      </c>
    </row>
    <row r="1252" spans="1:10" hidden="1" x14ac:dyDescent="0.25">
      <c r="A1252" t="s">
        <v>2401</v>
      </c>
      <c r="B1252">
        <v>214</v>
      </c>
      <c r="C1252" t="s">
        <v>2402</v>
      </c>
      <c r="F1252" s="1" t="str">
        <f>IF(E1252&lt;&gt;"", HYPERLINK("https://www.kegg.jp/dbget-bin/www_bget?ec:" &amp; E1252, "https://www.kegg.jp/dbget-bin/www_bget?ec:" &amp; E1252), "")</f>
        <v/>
      </c>
      <c r="G1252" s="3"/>
      <c r="H1252" s="1" t="str">
        <f>IF(G1252&lt;&gt;"", HYPERLINK("https://www.kegg.jp/entry/" &amp; G1252, "https://www.kegg.jp/entry/" &amp; G1252), "")</f>
        <v/>
      </c>
    </row>
    <row r="1253" spans="1:10" hidden="1" x14ac:dyDescent="0.25">
      <c r="A1253" t="s">
        <v>2403</v>
      </c>
      <c r="B1253">
        <v>247</v>
      </c>
      <c r="C1253" t="s">
        <v>2404</v>
      </c>
      <c r="F1253" s="1" t="str">
        <f>IF(E1253&lt;&gt;"", HYPERLINK("https://www.kegg.jp/dbget-bin/www_bget?ec:" &amp; E1253, "https://www.kegg.jp/dbget-bin/www_bget?ec:" &amp; E1253), "")</f>
        <v/>
      </c>
      <c r="G1253" s="3"/>
      <c r="H1253" s="1" t="str">
        <f>IF(G1253&lt;&gt;"", HYPERLINK("https://www.kegg.jp/entry/" &amp; G1253, "https://www.kegg.jp/entry/" &amp; G1253), "")</f>
        <v/>
      </c>
    </row>
    <row r="1254" spans="1:10" hidden="1" x14ac:dyDescent="0.25">
      <c r="A1254" t="s">
        <v>2405</v>
      </c>
      <c r="B1254">
        <v>254</v>
      </c>
      <c r="C1254" t="s">
        <v>2406</v>
      </c>
      <c r="F1254" s="1" t="str">
        <f>IF(E1254&lt;&gt;"", HYPERLINK("https://www.kegg.jp/dbget-bin/www_bget?ec:" &amp; E1254, "https://www.kegg.jp/dbget-bin/www_bget?ec:" &amp; E1254), "")</f>
        <v/>
      </c>
      <c r="G1254" s="3"/>
      <c r="H1254" s="1" t="str">
        <f>IF(G1254&lt;&gt;"", HYPERLINK("https://www.kegg.jp/entry/" &amp; G1254, "https://www.kegg.jp/entry/" &amp; G1254), "")</f>
        <v/>
      </c>
    </row>
    <row r="1255" spans="1:10" x14ac:dyDescent="0.25">
      <c r="A1255" t="s">
        <v>2407</v>
      </c>
      <c r="B1255">
        <v>553</v>
      </c>
      <c r="C1255" t="s">
        <v>2408</v>
      </c>
      <c r="E1255" s="5" t="s">
        <v>6749</v>
      </c>
      <c r="F1255" s="1" t="str">
        <f>IF(E1255&lt;&gt;"", HYPERLINK("https://www.kegg.jp/dbget-bin/www_bget?ec:" &amp; E1255, "https://www.kegg.jp/dbget-bin/www_bget?ec:" &amp; E1255), "")</f>
        <v>https://www.kegg.jp/dbget-bin/www_bget?ec:6.2.1.3</v>
      </c>
      <c r="G1255" s="3" t="s">
        <v>7558</v>
      </c>
      <c r="H1255" s="1" t="str">
        <f>IF(G1255&lt;&gt;"", HYPERLINK("https://www.kegg.jp/entry/" &amp; G1255, "https://www.kegg.jp/entry/" &amp; G1255), "")</f>
        <v>https://www.kegg.jp/entry/R00390</v>
      </c>
      <c r="I1255" t="s">
        <v>13044</v>
      </c>
      <c r="J1255" t="s">
        <v>13045</v>
      </c>
    </row>
    <row r="1256" spans="1:10" x14ac:dyDescent="0.25">
      <c r="A1256" t="s">
        <v>2407</v>
      </c>
      <c r="B1256">
        <v>553</v>
      </c>
      <c r="C1256" t="s">
        <v>2408</v>
      </c>
      <c r="E1256" s="5" t="s">
        <v>6749</v>
      </c>
      <c r="F1256" s="1" t="str">
        <f>IF(E1256&lt;&gt;"", HYPERLINK("https://www.kegg.jp/dbget-bin/www_bget?ec:" &amp; E1256, "https://www.kegg.jp/dbget-bin/www_bget?ec:" &amp; E1256), "")</f>
        <v>https://www.kegg.jp/dbget-bin/www_bget?ec:6.2.1.3</v>
      </c>
      <c r="G1256" s="3" t="s">
        <v>7559</v>
      </c>
      <c r="H1256" s="1" t="str">
        <f>IF(G1256&lt;&gt;"", HYPERLINK("https://www.kegg.jp/entry/" &amp; G1256, "https://www.kegg.jp/entry/" &amp; G1256), "")</f>
        <v>https://www.kegg.jp/entry/R01280</v>
      </c>
      <c r="I1256" t="s">
        <v>13046</v>
      </c>
      <c r="J1256" t="s">
        <v>13047</v>
      </c>
    </row>
    <row r="1257" spans="1:10" hidden="1" x14ac:dyDescent="0.25">
      <c r="A1257" t="s">
        <v>2409</v>
      </c>
      <c r="B1257">
        <v>356</v>
      </c>
      <c r="C1257" t="s">
        <v>2410</v>
      </c>
      <c r="F1257" s="1" t="str">
        <f>IF(E1257&lt;&gt;"", HYPERLINK("https://www.kegg.jp/dbget-bin/www_bget?ec:" &amp; E1257, "https://www.kegg.jp/dbget-bin/www_bget?ec:" &amp; E1257), "")</f>
        <v/>
      </c>
      <c r="G1257" s="3"/>
      <c r="H1257" s="1" t="str">
        <f>IF(G1257&lt;&gt;"", HYPERLINK("https://www.kegg.jp/entry/" &amp; G1257, "https://www.kegg.jp/entry/" &amp; G1257), "")</f>
        <v/>
      </c>
    </row>
    <row r="1258" spans="1:10" hidden="1" x14ac:dyDescent="0.25">
      <c r="A1258" t="s">
        <v>2411</v>
      </c>
      <c r="B1258">
        <v>287</v>
      </c>
      <c r="C1258" t="s">
        <v>2412</v>
      </c>
      <c r="F1258" s="1" t="str">
        <f>IF(E1258&lt;&gt;"", HYPERLINK("https://www.kegg.jp/dbget-bin/www_bget?ec:" &amp; E1258, "https://www.kegg.jp/dbget-bin/www_bget?ec:" &amp; E1258), "")</f>
        <v/>
      </c>
      <c r="G1258" s="3"/>
      <c r="H1258" s="1" t="str">
        <f>IF(G1258&lt;&gt;"", HYPERLINK("https://www.kegg.jp/entry/" &amp; G1258, "https://www.kegg.jp/entry/" &amp; G1258), "")</f>
        <v/>
      </c>
    </row>
    <row r="1259" spans="1:10" hidden="1" x14ac:dyDescent="0.25">
      <c r="A1259" t="s">
        <v>2414</v>
      </c>
      <c r="B1259">
        <v>428</v>
      </c>
      <c r="C1259" t="s">
        <v>2415</v>
      </c>
      <c r="F1259" s="1" t="str">
        <f>IF(E1259&lt;&gt;"", HYPERLINK("https://www.kegg.jp/dbget-bin/www_bget?ec:" &amp; E1259, "https://www.kegg.jp/dbget-bin/www_bget?ec:" &amp; E1259), "")</f>
        <v/>
      </c>
      <c r="G1259" s="3"/>
      <c r="H1259" s="1" t="str">
        <f>IF(G1259&lt;&gt;"", HYPERLINK("https://www.kegg.jp/entry/" &amp; G1259, "https://www.kegg.jp/entry/" &amp; G1259), "")</f>
        <v/>
      </c>
    </row>
    <row r="1260" spans="1:10" hidden="1" x14ac:dyDescent="0.25">
      <c r="A1260" t="s">
        <v>2416</v>
      </c>
      <c r="B1260">
        <v>263</v>
      </c>
      <c r="C1260" t="s">
        <v>2417</v>
      </c>
      <c r="F1260" s="1" t="str">
        <f>IF(E1260&lt;&gt;"", HYPERLINK("https://www.kegg.jp/dbget-bin/www_bget?ec:" &amp; E1260, "https://www.kegg.jp/dbget-bin/www_bget?ec:" &amp; E1260), "")</f>
        <v/>
      </c>
      <c r="G1260" s="3"/>
      <c r="H1260" s="1" t="str">
        <f>IF(G1260&lt;&gt;"", HYPERLINK("https://www.kegg.jp/entry/" &amp; G1260, "https://www.kegg.jp/entry/" &amp; G1260), "")</f>
        <v/>
      </c>
    </row>
    <row r="1261" spans="1:10" hidden="1" x14ac:dyDescent="0.25">
      <c r="A1261" t="s">
        <v>2418</v>
      </c>
      <c r="B1261">
        <v>49</v>
      </c>
      <c r="C1261" t="s">
        <v>2419</v>
      </c>
      <c r="F1261" s="1" t="str">
        <f>IF(E1261&lt;&gt;"", HYPERLINK("https://www.kegg.jp/dbget-bin/www_bget?ec:" &amp; E1261, "https://www.kegg.jp/dbget-bin/www_bget?ec:" &amp; E1261), "")</f>
        <v/>
      </c>
      <c r="G1261" s="3"/>
      <c r="H1261" s="1" t="str">
        <f>IF(G1261&lt;&gt;"", HYPERLINK("https://www.kegg.jp/entry/" &amp; G1261, "https://www.kegg.jp/entry/" &amp; G1261), "")</f>
        <v/>
      </c>
    </row>
    <row r="1262" spans="1:10" hidden="1" x14ac:dyDescent="0.25">
      <c r="A1262" t="s">
        <v>2420</v>
      </c>
      <c r="B1262">
        <v>109</v>
      </c>
      <c r="C1262" t="s">
        <v>2421</v>
      </c>
      <c r="F1262" s="1" t="str">
        <f>IF(E1262&lt;&gt;"", HYPERLINK("https://www.kegg.jp/dbget-bin/www_bget?ec:" &amp; E1262, "https://www.kegg.jp/dbget-bin/www_bget?ec:" &amp; E1262), "")</f>
        <v/>
      </c>
      <c r="G1262" s="3"/>
      <c r="H1262" s="1" t="str">
        <f>IF(G1262&lt;&gt;"", HYPERLINK("https://www.kegg.jp/entry/" &amp; G1262, "https://www.kegg.jp/entry/" &amp; G1262), "")</f>
        <v/>
      </c>
    </row>
    <row r="1263" spans="1:10" hidden="1" x14ac:dyDescent="0.25">
      <c r="A1263" t="s">
        <v>2422</v>
      </c>
      <c r="B1263">
        <v>111</v>
      </c>
      <c r="C1263" t="s">
        <v>2423</v>
      </c>
      <c r="F1263" s="1" t="str">
        <f>IF(E1263&lt;&gt;"", HYPERLINK("https://www.kegg.jp/dbget-bin/www_bget?ec:" &amp; E1263, "https://www.kegg.jp/dbget-bin/www_bget?ec:" &amp; E1263), "")</f>
        <v/>
      </c>
      <c r="G1263" s="3"/>
      <c r="H1263" s="1" t="str">
        <f>IF(G1263&lt;&gt;"", HYPERLINK("https://www.kegg.jp/entry/" &amp; G1263, "https://www.kegg.jp/entry/" &amp; G1263), "")</f>
        <v/>
      </c>
    </row>
    <row r="1264" spans="1:10" x14ac:dyDescent="0.25">
      <c r="A1264" t="s">
        <v>2425</v>
      </c>
      <c r="B1264">
        <v>77</v>
      </c>
      <c r="C1264" t="s">
        <v>2426</v>
      </c>
      <c r="E1264" s="5" t="s">
        <v>6795</v>
      </c>
      <c r="F1264" s="1" t="str">
        <f>IF(E1264&lt;&gt;"", HYPERLINK("https://www.kegg.jp/dbget-bin/www_bget?ec:" &amp; E1264, "https://www.kegg.jp/dbget-bin/www_bget?ec:" &amp; E1264), "")</f>
        <v>https://www.kegg.jp/dbget-bin/www_bget?ec:2.7.7.62</v>
      </c>
      <c r="G1264" s="3" t="s">
        <v>7179</v>
      </c>
      <c r="H1264" s="1" t="str">
        <f>IF(G1264&lt;&gt;"", HYPERLINK("https://www.kegg.jp/entry/" &amp; G1264, "https://www.kegg.jp/entry/" &amp; G1264), "")</f>
        <v>https://www.kegg.jp/entry/R05222</v>
      </c>
      <c r="I1264" t="s">
        <v>13176</v>
      </c>
      <c r="J1264" t="s">
        <v>13177</v>
      </c>
    </row>
    <row r="1265" spans="1:10" hidden="1" x14ac:dyDescent="0.25">
      <c r="A1265" t="s">
        <v>2428</v>
      </c>
      <c r="B1265">
        <v>99</v>
      </c>
      <c r="C1265" t="s">
        <v>2429</v>
      </c>
      <c r="F1265" s="1" t="str">
        <f>IF(E1265&lt;&gt;"", HYPERLINK("https://www.kegg.jp/dbget-bin/www_bget?ec:" &amp; E1265, "https://www.kegg.jp/dbget-bin/www_bget?ec:" &amp; E1265), "")</f>
        <v/>
      </c>
      <c r="G1265" s="3"/>
      <c r="H1265" s="1" t="str">
        <f>IF(G1265&lt;&gt;"", HYPERLINK("https://www.kegg.jp/entry/" &amp; G1265, "https://www.kegg.jp/entry/" &amp; G1265), "")</f>
        <v/>
      </c>
    </row>
    <row r="1266" spans="1:10" hidden="1" x14ac:dyDescent="0.25">
      <c r="A1266" t="s">
        <v>2431</v>
      </c>
      <c r="B1266">
        <v>413</v>
      </c>
      <c r="C1266" t="s">
        <v>2432</v>
      </c>
      <c r="F1266" s="1" t="str">
        <f>IF(E1266&lt;&gt;"", HYPERLINK("https://www.kegg.jp/dbget-bin/www_bget?ec:" &amp; E1266, "https://www.kegg.jp/dbget-bin/www_bget?ec:" &amp; E1266), "")</f>
        <v/>
      </c>
      <c r="G1266" s="3"/>
      <c r="H1266" s="1" t="str">
        <f>IF(G1266&lt;&gt;"", HYPERLINK("https://www.kegg.jp/entry/" &amp; G1266, "https://www.kegg.jp/entry/" &amp; G1266), "")</f>
        <v/>
      </c>
    </row>
    <row r="1267" spans="1:10" x14ac:dyDescent="0.25">
      <c r="A1267" t="s">
        <v>2433</v>
      </c>
      <c r="B1267">
        <v>262</v>
      </c>
      <c r="C1267" t="s">
        <v>2434</v>
      </c>
      <c r="E1267" s="5" t="s">
        <v>6750</v>
      </c>
      <c r="F1267" s="1" t="str">
        <f>IF(E1267&lt;&gt;"", HYPERLINK("https://www.kegg.jp/dbget-bin/www_bget?ec:" &amp; E1267, "https://www.kegg.jp/dbget-bin/www_bget?ec:" &amp; E1267), "")</f>
        <v>https://www.kegg.jp/dbget-bin/www_bget?ec:1.1.1.100</v>
      </c>
      <c r="G1267" s="9" t="s">
        <v>7560</v>
      </c>
      <c r="H1267" s="1" t="str">
        <f>IF(G1267&lt;&gt;"", HYPERLINK("https://www.kegg.jp/entry/" &amp; G1267, "https://www.kegg.jp/entry/" &amp; G1267), "")</f>
        <v>https://www.kegg.jp/entry/R02767</v>
      </c>
      <c r="I1267" t="s">
        <v>13048</v>
      </c>
      <c r="J1267" t="s">
        <v>13049</v>
      </c>
    </row>
    <row r="1268" spans="1:10" x14ac:dyDescent="0.25">
      <c r="A1268" t="s">
        <v>2433</v>
      </c>
      <c r="B1268">
        <v>262</v>
      </c>
      <c r="C1268" t="s">
        <v>2434</v>
      </c>
      <c r="E1268" s="5" t="s">
        <v>6750</v>
      </c>
      <c r="F1268" s="1" t="str">
        <f>IF(E1268&lt;&gt;"", HYPERLINK("https://www.kegg.jp/dbget-bin/www_bget?ec:" &amp; E1268, "https://www.kegg.jp/dbget-bin/www_bget?ec:" &amp; E1268), "")</f>
        <v>https://www.kegg.jp/dbget-bin/www_bget?ec:1.1.1.100</v>
      </c>
      <c r="G1268" s="9" t="s">
        <v>7570</v>
      </c>
      <c r="H1268" s="1" t="str">
        <f>IF(G1268&lt;&gt;"", HYPERLINK("https://www.kegg.jp/entry/" &amp; G1268, "https://www.kegg.jp/entry/" &amp; G1268), "")</f>
        <v>https://www.kegg.jp/entry/R04533</v>
      </c>
      <c r="I1268" t="s">
        <v>13050</v>
      </c>
      <c r="J1268" t="s">
        <v>13051</v>
      </c>
    </row>
    <row r="1269" spans="1:10" x14ac:dyDescent="0.25">
      <c r="A1269" t="s">
        <v>2433</v>
      </c>
      <c r="B1269">
        <v>262</v>
      </c>
      <c r="C1269" t="s">
        <v>2434</v>
      </c>
      <c r="E1269" s="5" t="s">
        <v>6750</v>
      </c>
      <c r="F1269" s="1" t="str">
        <f>IF(E1269&lt;&gt;"", HYPERLINK("https://www.kegg.jp/dbget-bin/www_bget?ec:" &amp; E1269, "https://www.kegg.jp/dbget-bin/www_bget?ec:" &amp; E1269), "")</f>
        <v>https://www.kegg.jp/dbget-bin/www_bget?ec:1.1.1.100</v>
      </c>
      <c r="G1269" s="9" t="s">
        <v>7569</v>
      </c>
      <c r="H1269" s="1" t="str">
        <f>IF(G1269&lt;&gt;"", HYPERLINK("https://www.kegg.jp/entry/" &amp; G1269, "https://www.kegg.jp/entry/" &amp; G1269), "")</f>
        <v>https://www.kegg.jp/entry/R04534</v>
      </c>
      <c r="I1269" t="s">
        <v>13052</v>
      </c>
      <c r="J1269" t="s">
        <v>13053</v>
      </c>
    </row>
    <row r="1270" spans="1:10" x14ac:dyDescent="0.25">
      <c r="A1270" t="s">
        <v>2433</v>
      </c>
      <c r="B1270">
        <v>262</v>
      </c>
      <c r="C1270" t="s">
        <v>2434</v>
      </c>
      <c r="E1270" s="5" t="s">
        <v>6750</v>
      </c>
      <c r="F1270" s="1" t="str">
        <f>IF(E1270&lt;&gt;"", HYPERLINK("https://www.kegg.jp/dbget-bin/www_bget?ec:" &amp; E1270, "https://www.kegg.jp/dbget-bin/www_bget?ec:" &amp; E1270), "")</f>
        <v>https://www.kegg.jp/dbget-bin/www_bget?ec:1.1.1.100</v>
      </c>
      <c r="G1270" s="9" t="s">
        <v>7568</v>
      </c>
      <c r="H1270" s="1" t="str">
        <f>IF(G1270&lt;&gt;"", HYPERLINK("https://www.kegg.jp/entry/" &amp; G1270, "https://www.kegg.jp/entry/" &amp; G1270), "")</f>
        <v>https://www.kegg.jp/entry/R04536</v>
      </c>
      <c r="I1270" t="s">
        <v>13054</v>
      </c>
      <c r="J1270" t="s">
        <v>13055</v>
      </c>
    </row>
    <row r="1271" spans="1:10" x14ac:dyDescent="0.25">
      <c r="A1271" t="s">
        <v>2433</v>
      </c>
      <c r="B1271">
        <v>262</v>
      </c>
      <c r="C1271" t="s">
        <v>2434</v>
      </c>
      <c r="E1271" s="5" t="s">
        <v>6750</v>
      </c>
      <c r="F1271" s="1" t="str">
        <f>IF(E1271&lt;&gt;"", HYPERLINK("https://www.kegg.jp/dbget-bin/www_bget?ec:" &amp; E1271, "https://www.kegg.jp/dbget-bin/www_bget?ec:" &amp; E1271), "")</f>
        <v>https://www.kegg.jp/dbget-bin/www_bget?ec:1.1.1.100</v>
      </c>
      <c r="G1271" s="9" t="s">
        <v>7567</v>
      </c>
      <c r="H1271" s="1" t="str">
        <f>IF(G1271&lt;&gt;"", HYPERLINK("https://www.kegg.jp/entry/" &amp; G1271, "https://www.kegg.jp/entry/" &amp; G1271), "")</f>
        <v>https://www.kegg.jp/entry/R04543</v>
      </c>
      <c r="I1271" t="s">
        <v>13056</v>
      </c>
      <c r="J1271" t="s">
        <v>13057</v>
      </c>
    </row>
    <row r="1272" spans="1:10" x14ac:dyDescent="0.25">
      <c r="A1272" t="s">
        <v>2433</v>
      </c>
      <c r="B1272">
        <v>262</v>
      </c>
      <c r="C1272" t="s">
        <v>2434</v>
      </c>
      <c r="E1272" s="5" t="s">
        <v>6750</v>
      </c>
      <c r="F1272" s="1" t="str">
        <f>IF(E1272&lt;&gt;"", HYPERLINK("https://www.kegg.jp/dbget-bin/www_bget?ec:" &amp; E1272, "https://www.kegg.jp/dbget-bin/www_bget?ec:" &amp; E1272), "")</f>
        <v>https://www.kegg.jp/dbget-bin/www_bget?ec:1.1.1.100</v>
      </c>
      <c r="G1272" s="9" t="s">
        <v>7566</v>
      </c>
      <c r="H1272" s="1" t="str">
        <f>IF(G1272&lt;&gt;"", HYPERLINK("https://www.kegg.jp/entry/" &amp; G1272, "https://www.kegg.jp/entry/" &amp; G1272), "")</f>
        <v>https://www.kegg.jp/entry/R04566</v>
      </c>
      <c r="I1272" t="s">
        <v>13058</v>
      </c>
      <c r="J1272" t="s">
        <v>13059</v>
      </c>
    </row>
    <row r="1273" spans="1:10" x14ac:dyDescent="0.25">
      <c r="A1273" t="s">
        <v>2433</v>
      </c>
      <c r="B1273">
        <v>262</v>
      </c>
      <c r="C1273" t="s">
        <v>2434</v>
      </c>
      <c r="E1273" s="5" t="s">
        <v>6750</v>
      </c>
      <c r="F1273" s="1" t="str">
        <f>IF(E1273&lt;&gt;"", HYPERLINK("https://www.kegg.jp/dbget-bin/www_bget?ec:" &amp; E1273, "https://www.kegg.jp/dbget-bin/www_bget?ec:" &amp; E1273), "")</f>
        <v>https://www.kegg.jp/dbget-bin/www_bget?ec:1.1.1.100</v>
      </c>
      <c r="G1273" s="9" t="s">
        <v>7565</v>
      </c>
      <c r="H1273" s="1" t="str">
        <f>IF(G1273&lt;&gt;"", HYPERLINK("https://www.kegg.jp/entry/" &amp; G1273, "https://www.kegg.jp/entry/" &amp; G1273), "")</f>
        <v>https://www.kegg.jp/entry/R04953</v>
      </c>
      <c r="I1273" t="s">
        <v>13060</v>
      </c>
      <c r="J1273" t="s">
        <v>13061</v>
      </c>
    </row>
    <row r="1274" spans="1:10" x14ac:dyDescent="0.25">
      <c r="A1274" t="s">
        <v>2433</v>
      </c>
      <c r="B1274">
        <v>262</v>
      </c>
      <c r="C1274" t="s">
        <v>2434</v>
      </c>
      <c r="E1274" s="5" t="s">
        <v>6750</v>
      </c>
      <c r="F1274" s="1" t="str">
        <f>IF(E1274&lt;&gt;"", HYPERLINK("https://www.kegg.jp/dbget-bin/www_bget?ec:" &amp; E1274, "https://www.kegg.jp/dbget-bin/www_bget?ec:" &amp; E1274), "")</f>
        <v>https://www.kegg.jp/dbget-bin/www_bget?ec:1.1.1.100</v>
      </c>
      <c r="G1274" s="9" t="s">
        <v>7564</v>
      </c>
      <c r="H1274" s="1" t="str">
        <f>IF(G1274&lt;&gt;"", HYPERLINK("https://www.kegg.jp/entry/" &amp; G1274, "https://www.kegg.jp/entry/" &amp; G1274), "")</f>
        <v>https://www.kegg.jp/entry/R04964</v>
      </c>
      <c r="I1274" t="s">
        <v>13062</v>
      </c>
      <c r="J1274" t="s">
        <v>13063</v>
      </c>
    </row>
    <row r="1275" spans="1:10" x14ac:dyDescent="0.25">
      <c r="A1275" t="s">
        <v>2433</v>
      </c>
      <c r="B1275">
        <v>262</v>
      </c>
      <c r="C1275" t="s">
        <v>2434</v>
      </c>
      <c r="E1275" s="5" t="s">
        <v>6750</v>
      </c>
      <c r="F1275" s="1" t="str">
        <f>IF(E1275&lt;&gt;"", HYPERLINK("https://www.kegg.jp/dbget-bin/www_bget?ec:" &amp; E1275, "https://www.kegg.jp/dbget-bin/www_bget?ec:" &amp; E1275), "")</f>
        <v>https://www.kegg.jp/dbget-bin/www_bget?ec:1.1.1.100</v>
      </c>
      <c r="G1275" s="9" t="s">
        <v>7563</v>
      </c>
      <c r="H1275" s="1" t="str">
        <f>IF(G1275&lt;&gt;"", HYPERLINK("https://www.kegg.jp/entry/" &amp; G1275, "https://www.kegg.jp/entry/" &amp; G1275), "")</f>
        <v>https://www.kegg.jp/entry/R07763</v>
      </c>
      <c r="I1275" t="s">
        <v>13064</v>
      </c>
      <c r="J1275" t="s">
        <v>13065</v>
      </c>
    </row>
    <row r="1276" spans="1:10" x14ac:dyDescent="0.25">
      <c r="A1276" t="s">
        <v>2433</v>
      </c>
      <c r="B1276">
        <v>262</v>
      </c>
      <c r="C1276" t="s">
        <v>2434</v>
      </c>
      <c r="E1276" s="5" t="s">
        <v>6750</v>
      </c>
      <c r="F1276" s="1" t="str">
        <f>IF(E1276&lt;&gt;"", HYPERLINK("https://www.kegg.jp/dbget-bin/www_bget?ec:" &amp; E1276, "https://www.kegg.jp/dbget-bin/www_bget?ec:" &amp; E1276), "")</f>
        <v>https://www.kegg.jp/dbget-bin/www_bget?ec:1.1.1.100</v>
      </c>
      <c r="G1276" s="9" t="s">
        <v>7562</v>
      </c>
      <c r="H1276" s="1" t="str">
        <f>IF(G1276&lt;&gt;"", HYPERLINK("https://www.kegg.jp/entry/" &amp; G1276, "https://www.kegg.jp/entry/" &amp; G1276), "")</f>
        <v>https://www.kegg.jp/entry/R10116</v>
      </c>
      <c r="I1276" t="s">
        <v>13066</v>
      </c>
      <c r="J1276" t="s">
        <v>13067</v>
      </c>
    </row>
    <row r="1277" spans="1:10" x14ac:dyDescent="0.25">
      <c r="A1277" t="s">
        <v>2433</v>
      </c>
      <c r="B1277">
        <v>262</v>
      </c>
      <c r="C1277" t="s">
        <v>2434</v>
      </c>
      <c r="E1277" s="5" t="s">
        <v>6750</v>
      </c>
      <c r="F1277" s="1" t="str">
        <f>IF(E1277&lt;&gt;"", HYPERLINK("https://www.kegg.jp/dbget-bin/www_bget?ec:" &amp; E1277, "https://www.kegg.jp/dbget-bin/www_bget?ec:" &amp; E1277), "")</f>
        <v>https://www.kegg.jp/dbget-bin/www_bget?ec:1.1.1.100</v>
      </c>
      <c r="G1277" s="9" t="s">
        <v>7561</v>
      </c>
      <c r="H1277" s="1" t="str">
        <f>IF(G1277&lt;&gt;"", HYPERLINK("https://www.kegg.jp/entry/" &amp; G1277, "https://www.kegg.jp/entry/" &amp; G1277), "")</f>
        <v>https://www.kegg.jp/entry/R10120</v>
      </c>
      <c r="I1277" t="s">
        <v>13068</v>
      </c>
      <c r="J1277" t="s">
        <v>13069</v>
      </c>
    </row>
    <row r="1278" spans="1:10" hidden="1" x14ac:dyDescent="0.25">
      <c r="A1278" t="s">
        <v>2436</v>
      </c>
      <c r="B1278">
        <v>130</v>
      </c>
      <c r="C1278" t="s">
        <v>2437</v>
      </c>
      <c r="F1278" s="1" t="str">
        <f>IF(E1278&lt;&gt;"", HYPERLINK("https://www.kegg.jp/dbget-bin/www_bget?ec:" &amp; E1278, "https://www.kegg.jp/dbget-bin/www_bget?ec:" &amp; E1278), "")</f>
        <v/>
      </c>
      <c r="G1278" s="3"/>
      <c r="H1278" s="1" t="str">
        <f>IF(G1278&lt;&gt;"", HYPERLINK("https://www.kegg.jp/entry/" &amp; G1278, "https://www.kegg.jp/entry/" &amp; G1278), "")</f>
        <v/>
      </c>
    </row>
    <row r="1279" spans="1:10" hidden="1" x14ac:dyDescent="0.25">
      <c r="A1279" t="s">
        <v>2439</v>
      </c>
      <c r="B1279">
        <v>536</v>
      </c>
      <c r="C1279" t="s">
        <v>2440</v>
      </c>
      <c r="F1279" s="1" t="str">
        <f>IF(E1279&lt;&gt;"", HYPERLINK("https://www.kegg.jp/dbget-bin/www_bget?ec:" &amp; E1279, "https://www.kegg.jp/dbget-bin/www_bget?ec:" &amp; E1279), "")</f>
        <v/>
      </c>
      <c r="G1279" s="3"/>
      <c r="H1279" s="1" t="str">
        <f>IF(G1279&lt;&gt;"", HYPERLINK("https://www.kegg.jp/entry/" &amp; G1279, "https://www.kegg.jp/entry/" &amp; G1279), "")</f>
        <v/>
      </c>
    </row>
    <row r="1280" spans="1:10" hidden="1" x14ac:dyDescent="0.25">
      <c r="A1280" t="s">
        <v>2441</v>
      </c>
      <c r="B1280">
        <v>253</v>
      </c>
      <c r="C1280" t="s">
        <v>2442</v>
      </c>
      <c r="F1280" s="1" t="str">
        <f>IF(E1280&lt;&gt;"", HYPERLINK("https://www.kegg.jp/dbget-bin/www_bget?ec:" &amp; E1280, "https://www.kegg.jp/dbget-bin/www_bget?ec:" &amp; E1280), "")</f>
        <v/>
      </c>
      <c r="G1280" s="3"/>
      <c r="H1280" s="1" t="str">
        <f>IF(G1280&lt;&gt;"", HYPERLINK("https://www.kegg.jp/entry/" &amp; G1280, "https://www.kegg.jp/entry/" &amp; G1280), "")</f>
        <v/>
      </c>
    </row>
    <row r="1281" spans="1:10" hidden="1" x14ac:dyDescent="0.25">
      <c r="A1281" t="s">
        <v>2443</v>
      </c>
      <c r="B1281">
        <v>135</v>
      </c>
      <c r="C1281" t="s">
        <v>2444</v>
      </c>
      <c r="F1281" s="1" t="str">
        <f>IF(E1281&lt;&gt;"", HYPERLINK("https://www.kegg.jp/dbget-bin/www_bget?ec:" &amp; E1281, "https://www.kegg.jp/dbget-bin/www_bget?ec:" &amp; E1281), "")</f>
        <v/>
      </c>
      <c r="G1281" s="3"/>
      <c r="H1281" s="1" t="str">
        <f>IF(G1281&lt;&gt;"", HYPERLINK("https://www.kegg.jp/entry/" &amp; G1281, "https://www.kegg.jp/entry/" &amp; G1281), "")</f>
        <v/>
      </c>
    </row>
    <row r="1282" spans="1:10" hidden="1" x14ac:dyDescent="0.25">
      <c r="A1282" t="s">
        <v>2445</v>
      </c>
      <c r="B1282">
        <v>542</v>
      </c>
      <c r="C1282" t="s">
        <v>2446</v>
      </c>
      <c r="F1282" s="1" t="str">
        <f>IF(E1282&lt;&gt;"", HYPERLINK("https://www.kegg.jp/dbget-bin/www_bget?ec:" &amp; E1282, "https://www.kegg.jp/dbget-bin/www_bget?ec:" &amp; E1282), "")</f>
        <v/>
      </c>
      <c r="G1282" s="3"/>
      <c r="H1282" s="1" t="str">
        <f>IF(G1282&lt;&gt;"", HYPERLINK("https://www.kegg.jp/entry/" &amp; G1282, "https://www.kegg.jp/entry/" &amp; G1282), "")</f>
        <v/>
      </c>
    </row>
    <row r="1283" spans="1:10" hidden="1" x14ac:dyDescent="0.25">
      <c r="A1283" t="s">
        <v>2447</v>
      </c>
      <c r="B1283">
        <v>738</v>
      </c>
      <c r="C1283" t="s">
        <v>2448</v>
      </c>
      <c r="F1283" s="1" t="str">
        <f>IF(E1283&lt;&gt;"", HYPERLINK("https://www.kegg.jp/dbget-bin/www_bget?ec:" &amp; E1283, "https://www.kegg.jp/dbget-bin/www_bget?ec:" &amp; E1283), "")</f>
        <v/>
      </c>
      <c r="G1283" s="3"/>
      <c r="H1283" s="1" t="str">
        <f>IF(G1283&lt;&gt;"", HYPERLINK("https://www.kegg.jp/entry/" &amp; G1283, "https://www.kegg.jp/entry/" &amp; G1283), "")</f>
        <v/>
      </c>
    </row>
    <row r="1284" spans="1:10" hidden="1" x14ac:dyDescent="0.25">
      <c r="A1284" t="s">
        <v>2450</v>
      </c>
      <c r="B1284">
        <v>335</v>
      </c>
      <c r="C1284" t="s">
        <v>2451</v>
      </c>
      <c r="F1284" s="1" t="str">
        <f>IF(E1284&lt;&gt;"", HYPERLINK("https://www.kegg.jp/dbget-bin/www_bget?ec:" &amp; E1284, "https://www.kegg.jp/dbget-bin/www_bget?ec:" &amp; E1284), "")</f>
        <v/>
      </c>
      <c r="G1284" s="3"/>
      <c r="H1284" s="1" t="str">
        <f>IF(G1284&lt;&gt;"", HYPERLINK("https://www.kegg.jp/entry/" &amp; G1284, "https://www.kegg.jp/entry/" &amp; G1284), "")</f>
        <v/>
      </c>
    </row>
    <row r="1285" spans="1:10" x14ac:dyDescent="0.25">
      <c r="A1285" t="s">
        <v>2453</v>
      </c>
      <c r="B1285">
        <v>494</v>
      </c>
      <c r="C1285" t="s">
        <v>2454</v>
      </c>
      <c r="E1285" s="5" t="s">
        <v>6813</v>
      </c>
      <c r="F1285" s="1" t="str">
        <f>IF(E1285&lt;&gt;"", HYPERLINK("https://www.kegg.jp/dbget-bin/www_bget?ec:" &amp; E1285, "https://www.kegg.jp/dbget-bin/www_bget?ec:" &amp; E1285), "")</f>
        <v>https://www.kegg.jp/dbget-bin/www_bget?ec:6.2.1.26</v>
      </c>
      <c r="G1285" s="3" t="s">
        <v>7186</v>
      </c>
      <c r="H1285" s="1" t="str">
        <f>IF(G1285&lt;&gt;"", HYPERLINK("https://www.kegg.jp/entry/" &amp; G1285, "https://www.kegg.jp/entry/" &amp; G1285), "")</f>
        <v>https://www.kegg.jp/entry/R04030</v>
      </c>
      <c r="I1285" t="s">
        <v>13224</v>
      </c>
      <c r="J1285" t="s">
        <v>13225</v>
      </c>
    </row>
    <row r="1286" spans="1:10" x14ac:dyDescent="0.25">
      <c r="A1286" t="s">
        <v>2456</v>
      </c>
      <c r="B1286">
        <v>256</v>
      </c>
      <c r="C1286" t="s">
        <v>2457</v>
      </c>
      <c r="E1286" s="5" t="s">
        <v>6814</v>
      </c>
      <c r="F1286" s="1" t="str">
        <f>IF(E1286&lt;&gt;"", HYPERLINK("https://www.kegg.jp/dbget-bin/www_bget?ec:" &amp; E1286, "https://www.kegg.jp/dbget-bin/www_bget?ec:" &amp; E1286), "")</f>
        <v>https://www.kegg.jp/dbget-bin/www_bget?ec:3.5.1.68</v>
      </c>
      <c r="G1286" s="3" t="s">
        <v>7187</v>
      </c>
      <c r="H1286" s="1" t="str">
        <f>IF(G1286&lt;&gt;"", HYPERLINK("https://www.kegg.jp/entry/" &amp; G1286, "https://www.kegg.jp/entry/" &amp; G1286), "")</f>
        <v>https://www.kegg.jp/entry/R00525</v>
      </c>
      <c r="I1286" t="s">
        <v>13226</v>
      </c>
      <c r="J1286" t="s">
        <v>13227</v>
      </c>
    </row>
    <row r="1287" spans="1:10" hidden="1" x14ac:dyDescent="0.25">
      <c r="A1287" t="s">
        <v>2458</v>
      </c>
      <c r="B1287">
        <v>243</v>
      </c>
      <c r="C1287" t="s">
        <v>2459</v>
      </c>
      <c r="F1287" s="1" t="str">
        <f>IF(E1287&lt;&gt;"", HYPERLINK("https://www.kegg.jp/dbget-bin/www_bget?ec:" &amp; E1287, "https://www.kegg.jp/dbget-bin/www_bget?ec:" &amp; E1287), "")</f>
        <v/>
      </c>
      <c r="G1287" s="3"/>
      <c r="H1287" s="1" t="str">
        <f>IF(G1287&lt;&gt;"", HYPERLINK("https://www.kegg.jp/entry/" &amp; G1287, "https://www.kegg.jp/entry/" &amp; G1287), "")</f>
        <v/>
      </c>
    </row>
    <row r="1288" spans="1:10" x14ac:dyDescent="0.25">
      <c r="A1288" t="s">
        <v>2461</v>
      </c>
      <c r="B1288">
        <v>135</v>
      </c>
      <c r="C1288" t="s">
        <v>2462</v>
      </c>
      <c r="E1288" s="5" t="s">
        <v>6815</v>
      </c>
      <c r="F1288" s="1" t="str">
        <f>IF(E1288&lt;&gt;"", HYPERLINK("https://www.kegg.jp/dbget-bin/www_bget?ec:" &amp; E1288, "https://www.kegg.jp/dbget-bin/www_bget?ec:" &amp; E1288), "")</f>
        <v>https://www.kegg.jp/dbget-bin/www_bget?ec:2.3.1.8</v>
      </c>
      <c r="G1288" s="3" t="s">
        <v>7670</v>
      </c>
      <c r="H1288" s="1" t="str">
        <f>IF(G1288&lt;&gt;"", HYPERLINK("https://www.kegg.jp/entry/" &amp; G1288, "https://www.kegg.jp/entry/" &amp; G1288), "")</f>
        <v>https://www.kegg.jp/entry/R00230</v>
      </c>
      <c r="I1288" t="s">
        <v>13228</v>
      </c>
      <c r="J1288" t="s">
        <v>8525</v>
      </c>
    </row>
    <row r="1289" spans="1:10" x14ac:dyDescent="0.25">
      <c r="A1289" t="s">
        <v>2461</v>
      </c>
      <c r="B1289">
        <v>135</v>
      </c>
      <c r="C1289" t="s">
        <v>2462</v>
      </c>
      <c r="E1289" s="5" t="s">
        <v>6815</v>
      </c>
      <c r="F1289" s="1" t="str">
        <f>IF(E1289&lt;&gt;"", HYPERLINK("https://www.kegg.jp/dbget-bin/www_bget?ec:" &amp; E1289, "https://www.kegg.jp/dbget-bin/www_bget?ec:" &amp; E1289), "")</f>
        <v>https://www.kegg.jp/dbget-bin/www_bget?ec:2.3.1.8</v>
      </c>
      <c r="G1289" s="3" t="s">
        <v>7671</v>
      </c>
      <c r="H1289" s="1" t="str">
        <f>IF(G1289&lt;&gt;"", HYPERLINK("https://www.kegg.jp/entry/" &amp; G1289, "https://www.kegg.jp/entry/" &amp; G1289), "")</f>
        <v>https://www.kegg.jp/entry/R00921</v>
      </c>
      <c r="I1289" t="s">
        <v>13229</v>
      </c>
      <c r="J1289" t="s">
        <v>13230</v>
      </c>
    </row>
    <row r="1290" spans="1:10" hidden="1" x14ac:dyDescent="0.25">
      <c r="A1290" t="s">
        <v>2464</v>
      </c>
      <c r="B1290">
        <v>398</v>
      </c>
      <c r="C1290" t="s">
        <v>2465</v>
      </c>
      <c r="F1290" s="1" t="str">
        <f>IF(E1290&lt;&gt;"", HYPERLINK("https://www.kegg.jp/dbget-bin/www_bget?ec:" &amp; E1290, "https://www.kegg.jp/dbget-bin/www_bget?ec:" &amp; E1290), "")</f>
        <v/>
      </c>
      <c r="G1290" s="3"/>
      <c r="H1290" s="1" t="str">
        <f>IF(G1290&lt;&gt;"", HYPERLINK("https://www.kegg.jp/entry/" &amp; G1290, "https://www.kegg.jp/entry/" &amp; G1290), "")</f>
        <v/>
      </c>
    </row>
    <row r="1291" spans="1:10" hidden="1" x14ac:dyDescent="0.25">
      <c r="A1291" t="s">
        <v>2466</v>
      </c>
      <c r="B1291">
        <v>285</v>
      </c>
      <c r="C1291" t="s">
        <v>2467</v>
      </c>
      <c r="F1291" s="1" t="str">
        <f>IF(E1291&lt;&gt;"", HYPERLINK("https://www.kegg.jp/dbget-bin/www_bget?ec:" &amp; E1291, "https://www.kegg.jp/dbget-bin/www_bget?ec:" &amp; E1291), "")</f>
        <v/>
      </c>
      <c r="G1291" s="3"/>
      <c r="H1291" s="1" t="str">
        <f>IF(G1291&lt;&gt;"", HYPERLINK("https://www.kegg.jp/entry/" &amp; G1291, "https://www.kegg.jp/entry/" &amp; G1291), "")</f>
        <v/>
      </c>
    </row>
    <row r="1292" spans="1:10" hidden="1" x14ac:dyDescent="0.25">
      <c r="A1292" t="s">
        <v>2469</v>
      </c>
      <c r="B1292">
        <v>298</v>
      </c>
      <c r="C1292" t="s">
        <v>2470</v>
      </c>
      <c r="F1292" s="1" t="str">
        <f>IF(E1292&lt;&gt;"", HYPERLINK("https://www.kegg.jp/dbget-bin/www_bget?ec:" &amp; E1292, "https://www.kegg.jp/dbget-bin/www_bget?ec:" &amp; E1292), "")</f>
        <v/>
      </c>
      <c r="G1292" s="3"/>
      <c r="H1292" s="1" t="str">
        <f>IF(G1292&lt;&gt;"", HYPERLINK("https://www.kegg.jp/entry/" &amp; G1292, "https://www.kegg.jp/entry/" &amp; G1292), "")</f>
        <v/>
      </c>
    </row>
    <row r="1293" spans="1:10" hidden="1" x14ac:dyDescent="0.25">
      <c r="A1293" t="s">
        <v>2471</v>
      </c>
      <c r="B1293">
        <v>241</v>
      </c>
      <c r="C1293" t="s">
        <v>2472</v>
      </c>
      <c r="F1293" s="1" t="str">
        <f>IF(E1293&lt;&gt;"", HYPERLINK("https://www.kegg.jp/dbget-bin/www_bget?ec:" &amp; E1293, "https://www.kegg.jp/dbget-bin/www_bget?ec:" &amp; E1293), "")</f>
        <v/>
      </c>
      <c r="G1293" s="3"/>
      <c r="H1293" s="1" t="str">
        <f>IF(G1293&lt;&gt;"", HYPERLINK("https://www.kegg.jp/entry/" &amp; G1293, "https://www.kegg.jp/entry/" &amp; G1293), "")</f>
        <v/>
      </c>
    </row>
    <row r="1294" spans="1:10" hidden="1" x14ac:dyDescent="0.25">
      <c r="A1294" t="s">
        <v>2473</v>
      </c>
      <c r="B1294">
        <v>234</v>
      </c>
      <c r="C1294" t="s">
        <v>2474</v>
      </c>
      <c r="F1294" s="1" t="str">
        <f>IF(E1294&lt;&gt;"", HYPERLINK("https://www.kegg.jp/dbget-bin/www_bget?ec:" &amp; E1294, "https://www.kegg.jp/dbget-bin/www_bget?ec:" &amp; E1294), "")</f>
        <v/>
      </c>
      <c r="G1294" s="3"/>
      <c r="H1294" s="1" t="str">
        <f>IF(G1294&lt;&gt;"", HYPERLINK("https://www.kegg.jp/entry/" &amp; G1294, "https://www.kegg.jp/entry/" &amp; G1294), "")</f>
        <v/>
      </c>
    </row>
    <row r="1295" spans="1:10" x14ac:dyDescent="0.25">
      <c r="A1295" t="s">
        <v>2476</v>
      </c>
      <c r="B1295">
        <v>251</v>
      </c>
      <c r="C1295" t="s">
        <v>2477</v>
      </c>
      <c r="E1295" s="5" t="s">
        <v>6816</v>
      </c>
      <c r="F1295" s="1" t="str">
        <f>IF(E1295&lt;&gt;"", HYPERLINK("https://www.kegg.jp/dbget-bin/www_bget?ec:" &amp; E1295, "https://www.kegg.jp/dbget-bin/www_bget?ec:" &amp; E1295), "")</f>
        <v>https://www.kegg.jp/dbget-bin/www_bget?ec:1.1.1.30</v>
      </c>
      <c r="G1295" s="3" t="s">
        <v>7188</v>
      </c>
      <c r="H1295" s="1" t="str">
        <f>IF(G1295&lt;&gt;"", HYPERLINK("https://www.kegg.jp/entry/" &amp; G1295, "https://www.kegg.jp/entry/" &amp; G1295), "")</f>
        <v>https://www.kegg.jp/entry/R01361</v>
      </c>
      <c r="I1295" t="s">
        <v>13231</v>
      </c>
      <c r="J1295" t="s">
        <v>13232</v>
      </c>
    </row>
    <row r="1296" spans="1:10" hidden="1" x14ac:dyDescent="0.25">
      <c r="A1296" t="s">
        <v>2479</v>
      </c>
      <c r="B1296">
        <v>166</v>
      </c>
      <c r="C1296" t="s">
        <v>2480</v>
      </c>
      <c r="F1296" s="1" t="str">
        <f>IF(E1296&lt;&gt;"", HYPERLINK("https://www.kegg.jp/dbget-bin/www_bget?ec:" &amp; E1296, "https://www.kegg.jp/dbget-bin/www_bget?ec:" &amp; E1296), "")</f>
        <v/>
      </c>
      <c r="G1296" s="3"/>
      <c r="H1296" s="1" t="str">
        <f>IF(G1296&lt;&gt;"", HYPERLINK("https://www.kegg.jp/entry/" &amp; G1296, "https://www.kegg.jp/entry/" &amp; G1296), "")</f>
        <v/>
      </c>
    </row>
    <row r="1297" spans="1:10" x14ac:dyDescent="0.25">
      <c r="A1297" t="s">
        <v>2482</v>
      </c>
      <c r="B1297">
        <v>233</v>
      </c>
      <c r="C1297" t="s">
        <v>2483</v>
      </c>
      <c r="E1297" s="5" t="s">
        <v>6817</v>
      </c>
      <c r="F1297" s="6" t="str">
        <f>IF(E1297&lt;&gt;"", HYPERLINK("https://www.kegg.jp/dbget-bin/www_bget?ec:" &amp; E1297, "https://www.kegg.jp/dbget-bin/www_bget?ec:" &amp; E1297), "")</f>
        <v>https://www.kegg.jp/dbget-bin/www_bget?ec:4.6.1.1</v>
      </c>
      <c r="G1297" s="7" t="s">
        <v>7672</v>
      </c>
      <c r="H1297" s="1" t="str">
        <f>IF(G1297&lt;&gt;"", HYPERLINK("https://www.kegg.jp/entry/" &amp; G1297, "https://www.kegg.jp/entry/" &amp; G1297), "")</f>
        <v>https://www.kegg.jp/entry/R00089</v>
      </c>
      <c r="I1297" t="s">
        <v>8251</v>
      </c>
      <c r="J1297" t="s">
        <v>13233</v>
      </c>
    </row>
    <row r="1298" spans="1:10" x14ac:dyDescent="0.25">
      <c r="A1298" t="s">
        <v>2482</v>
      </c>
      <c r="B1298">
        <v>233</v>
      </c>
      <c r="C1298" t="s">
        <v>2483</v>
      </c>
      <c r="E1298" s="5" t="s">
        <v>6817</v>
      </c>
      <c r="F1298" s="6" t="str">
        <f>IF(E1298&lt;&gt;"", HYPERLINK("https://www.kegg.jp/dbget-bin/www_bget?ec:" &amp; E1298, "https://www.kegg.jp/dbget-bin/www_bget?ec:" &amp; E1298), "")</f>
        <v>https://www.kegg.jp/dbget-bin/www_bget?ec:4.6.1.1</v>
      </c>
      <c r="G1298" s="7" t="s">
        <v>7673</v>
      </c>
      <c r="H1298" s="1" t="str">
        <f>IF(G1298&lt;&gt;"", HYPERLINK("https://www.kegg.jp/entry/" &amp; G1298, "https://www.kegg.jp/entry/" &amp; G1298), "")</f>
        <v>https://www.kegg.jp/entry/R00434</v>
      </c>
      <c r="I1298" t="s">
        <v>8252</v>
      </c>
      <c r="J1298" t="s">
        <v>13234</v>
      </c>
    </row>
    <row r="1299" spans="1:10" hidden="1" x14ac:dyDescent="0.25">
      <c r="A1299" t="s">
        <v>2485</v>
      </c>
      <c r="B1299">
        <v>43</v>
      </c>
      <c r="C1299" t="s">
        <v>2486</v>
      </c>
      <c r="F1299" s="1" t="str">
        <f>IF(E1299&lt;&gt;"", HYPERLINK("https://www.kegg.jp/dbget-bin/www_bget?ec:" &amp; E1299, "https://www.kegg.jp/dbget-bin/www_bget?ec:" &amp; E1299), "")</f>
        <v/>
      </c>
      <c r="G1299" s="3"/>
      <c r="H1299" s="1" t="str">
        <f>IF(G1299&lt;&gt;"", HYPERLINK("https://www.kegg.jp/entry/" &amp; G1299, "https://www.kegg.jp/entry/" &amp; G1299), "")</f>
        <v/>
      </c>
    </row>
    <row r="1300" spans="1:10" hidden="1" x14ac:dyDescent="0.25">
      <c r="A1300" t="s">
        <v>2487</v>
      </c>
      <c r="B1300">
        <v>604</v>
      </c>
      <c r="C1300" t="s">
        <v>2488</v>
      </c>
      <c r="F1300" s="1" t="str">
        <f>IF(E1300&lt;&gt;"", HYPERLINK("https://www.kegg.jp/dbget-bin/www_bget?ec:" &amp; E1300, "https://www.kegg.jp/dbget-bin/www_bget?ec:" &amp; E1300), "")</f>
        <v/>
      </c>
      <c r="G1300" s="3"/>
      <c r="H1300" s="1" t="str">
        <f>IF(G1300&lt;&gt;"", HYPERLINK("https://www.kegg.jp/entry/" &amp; G1300, "https://www.kegg.jp/entry/" &amp; G1300), "")</f>
        <v/>
      </c>
    </row>
    <row r="1301" spans="1:10" hidden="1" x14ac:dyDescent="0.25">
      <c r="A1301" t="s">
        <v>2489</v>
      </c>
      <c r="B1301">
        <v>45</v>
      </c>
      <c r="C1301" t="s">
        <v>2490</v>
      </c>
      <c r="F1301" s="1" t="str">
        <f>IF(E1301&lt;&gt;"", HYPERLINK("https://www.kegg.jp/dbget-bin/www_bget?ec:" &amp; E1301, "https://www.kegg.jp/dbget-bin/www_bget?ec:" &amp; E1301), "")</f>
        <v/>
      </c>
      <c r="G1301" s="3"/>
      <c r="H1301" s="1" t="str">
        <f>IF(G1301&lt;&gt;"", HYPERLINK("https://www.kegg.jp/entry/" &amp; G1301, "https://www.kegg.jp/entry/" &amp; G1301), "")</f>
        <v/>
      </c>
    </row>
    <row r="1302" spans="1:10" hidden="1" x14ac:dyDescent="0.25">
      <c r="A1302" t="s">
        <v>2492</v>
      </c>
      <c r="B1302">
        <v>433</v>
      </c>
      <c r="C1302" t="s">
        <v>2493</v>
      </c>
      <c r="F1302" s="1" t="str">
        <f>IF(E1302&lt;&gt;"", HYPERLINK("https://www.kegg.jp/dbget-bin/www_bget?ec:" &amp; E1302, "https://www.kegg.jp/dbget-bin/www_bget?ec:" &amp; E1302), "")</f>
        <v/>
      </c>
      <c r="G1302" s="3"/>
      <c r="H1302" s="1" t="str">
        <f>IF(G1302&lt;&gt;"", HYPERLINK("https://www.kegg.jp/entry/" &amp; G1302, "https://www.kegg.jp/entry/" &amp; G1302), "")</f>
        <v/>
      </c>
    </row>
    <row r="1303" spans="1:10" hidden="1" x14ac:dyDescent="0.25">
      <c r="A1303" t="s">
        <v>2495</v>
      </c>
      <c r="B1303">
        <v>270</v>
      </c>
      <c r="C1303" t="s">
        <v>2496</v>
      </c>
      <c r="F1303" s="1" t="str">
        <f>IF(E1303&lt;&gt;"", HYPERLINK("https://www.kegg.jp/dbget-bin/www_bget?ec:" &amp; E1303, "https://www.kegg.jp/dbget-bin/www_bget?ec:" &amp; E1303), "")</f>
        <v/>
      </c>
      <c r="G1303" s="3"/>
      <c r="H1303" s="1" t="str">
        <f>IF(G1303&lt;&gt;"", HYPERLINK("https://www.kegg.jp/entry/" &amp; G1303, "https://www.kegg.jp/entry/" &amp; G1303), "")</f>
        <v/>
      </c>
    </row>
    <row r="1304" spans="1:10" hidden="1" x14ac:dyDescent="0.25">
      <c r="A1304" t="s">
        <v>2498</v>
      </c>
      <c r="B1304">
        <v>303</v>
      </c>
      <c r="C1304" t="s">
        <v>2499</v>
      </c>
      <c r="F1304" s="1" t="str">
        <f>IF(E1304&lt;&gt;"", HYPERLINK("https://www.kegg.jp/dbget-bin/www_bget?ec:" &amp; E1304, "https://www.kegg.jp/dbget-bin/www_bget?ec:" &amp; E1304), "")</f>
        <v/>
      </c>
      <c r="G1304" s="3"/>
      <c r="H1304" s="1" t="str">
        <f>IF(G1304&lt;&gt;"", HYPERLINK("https://www.kegg.jp/entry/" &amp; G1304, "https://www.kegg.jp/entry/" &amp; G1304), "")</f>
        <v/>
      </c>
    </row>
    <row r="1305" spans="1:10" hidden="1" x14ac:dyDescent="0.25">
      <c r="A1305" t="s">
        <v>2500</v>
      </c>
      <c r="B1305">
        <v>245</v>
      </c>
      <c r="C1305" t="s">
        <v>2501</v>
      </c>
      <c r="F1305" s="1" t="str">
        <f>IF(E1305&lt;&gt;"", HYPERLINK("https://www.kegg.jp/dbget-bin/www_bget?ec:" &amp; E1305, "https://www.kegg.jp/dbget-bin/www_bget?ec:" &amp; E1305), "")</f>
        <v/>
      </c>
      <c r="G1305" s="3"/>
      <c r="H1305" s="1" t="str">
        <f>IF(G1305&lt;&gt;"", HYPERLINK("https://www.kegg.jp/entry/" &amp; G1305, "https://www.kegg.jp/entry/" &amp; G1305), "")</f>
        <v/>
      </c>
    </row>
    <row r="1306" spans="1:10" x14ac:dyDescent="0.25">
      <c r="A1306" t="s">
        <v>2502</v>
      </c>
      <c r="B1306">
        <v>243</v>
      </c>
      <c r="C1306" t="s">
        <v>2503</v>
      </c>
      <c r="E1306" s="5" t="s">
        <v>6617</v>
      </c>
      <c r="F1306" s="6" t="str">
        <f>IF(E1306&lt;&gt;"", HYPERLINK("https://www.kegg.jp/dbget-bin/www_bget?ec:" &amp; E1306, "https://www.kegg.jp/dbget-bin/www_bget?ec:" &amp; E1306), "")</f>
        <v>https://www.kegg.jp/dbget-bin/www_bget?ec:3.1.3.5</v>
      </c>
      <c r="G1306" s="8" t="s">
        <v>7335</v>
      </c>
      <c r="H1306" s="1" t="str">
        <f>IF(G1306&lt;&gt;"", HYPERLINK("https://www.kegg.jp/entry/" &amp; G1306, "https://www.kegg.jp/entry/" &amp; G1306), "")</f>
        <v>https://www.kegg.jp/entry/R07297</v>
      </c>
      <c r="I1306" t="s">
        <v>12732</v>
      </c>
      <c r="J1306" t="s">
        <v>12733</v>
      </c>
    </row>
    <row r="1307" spans="1:10" x14ac:dyDescent="0.25">
      <c r="A1307" t="s">
        <v>2502</v>
      </c>
      <c r="B1307">
        <v>243</v>
      </c>
      <c r="C1307" t="s">
        <v>2503</v>
      </c>
      <c r="E1307" s="5" t="s">
        <v>6617</v>
      </c>
      <c r="F1307" s="6" t="str">
        <f>IF(E1307&lt;&gt;"", HYPERLINK("https://www.kegg.jp/dbget-bin/www_bget?ec:" &amp; E1307, "https://www.kegg.jp/dbget-bin/www_bget?ec:" &amp; E1307), "")</f>
        <v>https://www.kegg.jp/dbget-bin/www_bget?ec:3.1.3.5</v>
      </c>
      <c r="G1307" s="8" t="s">
        <v>7337</v>
      </c>
      <c r="H1307" s="1" t="str">
        <f>IF(G1307&lt;&gt;"", HYPERLINK("https://www.kegg.jp/entry/" &amp; G1307, "https://www.kegg.jp/entry/" &amp; G1307), "")</f>
        <v>https://www.kegg.jp/entry/R00183</v>
      </c>
      <c r="I1307" t="s">
        <v>12734</v>
      </c>
      <c r="J1307" t="s">
        <v>12735</v>
      </c>
    </row>
    <row r="1308" spans="1:10" x14ac:dyDescent="0.25">
      <c r="A1308" t="s">
        <v>2502</v>
      </c>
      <c r="B1308">
        <v>243</v>
      </c>
      <c r="C1308" t="s">
        <v>2503</v>
      </c>
      <c r="E1308" s="5" t="s">
        <v>6617</v>
      </c>
      <c r="F1308" s="6" t="str">
        <f>IF(E1308&lt;&gt;"", HYPERLINK("https://www.kegg.jp/dbget-bin/www_bget?ec:" &amp; E1308, "https://www.kegg.jp/dbget-bin/www_bget?ec:" &amp; E1308), "")</f>
        <v>https://www.kegg.jp/dbget-bin/www_bget?ec:3.1.3.5</v>
      </c>
      <c r="G1308" s="7" t="s">
        <v>7338</v>
      </c>
      <c r="H1308" s="1" t="str">
        <f>IF(G1308&lt;&gt;"", HYPERLINK("https://www.kegg.jp/entry/" &amp; G1308, "https://www.kegg.jp/entry/" &amp; G1308), "")</f>
        <v>https://www.kegg.jp/entry/R00511</v>
      </c>
      <c r="I1308" t="s">
        <v>12736</v>
      </c>
      <c r="J1308" t="s">
        <v>12737</v>
      </c>
    </row>
    <row r="1309" spans="1:10" x14ac:dyDescent="0.25">
      <c r="A1309" t="s">
        <v>2502</v>
      </c>
      <c r="B1309">
        <v>243</v>
      </c>
      <c r="C1309" t="s">
        <v>2503</v>
      </c>
      <c r="E1309" s="5" t="s">
        <v>6617</v>
      </c>
      <c r="F1309" s="6" t="str">
        <f>IF(E1309&lt;&gt;"", HYPERLINK("https://www.kegg.jp/dbget-bin/www_bget?ec:" &amp; E1309, "https://www.kegg.jp/dbget-bin/www_bget?ec:" &amp; E1309), "")</f>
        <v>https://www.kegg.jp/dbget-bin/www_bget?ec:3.1.3.5</v>
      </c>
      <c r="G1309" s="7" t="s">
        <v>7339</v>
      </c>
      <c r="H1309" s="1" t="str">
        <f>IF(G1309&lt;&gt;"", HYPERLINK("https://www.kegg.jp/entry/" &amp; G1309, "https://www.kegg.jp/entry/" &amp; G1309), "")</f>
        <v>https://www.kegg.jp/entry/R00963</v>
      </c>
      <c r="I1309" t="s">
        <v>12738</v>
      </c>
      <c r="J1309" t="s">
        <v>12739</v>
      </c>
    </row>
    <row r="1310" spans="1:10" x14ac:dyDescent="0.25">
      <c r="A1310" t="s">
        <v>2502</v>
      </c>
      <c r="B1310">
        <v>243</v>
      </c>
      <c r="C1310" t="s">
        <v>2503</v>
      </c>
      <c r="E1310" s="5" t="s">
        <v>6617</v>
      </c>
      <c r="F1310" s="6" t="str">
        <f>IF(E1310&lt;&gt;"", HYPERLINK("https://www.kegg.jp/dbget-bin/www_bget?ec:" &amp; E1310, "https://www.kegg.jp/dbget-bin/www_bget?ec:" &amp; E1310), "")</f>
        <v>https://www.kegg.jp/dbget-bin/www_bget?ec:3.1.3.5</v>
      </c>
      <c r="G1310" s="7" t="s">
        <v>7340</v>
      </c>
      <c r="H1310" s="1" t="str">
        <f>IF(G1310&lt;&gt;"", HYPERLINK("https://www.kegg.jp/entry/" &amp; G1310, "https://www.kegg.jp/entry/" &amp; G1310), "")</f>
        <v>https://www.kegg.jp/entry/R01126</v>
      </c>
      <c r="I1310" t="s">
        <v>12740</v>
      </c>
      <c r="J1310" t="s">
        <v>12741</v>
      </c>
    </row>
    <row r="1311" spans="1:10" x14ac:dyDescent="0.25">
      <c r="A1311" t="s">
        <v>2502</v>
      </c>
      <c r="B1311">
        <v>243</v>
      </c>
      <c r="C1311" t="s">
        <v>2503</v>
      </c>
      <c r="E1311" s="5" t="s">
        <v>6617</v>
      </c>
      <c r="F1311" s="6" t="str">
        <f>IF(E1311&lt;&gt;"", HYPERLINK("https://www.kegg.jp/dbget-bin/www_bget?ec:" &amp; E1311, "https://www.kegg.jp/dbget-bin/www_bget?ec:" &amp; E1311), "")</f>
        <v>https://www.kegg.jp/dbget-bin/www_bget?ec:3.1.3.5</v>
      </c>
      <c r="G1311" s="7" t="s">
        <v>7341</v>
      </c>
      <c r="H1311" s="1" t="str">
        <f>IF(G1311&lt;&gt;"", HYPERLINK("https://www.kegg.jp/entry/" &amp; G1311, "https://www.kegg.jp/entry/" &amp; G1311), "")</f>
        <v>https://www.kegg.jp/entry/R01227</v>
      </c>
      <c r="I1311" t="s">
        <v>12742</v>
      </c>
      <c r="J1311" t="s">
        <v>12743</v>
      </c>
    </row>
    <row r="1312" spans="1:10" x14ac:dyDescent="0.25">
      <c r="A1312" t="s">
        <v>2502</v>
      </c>
      <c r="B1312">
        <v>243</v>
      </c>
      <c r="C1312" t="s">
        <v>2503</v>
      </c>
      <c r="E1312" s="5" t="s">
        <v>6617</v>
      </c>
      <c r="F1312" s="6" t="str">
        <f>IF(E1312&lt;&gt;"", HYPERLINK("https://www.kegg.jp/dbget-bin/www_bget?ec:" &amp; E1312, "https://www.kegg.jp/dbget-bin/www_bget?ec:" &amp; E1312), "")</f>
        <v>https://www.kegg.jp/dbget-bin/www_bget?ec:3.1.3.5</v>
      </c>
      <c r="G1312" s="7" t="s">
        <v>7342</v>
      </c>
      <c r="H1312" s="1" t="str">
        <f>IF(G1312&lt;&gt;"", HYPERLINK("https://www.kegg.jp/entry/" &amp; G1312, "https://www.kegg.jp/entry/" &amp; G1312), "")</f>
        <v>https://www.kegg.jp/entry/R02323</v>
      </c>
      <c r="I1312" t="s">
        <v>12744</v>
      </c>
      <c r="J1312" t="s">
        <v>12745</v>
      </c>
    </row>
    <row r="1313" spans="1:10" x14ac:dyDescent="0.25">
      <c r="A1313" t="s">
        <v>2502</v>
      </c>
      <c r="B1313">
        <v>243</v>
      </c>
      <c r="C1313" t="s">
        <v>2503</v>
      </c>
      <c r="E1313" s="5" t="s">
        <v>6617</v>
      </c>
      <c r="F1313" s="6" t="str">
        <f>IF(E1313&lt;&gt;"", HYPERLINK("https://www.kegg.jp/dbget-bin/www_bget?ec:" &amp; E1313, "https://www.kegg.jp/dbget-bin/www_bget?ec:" &amp; E1313), "")</f>
        <v>https://www.kegg.jp/dbget-bin/www_bget?ec:3.1.3.5</v>
      </c>
      <c r="G1313" s="7" t="s">
        <v>7343</v>
      </c>
      <c r="H1313" s="1" t="str">
        <f>IF(G1313&lt;&gt;"", HYPERLINK("https://www.kegg.jp/entry/" &amp; G1313, "https://www.kegg.jp/entry/" &amp; G1313), "")</f>
        <v>https://www.kegg.jp/entry/R02719</v>
      </c>
      <c r="I1313" t="s">
        <v>12746</v>
      </c>
      <c r="J1313" t="s">
        <v>12747</v>
      </c>
    </row>
    <row r="1314" spans="1:10" x14ac:dyDescent="0.25">
      <c r="A1314" t="s">
        <v>2502</v>
      </c>
      <c r="B1314">
        <v>243</v>
      </c>
      <c r="C1314" t="s">
        <v>2503</v>
      </c>
      <c r="E1314" s="5" t="s">
        <v>6617</v>
      </c>
      <c r="F1314" s="6" t="str">
        <f>IF(E1314&lt;&gt;"", HYPERLINK("https://www.kegg.jp/dbget-bin/www_bget?ec:" &amp; E1314, "https://www.kegg.jp/dbget-bin/www_bget?ec:" &amp; E1314), "")</f>
        <v>https://www.kegg.jp/dbget-bin/www_bget?ec:3.1.3.5</v>
      </c>
      <c r="G1314" s="7" t="s">
        <v>7344</v>
      </c>
      <c r="H1314" s="1" t="str">
        <f>IF(G1314&lt;&gt;"", HYPERLINK("https://www.kegg.jp/entry/" &amp; G1314, "https://www.kegg.jp/entry/" &amp; G1314), "")</f>
        <v>https://www.kegg.jp/entry/R03346</v>
      </c>
      <c r="I1314" t="s">
        <v>12748</v>
      </c>
      <c r="J1314" t="s">
        <v>12749</v>
      </c>
    </row>
    <row r="1315" spans="1:10" x14ac:dyDescent="0.25">
      <c r="A1315" t="s">
        <v>2502</v>
      </c>
      <c r="B1315">
        <v>243</v>
      </c>
      <c r="C1315" t="s">
        <v>2503</v>
      </c>
      <c r="E1315" s="5" t="s">
        <v>6617</v>
      </c>
      <c r="F1315" s="6" t="str">
        <f>IF(E1315&lt;&gt;"", HYPERLINK("https://www.kegg.jp/dbget-bin/www_bget?ec:" &amp; E1315, "https://www.kegg.jp/dbget-bin/www_bget?ec:" &amp; E1315), "")</f>
        <v>https://www.kegg.jp/dbget-bin/www_bget?ec:3.1.3.5</v>
      </c>
      <c r="G1315" s="7" t="s">
        <v>7336</v>
      </c>
      <c r="H1315" s="1" t="str">
        <f>IF(G1315&lt;&gt;"", HYPERLINK("https://www.kegg.jp/entry/" &amp; G1315, "https://www.kegg.jp/entry/" &amp; G1315), "")</f>
        <v>https://www.kegg.jp/entry/R01569</v>
      </c>
      <c r="I1315" t="s">
        <v>12750</v>
      </c>
      <c r="J1315" t="s">
        <v>12751</v>
      </c>
    </row>
    <row r="1316" spans="1:10" x14ac:dyDescent="0.25">
      <c r="A1316" t="s">
        <v>2502</v>
      </c>
      <c r="B1316">
        <v>243</v>
      </c>
      <c r="C1316" t="s">
        <v>2503</v>
      </c>
      <c r="E1316" s="5" t="s">
        <v>6617</v>
      </c>
      <c r="F1316" s="6" t="str">
        <f>IF(E1316&lt;&gt;"", HYPERLINK("https://www.kegg.jp/dbget-bin/www_bget?ec:" &amp; E1316, "https://www.kegg.jp/dbget-bin/www_bget?ec:" &amp; E1316), "")</f>
        <v>https://www.kegg.jp/dbget-bin/www_bget?ec:3.1.3.5</v>
      </c>
      <c r="G1316" s="7" t="s">
        <v>7345</v>
      </c>
      <c r="H1316" s="1" t="str">
        <f>IF(G1316&lt;&gt;"", HYPERLINK("https://www.kegg.jp/entry/" &amp; G1316, "https://www.kegg.jp/entry/" &amp; G1316), "")</f>
        <v>https://www.kegg.jp/entry/R01664</v>
      </c>
      <c r="I1316" t="s">
        <v>12752</v>
      </c>
      <c r="J1316" t="s">
        <v>12753</v>
      </c>
    </row>
    <row r="1317" spans="1:10" x14ac:dyDescent="0.25">
      <c r="A1317" t="s">
        <v>2502</v>
      </c>
      <c r="B1317">
        <v>243</v>
      </c>
      <c r="C1317" t="s">
        <v>2503</v>
      </c>
      <c r="E1317" s="5" t="s">
        <v>6617</v>
      </c>
      <c r="F1317" s="6" t="str">
        <f>IF(E1317&lt;&gt;"", HYPERLINK("https://www.kegg.jp/dbget-bin/www_bget?ec:" &amp; E1317, "https://www.kegg.jp/dbget-bin/www_bget?ec:" &amp; E1317), "")</f>
        <v>https://www.kegg.jp/dbget-bin/www_bget?ec:3.1.3.5</v>
      </c>
      <c r="G1317" s="7" t="s">
        <v>7346</v>
      </c>
      <c r="H1317" s="1" t="str">
        <f>IF(G1317&lt;&gt;"", HYPERLINK("https://www.kegg.jp/entry/" &amp; G1317, "https://www.kegg.jp/entry/" &amp; G1317), "")</f>
        <v>https://www.kegg.jp/entry/R01968</v>
      </c>
      <c r="I1317" t="s">
        <v>12754</v>
      </c>
      <c r="J1317" t="s">
        <v>12755</v>
      </c>
    </row>
    <row r="1318" spans="1:10" x14ac:dyDescent="0.25">
      <c r="A1318" t="s">
        <v>2502</v>
      </c>
      <c r="B1318">
        <v>243</v>
      </c>
      <c r="C1318" t="s">
        <v>2503</v>
      </c>
      <c r="E1318" s="5" t="s">
        <v>6617</v>
      </c>
      <c r="F1318" s="6" t="str">
        <f>IF(E1318&lt;&gt;"", HYPERLINK("https://www.kegg.jp/dbget-bin/www_bget?ec:" &amp; E1318, "https://www.kegg.jp/dbget-bin/www_bget?ec:" &amp; E1318), "")</f>
        <v>https://www.kegg.jp/dbget-bin/www_bget?ec:3.1.3.5</v>
      </c>
      <c r="G1318" s="7" t="s">
        <v>7347</v>
      </c>
      <c r="H1318" s="1" t="str">
        <f>IF(G1318&lt;&gt;"", HYPERLINK("https://www.kegg.jp/entry/" &amp; G1318, "https://www.kegg.jp/entry/" &amp; G1318), "")</f>
        <v>https://www.kegg.jp/entry/R02088</v>
      </c>
      <c r="I1318" t="s">
        <v>12756</v>
      </c>
      <c r="J1318" t="s">
        <v>12757</v>
      </c>
    </row>
    <row r="1319" spans="1:10" x14ac:dyDescent="0.25">
      <c r="A1319" t="s">
        <v>2502</v>
      </c>
      <c r="B1319">
        <v>243</v>
      </c>
      <c r="C1319" t="s">
        <v>2503</v>
      </c>
      <c r="E1319" s="5" t="s">
        <v>6617</v>
      </c>
      <c r="F1319" s="6" t="str">
        <f>IF(E1319&lt;&gt;"", HYPERLINK("https://www.kegg.jp/dbget-bin/www_bget?ec:" &amp; E1319, "https://www.kegg.jp/dbget-bin/www_bget?ec:" &amp; E1319), "")</f>
        <v>https://www.kegg.jp/dbget-bin/www_bget?ec:3.1.3.5</v>
      </c>
      <c r="G1319" s="7" t="s">
        <v>7348</v>
      </c>
      <c r="H1319" s="1" t="str">
        <f>IF(G1319&lt;&gt;"", HYPERLINK("https://www.kegg.jp/entry/" &amp; G1319, "https://www.kegg.jp/entry/" &amp; G1319), "")</f>
        <v>https://www.kegg.jp/entry/R02102</v>
      </c>
      <c r="I1319" t="s">
        <v>12758</v>
      </c>
      <c r="J1319" t="s">
        <v>12759</v>
      </c>
    </row>
    <row r="1320" spans="1:10" x14ac:dyDescent="0.25">
      <c r="A1320" t="s">
        <v>2502</v>
      </c>
      <c r="B1320">
        <v>243</v>
      </c>
      <c r="C1320" t="s">
        <v>2503</v>
      </c>
      <c r="E1320" s="5" t="s">
        <v>6617</v>
      </c>
      <c r="F1320" s="6" t="str">
        <f>IF(E1320&lt;&gt;"", HYPERLINK("https://www.kegg.jp/dbget-bin/www_bget?ec:" &amp; E1320, "https://www.kegg.jp/dbget-bin/www_bget?ec:" &amp; E1320), "")</f>
        <v>https://www.kegg.jp/dbget-bin/www_bget?ec:3.1.3.5</v>
      </c>
      <c r="G1320" s="7" t="s">
        <v>7349</v>
      </c>
      <c r="H1320" s="1" t="str">
        <f>IF(G1320&lt;&gt;"", HYPERLINK("https://www.kegg.jp/entry/" &amp; G1320, "https://www.kegg.jp/entry/" &amp; G1320), "")</f>
        <v>https://www.kegg.jp/entry/R12958</v>
      </c>
      <c r="I1320" t="s">
        <v>12760</v>
      </c>
      <c r="J1320" t="s">
        <v>12761</v>
      </c>
    </row>
    <row r="1321" spans="1:10" hidden="1" x14ac:dyDescent="0.25">
      <c r="A1321" t="s">
        <v>2505</v>
      </c>
      <c r="B1321">
        <v>238</v>
      </c>
      <c r="C1321" t="s">
        <v>2506</v>
      </c>
      <c r="F1321" s="1" t="str">
        <f>IF(E1321&lt;&gt;"", HYPERLINK("https://www.kegg.jp/dbget-bin/www_bget?ec:" &amp; E1321, "https://www.kegg.jp/dbget-bin/www_bget?ec:" &amp; E1321), "")</f>
        <v/>
      </c>
      <c r="G1321" s="3"/>
      <c r="H1321" s="1" t="str">
        <f>IF(G1321&lt;&gt;"", HYPERLINK("https://www.kegg.jp/entry/" &amp; G1321, "https://www.kegg.jp/entry/" &amp; G1321), "")</f>
        <v/>
      </c>
    </row>
    <row r="1322" spans="1:10" x14ac:dyDescent="0.25">
      <c r="A1322" t="s">
        <v>2508</v>
      </c>
      <c r="B1322">
        <v>501</v>
      </c>
      <c r="C1322" t="s">
        <v>2509</v>
      </c>
      <c r="E1322" s="5" t="s">
        <v>6818</v>
      </c>
      <c r="F1322" s="1" t="str">
        <f>IF(E1322&lt;&gt;"", HYPERLINK("https://www.kegg.jp/dbget-bin/www_bget?ec:" &amp; E1322, "https://www.kegg.jp/dbget-bin/www_bget?ec:" &amp; E1322), "")</f>
        <v>https://www.kegg.jp/dbget-bin/www_bget?ec:3.1.3.1</v>
      </c>
      <c r="G1322" s="3" t="s">
        <v>7674</v>
      </c>
      <c r="H1322" s="1" t="str">
        <f>IF(G1322&lt;&gt;"", HYPERLINK("https://www.kegg.jp/entry/" &amp; G1322, "https://www.kegg.jp/entry/" &amp; G1322), "")</f>
        <v>https://www.kegg.jp/entry/R00626</v>
      </c>
      <c r="I1322" t="s">
        <v>13235</v>
      </c>
      <c r="J1322" t="s">
        <v>13236</v>
      </c>
    </row>
    <row r="1323" spans="1:10" x14ac:dyDescent="0.25">
      <c r="A1323" t="s">
        <v>2508</v>
      </c>
      <c r="B1323">
        <v>501</v>
      </c>
      <c r="C1323" t="s">
        <v>2509</v>
      </c>
      <c r="E1323" s="5" t="s">
        <v>6818</v>
      </c>
      <c r="F1323" s="1" t="str">
        <f>IF(E1323&lt;&gt;"", HYPERLINK("https://www.kegg.jp/dbget-bin/www_bget?ec:" &amp; E1323, "https://www.kegg.jp/dbget-bin/www_bget?ec:" &amp; E1323), "")</f>
        <v>https://www.kegg.jp/dbget-bin/www_bget?ec:3.1.3.1</v>
      </c>
      <c r="G1323" s="3" t="s">
        <v>7678</v>
      </c>
      <c r="H1323" s="1" t="str">
        <f>IF(G1323&lt;&gt;"", HYPERLINK("https://www.kegg.jp/entry/" &amp; G1323, "https://www.kegg.jp/entry/" &amp; G1323), "")</f>
        <v>https://www.kegg.jp/entry/R02135</v>
      </c>
      <c r="I1323" t="s">
        <v>13237</v>
      </c>
      <c r="J1323" t="s">
        <v>13238</v>
      </c>
    </row>
    <row r="1324" spans="1:10" x14ac:dyDescent="0.25">
      <c r="A1324" t="s">
        <v>2508</v>
      </c>
      <c r="B1324">
        <v>501</v>
      </c>
      <c r="C1324" t="s">
        <v>2509</v>
      </c>
      <c r="E1324" s="5" t="s">
        <v>6818</v>
      </c>
      <c r="F1324" s="1" t="str">
        <f>IF(E1324&lt;&gt;"", HYPERLINK("https://www.kegg.jp/dbget-bin/www_bget?ec:" &amp; E1324, "https://www.kegg.jp/dbget-bin/www_bget?ec:" &amp; E1324), "")</f>
        <v>https://www.kegg.jp/dbget-bin/www_bget?ec:3.1.3.1</v>
      </c>
      <c r="G1324" s="3" t="s">
        <v>7677</v>
      </c>
      <c r="H1324" s="1" t="str">
        <f>IF(G1324&lt;&gt;"", HYPERLINK("https://www.kegg.jp/entry/" &amp; G1324, "https://www.kegg.jp/entry/" &amp; G1324), "")</f>
        <v>https://www.kegg.jp/entry/R03024</v>
      </c>
      <c r="I1324" t="s">
        <v>13239</v>
      </c>
      <c r="J1324" t="s">
        <v>13240</v>
      </c>
    </row>
    <row r="1325" spans="1:10" x14ac:dyDescent="0.25">
      <c r="A1325" t="s">
        <v>2508</v>
      </c>
      <c r="B1325">
        <v>501</v>
      </c>
      <c r="C1325" t="s">
        <v>2509</v>
      </c>
      <c r="E1325" s="5" t="s">
        <v>6818</v>
      </c>
      <c r="F1325" s="1" t="str">
        <f>IF(E1325&lt;&gt;"", HYPERLINK("https://www.kegg.jp/dbget-bin/www_bget?ec:" &amp; E1325, "https://www.kegg.jp/dbget-bin/www_bget?ec:" &amp; E1325), "")</f>
        <v>https://www.kegg.jp/dbget-bin/www_bget?ec:3.1.3.1</v>
      </c>
      <c r="G1325" s="3" t="s">
        <v>7676</v>
      </c>
      <c r="H1325" s="1" t="str">
        <f>IF(G1325&lt;&gt;"", HYPERLINK("https://www.kegg.jp/entry/" &amp; G1325, "https://www.kegg.jp/entry/" &amp; G1325), "")</f>
        <v>https://www.kegg.jp/entry/R01010</v>
      </c>
      <c r="I1325" t="s">
        <v>13241</v>
      </c>
      <c r="J1325" t="s">
        <v>13242</v>
      </c>
    </row>
    <row r="1326" spans="1:10" x14ac:dyDescent="0.25">
      <c r="A1326" t="s">
        <v>2508</v>
      </c>
      <c r="B1326">
        <v>501</v>
      </c>
      <c r="C1326" t="s">
        <v>2509</v>
      </c>
      <c r="E1326" s="5" t="s">
        <v>6818</v>
      </c>
      <c r="F1326" s="1" t="str">
        <f>IF(E1326&lt;&gt;"", HYPERLINK("https://www.kegg.jp/dbget-bin/www_bget?ec:" &amp; E1326, "https://www.kegg.jp/dbget-bin/www_bget?ec:" &amp; E1326), "")</f>
        <v>https://www.kegg.jp/dbget-bin/www_bget?ec:3.1.3.1</v>
      </c>
      <c r="G1326" s="3" t="s">
        <v>7675</v>
      </c>
      <c r="H1326" s="1" t="str">
        <f>IF(G1326&lt;&gt;"", HYPERLINK("https://www.kegg.jp/entry/" &amp; G1326, "https://www.kegg.jp/entry/" &amp; G1326), "")</f>
        <v>https://www.kegg.jp/entry/R04620</v>
      </c>
      <c r="I1326" t="s">
        <v>13243</v>
      </c>
      <c r="J1326" t="s">
        <v>13244</v>
      </c>
    </row>
    <row r="1327" spans="1:10" hidden="1" x14ac:dyDescent="0.25">
      <c r="A1327" t="s">
        <v>2511</v>
      </c>
      <c r="B1327">
        <v>211</v>
      </c>
      <c r="C1327" t="s">
        <v>2512</v>
      </c>
      <c r="F1327" s="1" t="str">
        <f>IF(E1327&lt;&gt;"", HYPERLINK("https://www.kegg.jp/dbget-bin/www_bget?ec:" &amp; E1327, "https://www.kegg.jp/dbget-bin/www_bget?ec:" &amp; E1327), "")</f>
        <v/>
      </c>
      <c r="G1327" s="3"/>
      <c r="H1327" s="1" t="str">
        <f>IF(G1327&lt;&gt;"", HYPERLINK("https://www.kegg.jp/entry/" &amp; G1327, "https://www.kegg.jp/entry/" &amp; G1327), "")</f>
        <v/>
      </c>
    </row>
    <row r="1328" spans="1:10" hidden="1" x14ac:dyDescent="0.25">
      <c r="A1328" t="s">
        <v>2513</v>
      </c>
      <c r="B1328">
        <v>135</v>
      </c>
      <c r="C1328" t="s">
        <v>2514</v>
      </c>
      <c r="F1328" s="1" t="str">
        <f>IF(E1328&lt;&gt;"", HYPERLINK("https://www.kegg.jp/dbget-bin/www_bget?ec:" &amp; E1328, "https://www.kegg.jp/dbget-bin/www_bget?ec:" &amp; E1328), "")</f>
        <v/>
      </c>
      <c r="G1328" s="3"/>
      <c r="H1328" s="1" t="str">
        <f>IF(G1328&lt;&gt;"", HYPERLINK("https://www.kegg.jp/entry/" &amp; G1328, "https://www.kegg.jp/entry/" &amp; G1328), "")</f>
        <v/>
      </c>
    </row>
    <row r="1329" spans="1:10" x14ac:dyDescent="0.25">
      <c r="A1329" t="s">
        <v>2515</v>
      </c>
      <c r="B1329">
        <v>521</v>
      </c>
      <c r="C1329" t="s">
        <v>2516</v>
      </c>
      <c r="E1329" s="5" t="s">
        <v>6698</v>
      </c>
      <c r="F1329" s="1" t="str">
        <f>IF(E1329&lt;&gt;"", HYPERLINK("https://www.kegg.jp/dbget-bin/www_bget?ec:" &amp; E1329, "https://www.kegg.jp/dbget-bin/www_bget?ec:" &amp; E1329), "")</f>
        <v>https://www.kegg.jp/dbget-bin/www_bget?ec:1.1.1.95</v>
      </c>
      <c r="G1329" s="3" t="s">
        <v>7496</v>
      </c>
      <c r="H1329" s="1" t="str">
        <f>IF(G1329&lt;&gt;"", HYPERLINK("https://www.kegg.jp/entry/" &amp; G1329, "https://www.kegg.jp/entry/" &amp; G1329), "")</f>
        <v>https://www.kegg.jp/entry/R01513</v>
      </c>
      <c r="I1329" t="s">
        <v>12946</v>
      </c>
      <c r="J1329" t="s">
        <v>12947</v>
      </c>
    </row>
    <row r="1330" spans="1:10" x14ac:dyDescent="0.25">
      <c r="A1330" t="s">
        <v>2515</v>
      </c>
      <c r="B1330">
        <v>521</v>
      </c>
      <c r="C1330" t="s">
        <v>2516</v>
      </c>
      <c r="E1330" s="5" t="s">
        <v>6698</v>
      </c>
      <c r="F1330" s="1" t="str">
        <f>IF(E1330&lt;&gt;"", HYPERLINK("https://www.kegg.jp/dbget-bin/www_bget?ec:" &amp; E1330, "https://www.kegg.jp/dbget-bin/www_bget?ec:" &amp; E1330), "")</f>
        <v>https://www.kegg.jp/dbget-bin/www_bget?ec:1.1.1.95</v>
      </c>
      <c r="G1330" s="3" t="s">
        <v>7497</v>
      </c>
      <c r="H1330" s="1" t="str">
        <f>IF(G1330&lt;&gt;"", HYPERLINK("https://www.kegg.jp/entry/" &amp; G1330, "https://www.kegg.jp/entry/" &amp; G1330), "")</f>
        <v>https://www.kegg.jp/entry/R08198</v>
      </c>
      <c r="I1330" t="s">
        <v>12948</v>
      </c>
      <c r="J1330" t="s">
        <v>12949</v>
      </c>
    </row>
    <row r="1331" spans="1:10" hidden="1" x14ac:dyDescent="0.25">
      <c r="A1331" t="s">
        <v>2517</v>
      </c>
      <c r="B1331">
        <v>42</v>
      </c>
      <c r="C1331" t="s">
        <v>2518</v>
      </c>
      <c r="F1331" s="1" t="str">
        <f>IF(E1331&lt;&gt;"", HYPERLINK("https://www.kegg.jp/dbget-bin/www_bget?ec:" &amp; E1331, "https://www.kegg.jp/dbget-bin/www_bget?ec:" &amp; E1331), "")</f>
        <v/>
      </c>
      <c r="G1331" s="3"/>
      <c r="H1331" s="1" t="str">
        <f>IF(G1331&lt;&gt;"", HYPERLINK("https://www.kegg.jp/entry/" &amp; G1331, "https://www.kegg.jp/entry/" &amp; G1331), "")</f>
        <v/>
      </c>
    </row>
    <row r="1332" spans="1:10" hidden="1" x14ac:dyDescent="0.25">
      <c r="A1332" t="s">
        <v>2519</v>
      </c>
      <c r="B1332">
        <v>142</v>
      </c>
      <c r="C1332" t="s">
        <v>2520</v>
      </c>
      <c r="F1332" s="1" t="str">
        <f>IF(E1332&lt;&gt;"", HYPERLINK("https://www.kegg.jp/dbget-bin/www_bget?ec:" &amp; E1332, "https://www.kegg.jp/dbget-bin/www_bget?ec:" &amp; E1332), "")</f>
        <v/>
      </c>
      <c r="G1332" s="3"/>
      <c r="H1332" s="1" t="str">
        <f>IF(G1332&lt;&gt;"", HYPERLINK("https://www.kegg.jp/entry/" &amp; G1332, "https://www.kegg.jp/entry/" &amp; G1332), "")</f>
        <v/>
      </c>
    </row>
    <row r="1333" spans="1:10" hidden="1" x14ac:dyDescent="0.25">
      <c r="A1333" t="s">
        <v>2521</v>
      </c>
      <c r="B1333">
        <v>394</v>
      </c>
      <c r="C1333" t="s">
        <v>2522</v>
      </c>
      <c r="F1333" s="1" t="str">
        <f>IF(E1333&lt;&gt;"", HYPERLINK("https://www.kegg.jp/dbget-bin/www_bget?ec:" &amp; E1333, "https://www.kegg.jp/dbget-bin/www_bget?ec:" &amp; E1333), "")</f>
        <v/>
      </c>
      <c r="G1333" s="3"/>
      <c r="H1333" s="1" t="str">
        <f>IF(G1333&lt;&gt;"", HYPERLINK("https://www.kegg.jp/entry/" &amp; G1333, "https://www.kegg.jp/entry/" &amp; G1333), "")</f>
        <v/>
      </c>
    </row>
    <row r="1334" spans="1:10" hidden="1" x14ac:dyDescent="0.25">
      <c r="A1334" t="s">
        <v>2523</v>
      </c>
      <c r="B1334">
        <v>291</v>
      </c>
      <c r="C1334" t="s">
        <v>2524</v>
      </c>
      <c r="F1334" s="1" t="str">
        <f>IF(E1334&lt;&gt;"", HYPERLINK("https://www.kegg.jp/dbget-bin/www_bget?ec:" &amp; E1334, "https://www.kegg.jp/dbget-bin/www_bget?ec:" &amp; E1334), "")</f>
        <v/>
      </c>
      <c r="G1334" s="3"/>
      <c r="H1334" s="1" t="str">
        <f>IF(G1334&lt;&gt;"", HYPERLINK("https://www.kegg.jp/entry/" &amp; G1334, "https://www.kegg.jp/entry/" &amp; G1334), "")</f>
        <v/>
      </c>
    </row>
    <row r="1335" spans="1:10" hidden="1" x14ac:dyDescent="0.25">
      <c r="A1335" t="s">
        <v>2525</v>
      </c>
      <c r="B1335">
        <v>258</v>
      </c>
      <c r="C1335" t="s">
        <v>2526</v>
      </c>
      <c r="F1335" s="1" t="str">
        <f>IF(E1335&lt;&gt;"", HYPERLINK("https://www.kegg.jp/dbget-bin/www_bget?ec:" &amp; E1335, "https://www.kegg.jp/dbget-bin/www_bget?ec:" &amp; E1335), "")</f>
        <v/>
      </c>
      <c r="G1335" s="3"/>
      <c r="H1335" s="1" t="str">
        <f>IF(G1335&lt;&gt;"", HYPERLINK("https://www.kegg.jp/entry/" &amp; G1335, "https://www.kegg.jp/entry/" &amp; G1335), "")</f>
        <v/>
      </c>
    </row>
    <row r="1336" spans="1:10" hidden="1" x14ac:dyDescent="0.25">
      <c r="A1336" t="s">
        <v>2527</v>
      </c>
      <c r="B1336">
        <v>247</v>
      </c>
      <c r="C1336" t="s">
        <v>2528</v>
      </c>
      <c r="F1336" s="1" t="str">
        <f>IF(E1336&lt;&gt;"", HYPERLINK("https://www.kegg.jp/dbget-bin/www_bget?ec:" &amp; E1336, "https://www.kegg.jp/dbget-bin/www_bget?ec:" &amp; E1336), "")</f>
        <v/>
      </c>
      <c r="G1336" s="3"/>
      <c r="H1336" s="1" t="str">
        <f>IF(G1336&lt;&gt;"", HYPERLINK("https://www.kegg.jp/entry/" &amp; G1336, "https://www.kegg.jp/entry/" &amp; G1336), "")</f>
        <v/>
      </c>
    </row>
    <row r="1337" spans="1:10" x14ac:dyDescent="0.25">
      <c r="A1337" t="s">
        <v>2529</v>
      </c>
      <c r="B1337">
        <v>617</v>
      </c>
      <c r="C1337" t="s">
        <v>2530</v>
      </c>
      <c r="E1337" s="5" t="s">
        <v>6749</v>
      </c>
      <c r="F1337" s="1" t="str">
        <f>IF(E1337&lt;&gt;"", HYPERLINK("https://www.kegg.jp/dbget-bin/www_bget?ec:" &amp; E1337, "https://www.kegg.jp/dbget-bin/www_bget?ec:" &amp; E1337), "")</f>
        <v>https://www.kegg.jp/dbget-bin/www_bget?ec:6.2.1.3</v>
      </c>
      <c r="G1337" s="3" t="s">
        <v>7558</v>
      </c>
      <c r="H1337" s="1" t="str">
        <f>IF(G1337&lt;&gt;"", HYPERLINK("https://www.kegg.jp/entry/" &amp; G1337, "https://www.kegg.jp/entry/" &amp; G1337), "")</f>
        <v>https://www.kegg.jp/entry/R00390</v>
      </c>
      <c r="I1337" t="s">
        <v>13044</v>
      </c>
      <c r="J1337" t="s">
        <v>13045</v>
      </c>
    </row>
    <row r="1338" spans="1:10" x14ac:dyDescent="0.25">
      <c r="A1338" t="s">
        <v>2529</v>
      </c>
      <c r="B1338">
        <v>617</v>
      </c>
      <c r="C1338" t="s">
        <v>2530</v>
      </c>
      <c r="E1338" s="5" t="s">
        <v>6749</v>
      </c>
      <c r="F1338" s="1" t="str">
        <f>IF(E1338&lt;&gt;"", HYPERLINK("https://www.kegg.jp/dbget-bin/www_bget?ec:" &amp; E1338, "https://www.kegg.jp/dbget-bin/www_bget?ec:" &amp; E1338), "")</f>
        <v>https://www.kegg.jp/dbget-bin/www_bget?ec:6.2.1.3</v>
      </c>
      <c r="G1338" s="3" t="s">
        <v>7559</v>
      </c>
      <c r="H1338" s="1" t="str">
        <f>IF(G1338&lt;&gt;"", HYPERLINK("https://www.kegg.jp/entry/" &amp; G1338, "https://www.kegg.jp/entry/" &amp; G1338), "")</f>
        <v>https://www.kegg.jp/entry/R01280</v>
      </c>
      <c r="I1338" t="s">
        <v>13046</v>
      </c>
      <c r="J1338" t="s">
        <v>13047</v>
      </c>
    </row>
    <row r="1339" spans="1:10" hidden="1" x14ac:dyDescent="0.25">
      <c r="A1339" t="s">
        <v>2531</v>
      </c>
      <c r="B1339">
        <v>355</v>
      </c>
      <c r="C1339" t="s">
        <v>2532</v>
      </c>
      <c r="F1339" s="1" t="str">
        <f>IF(E1339&lt;&gt;"", HYPERLINK("https://www.kegg.jp/dbget-bin/www_bget?ec:" &amp; E1339, "https://www.kegg.jp/dbget-bin/www_bget?ec:" &amp; E1339), "")</f>
        <v/>
      </c>
      <c r="G1339" s="3"/>
      <c r="H1339" s="1" t="str">
        <f>IF(G1339&lt;&gt;"", HYPERLINK("https://www.kegg.jp/entry/" &amp; G1339, "https://www.kegg.jp/entry/" &amp; G1339), "")</f>
        <v/>
      </c>
    </row>
    <row r="1340" spans="1:10" hidden="1" x14ac:dyDescent="0.25">
      <c r="A1340" t="s">
        <v>2533</v>
      </c>
      <c r="B1340">
        <v>171</v>
      </c>
      <c r="C1340" t="s">
        <v>2534</v>
      </c>
      <c r="F1340" s="1" t="str">
        <f>IF(E1340&lt;&gt;"", HYPERLINK("https://www.kegg.jp/dbget-bin/www_bget?ec:" &amp; E1340, "https://www.kegg.jp/dbget-bin/www_bget?ec:" &amp; E1340), "")</f>
        <v/>
      </c>
      <c r="G1340" s="3"/>
      <c r="H1340" s="1" t="str">
        <f>IF(G1340&lt;&gt;"", HYPERLINK("https://www.kegg.jp/entry/" &amp; G1340, "https://www.kegg.jp/entry/" &amp; G1340), "")</f>
        <v/>
      </c>
    </row>
    <row r="1341" spans="1:10" hidden="1" x14ac:dyDescent="0.25">
      <c r="A1341" t="s">
        <v>2535</v>
      </c>
      <c r="B1341">
        <v>912</v>
      </c>
      <c r="C1341" t="s">
        <v>2536</v>
      </c>
      <c r="F1341" s="1" t="str">
        <f>IF(E1341&lt;&gt;"", HYPERLINK("https://www.kegg.jp/dbget-bin/www_bget?ec:" &amp; E1341, "https://www.kegg.jp/dbget-bin/www_bget?ec:" &amp; E1341), "")</f>
        <v/>
      </c>
      <c r="G1341" s="3"/>
      <c r="H1341" s="1" t="str">
        <f>IF(G1341&lt;&gt;"", HYPERLINK("https://www.kegg.jp/entry/" &amp; G1341, "https://www.kegg.jp/entry/" &amp; G1341), "")</f>
        <v/>
      </c>
    </row>
    <row r="1342" spans="1:10" hidden="1" x14ac:dyDescent="0.25">
      <c r="A1342" t="s">
        <v>2537</v>
      </c>
      <c r="B1342">
        <v>882</v>
      </c>
      <c r="C1342" t="s">
        <v>2538</v>
      </c>
      <c r="F1342" s="1" t="str">
        <f>IF(E1342&lt;&gt;"", HYPERLINK("https://www.kegg.jp/dbget-bin/www_bget?ec:" &amp; E1342, "https://www.kegg.jp/dbget-bin/www_bget?ec:" &amp; E1342), "")</f>
        <v/>
      </c>
      <c r="G1342" s="3"/>
      <c r="H1342" s="1" t="str">
        <f>IF(G1342&lt;&gt;"", HYPERLINK("https://www.kegg.jp/entry/" &amp; G1342, "https://www.kegg.jp/entry/" &amp; G1342), "")</f>
        <v/>
      </c>
    </row>
    <row r="1343" spans="1:10" hidden="1" x14ac:dyDescent="0.25">
      <c r="A1343" t="s">
        <v>2539</v>
      </c>
      <c r="B1343">
        <v>1792</v>
      </c>
      <c r="C1343" t="s">
        <v>2540</v>
      </c>
      <c r="F1343" s="1" t="str">
        <f>IF(E1343&lt;&gt;"", HYPERLINK("https://www.kegg.jp/dbget-bin/www_bget?ec:" &amp; E1343, "https://www.kegg.jp/dbget-bin/www_bget?ec:" &amp; E1343), "")</f>
        <v/>
      </c>
      <c r="G1343" s="3"/>
      <c r="H1343" s="1" t="str">
        <f>IF(G1343&lt;&gt;"", HYPERLINK("https://www.kegg.jp/entry/" &amp; G1343, "https://www.kegg.jp/entry/" &amp; G1343), "")</f>
        <v/>
      </c>
    </row>
    <row r="1344" spans="1:10" hidden="1" x14ac:dyDescent="0.25">
      <c r="A1344" t="s">
        <v>2542</v>
      </c>
      <c r="B1344">
        <v>1356</v>
      </c>
      <c r="C1344" t="s">
        <v>2543</v>
      </c>
      <c r="F1344" s="1" t="str">
        <f>IF(E1344&lt;&gt;"", HYPERLINK("https://www.kegg.jp/dbget-bin/www_bget?ec:" &amp; E1344, "https://www.kegg.jp/dbget-bin/www_bget?ec:" &amp; E1344), "")</f>
        <v/>
      </c>
      <c r="G1344" s="3"/>
      <c r="H1344" s="1" t="str">
        <f>IF(G1344&lt;&gt;"", HYPERLINK("https://www.kegg.jp/entry/" &amp; G1344, "https://www.kegg.jp/entry/" &amp; G1344), "")</f>
        <v/>
      </c>
    </row>
    <row r="1345" spans="1:10" hidden="1" x14ac:dyDescent="0.25">
      <c r="A1345" t="s">
        <v>2544</v>
      </c>
      <c r="B1345">
        <v>70</v>
      </c>
      <c r="C1345" t="s">
        <v>2545</v>
      </c>
      <c r="F1345" s="1" t="str">
        <f>IF(E1345&lt;&gt;"", HYPERLINK("https://www.kegg.jp/dbget-bin/www_bget?ec:" &amp; E1345, "https://www.kegg.jp/dbget-bin/www_bget?ec:" &amp; E1345), "")</f>
        <v/>
      </c>
      <c r="G1345" s="3"/>
      <c r="H1345" s="1" t="str">
        <f>IF(G1345&lt;&gt;"", HYPERLINK("https://www.kegg.jp/entry/" &amp; G1345, "https://www.kegg.jp/entry/" &amp; G1345), "")</f>
        <v/>
      </c>
    </row>
    <row r="1346" spans="1:10" hidden="1" x14ac:dyDescent="0.25">
      <c r="A1346" t="s">
        <v>2546</v>
      </c>
      <c r="B1346">
        <v>191</v>
      </c>
      <c r="C1346" t="s">
        <v>2547</v>
      </c>
      <c r="F1346" s="1" t="str">
        <f>IF(E1346&lt;&gt;"", HYPERLINK("https://www.kegg.jp/dbget-bin/www_bget?ec:" &amp; E1346, "https://www.kegg.jp/dbget-bin/www_bget?ec:" &amp; E1346), "")</f>
        <v/>
      </c>
      <c r="G1346" s="3"/>
      <c r="H1346" s="1" t="str">
        <f>IF(G1346&lt;&gt;"", HYPERLINK("https://www.kegg.jp/entry/" &amp; G1346, "https://www.kegg.jp/entry/" &amp; G1346), "")</f>
        <v/>
      </c>
    </row>
    <row r="1347" spans="1:10" x14ac:dyDescent="0.25">
      <c r="A1347" t="s">
        <v>2548</v>
      </c>
      <c r="B1347">
        <v>378</v>
      </c>
      <c r="C1347" t="s">
        <v>2549</v>
      </c>
      <c r="E1347" s="5" t="s">
        <v>6627</v>
      </c>
      <c r="F1347" s="1" t="str">
        <f>IF(E1347&lt;&gt;"", HYPERLINK("https://www.kegg.jp/dbget-bin/www_bget?ec:" &amp; E1347, "https://www.kegg.jp/dbget-bin/www_bget?ec:" &amp; E1347), "")</f>
        <v>https://www.kegg.jp/dbget-bin/www_bget?ec:1.3.8.1</v>
      </c>
      <c r="G1347" s="3" t="s">
        <v>7359</v>
      </c>
      <c r="H1347" s="1" t="str">
        <f>IF(G1347&lt;&gt;"", HYPERLINK("https://www.kegg.jp/entry/" &amp; G1347, "https://www.kegg.jp/entry/" &amp; G1347), "")</f>
        <v>https://www.kegg.jp/entry/R01178</v>
      </c>
      <c r="I1347" t="s">
        <v>12780</v>
      </c>
      <c r="J1347" t="s">
        <v>12781</v>
      </c>
    </row>
    <row r="1348" spans="1:10" x14ac:dyDescent="0.25">
      <c r="A1348" t="s">
        <v>2548</v>
      </c>
      <c r="B1348">
        <v>378</v>
      </c>
      <c r="C1348" t="s">
        <v>2549</v>
      </c>
      <c r="E1348" s="5" t="s">
        <v>6627</v>
      </c>
      <c r="F1348" s="1" t="str">
        <f>IF(E1348&lt;&gt;"", HYPERLINK("https://www.kegg.jp/dbget-bin/www_bget?ec:" &amp; E1348, "https://www.kegg.jp/dbget-bin/www_bget?ec:" &amp; E1348), "")</f>
        <v>https://www.kegg.jp/dbget-bin/www_bget?ec:1.3.8.1</v>
      </c>
      <c r="G1348" s="3" t="s">
        <v>7364</v>
      </c>
      <c r="H1348" s="1" t="str">
        <f>IF(G1348&lt;&gt;"", HYPERLINK("https://www.kegg.jp/entry/" &amp; G1348, "https://www.kegg.jp/entry/" &amp; G1348), "")</f>
        <v>https://www.kegg.jp/entry/R01175</v>
      </c>
      <c r="I1348" t="s">
        <v>12782</v>
      </c>
      <c r="J1348" t="s">
        <v>12783</v>
      </c>
    </row>
    <row r="1349" spans="1:10" x14ac:dyDescent="0.25">
      <c r="A1349" t="s">
        <v>2548</v>
      </c>
      <c r="B1349">
        <v>378</v>
      </c>
      <c r="C1349" t="s">
        <v>2549</v>
      </c>
      <c r="E1349" s="5" t="s">
        <v>6627</v>
      </c>
      <c r="F1349" s="1" t="str">
        <f>IF(E1349&lt;&gt;"", HYPERLINK("https://www.kegg.jp/dbget-bin/www_bget?ec:" &amp; E1349, "https://www.kegg.jp/dbget-bin/www_bget?ec:" &amp; E1349), "")</f>
        <v>https://www.kegg.jp/dbget-bin/www_bget?ec:1.3.8.1</v>
      </c>
      <c r="G1349" s="3" t="s">
        <v>7363</v>
      </c>
      <c r="H1349" s="1" t="str">
        <f>IF(G1349&lt;&gt;"", HYPERLINK("https://www.kegg.jp/entry/" &amp; G1349, "https://www.kegg.jp/entry/" &amp; G1349), "")</f>
        <v>https://www.kegg.jp/entry/R04751</v>
      </c>
      <c r="I1349" t="s">
        <v>12784</v>
      </c>
      <c r="J1349" t="s">
        <v>12785</v>
      </c>
    </row>
    <row r="1350" spans="1:10" x14ac:dyDescent="0.25">
      <c r="A1350" t="s">
        <v>2548</v>
      </c>
      <c r="B1350">
        <v>378</v>
      </c>
      <c r="C1350" t="s">
        <v>2549</v>
      </c>
      <c r="E1350" s="5" t="s">
        <v>6627</v>
      </c>
      <c r="F1350" s="1" t="str">
        <f>IF(E1350&lt;&gt;"", HYPERLINK("https://www.kegg.jp/dbget-bin/www_bget?ec:" &amp; E1350, "https://www.kegg.jp/dbget-bin/www_bget?ec:" &amp; E1350), "")</f>
        <v>https://www.kegg.jp/dbget-bin/www_bget?ec:1.3.8.1</v>
      </c>
      <c r="G1350" s="3" t="s">
        <v>7362</v>
      </c>
      <c r="H1350" s="1" t="str">
        <f>IF(G1350&lt;&gt;"", HYPERLINK("https://www.kegg.jp/entry/" &amp; G1350, "https://www.kegg.jp/entry/" &amp; G1350), "")</f>
        <v>https://www.kegg.jp/entry/R02661</v>
      </c>
      <c r="I1350" t="s">
        <v>12786</v>
      </c>
      <c r="J1350" t="s">
        <v>12787</v>
      </c>
    </row>
    <row r="1351" spans="1:10" x14ac:dyDescent="0.25">
      <c r="A1351" t="s">
        <v>2548</v>
      </c>
      <c r="B1351">
        <v>378</v>
      </c>
      <c r="C1351" t="s">
        <v>2549</v>
      </c>
      <c r="E1351" s="5" t="s">
        <v>6627</v>
      </c>
      <c r="F1351" s="1" t="str">
        <f>IF(E1351&lt;&gt;"", HYPERLINK("https://www.kegg.jp/dbget-bin/www_bget?ec:" &amp; E1351, "https://www.kegg.jp/dbget-bin/www_bget?ec:" &amp; E1351), "")</f>
        <v>https://www.kegg.jp/dbget-bin/www_bget?ec:1.3.8.1</v>
      </c>
      <c r="G1351" s="3" t="s">
        <v>7361</v>
      </c>
      <c r="H1351" s="1" t="str">
        <f>IF(G1351&lt;&gt;"", HYPERLINK("https://www.kegg.jp/entry/" &amp; G1351, "https://www.kegg.jp/entry/" &amp; G1351), "")</f>
        <v>https://www.kegg.jp/entry/R03172</v>
      </c>
      <c r="I1351" t="s">
        <v>12788</v>
      </c>
      <c r="J1351" t="s">
        <v>12789</v>
      </c>
    </row>
    <row r="1352" spans="1:10" x14ac:dyDescent="0.25">
      <c r="A1352" t="s">
        <v>2548</v>
      </c>
      <c r="B1352">
        <v>378</v>
      </c>
      <c r="C1352" t="s">
        <v>2549</v>
      </c>
      <c r="E1352" s="5" t="s">
        <v>6627</v>
      </c>
      <c r="F1352" s="1" t="str">
        <f>IF(E1352&lt;&gt;"", HYPERLINK("https://www.kegg.jp/dbget-bin/www_bget?ec:" &amp; E1352, "https://www.kegg.jp/dbget-bin/www_bget?ec:" &amp; E1352), "")</f>
        <v>https://www.kegg.jp/dbget-bin/www_bget?ec:1.3.8.1</v>
      </c>
      <c r="G1352" s="3" t="s">
        <v>7360</v>
      </c>
      <c r="H1352" s="1" t="str">
        <f>IF(G1352&lt;&gt;"", HYPERLINK("https://www.kegg.jp/entry/" &amp; G1352, "https://www.kegg.jp/entry/" &amp; G1352), "")</f>
        <v>https://www.kegg.jp/entry/R04432</v>
      </c>
      <c r="I1352" t="s">
        <v>12790</v>
      </c>
      <c r="J1352" t="s">
        <v>12791</v>
      </c>
    </row>
    <row r="1353" spans="1:10" hidden="1" x14ac:dyDescent="0.25">
      <c r="A1353" t="s">
        <v>2551</v>
      </c>
      <c r="B1353">
        <v>150</v>
      </c>
      <c r="C1353" t="s">
        <v>2552</v>
      </c>
      <c r="F1353" s="1" t="str">
        <f>IF(E1353&lt;&gt;"", HYPERLINK("https://www.kegg.jp/dbget-bin/www_bget?ec:" &amp; E1353, "https://www.kegg.jp/dbget-bin/www_bget?ec:" &amp; E1353), "")</f>
        <v/>
      </c>
      <c r="G1353" s="3"/>
      <c r="H1353" s="1" t="str">
        <f>IF(G1353&lt;&gt;"", HYPERLINK("https://www.kegg.jp/entry/" &amp; G1353, "https://www.kegg.jp/entry/" &amp; G1353), "")</f>
        <v/>
      </c>
    </row>
    <row r="1354" spans="1:10" x14ac:dyDescent="0.25">
      <c r="A1354" t="s">
        <v>2553</v>
      </c>
      <c r="B1354">
        <v>246</v>
      </c>
      <c r="C1354" t="s">
        <v>2554</v>
      </c>
      <c r="E1354" s="5" t="s">
        <v>6750</v>
      </c>
      <c r="F1354" s="1" t="str">
        <f>IF(E1354&lt;&gt;"", HYPERLINK("https://www.kegg.jp/dbget-bin/www_bget?ec:" &amp; E1354, "https://www.kegg.jp/dbget-bin/www_bget?ec:" &amp; E1354), "")</f>
        <v>https://www.kegg.jp/dbget-bin/www_bget?ec:1.1.1.100</v>
      </c>
      <c r="G1354" s="9" t="s">
        <v>7560</v>
      </c>
      <c r="H1354" s="1" t="str">
        <f>IF(G1354&lt;&gt;"", HYPERLINK("https://www.kegg.jp/entry/" &amp; G1354, "https://www.kegg.jp/entry/" &amp; G1354), "")</f>
        <v>https://www.kegg.jp/entry/R02767</v>
      </c>
      <c r="I1354" t="s">
        <v>13048</v>
      </c>
      <c r="J1354" t="s">
        <v>13049</v>
      </c>
    </row>
    <row r="1355" spans="1:10" x14ac:dyDescent="0.25">
      <c r="A1355" t="s">
        <v>2553</v>
      </c>
      <c r="B1355">
        <v>246</v>
      </c>
      <c r="C1355" t="s">
        <v>2554</v>
      </c>
      <c r="E1355" s="5" t="s">
        <v>6750</v>
      </c>
      <c r="F1355" s="1" t="str">
        <f>IF(E1355&lt;&gt;"", HYPERLINK("https://www.kegg.jp/dbget-bin/www_bget?ec:" &amp; E1355, "https://www.kegg.jp/dbget-bin/www_bget?ec:" &amp; E1355), "")</f>
        <v>https://www.kegg.jp/dbget-bin/www_bget?ec:1.1.1.100</v>
      </c>
      <c r="G1355" s="9" t="s">
        <v>7570</v>
      </c>
      <c r="H1355" s="1" t="str">
        <f>IF(G1355&lt;&gt;"", HYPERLINK("https://www.kegg.jp/entry/" &amp; G1355, "https://www.kegg.jp/entry/" &amp; G1355), "")</f>
        <v>https://www.kegg.jp/entry/R04533</v>
      </c>
      <c r="I1355" t="s">
        <v>13050</v>
      </c>
      <c r="J1355" t="s">
        <v>13051</v>
      </c>
    </row>
    <row r="1356" spans="1:10" x14ac:dyDescent="0.25">
      <c r="A1356" t="s">
        <v>2553</v>
      </c>
      <c r="B1356">
        <v>246</v>
      </c>
      <c r="C1356" t="s">
        <v>2554</v>
      </c>
      <c r="E1356" s="5" t="s">
        <v>6750</v>
      </c>
      <c r="F1356" s="1" t="str">
        <f>IF(E1356&lt;&gt;"", HYPERLINK("https://www.kegg.jp/dbget-bin/www_bget?ec:" &amp; E1356, "https://www.kegg.jp/dbget-bin/www_bget?ec:" &amp; E1356), "")</f>
        <v>https://www.kegg.jp/dbget-bin/www_bget?ec:1.1.1.100</v>
      </c>
      <c r="G1356" s="9" t="s">
        <v>7569</v>
      </c>
      <c r="H1356" s="1" t="str">
        <f>IF(G1356&lt;&gt;"", HYPERLINK("https://www.kegg.jp/entry/" &amp; G1356, "https://www.kegg.jp/entry/" &amp; G1356), "")</f>
        <v>https://www.kegg.jp/entry/R04534</v>
      </c>
      <c r="I1356" t="s">
        <v>13052</v>
      </c>
      <c r="J1356" t="s">
        <v>13053</v>
      </c>
    </row>
    <row r="1357" spans="1:10" x14ac:dyDescent="0.25">
      <c r="A1357" t="s">
        <v>2553</v>
      </c>
      <c r="B1357">
        <v>246</v>
      </c>
      <c r="C1357" t="s">
        <v>2554</v>
      </c>
      <c r="E1357" s="5" t="s">
        <v>6750</v>
      </c>
      <c r="F1357" s="1" t="str">
        <f>IF(E1357&lt;&gt;"", HYPERLINK("https://www.kegg.jp/dbget-bin/www_bget?ec:" &amp; E1357, "https://www.kegg.jp/dbget-bin/www_bget?ec:" &amp; E1357), "")</f>
        <v>https://www.kegg.jp/dbget-bin/www_bget?ec:1.1.1.100</v>
      </c>
      <c r="G1357" s="9" t="s">
        <v>7568</v>
      </c>
      <c r="H1357" s="1" t="str">
        <f>IF(G1357&lt;&gt;"", HYPERLINK("https://www.kegg.jp/entry/" &amp; G1357, "https://www.kegg.jp/entry/" &amp; G1357), "")</f>
        <v>https://www.kegg.jp/entry/R04536</v>
      </c>
      <c r="I1357" t="s">
        <v>13054</v>
      </c>
      <c r="J1357" t="s">
        <v>13055</v>
      </c>
    </row>
    <row r="1358" spans="1:10" x14ac:dyDescent="0.25">
      <c r="A1358" t="s">
        <v>2553</v>
      </c>
      <c r="B1358">
        <v>246</v>
      </c>
      <c r="C1358" t="s">
        <v>2554</v>
      </c>
      <c r="E1358" s="5" t="s">
        <v>6750</v>
      </c>
      <c r="F1358" s="1" t="str">
        <f>IF(E1358&lt;&gt;"", HYPERLINK("https://www.kegg.jp/dbget-bin/www_bget?ec:" &amp; E1358, "https://www.kegg.jp/dbget-bin/www_bget?ec:" &amp; E1358), "")</f>
        <v>https://www.kegg.jp/dbget-bin/www_bget?ec:1.1.1.100</v>
      </c>
      <c r="G1358" s="9" t="s">
        <v>7567</v>
      </c>
      <c r="H1358" s="1" t="str">
        <f>IF(G1358&lt;&gt;"", HYPERLINK("https://www.kegg.jp/entry/" &amp; G1358, "https://www.kegg.jp/entry/" &amp; G1358), "")</f>
        <v>https://www.kegg.jp/entry/R04543</v>
      </c>
      <c r="I1358" t="s">
        <v>13056</v>
      </c>
      <c r="J1358" t="s">
        <v>13057</v>
      </c>
    </row>
    <row r="1359" spans="1:10" x14ac:dyDescent="0.25">
      <c r="A1359" t="s">
        <v>2553</v>
      </c>
      <c r="B1359">
        <v>246</v>
      </c>
      <c r="C1359" t="s">
        <v>2554</v>
      </c>
      <c r="E1359" s="5" t="s">
        <v>6750</v>
      </c>
      <c r="F1359" s="1" t="str">
        <f>IF(E1359&lt;&gt;"", HYPERLINK("https://www.kegg.jp/dbget-bin/www_bget?ec:" &amp; E1359, "https://www.kegg.jp/dbget-bin/www_bget?ec:" &amp; E1359), "")</f>
        <v>https://www.kegg.jp/dbget-bin/www_bget?ec:1.1.1.100</v>
      </c>
      <c r="G1359" s="9" t="s">
        <v>7566</v>
      </c>
      <c r="H1359" s="1" t="str">
        <f>IF(G1359&lt;&gt;"", HYPERLINK("https://www.kegg.jp/entry/" &amp; G1359, "https://www.kegg.jp/entry/" &amp; G1359), "")</f>
        <v>https://www.kegg.jp/entry/R04566</v>
      </c>
      <c r="I1359" t="s">
        <v>13058</v>
      </c>
      <c r="J1359" t="s">
        <v>13059</v>
      </c>
    </row>
    <row r="1360" spans="1:10" x14ac:dyDescent="0.25">
      <c r="A1360" t="s">
        <v>2553</v>
      </c>
      <c r="B1360">
        <v>246</v>
      </c>
      <c r="C1360" t="s">
        <v>2554</v>
      </c>
      <c r="E1360" s="5" t="s">
        <v>6750</v>
      </c>
      <c r="F1360" s="1" t="str">
        <f>IF(E1360&lt;&gt;"", HYPERLINK("https://www.kegg.jp/dbget-bin/www_bget?ec:" &amp; E1360, "https://www.kegg.jp/dbget-bin/www_bget?ec:" &amp; E1360), "")</f>
        <v>https://www.kegg.jp/dbget-bin/www_bget?ec:1.1.1.100</v>
      </c>
      <c r="G1360" s="9" t="s">
        <v>7565</v>
      </c>
      <c r="H1360" s="1" t="str">
        <f>IF(G1360&lt;&gt;"", HYPERLINK("https://www.kegg.jp/entry/" &amp; G1360, "https://www.kegg.jp/entry/" &amp; G1360), "")</f>
        <v>https://www.kegg.jp/entry/R04953</v>
      </c>
      <c r="I1360" t="s">
        <v>13060</v>
      </c>
      <c r="J1360" t="s">
        <v>13061</v>
      </c>
    </row>
    <row r="1361" spans="1:10" x14ac:dyDescent="0.25">
      <c r="A1361" t="s">
        <v>2553</v>
      </c>
      <c r="B1361">
        <v>246</v>
      </c>
      <c r="C1361" t="s">
        <v>2554</v>
      </c>
      <c r="E1361" s="5" t="s">
        <v>6750</v>
      </c>
      <c r="F1361" s="1" t="str">
        <f>IF(E1361&lt;&gt;"", HYPERLINK("https://www.kegg.jp/dbget-bin/www_bget?ec:" &amp; E1361, "https://www.kegg.jp/dbget-bin/www_bget?ec:" &amp; E1361), "")</f>
        <v>https://www.kegg.jp/dbget-bin/www_bget?ec:1.1.1.100</v>
      </c>
      <c r="G1361" s="9" t="s">
        <v>7564</v>
      </c>
      <c r="H1361" s="1" t="str">
        <f>IF(G1361&lt;&gt;"", HYPERLINK("https://www.kegg.jp/entry/" &amp; G1361, "https://www.kegg.jp/entry/" &amp; G1361), "")</f>
        <v>https://www.kegg.jp/entry/R04964</v>
      </c>
      <c r="I1361" t="s">
        <v>13062</v>
      </c>
      <c r="J1361" t="s">
        <v>13063</v>
      </c>
    </row>
    <row r="1362" spans="1:10" x14ac:dyDescent="0.25">
      <c r="A1362" t="s">
        <v>2553</v>
      </c>
      <c r="B1362">
        <v>246</v>
      </c>
      <c r="C1362" t="s">
        <v>2554</v>
      </c>
      <c r="E1362" s="5" t="s">
        <v>6750</v>
      </c>
      <c r="F1362" s="1" t="str">
        <f>IF(E1362&lt;&gt;"", HYPERLINK("https://www.kegg.jp/dbget-bin/www_bget?ec:" &amp; E1362, "https://www.kegg.jp/dbget-bin/www_bget?ec:" &amp; E1362), "")</f>
        <v>https://www.kegg.jp/dbget-bin/www_bget?ec:1.1.1.100</v>
      </c>
      <c r="G1362" s="9" t="s">
        <v>7563</v>
      </c>
      <c r="H1362" s="1" t="str">
        <f>IF(G1362&lt;&gt;"", HYPERLINK("https://www.kegg.jp/entry/" &amp; G1362, "https://www.kegg.jp/entry/" &amp; G1362), "")</f>
        <v>https://www.kegg.jp/entry/R07763</v>
      </c>
      <c r="I1362" t="s">
        <v>13064</v>
      </c>
      <c r="J1362" t="s">
        <v>13065</v>
      </c>
    </row>
    <row r="1363" spans="1:10" x14ac:dyDescent="0.25">
      <c r="A1363" t="s">
        <v>2553</v>
      </c>
      <c r="B1363">
        <v>246</v>
      </c>
      <c r="C1363" t="s">
        <v>2554</v>
      </c>
      <c r="E1363" s="5" t="s">
        <v>6750</v>
      </c>
      <c r="F1363" s="1" t="str">
        <f>IF(E1363&lt;&gt;"", HYPERLINK("https://www.kegg.jp/dbget-bin/www_bget?ec:" &amp; E1363, "https://www.kegg.jp/dbget-bin/www_bget?ec:" &amp; E1363), "")</f>
        <v>https://www.kegg.jp/dbget-bin/www_bget?ec:1.1.1.100</v>
      </c>
      <c r="G1363" s="9" t="s">
        <v>7562</v>
      </c>
      <c r="H1363" s="1" t="str">
        <f>IF(G1363&lt;&gt;"", HYPERLINK("https://www.kegg.jp/entry/" &amp; G1363, "https://www.kegg.jp/entry/" &amp; G1363), "")</f>
        <v>https://www.kegg.jp/entry/R10116</v>
      </c>
      <c r="I1363" t="s">
        <v>13066</v>
      </c>
      <c r="J1363" t="s">
        <v>13067</v>
      </c>
    </row>
    <row r="1364" spans="1:10" x14ac:dyDescent="0.25">
      <c r="A1364" t="s">
        <v>2553</v>
      </c>
      <c r="B1364">
        <v>246</v>
      </c>
      <c r="C1364" t="s">
        <v>2554</v>
      </c>
      <c r="E1364" s="5" t="s">
        <v>6750</v>
      </c>
      <c r="F1364" s="1" t="str">
        <f>IF(E1364&lt;&gt;"", HYPERLINK("https://www.kegg.jp/dbget-bin/www_bget?ec:" &amp; E1364, "https://www.kegg.jp/dbget-bin/www_bget?ec:" &amp; E1364), "")</f>
        <v>https://www.kegg.jp/dbget-bin/www_bget?ec:1.1.1.100</v>
      </c>
      <c r="G1364" s="9" t="s">
        <v>7561</v>
      </c>
      <c r="H1364" s="1" t="str">
        <f>IF(G1364&lt;&gt;"", HYPERLINK("https://www.kegg.jp/entry/" &amp; G1364, "https://www.kegg.jp/entry/" &amp; G1364), "")</f>
        <v>https://www.kegg.jp/entry/R10120</v>
      </c>
      <c r="I1364" t="s">
        <v>13068</v>
      </c>
      <c r="J1364" t="s">
        <v>13069</v>
      </c>
    </row>
    <row r="1365" spans="1:10" hidden="1" x14ac:dyDescent="0.25">
      <c r="A1365" t="s">
        <v>2556</v>
      </c>
      <c r="B1365">
        <v>158</v>
      </c>
      <c r="C1365" t="s">
        <v>2557</v>
      </c>
      <c r="F1365" s="1" t="str">
        <f>IF(E1365&lt;&gt;"", HYPERLINK("https://www.kegg.jp/dbget-bin/www_bget?ec:" &amp; E1365, "https://www.kegg.jp/dbget-bin/www_bget?ec:" &amp; E1365), "")</f>
        <v/>
      </c>
      <c r="G1365" s="3"/>
      <c r="H1365" s="1" t="str">
        <f>IF(G1365&lt;&gt;"", HYPERLINK("https://www.kegg.jp/entry/" &amp; G1365, "https://www.kegg.jp/entry/" &amp; G1365), "")</f>
        <v/>
      </c>
    </row>
    <row r="1366" spans="1:10" hidden="1" x14ac:dyDescent="0.25">
      <c r="A1366" t="s">
        <v>2559</v>
      </c>
      <c r="B1366">
        <v>98</v>
      </c>
      <c r="C1366" t="s">
        <v>2560</v>
      </c>
      <c r="F1366" s="1" t="str">
        <f>IF(E1366&lt;&gt;"", HYPERLINK("https://www.kegg.jp/dbget-bin/www_bget?ec:" &amp; E1366, "https://www.kegg.jp/dbget-bin/www_bget?ec:" &amp; E1366), "")</f>
        <v/>
      </c>
      <c r="G1366" s="3"/>
      <c r="H1366" s="1" t="str">
        <f>IF(G1366&lt;&gt;"", HYPERLINK("https://www.kegg.jp/entry/" &amp; G1366, "https://www.kegg.jp/entry/" &amp; G1366), "")</f>
        <v/>
      </c>
    </row>
    <row r="1367" spans="1:10" hidden="1" x14ac:dyDescent="0.25">
      <c r="A1367" t="s">
        <v>2562</v>
      </c>
      <c r="B1367">
        <v>308</v>
      </c>
      <c r="C1367" t="s">
        <v>2563</v>
      </c>
      <c r="F1367" s="1" t="str">
        <f>IF(E1367&lt;&gt;"", HYPERLINK("https://www.kegg.jp/dbget-bin/www_bget?ec:" &amp; E1367, "https://www.kegg.jp/dbget-bin/www_bget?ec:" &amp; E1367), "")</f>
        <v/>
      </c>
      <c r="G1367" s="3"/>
      <c r="H1367" s="1" t="str">
        <f>IF(G1367&lt;&gt;"", HYPERLINK("https://www.kegg.jp/entry/" &amp; G1367, "https://www.kegg.jp/entry/" &amp; G1367), "")</f>
        <v/>
      </c>
    </row>
    <row r="1368" spans="1:10" hidden="1" x14ac:dyDescent="0.25">
      <c r="A1368" t="s">
        <v>2564</v>
      </c>
      <c r="B1368">
        <v>80</v>
      </c>
      <c r="C1368" t="s">
        <v>2565</v>
      </c>
      <c r="F1368" s="1" t="str">
        <f>IF(E1368&lt;&gt;"", HYPERLINK("https://www.kegg.jp/dbget-bin/www_bget?ec:" &amp; E1368, "https://www.kegg.jp/dbget-bin/www_bget?ec:" &amp; E1368), "")</f>
        <v/>
      </c>
      <c r="G1368" s="3"/>
      <c r="H1368" s="1" t="str">
        <f>IF(G1368&lt;&gt;"", HYPERLINK("https://www.kegg.jp/entry/" &amp; G1368, "https://www.kegg.jp/entry/" &amp; G1368), "")</f>
        <v/>
      </c>
    </row>
    <row r="1369" spans="1:10" hidden="1" x14ac:dyDescent="0.25">
      <c r="A1369" t="s">
        <v>2566</v>
      </c>
      <c r="B1369">
        <v>62</v>
      </c>
      <c r="C1369" t="s">
        <v>2567</v>
      </c>
      <c r="F1369" s="1" t="str">
        <f>IF(E1369&lt;&gt;"", HYPERLINK("https://www.kegg.jp/dbget-bin/www_bget?ec:" &amp; E1369, "https://www.kegg.jp/dbget-bin/www_bget?ec:" &amp; E1369), "")</f>
        <v/>
      </c>
      <c r="G1369" s="3"/>
      <c r="H1369" s="1" t="str">
        <f>IF(G1369&lt;&gt;"", HYPERLINK("https://www.kegg.jp/entry/" &amp; G1369, "https://www.kegg.jp/entry/" &amp; G1369), "")</f>
        <v/>
      </c>
    </row>
    <row r="1370" spans="1:10" x14ac:dyDescent="0.25">
      <c r="A1370" t="s">
        <v>2569</v>
      </c>
      <c r="B1370">
        <v>372</v>
      </c>
      <c r="C1370" t="s">
        <v>2570</v>
      </c>
      <c r="E1370" s="5" t="s">
        <v>6819</v>
      </c>
      <c r="F1370" s="1" t="str">
        <f>IF(E1370&lt;&gt;"", HYPERLINK("https://www.kegg.jp/dbget-bin/www_bget?ec:" &amp; E1370, "https://www.kegg.jp/dbget-bin/www_bget?ec:" &amp; E1370), "")</f>
        <v>https://www.kegg.jp/dbget-bin/www_bget?ec:2.7.1.4</v>
      </c>
      <c r="G1370" s="3" t="s">
        <v>7679</v>
      </c>
      <c r="H1370" s="1" t="str">
        <f>IF(G1370&lt;&gt;"", HYPERLINK("https://www.kegg.jp/entry/" &amp; G1370, "https://www.kegg.jp/entry/" &amp; G1370), "")</f>
        <v>https://www.kegg.jp/entry/R00760</v>
      </c>
      <c r="I1370" t="s">
        <v>8253</v>
      </c>
      <c r="J1370" t="s">
        <v>8526</v>
      </c>
    </row>
    <row r="1371" spans="1:10" x14ac:dyDescent="0.25">
      <c r="A1371" t="s">
        <v>2569</v>
      </c>
      <c r="B1371">
        <v>372</v>
      </c>
      <c r="C1371" t="s">
        <v>2570</v>
      </c>
      <c r="E1371" s="5" t="s">
        <v>6819</v>
      </c>
      <c r="F1371" s="1" t="str">
        <f>IF(E1371&lt;&gt;"", HYPERLINK("https://www.kegg.jp/dbget-bin/www_bget?ec:" &amp; E1371, "https://www.kegg.jp/dbget-bin/www_bget?ec:" &amp; E1371), "")</f>
        <v>https://www.kegg.jp/dbget-bin/www_bget?ec:2.7.1.4</v>
      </c>
      <c r="G1371" s="3" t="s">
        <v>7680</v>
      </c>
      <c r="H1371" s="1" t="str">
        <f>IF(G1371&lt;&gt;"", HYPERLINK("https://www.kegg.jp/entry/" &amp; G1371, "https://www.kegg.jp/entry/" &amp; G1371), "")</f>
        <v>https://www.kegg.jp/entry/R00867</v>
      </c>
      <c r="I1371" t="s">
        <v>8253</v>
      </c>
      <c r="J1371" t="s">
        <v>8527</v>
      </c>
    </row>
    <row r="1372" spans="1:10" x14ac:dyDescent="0.25">
      <c r="A1372" t="s">
        <v>2569</v>
      </c>
      <c r="B1372">
        <v>372</v>
      </c>
      <c r="C1372" t="s">
        <v>2570</v>
      </c>
      <c r="E1372" s="5" t="s">
        <v>6819</v>
      </c>
      <c r="F1372" s="1" t="str">
        <f>IF(E1372&lt;&gt;"", HYPERLINK("https://www.kegg.jp/dbget-bin/www_bget?ec:" &amp; E1372, "https://www.kegg.jp/dbget-bin/www_bget?ec:" &amp; E1372), "")</f>
        <v>https://www.kegg.jp/dbget-bin/www_bget?ec:2.7.1.4</v>
      </c>
      <c r="G1372" s="3" t="s">
        <v>7681</v>
      </c>
      <c r="H1372" s="1" t="str">
        <f>IF(G1372&lt;&gt;"", HYPERLINK("https://www.kegg.jp/entry/" &amp; G1372, "https://www.kegg.jp/entry/" &amp; G1372), "")</f>
        <v>https://www.kegg.jp/entry/R03920</v>
      </c>
      <c r="I1372" t="s">
        <v>8254</v>
      </c>
      <c r="J1372" t="s">
        <v>8527</v>
      </c>
    </row>
    <row r="1373" spans="1:10" hidden="1" x14ac:dyDescent="0.25">
      <c r="A1373" t="s">
        <v>2571</v>
      </c>
      <c r="B1373">
        <v>86</v>
      </c>
      <c r="C1373" t="s">
        <v>2572</v>
      </c>
      <c r="F1373" s="1" t="str">
        <f>IF(E1373&lt;&gt;"", HYPERLINK("https://www.kegg.jp/dbget-bin/www_bget?ec:" &amp; E1373, "https://www.kegg.jp/dbget-bin/www_bget?ec:" &amp; E1373), "")</f>
        <v/>
      </c>
      <c r="G1373" s="3"/>
      <c r="H1373" s="1" t="str">
        <f>IF(G1373&lt;&gt;"", HYPERLINK("https://www.kegg.jp/entry/" &amp; G1373, "https://www.kegg.jp/entry/" &amp; G1373), "")</f>
        <v/>
      </c>
    </row>
    <row r="1374" spans="1:10" hidden="1" x14ac:dyDescent="0.25">
      <c r="A1374" t="s">
        <v>2573</v>
      </c>
      <c r="B1374">
        <v>169</v>
      </c>
      <c r="C1374" t="s">
        <v>2574</v>
      </c>
      <c r="F1374" s="1" t="str">
        <f>IF(E1374&lt;&gt;"", HYPERLINK("https://www.kegg.jp/dbget-bin/www_bget?ec:" &amp; E1374, "https://www.kegg.jp/dbget-bin/www_bget?ec:" &amp; E1374), "")</f>
        <v/>
      </c>
      <c r="G1374" s="3"/>
      <c r="H1374" s="1" t="str">
        <f>IF(G1374&lt;&gt;"", HYPERLINK("https://www.kegg.jp/entry/" &amp; G1374, "https://www.kegg.jp/entry/" &amp; G1374), "")</f>
        <v/>
      </c>
    </row>
    <row r="1375" spans="1:10" hidden="1" x14ac:dyDescent="0.25">
      <c r="A1375" t="s">
        <v>2576</v>
      </c>
      <c r="B1375">
        <v>318</v>
      </c>
      <c r="C1375" t="s">
        <v>2577</v>
      </c>
      <c r="F1375" s="1" t="str">
        <f>IF(E1375&lt;&gt;"", HYPERLINK("https://www.kegg.jp/dbget-bin/www_bget?ec:" &amp; E1375, "https://www.kegg.jp/dbget-bin/www_bget?ec:" &amp; E1375), "")</f>
        <v/>
      </c>
      <c r="G1375" s="3"/>
      <c r="H1375" s="1" t="str">
        <f>IF(G1375&lt;&gt;"", HYPERLINK("https://www.kegg.jp/entry/" &amp; G1375, "https://www.kegg.jp/entry/" &amp; G1375), "")</f>
        <v/>
      </c>
    </row>
    <row r="1376" spans="1:10" hidden="1" x14ac:dyDescent="0.25">
      <c r="A1376" t="s">
        <v>2579</v>
      </c>
      <c r="B1376">
        <v>618</v>
      </c>
      <c r="C1376" t="s">
        <v>2580</v>
      </c>
      <c r="F1376" s="1" t="str">
        <f>IF(E1376&lt;&gt;"", HYPERLINK("https://www.kegg.jp/dbget-bin/www_bget?ec:" &amp; E1376, "https://www.kegg.jp/dbget-bin/www_bget?ec:" &amp; E1376), "")</f>
        <v/>
      </c>
      <c r="G1376" s="3"/>
      <c r="H1376" s="1" t="str">
        <f>IF(G1376&lt;&gt;"", HYPERLINK("https://www.kegg.jp/entry/" &amp; G1376, "https://www.kegg.jp/entry/" &amp; G1376), "")</f>
        <v/>
      </c>
    </row>
    <row r="1377" spans="1:10" hidden="1" x14ac:dyDescent="0.25">
      <c r="A1377" t="s">
        <v>2582</v>
      </c>
      <c r="B1377">
        <v>222</v>
      </c>
      <c r="C1377" t="s">
        <v>2583</v>
      </c>
      <c r="F1377" s="1" t="str">
        <f>IF(E1377&lt;&gt;"", HYPERLINK("https://www.kegg.jp/dbget-bin/www_bget?ec:" &amp; E1377, "https://www.kegg.jp/dbget-bin/www_bget?ec:" &amp; E1377), "")</f>
        <v/>
      </c>
      <c r="G1377" s="3"/>
      <c r="H1377" s="1" t="str">
        <f>IF(G1377&lt;&gt;"", HYPERLINK("https://www.kegg.jp/entry/" &amp; G1377, "https://www.kegg.jp/entry/" &amp; G1377), "")</f>
        <v/>
      </c>
    </row>
    <row r="1378" spans="1:10" hidden="1" x14ac:dyDescent="0.25">
      <c r="A1378" t="s">
        <v>2585</v>
      </c>
      <c r="B1378">
        <v>749</v>
      </c>
      <c r="C1378" t="s">
        <v>2586</v>
      </c>
      <c r="F1378" s="1" t="str">
        <f>IF(E1378&lt;&gt;"", HYPERLINK("https://www.kegg.jp/dbget-bin/www_bget?ec:" &amp; E1378, "https://www.kegg.jp/dbget-bin/www_bget?ec:" &amp; E1378), "")</f>
        <v/>
      </c>
      <c r="G1378" s="3"/>
      <c r="H1378" s="1" t="str">
        <f>IF(G1378&lt;&gt;"", HYPERLINK("https://www.kegg.jp/entry/" &amp; G1378, "https://www.kegg.jp/entry/" &amp; G1378), "")</f>
        <v/>
      </c>
    </row>
    <row r="1379" spans="1:10" hidden="1" x14ac:dyDescent="0.25">
      <c r="A1379" t="s">
        <v>2588</v>
      </c>
      <c r="B1379">
        <v>173</v>
      </c>
      <c r="C1379" t="s">
        <v>2589</v>
      </c>
      <c r="F1379" s="1" t="str">
        <f>IF(E1379&lt;&gt;"", HYPERLINK("https://www.kegg.jp/dbget-bin/www_bget?ec:" &amp; E1379, "https://www.kegg.jp/dbget-bin/www_bget?ec:" &amp; E1379), "")</f>
        <v/>
      </c>
      <c r="G1379" s="3"/>
      <c r="H1379" s="1" t="str">
        <f>IF(G1379&lt;&gt;"", HYPERLINK("https://www.kegg.jp/entry/" &amp; G1379, "https://www.kegg.jp/entry/" &amp; G1379), "")</f>
        <v/>
      </c>
    </row>
    <row r="1380" spans="1:10" hidden="1" x14ac:dyDescent="0.25">
      <c r="A1380" t="s">
        <v>2590</v>
      </c>
      <c r="B1380">
        <v>327</v>
      </c>
      <c r="C1380" t="s">
        <v>2591</v>
      </c>
      <c r="F1380" s="1" t="str">
        <f>IF(E1380&lt;&gt;"", HYPERLINK("https://www.kegg.jp/dbget-bin/www_bget?ec:" &amp; E1380, "https://www.kegg.jp/dbget-bin/www_bget?ec:" &amp; E1380), "")</f>
        <v/>
      </c>
      <c r="G1380" s="3"/>
      <c r="H1380" s="1" t="str">
        <f>IF(G1380&lt;&gt;"", HYPERLINK("https://www.kegg.jp/entry/" &amp; G1380, "https://www.kegg.jp/entry/" &amp; G1380), "")</f>
        <v/>
      </c>
    </row>
    <row r="1381" spans="1:10" hidden="1" x14ac:dyDescent="0.25">
      <c r="A1381" t="s">
        <v>2592</v>
      </c>
      <c r="B1381">
        <v>185</v>
      </c>
      <c r="C1381" t="s">
        <v>2593</v>
      </c>
      <c r="F1381" s="1" t="str">
        <f>IF(E1381&lt;&gt;"", HYPERLINK("https://www.kegg.jp/dbget-bin/www_bget?ec:" &amp; E1381, "https://www.kegg.jp/dbget-bin/www_bget?ec:" &amp; E1381), "")</f>
        <v/>
      </c>
      <c r="G1381" s="3"/>
      <c r="H1381" s="1" t="str">
        <f>IF(G1381&lt;&gt;"", HYPERLINK("https://www.kegg.jp/entry/" &amp; G1381, "https://www.kegg.jp/entry/" &amp; G1381), "")</f>
        <v/>
      </c>
    </row>
    <row r="1382" spans="1:10" hidden="1" x14ac:dyDescent="0.25">
      <c r="A1382" t="s">
        <v>2595</v>
      </c>
      <c r="B1382">
        <v>323</v>
      </c>
      <c r="C1382" t="s">
        <v>2596</v>
      </c>
      <c r="F1382" s="1" t="str">
        <f>IF(E1382&lt;&gt;"", HYPERLINK("https://www.kegg.jp/dbget-bin/www_bget?ec:" &amp; E1382, "https://www.kegg.jp/dbget-bin/www_bget?ec:" &amp; E1382), "")</f>
        <v/>
      </c>
      <c r="G1382" s="3"/>
      <c r="H1382" s="1" t="str">
        <f>IF(G1382&lt;&gt;"", HYPERLINK("https://www.kegg.jp/entry/" &amp; G1382, "https://www.kegg.jp/entry/" &amp; G1382), "")</f>
        <v/>
      </c>
    </row>
    <row r="1383" spans="1:10" hidden="1" x14ac:dyDescent="0.25">
      <c r="A1383" t="s">
        <v>2598</v>
      </c>
      <c r="B1383">
        <v>173</v>
      </c>
      <c r="C1383" t="s">
        <v>2599</v>
      </c>
      <c r="F1383" s="1" t="str">
        <f>IF(E1383&lt;&gt;"", HYPERLINK("https://www.kegg.jp/dbget-bin/www_bget?ec:" &amp; E1383, "https://www.kegg.jp/dbget-bin/www_bget?ec:" &amp; E1383), "")</f>
        <v/>
      </c>
      <c r="G1383" s="3"/>
      <c r="H1383" s="1" t="str">
        <f>IF(G1383&lt;&gt;"", HYPERLINK("https://www.kegg.jp/entry/" &amp; G1383, "https://www.kegg.jp/entry/" &amp; G1383), "")</f>
        <v/>
      </c>
    </row>
    <row r="1384" spans="1:10" hidden="1" x14ac:dyDescent="0.25">
      <c r="A1384" t="s">
        <v>2601</v>
      </c>
      <c r="B1384">
        <v>252</v>
      </c>
      <c r="C1384" t="s">
        <v>2602</v>
      </c>
      <c r="F1384" s="1" t="str">
        <f>IF(E1384&lt;&gt;"", HYPERLINK("https://www.kegg.jp/dbget-bin/www_bget?ec:" &amp; E1384, "https://www.kegg.jp/dbget-bin/www_bget?ec:" &amp; E1384), "")</f>
        <v/>
      </c>
      <c r="G1384" s="3"/>
      <c r="H1384" s="1" t="str">
        <f>IF(G1384&lt;&gt;"", HYPERLINK("https://www.kegg.jp/entry/" &amp; G1384, "https://www.kegg.jp/entry/" &amp; G1384), "")</f>
        <v/>
      </c>
    </row>
    <row r="1385" spans="1:10" hidden="1" x14ac:dyDescent="0.25">
      <c r="A1385" t="s">
        <v>2604</v>
      </c>
      <c r="B1385">
        <v>151</v>
      </c>
      <c r="C1385" t="s">
        <v>2605</v>
      </c>
      <c r="F1385" s="1" t="str">
        <f>IF(E1385&lt;&gt;"", HYPERLINK("https://www.kegg.jp/dbget-bin/www_bget?ec:" &amp; E1385, "https://www.kegg.jp/dbget-bin/www_bget?ec:" &amp; E1385), "")</f>
        <v/>
      </c>
      <c r="G1385" s="3"/>
      <c r="H1385" s="1" t="str">
        <f>IF(G1385&lt;&gt;"", HYPERLINK("https://www.kegg.jp/entry/" &amp; G1385, "https://www.kegg.jp/entry/" &amp; G1385), "")</f>
        <v/>
      </c>
    </row>
    <row r="1386" spans="1:10" x14ac:dyDescent="0.25">
      <c r="A1386" t="s">
        <v>2607</v>
      </c>
      <c r="B1386">
        <v>663</v>
      </c>
      <c r="C1386" t="s">
        <v>2608</v>
      </c>
      <c r="E1386" s="5" t="s">
        <v>6820</v>
      </c>
      <c r="F1386" s="1" t="str">
        <f>IF(E1386&lt;&gt;"", HYPERLINK("https://www.kegg.jp/dbget-bin/www_bget?ec:" &amp; E1386, "https://www.kegg.jp/dbget-bin/www_bget?ec:" &amp; E1386), "")</f>
        <v>https://www.kegg.jp/dbget-bin/www_bget?ec:1.2.1.3</v>
      </c>
      <c r="G1386" s="3" t="s">
        <v>7682</v>
      </c>
      <c r="H1386" s="1" t="str">
        <f>IF(G1386&lt;&gt;"", HYPERLINK("https://www.kegg.jp/entry/" &amp; G1386, "https://www.kegg.jp/entry/" &amp; G1386), "")</f>
        <v>https://www.kegg.jp/entry/R00538</v>
      </c>
      <c r="I1386" t="s">
        <v>13245</v>
      </c>
      <c r="J1386" t="s">
        <v>13246</v>
      </c>
    </row>
    <row r="1387" spans="1:10" x14ac:dyDescent="0.25">
      <c r="A1387" t="s">
        <v>2607</v>
      </c>
      <c r="B1387">
        <v>663</v>
      </c>
      <c r="C1387" t="s">
        <v>2608</v>
      </c>
      <c r="E1387" s="5" t="s">
        <v>6820</v>
      </c>
      <c r="F1387" s="1" t="str">
        <f>IF(E1387&lt;&gt;"", HYPERLINK("https://www.kegg.jp/dbget-bin/www_bget?ec:" &amp; E1387, "https://www.kegg.jp/dbget-bin/www_bget?ec:" &amp; E1387), "")</f>
        <v>https://www.kegg.jp/dbget-bin/www_bget?ec:1.2.1.3</v>
      </c>
      <c r="G1387" s="3" t="s">
        <v>7703</v>
      </c>
      <c r="H1387" s="1" t="str">
        <f>IF(G1387&lt;&gt;"", HYPERLINK("https://www.kegg.jp/entry/" &amp; G1387, "https://www.kegg.jp/entry/" &amp; G1387), "")</f>
        <v>https://www.kegg.jp/entry/R00631</v>
      </c>
      <c r="I1387" t="s">
        <v>13245</v>
      </c>
      <c r="J1387" t="s">
        <v>13247</v>
      </c>
    </row>
    <row r="1388" spans="1:10" x14ac:dyDescent="0.25">
      <c r="A1388" t="s">
        <v>2607</v>
      </c>
      <c r="B1388">
        <v>663</v>
      </c>
      <c r="C1388" t="s">
        <v>2608</v>
      </c>
      <c r="E1388" s="5" t="s">
        <v>6820</v>
      </c>
      <c r="F1388" s="1" t="str">
        <f>IF(E1388&lt;&gt;"", HYPERLINK("https://www.kegg.jp/dbget-bin/www_bget?ec:" &amp; E1388, "https://www.kegg.jp/dbget-bin/www_bget?ec:" &amp; E1388), "")</f>
        <v>https://www.kegg.jp/dbget-bin/www_bget?ec:1.2.1.3</v>
      </c>
      <c r="G1388" s="3" t="s">
        <v>7702</v>
      </c>
      <c r="H1388" s="1" t="str">
        <f>IF(G1388&lt;&gt;"", HYPERLINK("https://www.kegg.jp/entry/" &amp; G1388, "https://www.kegg.jp/entry/" &amp; G1388), "")</f>
        <v>https://www.kegg.jp/entry/R00710</v>
      </c>
      <c r="I1388" t="s">
        <v>13248</v>
      </c>
      <c r="J1388" t="s">
        <v>13249</v>
      </c>
    </row>
    <row r="1389" spans="1:10" x14ac:dyDescent="0.25">
      <c r="A1389" t="s">
        <v>2607</v>
      </c>
      <c r="B1389">
        <v>663</v>
      </c>
      <c r="C1389" t="s">
        <v>2608</v>
      </c>
      <c r="E1389" s="5" t="s">
        <v>6820</v>
      </c>
      <c r="F1389" s="1" t="str">
        <f>IF(E1389&lt;&gt;"", HYPERLINK("https://www.kegg.jp/dbget-bin/www_bget?ec:" &amp; E1389, "https://www.kegg.jp/dbget-bin/www_bget?ec:" &amp; E1389), "")</f>
        <v>https://www.kegg.jp/dbget-bin/www_bget?ec:1.2.1.3</v>
      </c>
      <c r="G1389" s="3" t="s">
        <v>7701</v>
      </c>
      <c r="H1389" s="1" t="str">
        <f>IF(G1389&lt;&gt;"", HYPERLINK("https://www.kegg.jp/entry/" &amp; G1389, "https://www.kegg.jp/entry/" &amp; G1389), "")</f>
        <v>https://www.kegg.jp/entry/R00904</v>
      </c>
      <c r="I1389" t="s">
        <v>13250</v>
      </c>
      <c r="J1389" t="s">
        <v>13251</v>
      </c>
    </row>
    <row r="1390" spans="1:10" x14ac:dyDescent="0.25">
      <c r="A1390" t="s">
        <v>2607</v>
      </c>
      <c r="B1390">
        <v>663</v>
      </c>
      <c r="C1390" t="s">
        <v>2608</v>
      </c>
      <c r="E1390" s="5" t="s">
        <v>6820</v>
      </c>
      <c r="F1390" s="1" t="str">
        <f>IF(E1390&lt;&gt;"", HYPERLINK("https://www.kegg.jp/dbget-bin/www_bget?ec:" &amp; E1390, "https://www.kegg.jp/dbget-bin/www_bget?ec:" &amp; E1390), "")</f>
        <v>https://www.kegg.jp/dbget-bin/www_bget?ec:1.2.1.3</v>
      </c>
      <c r="G1390" s="3" t="s">
        <v>7700</v>
      </c>
      <c r="H1390" s="1" t="str">
        <f>IF(G1390&lt;&gt;"", HYPERLINK("https://www.kegg.jp/entry/" &amp; G1390, "https://www.kegg.jp/entry/" &amp; G1390), "")</f>
        <v>https://www.kegg.jp/entry/R01752</v>
      </c>
      <c r="I1390" t="s">
        <v>13252</v>
      </c>
      <c r="J1390" t="s">
        <v>13253</v>
      </c>
    </row>
    <row r="1391" spans="1:10" x14ac:dyDescent="0.25">
      <c r="A1391" t="s">
        <v>2607</v>
      </c>
      <c r="B1391">
        <v>663</v>
      </c>
      <c r="C1391" t="s">
        <v>2608</v>
      </c>
      <c r="E1391" s="5" t="s">
        <v>6820</v>
      </c>
      <c r="F1391" s="1" t="str">
        <f>IF(E1391&lt;&gt;"", HYPERLINK("https://www.kegg.jp/dbget-bin/www_bget?ec:" &amp; E1391, "https://www.kegg.jp/dbget-bin/www_bget?ec:" &amp; E1391), "")</f>
        <v>https://www.kegg.jp/dbget-bin/www_bget?ec:1.2.1.3</v>
      </c>
      <c r="G1391" s="3" t="s">
        <v>7699</v>
      </c>
      <c r="H1391" s="1" t="str">
        <f>IF(G1391&lt;&gt;"", HYPERLINK("https://www.kegg.jp/entry/" &amp; G1391, "https://www.kegg.jp/entry/" &amp; G1391), "")</f>
        <v>https://www.kegg.jp/entry/R02549</v>
      </c>
      <c r="I1391" t="s">
        <v>13254</v>
      </c>
      <c r="J1391" t="s">
        <v>13255</v>
      </c>
    </row>
    <row r="1392" spans="1:10" x14ac:dyDescent="0.25">
      <c r="A1392" t="s">
        <v>2607</v>
      </c>
      <c r="B1392">
        <v>663</v>
      </c>
      <c r="C1392" t="s">
        <v>2608</v>
      </c>
      <c r="E1392" s="5" t="s">
        <v>6820</v>
      </c>
      <c r="F1392" s="1" t="str">
        <f>IF(E1392&lt;&gt;"", HYPERLINK("https://www.kegg.jp/dbget-bin/www_bget?ec:" &amp; E1392, "https://www.kegg.jp/dbget-bin/www_bget?ec:" &amp; E1392), "")</f>
        <v>https://www.kegg.jp/dbget-bin/www_bget?ec:1.2.1.3</v>
      </c>
      <c r="G1392" s="3" t="s">
        <v>7698</v>
      </c>
      <c r="H1392" s="1" t="str">
        <f>IF(G1392&lt;&gt;"", HYPERLINK("https://www.kegg.jp/entry/" &amp; G1392, "https://www.kegg.jp/entry/" &amp; G1392), "")</f>
        <v>https://www.kegg.jp/entry/R02678</v>
      </c>
      <c r="I1392" t="s">
        <v>13256</v>
      </c>
      <c r="J1392" t="s">
        <v>13257</v>
      </c>
    </row>
    <row r="1393" spans="1:10" x14ac:dyDescent="0.25">
      <c r="A1393" t="s">
        <v>2607</v>
      </c>
      <c r="B1393">
        <v>663</v>
      </c>
      <c r="C1393" t="s">
        <v>2608</v>
      </c>
      <c r="E1393" s="5" t="s">
        <v>6820</v>
      </c>
      <c r="F1393" s="1" t="str">
        <f>IF(E1393&lt;&gt;"", HYPERLINK("https://www.kegg.jp/dbget-bin/www_bget?ec:" &amp; E1393, "https://www.kegg.jp/dbget-bin/www_bget?ec:" &amp; E1393), "")</f>
        <v>https://www.kegg.jp/dbget-bin/www_bget?ec:1.2.1.3</v>
      </c>
      <c r="G1393" s="3" t="s">
        <v>7697</v>
      </c>
      <c r="H1393" s="1" t="str">
        <f>IF(G1393&lt;&gt;"", HYPERLINK("https://www.kegg.jp/entry/" &amp; G1393, "https://www.kegg.jp/entry/" &amp; G1393), "")</f>
        <v>https://www.kegg.jp/entry/R02940</v>
      </c>
      <c r="I1393" t="s">
        <v>13258</v>
      </c>
      <c r="J1393" t="s">
        <v>13259</v>
      </c>
    </row>
    <row r="1394" spans="1:10" x14ac:dyDescent="0.25">
      <c r="A1394" t="s">
        <v>2607</v>
      </c>
      <c r="B1394">
        <v>663</v>
      </c>
      <c r="C1394" t="s">
        <v>2608</v>
      </c>
      <c r="E1394" s="5" t="s">
        <v>6820</v>
      </c>
      <c r="F1394" s="1" t="str">
        <f>IF(E1394&lt;&gt;"", HYPERLINK("https://www.kegg.jp/dbget-bin/www_bget?ec:" &amp; E1394, "https://www.kegg.jp/dbget-bin/www_bget?ec:" &amp; E1394), "")</f>
        <v>https://www.kegg.jp/dbget-bin/www_bget?ec:1.2.1.3</v>
      </c>
      <c r="G1394" s="3" t="s">
        <v>7696</v>
      </c>
      <c r="H1394" s="1" t="str">
        <f>IF(G1394&lt;&gt;"", HYPERLINK("https://www.kegg.jp/entry/" &amp; G1394, "https://www.kegg.jp/entry/" &amp; G1394), "")</f>
        <v>https://www.kegg.jp/entry/R03283</v>
      </c>
      <c r="I1394" t="s">
        <v>13260</v>
      </c>
      <c r="J1394" t="s">
        <v>13261</v>
      </c>
    </row>
    <row r="1395" spans="1:10" x14ac:dyDescent="0.25">
      <c r="A1395" t="s">
        <v>2607</v>
      </c>
      <c r="B1395">
        <v>663</v>
      </c>
      <c r="C1395" t="s">
        <v>2608</v>
      </c>
      <c r="E1395" s="5" t="s">
        <v>6820</v>
      </c>
      <c r="F1395" s="1" t="str">
        <f>IF(E1395&lt;&gt;"", HYPERLINK("https://www.kegg.jp/dbget-bin/www_bget?ec:" &amp; E1395, "https://www.kegg.jp/dbget-bin/www_bget?ec:" &amp; E1395), "")</f>
        <v>https://www.kegg.jp/dbget-bin/www_bget?ec:1.2.1.3</v>
      </c>
      <c r="G1395" s="3" t="s">
        <v>7695</v>
      </c>
      <c r="H1395" s="1" t="str">
        <f>IF(G1395&lt;&gt;"", HYPERLINK("https://www.kegg.jp/entry/" &amp; G1395, "https://www.kegg.jp/entry/" &amp; G1395), "")</f>
        <v>https://www.kegg.jp/entry/R03869</v>
      </c>
      <c r="I1395" t="s">
        <v>13262</v>
      </c>
      <c r="J1395" t="s">
        <v>13263</v>
      </c>
    </row>
    <row r="1396" spans="1:10" x14ac:dyDescent="0.25">
      <c r="A1396" t="s">
        <v>2607</v>
      </c>
      <c r="B1396">
        <v>663</v>
      </c>
      <c r="C1396" t="s">
        <v>2608</v>
      </c>
      <c r="E1396" s="5" t="s">
        <v>6820</v>
      </c>
      <c r="F1396" s="1" t="str">
        <f>IF(E1396&lt;&gt;"", HYPERLINK("https://www.kegg.jp/dbget-bin/www_bget?ec:" &amp; E1396, "https://www.kegg.jp/dbget-bin/www_bget?ec:" &amp; E1396), "")</f>
        <v>https://www.kegg.jp/dbget-bin/www_bget?ec:1.2.1.3</v>
      </c>
      <c r="G1396" s="3" t="s">
        <v>7694</v>
      </c>
      <c r="H1396" s="1" t="str">
        <f>IF(G1396&lt;&gt;"", HYPERLINK("https://www.kegg.jp/entry/" &amp; G1396, "https://www.kegg.jp/entry/" &amp; G1396), "")</f>
        <v>https://www.kegg.jp/entry/R04065</v>
      </c>
      <c r="I1396" t="s">
        <v>13264</v>
      </c>
      <c r="J1396" t="s">
        <v>13265</v>
      </c>
    </row>
    <row r="1397" spans="1:10" x14ac:dyDescent="0.25">
      <c r="A1397" t="s">
        <v>2607</v>
      </c>
      <c r="B1397">
        <v>663</v>
      </c>
      <c r="C1397" t="s">
        <v>2608</v>
      </c>
      <c r="E1397" s="5" t="s">
        <v>6820</v>
      </c>
      <c r="F1397" s="1" t="str">
        <f>IF(E1397&lt;&gt;"", HYPERLINK("https://www.kegg.jp/dbget-bin/www_bget?ec:" &amp; E1397, "https://www.kegg.jp/dbget-bin/www_bget?ec:" &amp; E1397), "")</f>
        <v>https://www.kegg.jp/dbget-bin/www_bget?ec:1.2.1.3</v>
      </c>
      <c r="G1397" s="3" t="s">
        <v>7693</v>
      </c>
      <c r="H1397" s="1" t="str">
        <f>IF(G1397&lt;&gt;"", HYPERLINK("https://www.kegg.jp/entry/" &amp; G1397, "https://www.kegg.jp/entry/" &amp; G1397), "")</f>
        <v>https://www.kegg.jp/entry/R04506</v>
      </c>
      <c r="I1397" t="s">
        <v>13266</v>
      </c>
      <c r="J1397" t="s">
        <v>13267</v>
      </c>
    </row>
    <row r="1398" spans="1:10" x14ac:dyDescent="0.25">
      <c r="A1398" t="s">
        <v>2607</v>
      </c>
      <c r="B1398">
        <v>663</v>
      </c>
      <c r="C1398" t="s">
        <v>2608</v>
      </c>
      <c r="E1398" s="5" t="s">
        <v>6820</v>
      </c>
      <c r="F1398" s="1" t="str">
        <f>IF(E1398&lt;&gt;"", HYPERLINK("https://www.kegg.jp/dbget-bin/www_bget?ec:" &amp; E1398, "https://www.kegg.jp/dbget-bin/www_bget?ec:" &amp; E1398), "")</f>
        <v>https://www.kegg.jp/dbget-bin/www_bget?ec:1.2.1.3</v>
      </c>
      <c r="G1398" s="3" t="s">
        <v>7692</v>
      </c>
      <c r="H1398" s="1" t="str">
        <f>IF(G1398&lt;&gt;"", HYPERLINK("https://www.kegg.jp/entry/" &amp; G1398, "https://www.kegg.jp/entry/" &amp; G1398), "")</f>
        <v>https://www.kegg.jp/entry/R04903</v>
      </c>
      <c r="I1398" t="s">
        <v>13268</v>
      </c>
      <c r="J1398" t="s">
        <v>13269</v>
      </c>
    </row>
    <row r="1399" spans="1:10" x14ac:dyDescent="0.25">
      <c r="A1399" t="s">
        <v>2607</v>
      </c>
      <c r="B1399">
        <v>663</v>
      </c>
      <c r="C1399" t="s">
        <v>2608</v>
      </c>
      <c r="E1399" s="5" t="s">
        <v>6820</v>
      </c>
      <c r="F1399" s="1" t="str">
        <f>IF(E1399&lt;&gt;"", HYPERLINK("https://www.kegg.jp/dbget-bin/www_bget?ec:" &amp; E1399, "https://www.kegg.jp/dbget-bin/www_bget?ec:" &amp; E1399), "")</f>
        <v>https://www.kegg.jp/dbget-bin/www_bget?ec:1.2.1.3</v>
      </c>
      <c r="G1399" s="3" t="s">
        <v>7691</v>
      </c>
      <c r="H1399" s="1" t="str">
        <f>IF(G1399&lt;&gt;"", HYPERLINK("https://www.kegg.jp/entry/" &amp; G1399, "https://www.kegg.jp/entry/" &amp; G1399), "")</f>
        <v>https://www.kegg.jp/entry/R05050</v>
      </c>
      <c r="I1399" t="s">
        <v>13270</v>
      </c>
      <c r="J1399" t="s">
        <v>13271</v>
      </c>
    </row>
    <row r="1400" spans="1:10" x14ac:dyDescent="0.25">
      <c r="A1400" t="s">
        <v>2607</v>
      </c>
      <c r="B1400">
        <v>663</v>
      </c>
      <c r="C1400" t="s">
        <v>2608</v>
      </c>
      <c r="E1400" s="5" t="s">
        <v>6820</v>
      </c>
      <c r="F1400" s="1" t="str">
        <f>IF(E1400&lt;&gt;"", HYPERLINK("https://www.kegg.jp/dbget-bin/www_bget?ec:" &amp; E1400, "https://www.kegg.jp/dbget-bin/www_bget?ec:" &amp; E1400), "")</f>
        <v>https://www.kegg.jp/dbget-bin/www_bget?ec:1.2.1.3</v>
      </c>
      <c r="G1400" s="3" t="s">
        <v>7690</v>
      </c>
      <c r="H1400" s="1" t="str">
        <f>IF(G1400&lt;&gt;"", HYPERLINK("https://www.kegg.jp/entry/" &amp; G1400, "https://www.kegg.jp/entry/" &amp; G1400), "")</f>
        <v>https://www.kegg.jp/entry/R05286</v>
      </c>
      <c r="I1400" t="s">
        <v>13272</v>
      </c>
      <c r="J1400" t="s">
        <v>13273</v>
      </c>
    </row>
    <row r="1401" spans="1:10" x14ac:dyDescent="0.25">
      <c r="A1401" t="s">
        <v>2607</v>
      </c>
      <c r="B1401">
        <v>663</v>
      </c>
      <c r="C1401" t="s">
        <v>2608</v>
      </c>
      <c r="E1401" s="5" t="s">
        <v>6820</v>
      </c>
      <c r="F1401" s="1" t="str">
        <f>IF(E1401&lt;&gt;"", HYPERLINK("https://www.kegg.jp/dbget-bin/www_bget?ec:" &amp; E1401, "https://www.kegg.jp/dbget-bin/www_bget?ec:" &amp; E1401), "")</f>
        <v>https://www.kegg.jp/dbget-bin/www_bget?ec:1.2.1.3</v>
      </c>
      <c r="G1401" s="3" t="s">
        <v>7689</v>
      </c>
      <c r="H1401" s="1" t="str">
        <f>IF(G1401&lt;&gt;"", HYPERLINK("https://www.kegg.jp/entry/" &amp; G1401, "https://www.kegg.jp/entry/" &amp; G1401), "")</f>
        <v>https://www.kegg.jp/entry/R06366</v>
      </c>
      <c r="I1401" t="s">
        <v>13274</v>
      </c>
      <c r="J1401" t="s">
        <v>13275</v>
      </c>
    </row>
    <row r="1402" spans="1:10" x14ac:dyDescent="0.25">
      <c r="A1402" t="s">
        <v>2607</v>
      </c>
      <c r="B1402">
        <v>663</v>
      </c>
      <c r="C1402" t="s">
        <v>2608</v>
      </c>
      <c r="E1402" s="5" t="s">
        <v>6820</v>
      </c>
      <c r="F1402" s="1" t="str">
        <f>IF(E1402&lt;&gt;"", HYPERLINK("https://www.kegg.jp/dbget-bin/www_bget?ec:" &amp; E1402, "https://www.kegg.jp/dbget-bin/www_bget?ec:" &amp; E1402), "")</f>
        <v>https://www.kegg.jp/dbget-bin/www_bget?ec:1.2.1.3</v>
      </c>
      <c r="G1402" s="3" t="s">
        <v>7688</v>
      </c>
      <c r="H1402" s="1" t="str">
        <f>IF(G1402&lt;&gt;"", HYPERLINK("https://www.kegg.jp/entry/" &amp; G1402, "https://www.kegg.jp/entry/" &amp; G1402), "")</f>
        <v>https://www.kegg.jp/entry/R08146</v>
      </c>
      <c r="I1402" t="s">
        <v>13276</v>
      </c>
      <c r="J1402" t="s">
        <v>13277</v>
      </c>
    </row>
    <row r="1403" spans="1:10" x14ac:dyDescent="0.25">
      <c r="A1403" t="s">
        <v>2607</v>
      </c>
      <c r="B1403">
        <v>663</v>
      </c>
      <c r="C1403" t="s">
        <v>2608</v>
      </c>
      <c r="E1403" s="5" t="s">
        <v>6820</v>
      </c>
      <c r="F1403" s="1" t="str">
        <f>IF(E1403&lt;&gt;"", HYPERLINK("https://www.kegg.jp/dbget-bin/www_bget?ec:" &amp; E1403, "https://www.kegg.jp/dbget-bin/www_bget?ec:" &amp; E1403), "")</f>
        <v>https://www.kegg.jp/dbget-bin/www_bget?ec:1.2.1.3</v>
      </c>
      <c r="G1403" s="3" t="s">
        <v>7687</v>
      </c>
      <c r="H1403" s="1" t="str">
        <f>IF(G1403&lt;&gt;"", HYPERLINK("https://www.kegg.jp/entry/" &amp; G1403, "https://www.kegg.jp/entry/" &amp; G1403), "")</f>
        <v>https://www.kegg.jp/entry/R00264</v>
      </c>
      <c r="I1403" t="s">
        <v>13278</v>
      </c>
      <c r="J1403" t="s">
        <v>13279</v>
      </c>
    </row>
    <row r="1404" spans="1:10" x14ac:dyDescent="0.25">
      <c r="A1404" t="s">
        <v>2607</v>
      </c>
      <c r="B1404">
        <v>663</v>
      </c>
      <c r="C1404" t="s">
        <v>2608</v>
      </c>
      <c r="E1404" s="5" t="s">
        <v>6820</v>
      </c>
      <c r="F1404" s="1" t="str">
        <f>IF(E1404&lt;&gt;"", HYPERLINK("https://www.kegg.jp/dbget-bin/www_bget?ec:" &amp; E1404, "https://www.kegg.jp/dbget-bin/www_bget?ec:" &amp; E1404), "")</f>
        <v>https://www.kegg.jp/dbget-bin/www_bget?ec:1.2.1.3</v>
      </c>
      <c r="G1404" s="3" t="s">
        <v>7686</v>
      </c>
      <c r="H1404" s="1" t="str">
        <f>IF(G1404&lt;&gt;"", HYPERLINK("https://www.kegg.jp/entry/" &amp; G1404, "https://www.kegg.jp/entry/" &amp; G1404), "")</f>
        <v>https://www.kegg.jp/entry/R01986</v>
      </c>
      <c r="I1404" t="s">
        <v>13280</v>
      </c>
      <c r="J1404" t="s">
        <v>13281</v>
      </c>
    </row>
    <row r="1405" spans="1:10" x14ac:dyDescent="0.25">
      <c r="A1405" t="s">
        <v>2607</v>
      </c>
      <c r="B1405">
        <v>663</v>
      </c>
      <c r="C1405" t="s">
        <v>2608</v>
      </c>
      <c r="E1405" s="5" t="s">
        <v>6820</v>
      </c>
      <c r="F1405" s="1" t="str">
        <f>IF(E1405&lt;&gt;"", HYPERLINK("https://www.kegg.jp/dbget-bin/www_bget?ec:" &amp; E1405, "https://www.kegg.jp/dbget-bin/www_bget?ec:" &amp; E1405), "")</f>
        <v>https://www.kegg.jp/dbget-bin/www_bget?ec:1.2.1.3</v>
      </c>
      <c r="G1405" s="3" t="s">
        <v>7685</v>
      </c>
      <c r="H1405" s="1" t="str">
        <f>IF(G1405&lt;&gt;"", HYPERLINK("https://www.kegg.jp/entry/" &amp; G1405, "https://www.kegg.jp/entry/" &amp; G1405), "")</f>
        <v>https://www.kegg.jp/entry/R02957</v>
      </c>
      <c r="I1405" t="s">
        <v>13282</v>
      </c>
      <c r="J1405" t="s">
        <v>13283</v>
      </c>
    </row>
    <row r="1406" spans="1:10" x14ac:dyDescent="0.25">
      <c r="A1406" t="s">
        <v>2607</v>
      </c>
      <c r="B1406">
        <v>663</v>
      </c>
      <c r="C1406" t="s">
        <v>2608</v>
      </c>
      <c r="E1406" s="5" t="s">
        <v>6820</v>
      </c>
      <c r="F1406" s="1" t="str">
        <f>IF(E1406&lt;&gt;"", HYPERLINK("https://www.kegg.jp/dbget-bin/www_bget?ec:" &amp; E1406, "https://www.kegg.jp/dbget-bin/www_bget?ec:" &amp; E1406), "")</f>
        <v>https://www.kegg.jp/dbget-bin/www_bget?ec:1.2.1.3</v>
      </c>
      <c r="G1406" s="3" t="s">
        <v>7684</v>
      </c>
      <c r="H1406" s="1" t="str">
        <f>IF(G1406&lt;&gt;"", HYPERLINK("https://www.kegg.jp/entry/" &amp; G1406, "https://www.kegg.jp/entry/" &amp; G1406), "")</f>
        <v>https://www.kegg.jp/entry/R05237</v>
      </c>
      <c r="I1406" t="s">
        <v>13284</v>
      </c>
      <c r="J1406" t="s">
        <v>13285</v>
      </c>
    </row>
    <row r="1407" spans="1:10" x14ac:dyDescent="0.25">
      <c r="A1407" t="s">
        <v>2607</v>
      </c>
      <c r="B1407">
        <v>663</v>
      </c>
      <c r="C1407" t="s">
        <v>2608</v>
      </c>
      <c r="E1407" s="5" t="s">
        <v>6820</v>
      </c>
      <c r="F1407" s="1" t="str">
        <f>IF(E1407&lt;&gt;"", HYPERLINK("https://www.kegg.jp/dbget-bin/www_bget?ec:" &amp; E1407, "https://www.kegg.jp/dbget-bin/www_bget?ec:" &amp; E1407), "")</f>
        <v>https://www.kegg.jp/dbget-bin/www_bget?ec:1.2.1.3</v>
      </c>
      <c r="G1407" s="3" t="s">
        <v>7683</v>
      </c>
      <c r="H1407" s="1" t="str">
        <f>IF(G1407&lt;&gt;"", HYPERLINK("https://www.kegg.jp/entry/" &amp; G1407, "https://www.kegg.jp/entry/" &amp; G1407), "")</f>
        <v>https://www.kegg.jp/entry/R05238</v>
      </c>
      <c r="I1407" t="s">
        <v>13286</v>
      </c>
      <c r="J1407" t="s">
        <v>13287</v>
      </c>
    </row>
    <row r="1408" spans="1:10" hidden="1" x14ac:dyDescent="0.25">
      <c r="A1408" t="s">
        <v>2609</v>
      </c>
      <c r="B1408">
        <v>172</v>
      </c>
      <c r="C1408" t="s">
        <v>2610</v>
      </c>
      <c r="F1408" s="1" t="str">
        <f>IF(E1408&lt;&gt;"", HYPERLINK("https://www.kegg.jp/dbget-bin/www_bget?ec:" &amp; E1408, "https://www.kegg.jp/dbget-bin/www_bget?ec:" &amp; E1408), "")</f>
        <v/>
      </c>
      <c r="G1408" s="3"/>
      <c r="H1408" s="1" t="str">
        <f>IF(G1408&lt;&gt;"", HYPERLINK("https://www.kegg.jp/entry/" &amp; G1408, "https://www.kegg.jp/entry/" &amp; G1408), "")</f>
        <v/>
      </c>
    </row>
    <row r="1409" spans="1:10" hidden="1" x14ac:dyDescent="0.25">
      <c r="A1409" t="s">
        <v>2611</v>
      </c>
      <c r="B1409">
        <v>153</v>
      </c>
      <c r="C1409" t="s">
        <v>2612</v>
      </c>
      <c r="F1409" s="1" t="str">
        <f>IF(E1409&lt;&gt;"", HYPERLINK("https://www.kegg.jp/dbget-bin/www_bget?ec:" &amp; E1409, "https://www.kegg.jp/dbget-bin/www_bget?ec:" &amp; E1409), "")</f>
        <v/>
      </c>
      <c r="G1409" s="3"/>
      <c r="H1409" s="1" t="str">
        <f>IF(G1409&lt;&gt;"", HYPERLINK("https://www.kegg.jp/entry/" &amp; G1409, "https://www.kegg.jp/entry/" &amp; G1409), "")</f>
        <v/>
      </c>
    </row>
    <row r="1410" spans="1:10" x14ac:dyDescent="0.25">
      <c r="A1410" t="s">
        <v>2614</v>
      </c>
      <c r="B1410">
        <v>445</v>
      </c>
      <c r="C1410" t="s">
        <v>2615</v>
      </c>
      <c r="E1410" s="5" t="s">
        <v>6821</v>
      </c>
      <c r="F1410" s="1" t="str">
        <f>IF(E1410&lt;&gt;"", HYPERLINK("https://www.kegg.jp/dbget-bin/www_bget?ec:" &amp; E1410, "https://www.kegg.jp/dbget-bin/www_bget?ec:" &amp; E1410), "")</f>
        <v>https://www.kegg.jp/dbget-bin/www_bget?ec:6.2.1.30</v>
      </c>
      <c r="G1410" s="3" t="s">
        <v>7189</v>
      </c>
      <c r="H1410" s="1" t="str">
        <f>IF(G1410&lt;&gt;"", HYPERLINK("https://www.kegg.jp/entry/" &amp; G1410, "https://www.kegg.jp/entry/" &amp; G1410), "")</f>
        <v>https://www.kegg.jp/entry/R02539</v>
      </c>
      <c r="I1410" t="s">
        <v>13288</v>
      </c>
      <c r="J1410" t="s">
        <v>13289</v>
      </c>
    </row>
    <row r="1411" spans="1:10" hidden="1" x14ac:dyDescent="0.25">
      <c r="A1411" t="s">
        <v>2617</v>
      </c>
      <c r="B1411">
        <v>122</v>
      </c>
      <c r="C1411" t="s">
        <v>2618</v>
      </c>
      <c r="F1411" s="1" t="str">
        <f>IF(E1411&lt;&gt;"", HYPERLINK("https://www.kegg.jp/dbget-bin/www_bget?ec:" &amp; E1411, "https://www.kegg.jp/dbget-bin/www_bget?ec:" &amp; E1411), "")</f>
        <v/>
      </c>
      <c r="G1411" s="3"/>
      <c r="H1411" s="1" t="str">
        <f>IF(G1411&lt;&gt;"", HYPERLINK("https://www.kegg.jp/entry/" &amp; G1411, "https://www.kegg.jp/entry/" &amp; G1411), "")</f>
        <v/>
      </c>
    </row>
    <row r="1412" spans="1:10" hidden="1" x14ac:dyDescent="0.25">
      <c r="A1412" t="s">
        <v>2619</v>
      </c>
      <c r="B1412">
        <v>238</v>
      </c>
      <c r="C1412" t="s">
        <v>2620</v>
      </c>
      <c r="F1412" s="1" t="str">
        <f>IF(E1412&lt;&gt;"", HYPERLINK("https://www.kegg.jp/dbget-bin/www_bget?ec:" &amp; E1412, "https://www.kegg.jp/dbget-bin/www_bget?ec:" &amp; E1412), "")</f>
        <v/>
      </c>
      <c r="G1412" s="3"/>
      <c r="H1412" s="1" t="str">
        <f>IF(G1412&lt;&gt;"", HYPERLINK("https://www.kegg.jp/entry/" &amp; G1412, "https://www.kegg.jp/entry/" &amp; G1412), "")</f>
        <v/>
      </c>
    </row>
    <row r="1413" spans="1:10" hidden="1" x14ac:dyDescent="0.25">
      <c r="A1413" t="s">
        <v>2621</v>
      </c>
      <c r="B1413">
        <v>582</v>
      </c>
      <c r="C1413" t="s">
        <v>2622</v>
      </c>
      <c r="F1413" s="1" t="str">
        <f>IF(E1413&lt;&gt;"", HYPERLINK("https://www.kegg.jp/dbget-bin/www_bget?ec:" &amp; E1413, "https://www.kegg.jp/dbget-bin/www_bget?ec:" &amp; E1413), "")</f>
        <v/>
      </c>
      <c r="G1413" s="3"/>
      <c r="H1413" s="1" t="str">
        <f>IF(G1413&lt;&gt;"", HYPERLINK("https://www.kegg.jp/entry/" &amp; G1413, "https://www.kegg.jp/entry/" &amp; G1413), "")</f>
        <v/>
      </c>
    </row>
    <row r="1414" spans="1:10" hidden="1" x14ac:dyDescent="0.25">
      <c r="A1414" t="s">
        <v>2623</v>
      </c>
      <c r="B1414">
        <v>325</v>
      </c>
      <c r="C1414" t="s">
        <v>2624</v>
      </c>
      <c r="F1414" s="1" t="str">
        <f>IF(E1414&lt;&gt;"", HYPERLINK("https://www.kegg.jp/dbget-bin/www_bget?ec:" &amp; E1414, "https://www.kegg.jp/dbget-bin/www_bget?ec:" &amp; E1414), "")</f>
        <v/>
      </c>
      <c r="G1414" s="3"/>
      <c r="H1414" s="1" t="str">
        <f>IF(G1414&lt;&gt;"", HYPERLINK("https://www.kegg.jp/entry/" &amp; G1414, "https://www.kegg.jp/entry/" &amp; G1414), "")</f>
        <v/>
      </c>
    </row>
    <row r="1415" spans="1:10" hidden="1" x14ac:dyDescent="0.25">
      <c r="A1415" t="s">
        <v>2625</v>
      </c>
      <c r="B1415">
        <v>390</v>
      </c>
      <c r="C1415" t="s">
        <v>2626</v>
      </c>
      <c r="F1415" s="1" t="str">
        <f>IF(E1415&lt;&gt;"", HYPERLINK("https://www.kegg.jp/dbget-bin/www_bget?ec:" &amp; E1415, "https://www.kegg.jp/dbget-bin/www_bget?ec:" &amp; E1415), "")</f>
        <v/>
      </c>
      <c r="G1415" s="3"/>
      <c r="H1415" s="1" t="str">
        <f>IF(G1415&lt;&gt;"", HYPERLINK("https://www.kegg.jp/entry/" &amp; G1415, "https://www.kegg.jp/entry/" &amp; G1415), "")</f>
        <v/>
      </c>
    </row>
    <row r="1416" spans="1:10" x14ac:dyDescent="0.25">
      <c r="A1416" t="s">
        <v>2628</v>
      </c>
      <c r="B1416">
        <v>319</v>
      </c>
      <c r="C1416" t="s">
        <v>2629</v>
      </c>
      <c r="E1416" s="5" t="s">
        <v>6822</v>
      </c>
      <c r="F1416" s="1" t="str">
        <f>IF(E1416&lt;&gt;"", HYPERLINK("https://www.kegg.jp/dbget-bin/www_bget?ec:" &amp; E1416, "https://www.kegg.jp/dbget-bin/www_bget?ec:" &amp; E1416), "")</f>
        <v>https://www.kegg.jp/dbget-bin/www_bget?ec:1.13.11.15</v>
      </c>
      <c r="G1416" s="3" t="s">
        <v>7190</v>
      </c>
      <c r="H1416" s="1" t="str">
        <f>IF(G1416&lt;&gt;"", HYPERLINK("https://www.kegg.jp/entry/" &amp; G1416, "https://www.kegg.jp/entry/" &amp; G1416), "")</f>
        <v>https://www.kegg.jp/entry/R03303</v>
      </c>
      <c r="I1416" t="s">
        <v>13290</v>
      </c>
      <c r="J1416" t="s">
        <v>8528</v>
      </c>
    </row>
    <row r="1417" spans="1:10" hidden="1" x14ac:dyDescent="0.25">
      <c r="A1417" t="s">
        <v>2631</v>
      </c>
      <c r="B1417">
        <v>148</v>
      </c>
      <c r="C1417" t="s">
        <v>2632</v>
      </c>
      <c r="F1417" s="1" t="str">
        <f>IF(E1417&lt;&gt;"", HYPERLINK("https://www.kegg.jp/dbget-bin/www_bget?ec:" &amp; E1417, "https://www.kegg.jp/dbget-bin/www_bget?ec:" &amp; E1417), "")</f>
        <v/>
      </c>
      <c r="G1417" s="3"/>
      <c r="H1417" s="1" t="str">
        <f>IF(G1417&lt;&gt;"", HYPERLINK("https://www.kegg.jp/entry/" &amp; G1417, "https://www.kegg.jp/entry/" &amp; G1417), "")</f>
        <v/>
      </c>
    </row>
    <row r="1418" spans="1:10" x14ac:dyDescent="0.25">
      <c r="A1418" t="s">
        <v>2634</v>
      </c>
      <c r="B1418">
        <v>481</v>
      </c>
      <c r="C1418" t="s">
        <v>2635</v>
      </c>
      <c r="E1418" s="5" t="s">
        <v>6823</v>
      </c>
      <c r="F1418" s="1" t="str">
        <f>IF(E1418&lt;&gt;"", HYPERLINK("https://www.kegg.jp/dbget-bin/www_bget?ec:" &amp; E1418, "https://www.kegg.jp/dbget-bin/www_bget?ec:" &amp; E1418), "")</f>
        <v>https://www.kegg.jp/dbget-bin/www_bget?ec:1.14.14.9</v>
      </c>
      <c r="G1418" s="3" t="s">
        <v>7704</v>
      </c>
      <c r="H1418" s="1" t="str">
        <f>IF(G1418&lt;&gt;"", HYPERLINK("https://www.kegg.jp/entry/" &amp; G1418, "https://www.kegg.jp/entry/" &amp; G1418), "")</f>
        <v>https://www.kegg.jp/entry/R02698</v>
      </c>
      <c r="I1418" t="s">
        <v>13291</v>
      </c>
      <c r="J1418" t="s">
        <v>13292</v>
      </c>
    </row>
    <row r="1419" spans="1:10" x14ac:dyDescent="0.25">
      <c r="A1419" t="s">
        <v>2634</v>
      </c>
      <c r="B1419">
        <v>481</v>
      </c>
      <c r="C1419" t="s">
        <v>2635</v>
      </c>
      <c r="E1419" s="5" t="s">
        <v>6823</v>
      </c>
      <c r="F1419" s="1" t="str">
        <f>IF(E1419&lt;&gt;"", HYPERLINK("https://www.kegg.jp/dbget-bin/www_bget?ec:" &amp; E1419, "https://www.kegg.jp/dbget-bin/www_bget?ec:" &amp; E1419), "")</f>
        <v>https://www.kegg.jp/dbget-bin/www_bget?ec:1.14.14.9</v>
      </c>
      <c r="G1419" s="3" t="s">
        <v>7705</v>
      </c>
      <c r="H1419" s="1" t="str">
        <f>IF(G1419&lt;&gt;"", HYPERLINK("https://www.kegg.jp/entry/" &amp; G1419, "https://www.kegg.jp/entry/" &amp; G1419), "")</f>
        <v>https://www.kegg.jp/entry/R03299</v>
      </c>
      <c r="I1419" t="s">
        <v>13293</v>
      </c>
      <c r="J1419" t="s">
        <v>13292</v>
      </c>
    </row>
    <row r="1420" spans="1:10" x14ac:dyDescent="0.25">
      <c r="A1420" t="s">
        <v>2637</v>
      </c>
      <c r="B1420">
        <v>517</v>
      </c>
      <c r="C1420" t="s">
        <v>2638</v>
      </c>
      <c r="E1420" s="5" t="s">
        <v>6824</v>
      </c>
      <c r="F1420" s="1" t="str">
        <f>IF(E1420&lt;&gt;"", HYPERLINK("https://www.kegg.jp/dbget-bin/www_bget?ec:" &amp; E1420, "https://www.kegg.jp/dbget-bin/www_bget?ec:" &amp; E1420), "")</f>
        <v>https://www.kegg.jp/dbget-bin/www_bget?ec:1.2.1.60</v>
      </c>
      <c r="G1420" s="3" t="s">
        <v>7191</v>
      </c>
      <c r="H1420" s="1" t="str">
        <f>IF(G1420&lt;&gt;"", HYPERLINK("https://www.kegg.jp/entry/" &amp; G1420, "https://www.kegg.jp/entry/" &amp; G1420), "")</f>
        <v>https://www.kegg.jp/entry/R04418</v>
      </c>
      <c r="I1420" t="s">
        <v>13294</v>
      </c>
      <c r="J1420" t="s">
        <v>13295</v>
      </c>
    </row>
    <row r="1421" spans="1:10" x14ac:dyDescent="0.25">
      <c r="A1421" t="s">
        <v>2640</v>
      </c>
      <c r="B1421">
        <v>246</v>
      </c>
      <c r="C1421" t="s">
        <v>2641</v>
      </c>
      <c r="E1421" s="5" t="s">
        <v>6825</v>
      </c>
      <c r="F1421" s="1" t="str">
        <f>IF(E1421&lt;&gt;"", HYPERLINK("https://www.kegg.jp/dbget-bin/www_bget?ec:" &amp; E1421, "https://www.kegg.jp/dbget-bin/www_bget?ec:" &amp; E1421), "")</f>
        <v>https://www.kegg.jp/dbget-bin/www_bget?ec:4.1.1.68</v>
      </c>
      <c r="G1421" s="3" t="s">
        <v>7706</v>
      </c>
      <c r="H1421" s="1" t="str">
        <f>IF(G1421&lt;&gt;"", HYPERLINK("https://www.kegg.jp/entry/" &amp; G1421, "https://www.kegg.jp/entry/" &amp; G1421), "")</f>
        <v>https://www.kegg.jp/entry/R04133</v>
      </c>
      <c r="I1421" t="s">
        <v>8255</v>
      </c>
      <c r="J1421" t="s">
        <v>13296</v>
      </c>
    </row>
    <row r="1422" spans="1:10" x14ac:dyDescent="0.25">
      <c r="A1422" t="s">
        <v>2640</v>
      </c>
      <c r="B1422">
        <v>246</v>
      </c>
      <c r="C1422" t="s">
        <v>2641</v>
      </c>
      <c r="E1422" s="5" t="s">
        <v>6825</v>
      </c>
      <c r="F1422" s="1" t="str">
        <f>IF(E1422&lt;&gt;"", HYPERLINK("https://www.kegg.jp/dbget-bin/www_bget?ec:" &amp; E1422, "https://www.kegg.jp/dbget-bin/www_bget?ec:" &amp; E1422), "")</f>
        <v>https://www.kegg.jp/dbget-bin/www_bget?ec:4.1.1.68</v>
      </c>
      <c r="G1422" s="3" t="s">
        <v>7707</v>
      </c>
      <c r="H1422" s="1" t="str">
        <f>IF(G1422&lt;&gt;"", HYPERLINK("https://www.kegg.jp/entry/" &amp; G1422, "https://www.kegg.jp/entry/" &amp; G1422), "")</f>
        <v>https://www.kegg.jp/entry/R04380</v>
      </c>
      <c r="I1422" t="s">
        <v>8255</v>
      </c>
      <c r="J1422" t="s">
        <v>13297</v>
      </c>
    </row>
    <row r="1423" spans="1:10" x14ac:dyDescent="0.25">
      <c r="A1423" t="s">
        <v>2643</v>
      </c>
      <c r="B1423">
        <v>312</v>
      </c>
      <c r="C1423" t="s">
        <v>2644</v>
      </c>
      <c r="E1423" s="5" t="s">
        <v>6826</v>
      </c>
      <c r="F1423" s="1" t="str">
        <f>IF(E1423&lt;&gt;"", HYPERLINK("https://www.kegg.jp/dbget-bin/www_bget?ec:" &amp; E1423, "https://www.kegg.jp/dbget-bin/www_bget?ec:" &amp; E1423), "")</f>
        <v>https://www.kegg.jp/dbget-bin/www_bget?ec:4.3.3.7</v>
      </c>
      <c r="G1423" s="3" t="s">
        <v>7192</v>
      </c>
      <c r="H1423" s="1" t="str">
        <f>IF(G1423&lt;&gt;"", HYPERLINK("https://www.kegg.jp/entry/" &amp; G1423, "https://www.kegg.jp/entry/" &amp; G1423), "")</f>
        <v>https://www.kegg.jp/entry/R10147</v>
      </c>
      <c r="I1423" t="s">
        <v>13298</v>
      </c>
      <c r="J1423" t="s">
        <v>13299</v>
      </c>
    </row>
    <row r="1424" spans="1:10" hidden="1" x14ac:dyDescent="0.25">
      <c r="A1424" t="s">
        <v>2645</v>
      </c>
      <c r="B1424">
        <v>457</v>
      </c>
      <c r="C1424" t="s">
        <v>2646</v>
      </c>
      <c r="F1424" s="1" t="str">
        <f>IF(E1424&lt;&gt;"", HYPERLINK("https://www.kegg.jp/dbget-bin/www_bget?ec:" &amp; E1424, "https://www.kegg.jp/dbget-bin/www_bget?ec:" &amp; E1424), "")</f>
        <v/>
      </c>
      <c r="G1424" s="3"/>
      <c r="H1424" s="1" t="str">
        <f>IF(G1424&lt;&gt;"", HYPERLINK("https://www.kegg.jp/entry/" &amp; G1424, "https://www.kegg.jp/entry/" &amp; G1424), "")</f>
        <v/>
      </c>
    </row>
    <row r="1425" spans="1:10" x14ac:dyDescent="0.25">
      <c r="A1425" t="s">
        <v>2647</v>
      </c>
      <c r="B1425">
        <v>234</v>
      </c>
      <c r="C1425" t="s">
        <v>2648</v>
      </c>
      <c r="E1425" s="5" t="s">
        <v>6804</v>
      </c>
      <c r="F1425" s="1" t="str">
        <f>IF(E1425&lt;&gt;"", HYPERLINK("https://www.kegg.jp/dbget-bin/www_bget?ec:" &amp; E1425, "https://www.kegg.jp/dbget-bin/www_bget?ec:" &amp; E1425), "")</f>
        <v>https://www.kegg.jp/dbget-bin/www_bget?ec:2.1.1.107</v>
      </c>
      <c r="G1425" s="3" t="s">
        <v>7652</v>
      </c>
      <c r="H1425" s="1" t="str">
        <f>IF(G1425&lt;&gt;"", HYPERLINK("https://www.kegg.jp/entry/" &amp; G1425, "https://www.kegg.jp/entry/" &amp; G1425), "")</f>
        <v>https://www.kegg.jp/entry/R03194</v>
      </c>
      <c r="I1425" t="s">
        <v>8243</v>
      </c>
      <c r="J1425" t="s">
        <v>8517</v>
      </c>
    </row>
    <row r="1426" spans="1:10" x14ac:dyDescent="0.25">
      <c r="A1426" t="s">
        <v>2647</v>
      </c>
      <c r="B1426">
        <v>234</v>
      </c>
      <c r="C1426" t="s">
        <v>2648</v>
      </c>
      <c r="E1426" s="5" t="s">
        <v>6804</v>
      </c>
      <c r="F1426" s="1" t="str">
        <f>IF(E1426&lt;&gt;"", HYPERLINK("https://www.kegg.jp/dbget-bin/www_bget?ec:" &amp; E1426, "https://www.kegg.jp/dbget-bin/www_bget?ec:" &amp; E1426), "")</f>
        <v>https://www.kegg.jp/dbget-bin/www_bget?ec:2.1.1.107</v>
      </c>
      <c r="G1426" s="3" t="s">
        <v>7655</v>
      </c>
      <c r="H1426" s="1" t="str">
        <f>IF(G1426&lt;&gt;"", HYPERLINK("https://www.kegg.jp/entry/" &amp; G1426, "https://www.kegg.jp/entry/" &amp; G1426), "")</f>
        <v>https://www.kegg.jp/entry/R07237</v>
      </c>
      <c r="I1426" t="s">
        <v>8243</v>
      </c>
      <c r="J1426" t="s">
        <v>8518</v>
      </c>
    </row>
    <row r="1427" spans="1:10" x14ac:dyDescent="0.25">
      <c r="A1427" t="s">
        <v>2647</v>
      </c>
      <c r="B1427">
        <v>234</v>
      </c>
      <c r="C1427" t="s">
        <v>2648</v>
      </c>
      <c r="E1427" s="5" t="s">
        <v>6804</v>
      </c>
      <c r="F1427" s="1" t="str">
        <f>IF(E1427&lt;&gt;"", HYPERLINK("https://www.kegg.jp/dbget-bin/www_bget?ec:" &amp; E1427, "https://www.kegg.jp/dbget-bin/www_bget?ec:" &amp; E1427), "")</f>
        <v>https://www.kegg.jp/dbget-bin/www_bget?ec:2.1.1.107</v>
      </c>
      <c r="G1427" s="3" t="s">
        <v>7654</v>
      </c>
      <c r="H1427" s="1" t="str">
        <f>IF(G1427&lt;&gt;"", HYPERLINK("https://www.kegg.jp/entry/" &amp; G1427, "https://www.kegg.jp/entry/" &amp; G1427), "")</f>
        <v>https://www.kegg.jp/entry/R07238</v>
      </c>
      <c r="I1427" t="s">
        <v>8244</v>
      </c>
      <c r="J1427" t="s">
        <v>8517</v>
      </c>
    </row>
    <row r="1428" spans="1:10" x14ac:dyDescent="0.25">
      <c r="A1428" t="s">
        <v>2647</v>
      </c>
      <c r="B1428">
        <v>234</v>
      </c>
      <c r="C1428" t="s">
        <v>2648</v>
      </c>
      <c r="E1428" s="5" t="s">
        <v>6804</v>
      </c>
      <c r="F1428" s="1" t="str">
        <f>IF(E1428&lt;&gt;"", HYPERLINK("https://www.kegg.jp/dbget-bin/www_bget?ec:" &amp; E1428, "https://www.kegg.jp/dbget-bin/www_bget?ec:" &amp; E1428), "")</f>
        <v>https://www.kegg.jp/dbget-bin/www_bget?ec:2.1.1.107</v>
      </c>
      <c r="G1428" s="3" t="s">
        <v>7653</v>
      </c>
      <c r="H1428" s="1" t="str">
        <f>IF(G1428&lt;&gt;"", HYPERLINK("https://www.kegg.jp/entry/" &amp; G1428, "https://www.kegg.jp/entry/" &amp; G1428), "")</f>
        <v>https://www.kegg.jp/entry/R03950</v>
      </c>
      <c r="I1428" t="s">
        <v>8245</v>
      </c>
      <c r="J1428" t="s">
        <v>8519</v>
      </c>
    </row>
    <row r="1429" spans="1:10" hidden="1" x14ac:dyDescent="0.25">
      <c r="A1429" t="s">
        <v>2649</v>
      </c>
      <c r="B1429">
        <v>104</v>
      </c>
      <c r="C1429" t="s">
        <v>2650</v>
      </c>
      <c r="F1429" s="1" t="str">
        <f>IF(E1429&lt;&gt;"", HYPERLINK("https://www.kegg.jp/dbget-bin/www_bget?ec:" &amp; E1429, "https://www.kegg.jp/dbget-bin/www_bget?ec:" &amp; E1429), "")</f>
        <v/>
      </c>
      <c r="G1429" s="3"/>
      <c r="H1429" s="1" t="str">
        <f>IF(G1429&lt;&gt;"", HYPERLINK("https://www.kegg.jp/entry/" &amp; G1429, "https://www.kegg.jp/entry/" &amp; G1429), "")</f>
        <v/>
      </c>
    </row>
    <row r="1430" spans="1:10" x14ac:dyDescent="0.25">
      <c r="A1430" t="s">
        <v>2652</v>
      </c>
      <c r="B1430">
        <v>367</v>
      </c>
      <c r="C1430" t="s">
        <v>2653</v>
      </c>
      <c r="E1430" s="5" t="s">
        <v>6827</v>
      </c>
      <c r="F1430" s="1" t="str">
        <f>IF(E1430&lt;&gt;"", HYPERLINK("https://www.kegg.jp/dbget-bin/www_bget?ec:" &amp; E1430, "https://www.kegg.jp/dbget-bin/www_bget?ec:" &amp; E1430), "")</f>
        <v>https://www.kegg.jp/dbget-bin/www_bget?ec:4.99.1.3</v>
      </c>
      <c r="G1430" s="3" t="s">
        <v>7193</v>
      </c>
      <c r="H1430" s="1" t="str">
        <f>IF(G1430&lt;&gt;"", HYPERLINK("https://www.kegg.jp/entry/" &amp; G1430, "https://www.kegg.jp/entry/" &amp; G1430), "")</f>
        <v>https://www.kegg.jp/entry/R05807</v>
      </c>
      <c r="I1430" t="s">
        <v>13300</v>
      </c>
      <c r="J1430" t="s">
        <v>13301</v>
      </c>
    </row>
    <row r="1431" spans="1:10" hidden="1" x14ac:dyDescent="0.25">
      <c r="A1431" t="s">
        <v>2655</v>
      </c>
      <c r="B1431">
        <v>359</v>
      </c>
      <c r="C1431" t="s">
        <v>2656</v>
      </c>
      <c r="F1431" s="1" t="str">
        <f>IF(E1431&lt;&gt;"", HYPERLINK("https://www.kegg.jp/dbget-bin/www_bget?ec:" &amp; E1431, "https://www.kegg.jp/dbget-bin/www_bget?ec:" &amp; E1431), "")</f>
        <v/>
      </c>
      <c r="G1431" s="3"/>
      <c r="H1431" s="1" t="str">
        <f>IF(G1431&lt;&gt;"", HYPERLINK("https://www.kegg.jp/entry/" &amp; G1431, "https://www.kegg.jp/entry/" &amp; G1431), "")</f>
        <v/>
      </c>
    </row>
    <row r="1432" spans="1:10" hidden="1" x14ac:dyDescent="0.25">
      <c r="A1432" t="s">
        <v>2658</v>
      </c>
      <c r="B1432">
        <v>287</v>
      </c>
      <c r="C1432" t="s">
        <v>2659</v>
      </c>
      <c r="F1432" s="1" t="str">
        <f>IF(E1432&lt;&gt;"", HYPERLINK("https://www.kegg.jp/dbget-bin/www_bget?ec:" &amp; E1432, "https://www.kegg.jp/dbget-bin/www_bget?ec:" &amp; E1432), "")</f>
        <v/>
      </c>
      <c r="G1432" s="3"/>
      <c r="H1432" s="1" t="str">
        <f>IF(G1432&lt;&gt;"", HYPERLINK("https://www.kegg.jp/entry/" &amp; G1432, "https://www.kegg.jp/entry/" &amp; G1432), "")</f>
        <v/>
      </c>
    </row>
    <row r="1433" spans="1:10" x14ac:dyDescent="0.25">
      <c r="A1433" t="s">
        <v>2661</v>
      </c>
      <c r="B1433">
        <v>247</v>
      </c>
      <c r="C1433" t="s">
        <v>2662</v>
      </c>
      <c r="E1433" s="5" t="s">
        <v>6828</v>
      </c>
      <c r="F1433" s="1" t="str">
        <f>IF(E1433&lt;&gt;"", HYPERLINK("https://www.kegg.jp/dbget-bin/www_bget?ec:" &amp; E1433, "https://www.kegg.jp/dbget-bin/www_bget?ec:" &amp; E1433), "")</f>
        <v>https://www.kegg.jp/dbget-bin/www_bget?ec:2.1.1.133</v>
      </c>
      <c r="G1433" s="3" t="s">
        <v>7194</v>
      </c>
      <c r="H1433" s="1" t="str">
        <f>IF(G1433&lt;&gt;"", HYPERLINK("https://www.kegg.jp/entry/" &amp; G1433, "https://www.kegg.jp/entry/" &amp; G1433), "")</f>
        <v>https://www.kegg.jp/entry/R05181</v>
      </c>
      <c r="I1433" t="s">
        <v>8256</v>
      </c>
      <c r="J1433" t="s">
        <v>8529</v>
      </c>
    </row>
    <row r="1434" spans="1:10" x14ac:dyDescent="0.25">
      <c r="A1434" t="s">
        <v>2664</v>
      </c>
      <c r="B1434">
        <v>225</v>
      </c>
      <c r="C1434" t="s">
        <v>2665</v>
      </c>
      <c r="E1434" s="5" t="s">
        <v>6829</v>
      </c>
      <c r="F1434" s="1" t="str">
        <f>IF(E1434&lt;&gt;"", HYPERLINK("https://www.kegg.jp/dbget-bin/www_bget?ec:" &amp; E1434, "https://www.kegg.jp/dbget-bin/www_bget?ec:" &amp; E1434), "")</f>
        <v>https://www.kegg.jp/dbget-bin/www_bget?ec:2.1.1.130</v>
      </c>
      <c r="G1434" s="3" t="s">
        <v>7195</v>
      </c>
      <c r="H1434" s="1" t="str">
        <f>IF(G1434&lt;&gt;"", HYPERLINK("https://www.kegg.jp/entry/" &amp; G1434, "https://www.kegg.jp/entry/" &amp; G1434), "")</f>
        <v>https://www.kegg.jp/entry/R03948</v>
      </c>
      <c r="I1434" t="s">
        <v>8257</v>
      </c>
      <c r="J1434" t="s">
        <v>13302</v>
      </c>
    </row>
    <row r="1435" spans="1:10" hidden="1" x14ac:dyDescent="0.25">
      <c r="A1435" t="s">
        <v>2667</v>
      </c>
      <c r="B1435">
        <v>404</v>
      </c>
      <c r="C1435" t="s">
        <v>2668</v>
      </c>
      <c r="F1435" s="1" t="str">
        <f>IF(E1435&lt;&gt;"", HYPERLINK("https://www.kegg.jp/dbget-bin/www_bget?ec:" &amp; E1435, "https://www.kegg.jp/dbget-bin/www_bget?ec:" &amp; E1435), "")</f>
        <v/>
      </c>
      <c r="G1435" s="3"/>
      <c r="H1435" s="1" t="str">
        <f>IF(G1435&lt;&gt;"", HYPERLINK("https://www.kegg.jp/entry/" &amp; G1435, "https://www.kegg.jp/entry/" &amp; G1435), "")</f>
        <v/>
      </c>
    </row>
    <row r="1436" spans="1:10" x14ac:dyDescent="0.25">
      <c r="A1436" t="s">
        <v>2670</v>
      </c>
      <c r="B1436">
        <v>232</v>
      </c>
      <c r="C1436" t="s">
        <v>2671</v>
      </c>
      <c r="E1436" s="5" t="s">
        <v>6830</v>
      </c>
      <c r="F1436" s="1" t="str">
        <f>IF(E1436&lt;&gt;"", HYPERLINK("https://www.kegg.jp/dbget-bin/www_bget?ec:" &amp; E1436, "https://www.kegg.jp/dbget-bin/www_bget?ec:" &amp; E1436), "")</f>
        <v>https://www.kegg.jp/dbget-bin/www_bget?ec:5.4.99.61</v>
      </c>
      <c r="G1436" s="3" t="s">
        <v>7196</v>
      </c>
      <c r="H1436" s="1" t="str">
        <f>IF(G1436&lt;&gt;"", HYPERLINK("https://www.kegg.jp/entry/" &amp; G1436, "https://www.kegg.jp/entry/" &amp; G1436), "")</f>
        <v>https://www.kegg.jp/entry/R05177</v>
      </c>
      <c r="I1436" t="s">
        <v>8258</v>
      </c>
      <c r="J1436" t="s">
        <v>8530</v>
      </c>
    </row>
    <row r="1437" spans="1:10" hidden="1" x14ac:dyDescent="0.25">
      <c r="A1437" t="s">
        <v>2673</v>
      </c>
      <c r="B1437">
        <v>366</v>
      </c>
      <c r="C1437" t="s">
        <v>2674</v>
      </c>
      <c r="F1437" s="1" t="str">
        <f>IF(E1437&lt;&gt;"", HYPERLINK("https://www.kegg.jp/dbget-bin/www_bget?ec:" &amp; E1437, "https://www.kegg.jp/dbget-bin/www_bget?ec:" &amp; E1437), "")</f>
        <v/>
      </c>
      <c r="G1437" s="3"/>
      <c r="H1437" s="1" t="str">
        <f>IF(G1437&lt;&gt;"", HYPERLINK("https://www.kegg.jp/entry/" &amp; G1437, "https://www.kegg.jp/entry/" &amp; G1437), "")</f>
        <v/>
      </c>
    </row>
    <row r="1438" spans="1:10" hidden="1" x14ac:dyDescent="0.25">
      <c r="A1438" t="s">
        <v>2676</v>
      </c>
      <c r="B1438">
        <v>220</v>
      </c>
      <c r="C1438" t="s">
        <v>2677</v>
      </c>
      <c r="F1438" s="1" t="str">
        <f>IF(E1438&lt;&gt;"", HYPERLINK("https://www.kegg.jp/dbget-bin/www_bget?ec:" &amp; E1438, "https://www.kegg.jp/dbget-bin/www_bget?ec:" &amp; E1438), "")</f>
        <v/>
      </c>
      <c r="G1438" s="3"/>
      <c r="H1438" s="1" t="str">
        <f>IF(G1438&lt;&gt;"", HYPERLINK("https://www.kegg.jp/entry/" &amp; G1438, "https://www.kegg.jp/entry/" &amp; G1438), "")</f>
        <v/>
      </c>
    </row>
    <row r="1439" spans="1:10" x14ac:dyDescent="0.25">
      <c r="A1439" t="s">
        <v>2678</v>
      </c>
      <c r="B1439">
        <v>400</v>
      </c>
      <c r="C1439" t="s">
        <v>2679</v>
      </c>
      <c r="E1439" s="5" t="s">
        <v>6783</v>
      </c>
      <c r="F1439" s="1" t="str">
        <f>IF(E1439&lt;&gt;"", HYPERLINK("https://www.kegg.jp/dbget-bin/www_bget?ec:" &amp; E1439, "https://www.kegg.jp/dbget-bin/www_bget?ec:" &amp; E1439), "")</f>
        <v>https://www.kegg.jp/dbget-bin/www_bget?ec:2.3.1.9</v>
      </c>
      <c r="G1439" s="3" t="s">
        <v>7598</v>
      </c>
      <c r="H1439" s="1" t="str">
        <f>IF(G1439&lt;&gt;"", HYPERLINK("https://www.kegg.jp/entry/" &amp; G1439, "https://www.kegg.jp/entry/" &amp; G1439), "")</f>
        <v>https://www.kegg.jp/entry/R00238</v>
      </c>
      <c r="I1439" t="s">
        <v>8227</v>
      </c>
      <c r="J1439" t="s">
        <v>8503</v>
      </c>
    </row>
    <row r="1440" spans="1:10" x14ac:dyDescent="0.25">
      <c r="A1440" t="s">
        <v>2678</v>
      </c>
      <c r="B1440">
        <v>400</v>
      </c>
      <c r="C1440" t="s">
        <v>2679</v>
      </c>
      <c r="E1440" s="5" t="s">
        <v>6783</v>
      </c>
      <c r="F1440" s="1" t="str">
        <f>IF(E1440&lt;&gt;"", HYPERLINK("https://www.kegg.jp/dbget-bin/www_bget?ec:" &amp; E1440, "https://www.kegg.jp/dbget-bin/www_bget?ec:" &amp; E1440), "")</f>
        <v>https://www.kegg.jp/dbget-bin/www_bget?ec:2.3.1.9</v>
      </c>
      <c r="G1440" s="3" t="s">
        <v>7599</v>
      </c>
      <c r="H1440" s="1" t="str">
        <f>IF(G1440&lt;&gt;"", HYPERLINK("https://www.kegg.jp/entry/" &amp; G1440, "https://www.kegg.jp/entry/" &amp; G1440), "")</f>
        <v>https://www.kegg.jp/entry/R00927</v>
      </c>
      <c r="I1440" t="s">
        <v>13121</v>
      </c>
      <c r="J1440" t="s">
        <v>8504</v>
      </c>
    </row>
    <row r="1441" spans="1:10" x14ac:dyDescent="0.25">
      <c r="A1441" t="s">
        <v>2678</v>
      </c>
      <c r="B1441">
        <v>400</v>
      </c>
      <c r="C1441" t="s">
        <v>2679</v>
      </c>
      <c r="E1441" s="5" t="s">
        <v>6783</v>
      </c>
      <c r="F1441" s="1" t="str">
        <f>IF(E1441&lt;&gt;"", HYPERLINK("https://www.kegg.jp/dbget-bin/www_bget?ec:" &amp; E1441, "https://www.kegg.jp/dbget-bin/www_bget?ec:" &amp; E1441), "")</f>
        <v>https://www.kegg.jp/dbget-bin/www_bget?ec:2.3.1.9</v>
      </c>
      <c r="G1441" s="3" t="s">
        <v>7600</v>
      </c>
      <c r="H1441" s="1" t="str">
        <f>IF(G1441&lt;&gt;"", HYPERLINK("https://www.kegg.jp/entry/" &amp; G1441, "https://www.kegg.jp/entry/" &amp; G1441), "")</f>
        <v>https://www.kegg.jp/entry/R01177</v>
      </c>
      <c r="I1441" t="s">
        <v>8228</v>
      </c>
      <c r="J1441" t="s">
        <v>8505</v>
      </c>
    </row>
    <row r="1442" spans="1:10" x14ac:dyDescent="0.25">
      <c r="A1442" t="s">
        <v>2681</v>
      </c>
      <c r="B1442">
        <v>494</v>
      </c>
      <c r="C1442" t="s">
        <v>2682</v>
      </c>
      <c r="E1442" s="5" t="s">
        <v>6831</v>
      </c>
      <c r="F1442" s="1" t="str">
        <f>IF(E1442&lt;&gt;"", HYPERLINK("https://www.kegg.jp/dbget-bin/www_bget?ec:" &amp; E1442, "https://www.kegg.jp/dbget-bin/www_bget?ec:" &amp; E1442), "")</f>
        <v>https://www.kegg.jp/dbget-bin/www_bget?ec:1.4.3.16</v>
      </c>
      <c r="G1442" s="3" t="s">
        <v>7708</v>
      </c>
      <c r="H1442" s="1" t="str">
        <f>IF(G1442&lt;&gt;"", HYPERLINK("https://www.kegg.jp/entry/" &amp; G1442, "https://www.kegg.jp/entry/" &amp; G1442), "")</f>
        <v>https://www.kegg.jp/entry/R00481</v>
      </c>
      <c r="I1442" t="s">
        <v>13303</v>
      </c>
      <c r="J1442" t="s">
        <v>13304</v>
      </c>
    </row>
    <row r="1443" spans="1:10" x14ac:dyDescent="0.25">
      <c r="A1443" t="s">
        <v>2681</v>
      </c>
      <c r="B1443">
        <v>494</v>
      </c>
      <c r="C1443" t="s">
        <v>2682</v>
      </c>
      <c r="E1443" s="5" t="s">
        <v>6831</v>
      </c>
      <c r="F1443" s="1" t="str">
        <f>IF(E1443&lt;&gt;"", HYPERLINK("https://www.kegg.jp/dbget-bin/www_bget?ec:" &amp; E1443, "https://www.kegg.jp/dbget-bin/www_bget?ec:" &amp; E1443), "")</f>
        <v>https://www.kegg.jp/dbget-bin/www_bget?ec:1.4.3.16</v>
      </c>
      <c r="G1443" s="3" t="s">
        <v>7709</v>
      </c>
      <c r="H1443" s="1" t="str">
        <f>IF(G1443&lt;&gt;"", HYPERLINK("https://www.kegg.jp/entry/" &amp; G1443, "https://www.kegg.jp/entry/" &amp; G1443), "")</f>
        <v>https://www.kegg.jp/entry/R00357</v>
      </c>
      <c r="I1443" t="s">
        <v>13305</v>
      </c>
      <c r="J1443" t="s">
        <v>13306</v>
      </c>
    </row>
    <row r="1444" spans="1:10" x14ac:dyDescent="0.25">
      <c r="A1444" t="s">
        <v>2684</v>
      </c>
      <c r="B1444">
        <v>307</v>
      </c>
      <c r="C1444" t="s">
        <v>2685</v>
      </c>
      <c r="E1444" s="5" t="s">
        <v>6832</v>
      </c>
      <c r="F1444" s="1" t="str">
        <f>IF(E1444&lt;&gt;"", HYPERLINK("https://www.kegg.jp/dbget-bin/www_bget?ec:" &amp; E1444, "https://www.kegg.jp/dbget-bin/www_bget?ec:" &amp; E1444), "")</f>
        <v>https://www.kegg.jp/dbget-bin/www_bget?ec:2.5.1.72</v>
      </c>
      <c r="G1444" s="3" t="s">
        <v>7197</v>
      </c>
      <c r="H1444" s="1" t="str">
        <f>IF(G1444&lt;&gt;"", HYPERLINK("https://www.kegg.jp/entry/" &amp; G1444, "https://www.kegg.jp/entry/" &amp; G1444), "")</f>
        <v>https://www.kegg.jp/entry/R04292</v>
      </c>
      <c r="I1444" t="s">
        <v>13307</v>
      </c>
      <c r="J1444" t="s">
        <v>13308</v>
      </c>
    </row>
    <row r="1445" spans="1:10" hidden="1" x14ac:dyDescent="0.25">
      <c r="A1445" t="s">
        <v>2687</v>
      </c>
      <c r="B1445">
        <v>136</v>
      </c>
      <c r="C1445" t="s">
        <v>2688</v>
      </c>
      <c r="F1445" s="1" t="str">
        <f>IF(E1445&lt;&gt;"", HYPERLINK("https://www.kegg.jp/dbget-bin/www_bget?ec:" &amp; E1445, "https://www.kegg.jp/dbget-bin/www_bget?ec:" &amp; E1445), "")</f>
        <v/>
      </c>
      <c r="G1445" s="3"/>
      <c r="H1445" s="1" t="str">
        <f>IF(G1445&lt;&gt;"", HYPERLINK("https://www.kegg.jp/entry/" &amp; G1445, "https://www.kegg.jp/entry/" &amp; G1445), "")</f>
        <v/>
      </c>
    </row>
    <row r="1446" spans="1:10" hidden="1" x14ac:dyDescent="0.25">
      <c r="A1446" t="s">
        <v>2689</v>
      </c>
      <c r="B1446">
        <v>84</v>
      </c>
      <c r="C1446" t="s">
        <v>2690</v>
      </c>
      <c r="F1446" s="1" t="str">
        <f>IF(E1446&lt;&gt;"", HYPERLINK("https://www.kegg.jp/dbget-bin/www_bget?ec:" &amp; E1446, "https://www.kegg.jp/dbget-bin/www_bget?ec:" &amp; E1446), "")</f>
        <v/>
      </c>
      <c r="G1446" s="3"/>
      <c r="H1446" s="1" t="str">
        <f>IF(G1446&lt;&gt;"", HYPERLINK("https://www.kegg.jp/entry/" &amp; G1446, "https://www.kegg.jp/entry/" &amp; G1446), "")</f>
        <v/>
      </c>
    </row>
    <row r="1447" spans="1:10" x14ac:dyDescent="0.25">
      <c r="A1447" t="s">
        <v>2692</v>
      </c>
      <c r="B1447">
        <v>279</v>
      </c>
      <c r="C1447" t="s">
        <v>2693</v>
      </c>
      <c r="E1447" s="5" t="s">
        <v>6833</v>
      </c>
      <c r="F1447" s="1" t="str">
        <f>IF(E1447&lt;&gt;"", HYPERLINK("https://www.kegg.jp/dbget-bin/www_bget?ec:" &amp; E1447, "https://www.kegg.jp/dbget-bin/www_bget?ec:" &amp; E1447), "")</f>
        <v>https://www.kegg.jp/dbget-bin/www_bget?ec:2.4.2.19</v>
      </c>
      <c r="G1447" s="3" t="s">
        <v>7198</v>
      </c>
      <c r="H1447" s="1" t="str">
        <f>IF(G1447&lt;&gt;"", HYPERLINK("https://www.kegg.jp/entry/" &amp; G1447, "https://www.kegg.jp/entry/" &amp; G1447), "")</f>
        <v>https://www.kegg.jp/entry/R03348</v>
      </c>
      <c r="I1447" t="s">
        <v>13309</v>
      </c>
      <c r="J1447" t="s">
        <v>13310</v>
      </c>
    </row>
    <row r="1448" spans="1:10" x14ac:dyDescent="0.25">
      <c r="A1448" t="s">
        <v>2694</v>
      </c>
      <c r="B1448">
        <v>640</v>
      </c>
      <c r="C1448" t="s">
        <v>2695</v>
      </c>
      <c r="E1448" s="5" t="s">
        <v>6718</v>
      </c>
      <c r="F1448" s="1" t="str">
        <f>IF(E1448&lt;&gt;"", HYPERLINK("https://www.kegg.jp/dbget-bin/www_bget?ec:" &amp; E1448, "https://www.kegg.jp/dbget-bin/www_bget?ec:" &amp; E1448), "")</f>
        <v>https://www.kegg.jp/dbget-bin/www_bget?ec:2.7.4.9</v>
      </c>
      <c r="G1448" s="3" t="s">
        <v>7531</v>
      </c>
      <c r="H1448" s="1" t="str">
        <f>IF(G1448&lt;&gt;"", HYPERLINK("https://www.kegg.jp/entry/" &amp; G1448, "https://www.kegg.jp/entry/" &amp; G1448), "")</f>
        <v>https://www.kegg.jp/entry/R02094</v>
      </c>
      <c r="I1448" t="s">
        <v>8192</v>
      </c>
      <c r="J1448" t="s">
        <v>8462</v>
      </c>
    </row>
    <row r="1449" spans="1:10" x14ac:dyDescent="0.25">
      <c r="A1449" t="s">
        <v>2694</v>
      </c>
      <c r="B1449">
        <v>640</v>
      </c>
      <c r="C1449" t="s">
        <v>2695</v>
      </c>
      <c r="E1449" s="5" t="s">
        <v>6718</v>
      </c>
      <c r="F1449" s="1" t="str">
        <f>IF(E1449&lt;&gt;"", HYPERLINK("https://www.kegg.jp/dbget-bin/www_bget?ec:" &amp; E1449, "https://www.kegg.jp/dbget-bin/www_bget?ec:" &amp; E1449), "")</f>
        <v>https://www.kegg.jp/dbget-bin/www_bget?ec:2.7.4.9</v>
      </c>
      <c r="G1449" s="3" t="s">
        <v>7532</v>
      </c>
      <c r="H1449" s="1" t="str">
        <f>IF(G1449&lt;&gt;"", HYPERLINK("https://www.kegg.jp/entry/" &amp; G1449, "https://www.kegg.jp/entry/" &amp; G1449), "")</f>
        <v>https://www.kegg.jp/entry/R02098</v>
      </c>
      <c r="I1449" t="s">
        <v>8193</v>
      </c>
      <c r="J1449" t="s">
        <v>8463</v>
      </c>
    </row>
    <row r="1450" spans="1:10" x14ac:dyDescent="0.25">
      <c r="A1450" t="s">
        <v>2697</v>
      </c>
      <c r="B1450">
        <v>494</v>
      </c>
      <c r="C1450" t="s">
        <v>2698</v>
      </c>
      <c r="E1450" s="5" t="s">
        <v>6834</v>
      </c>
      <c r="F1450" s="1" t="str">
        <f>IF(E1450&lt;&gt;"", HYPERLINK("https://www.kegg.jp/dbget-bin/www_bget?ec:" &amp; E1450, "https://www.kegg.jp/dbget-bin/www_bget?ec:" &amp; E1450), "")</f>
        <v>https://www.kegg.jp/dbget-bin/www_bget?ec:3.5.1.54</v>
      </c>
      <c r="G1450" s="3" t="s">
        <v>7199</v>
      </c>
      <c r="H1450" s="1" t="str">
        <f>IF(G1450&lt;&gt;"", HYPERLINK("https://www.kegg.jp/entry/" &amp; G1450, "https://www.kegg.jp/entry/" &amp; G1450), "")</f>
        <v>https://www.kegg.jp/entry/R00005</v>
      </c>
      <c r="I1450" t="s">
        <v>13311</v>
      </c>
      <c r="J1450" t="s">
        <v>8531</v>
      </c>
    </row>
    <row r="1451" spans="1:10" x14ac:dyDescent="0.25">
      <c r="A1451" t="s">
        <v>2700</v>
      </c>
      <c r="B1451">
        <v>514</v>
      </c>
      <c r="C1451" t="s">
        <v>2701</v>
      </c>
      <c r="E1451" s="5" t="s">
        <v>6835</v>
      </c>
      <c r="F1451" s="1" t="str">
        <f>IF(E1451&lt;&gt;"", HYPERLINK("https://www.kegg.jp/dbget-bin/www_bget?ec:" &amp; E1451, "https://www.kegg.jp/dbget-bin/www_bget?ec:" &amp; E1451), "")</f>
        <v>https://www.kegg.jp/dbget-bin/www_bget?ec:1.3.8.7</v>
      </c>
      <c r="G1451" s="3" t="s">
        <v>7710</v>
      </c>
      <c r="H1451" s="1" t="str">
        <f>IF(G1451&lt;&gt;"", HYPERLINK("https://www.kegg.jp/entry/" &amp; G1451, "https://www.kegg.jp/entry/" &amp; G1451), "")</f>
        <v>https://www.kegg.jp/entry/R00392</v>
      </c>
      <c r="I1451" t="s">
        <v>8259</v>
      </c>
      <c r="J1451" t="s">
        <v>8532</v>
      </c>
    </row>
    <row r="1452" spans="1:10" x14ac:dyDescent="0.25">
      <c r="A1452" t="s">
        <v>2700</v>
      </c>
      <c r="B1452">
        <v>514</v>
      </c>
      <c r="C1452" t="s">
        <v>2701</v>
      </c>
      <c r="E1452" s="5" t="s">
        <v>6835</v>
      </c>
      <c r="F1452" s="1" t="str">
        <f>IF(E1452&lt;&gt;"", HYPERLINK("https://www.kegg.jp/dbget-bin/www_bget?ec:" &amp; E1452, "https://www.kegg.jp/dbget-bin/www_bget?ec:" &amp; E1452), "")</f>
        <v>https://www.kegg.jp/dbget-bin/www_bget?ec:1.3.8.7</v>
      </c>
      <c r="G1452" s="3" t="s">
        <v>7364</v>
      </c>
      <c r="H1452" s="1" t="str">
        <f>IF(G1452&lt;&gt;"", HYPERLINK("https://www.kegg.jp/entry/" &amp; G1452, "https://www.kegg.jp/entry/" &amp; G1452), "")</f>
        <v>https://www.kegg.jp/entry/R01175</v>
      </c>
      <c r="I1452" t="s">
        <v>12782</v>
      </c>
      <c r="J1452" t="s">
        <v>12783</v>
      </c>
    </row>
    <row r="1453" spans="1:10" x14ac:dyDescent="0.25">
      <c r="A1453" t="s">
        <v>2700</v>
      </c>
      <c r="B1453">
        <v>514</v>
      </c>
      <c r="C1453" t="s">
        <v>2701</v>
      </c>
      <c r="E1453" s="5" t="s">
        <v>6835</v>
      </c>
      <c r="F1453" s="1" t="str">
        <f>IF(E1453&lt;&gt;"", HYPERLINK("https://www.kegg.jp/dbget-bin/www_bget?ec:" &amp; E1453, "https://www.kegg.jp/dbget-bin/www_bget?ec:" &amp; E1453), "")</f>
        <v>https://www.kegg.jp/dbget-bin/www_bget?ec:1.3.8.7</v>
      </c>
      <c r="G1453" s="3" t="s">
        <v>7716</v>
      </c>
      <c r="H1453" s="1" t="str">
        <f>IF(G1453&lt;&gt;"", HYPERLINK("https://www.kegg.jp/entry/" &amp; G1453, "https://www.kegg.jp/entry/" &amp; G1453), "")</f>
        <v>https://www.kegg.jp/entry/R01279</v>
      </c>
      <c r="I1453" t="s">
        <v>13312</v>
      </c>
      <c r="J1453" t="s">
        <v>13313</v>
      </c>
    </row>
    <row r="1454" spans="1:10" x14ac:dyDescent="0.25">
      <c r="A1454" t="s">
        <v>2700</v>
      </c>
      <c r="B1454">
        <v>514</v>
      </c>
      <c r="C1454" t="s">
        <v>2701</v>
      </c>
      <c r="E1454" s="5" t="s">
        <v>6835</v>
      </c>
      <c r="F1454" s="1" t="str">
        <f>IF(E1454&lt;&gt;"", HYPERLINK("https://www.kegg.jp/dbget-bin/www_bget?ec:" &amp; E1454, "https://www.kegg.jp/dbget-bin/www_bget?ec:" &amp; E1454), "")</f>
        <v>https://www.kegg.jp/dbget-bin/www_bget?ec:1.3.8.7</v>
      </c>
      <c r="G1454" s="3" t="s">
        <v>7715</v>
      </c>
      <c r="H1454" s="1" t="str">
        <f>IF(G1454&lt;&gt;"", HYPERLINK("https://www.kegg.jp/entry/" &amp; G1454, "https://www.kegg.jp/entry/" &amp; G1454), "")</f>
        <v>https://www.kegg.jp/entry/R03777</v>
      </c>
      <c r="I1454" t="s">
        <v>13314</v>
      </c>
      <c r="J1454" t="s">
        <v>13315</v>
      </c>
    </row>
    <row r="1455" spans="1:10" x14ac:dyDescent="0.25">
      <c r="A1455" t="s">
        <v>2700</v>
      </c>
      <c r="B1455">
        <v>514</v>
      </c>
      <c r="C1455" t="s">
        <v>2701</v>
      </c>
      <c r="E1455" s="5" t="s">
        <v>6835</v>
      </c>
      <c r="F1455" s="1" t="str">
        <f>IF(E1455&lt;&gt;"", HYPERLINK("https://www.kegg.jp/dbget-bin/www_bget?ec:" &amp; E1455, "https://www.kegg.jp/dbget-bin/www_bget?ec:" &amp; E1455), "")</f>
        <v>https://www.kegg.jp/dbget-bin/www_bget?ec:1.3.8.7</v>
      </c>
      <c r="G1455" s="3" t="s">
        <v>7714</v>
      </c>
      <c r="H1455" s="1" t="str">
        <f>IF(G1455&lt;&gt;"", HYPERLINK("https://www.kegg.jp/entry/" &amp; G1455, "https://www.kegg.jp/entry/" &amp; G1455), "")</f>
        <v>https://www.kegg.jp/entry/R03857</v>
      </c>
      <c r="I1455" t="s">
        <v>13316</v>
      </c>
      <c r="J1455" t="s">
        <v>13317</v>
      </c>
    </row>
    <row r="1456" spans="1:10" x14ac:dyDescent="0.25">
      <c r="A1456" t="s">
        <v>2700</v>
      </c>
      <c r="B1456">
        <v>514</v>
      </c>
      <c r="C1456" t="s">
        <v>2701</v>
      </c>
      <c r="E1456" s="5" t="s">
        <v>6835</v>
      </c>
      <c r="F1456" s="1" t="str">
        <f>IF(E1456&lt;&gt;"", HYPERLINK("https://www.kegg.jp/dbget-bin/www_bget?ec:" &amp; E1456, "https://www.kegg.jp/dbget-bin/www_bget?ec:" &amp; E1456), "")</f>
        <v>https://www.kegg.jp/dbget-bin/www_bget?ec:1.3.8.7</v>
      </c>
      <c r="G1456" s="3" t="s">
        <v>7713</v>
      </c>
      <c r="H1456" s="1" t="str">
        <f>IF(G1456&lt;&gt;"", HYPERLINK("https://www.kegg.jp/entry/" &amp; G1456, "https://www.kegg.jp/entry/" &amp; G1456), "")</f>
        <v>https://www.kegg.jp/entry/R03990</v>
      </c>
      <c r="I1456" t="s">
        <v>13318</v>
      </c>
      <c r="J1456" t="s">
        <v>13319</v>
      </c>
    </row>
    <row r="1457" spans="1:10" x14ac:dyDescent="0.25">
      <c r="A1457" t="s">
        <v>2700</v>
      </c>
      <c r="B1457">
        <v>514</v>
      </c>
      <c r="C1457" t="s">
        <v>2701</v>
      </c>
      <c r="E1457" s="5" t="s">
        <v>6835</v>
      </c>
      <c r="F1457" s="1" t="str">
        <f>IF(E1457&lt;&gt;"", HYPERLINK("https://www.kegg.jp/dbget-bin/www_bget?ec:" &amp; E1457, "https://www.kegg.jp/dbget-bin/www_bget?ec:" &amp; E1457), "")</f>
        <v>https://www.kegg.jp/dbget-bin/www_bget?ec:1.3.8.7</v>
      </c>
      <c r="G1457" s="3" t="s">
        <v>7712</v>
      </c>
      <c r="H1457" s="1" t="str">
        <f>IF(G1457&lt;&gt;"", HYPERLINK("https://www.kegg.jp/entry/" &amp; G1457, "https://www.kegg.jp/entry/" &amp; G1457), "")</f>
        <v>https://www.kegg.jp/entry/R04095</v>
      </c>
      <c r="I1457" t="s">
        <v>13320</v>
      </c>
      <c r="J1457" t="s">
        <v>13321</v>
      </c>
    </row>
    <row r="1458" spans="1:10" x14ac:dyDescent="0.25">
      <c r="A1458" t="s">
        <v>2700</v>
      </c>
      <c r="B1458">
        <v>514</v>
      </c>
      <c r="C1458" t="s">
        <v>2701</v>
      </c>
      <c r="E1458" s="5" t="s">
        <v>6835</v>
      </c>
      <c r="F1458" s="1" t="str">
        <f>IF(E1458&lt;&gt;"", HYPERLINK("https://www.kegg.jp/dbget-bin/www_bget?ec:" &amp; E1458, "https://www.kegg.jp/dbget-bin/www_bget?ec:" &amp; E1458), "")</f>
        <v>https://www.kegg.jp/dbget-bin/www_bget?ec:1.3.8.7</v>
      </c>
      <c r="G1458" s="3" t="s">
        <v>7363</v>
      </c>
      <c r="H1458" s="1" t="str">
        <f>IF(G1458&lt;&gt;"", HYPERLINK("https://www.kegg.jp/entry/" &amp; G1458, "https://www.kegg.jp/entry/" &amp; G1458), "")</f>
        <v>https://www.kegg.jp/entry/R04751</v>
      </c>
      <c r="I1458" t="s">
        <v>12784</v>
      </c>
      <c r="J1458" t="s">
        <v>12785</v>
      </c>
    </row>
    <row r="1459" spans="1:10" x14ac:dyDescent="0.25">
      <c r="A1459" t="s">
        <v>2700</v>
      </c>
      <c r="B1459">
        <v>514</v>
      </c>
      <c r="C1459" t="s">
        <v>2701</v>
      </c>
      <c r="E1459" s="5" t="s">
        <v>6835</v>
      </c>
      <c r="F1459" s="1" t="str">
        <f>IF(E1459&lt;&gt;"", HYPERLINK("https://www.kegg.jp/dbget-bin/www_bget?ec:" &amp; E1459, "https://www.kegg.jp/dbget-bin/www_bget?ec:" &amp; E1459), "")</f>
        <v>https://www.kegg.jp/dbget-bin/www_bget?ec:1.3.8.7</v>
      </c>
      <c r="G1459" s="3" t="s">
        <v>7711</v>
      </c>
      <c r="H1459" s="1" t="str">
        <f>IF(G1459&lt;&gt;"", HYPERLINK("https://www.kegg.jp/entry/" &amp; G1459, "https://www.kegg.jp/entry/" &amp; G1459), "")</f>
        <v>https://www.kegg.jp/entry/R04754</v>
      </c>
      <c r="I1459" t="s">
        <v>13322</v>
      </c>
      <c r="J1459" t="s">
        <v>13323</v>
      </c>
    </row>
    <row r="1460" spans="1:10" x14ac:dyDescent="0.25">
      <c r="A1460" t="s">
        <v>2700</v>
      </c>
      <c r="B1460">
        <v>514</v>
      </c>
      <c r="C1460" t="s">
        <v>2701</v>
      </c>
      <c r="E1460" s="5" t="s">
        <v>6835</v>
      </c>
      <c r="F1460" s="1" t="str">
        <f>IF(E1460&lt;&gt;"", HYPERLINK("https://www.kegg.jp/dbget-bin/www_bget?ec:" &amp; E1460, "https://www.kegg.jp/dbget-bin/www_bget?ec:" &amp; E1460), "")</f>
        <v>https://www.kegg.jp/dbget-bin/www_bget?ec:1.3.8.7</v>
      </c>
      <c r="G1460" s="3" t="s">
        <v>7362</v>
      </c>
      <c r="H1460" s="1" t="str">
        <f>IF(G1460&lt;&gt;"", HYPERLINK("https://www.kegg.jp/entry/" &amp; G1460, "https://www.kegg.jp/entry/" &amp; G1460), "")</f>
        <v>https://www.kegg.jp/entry/R02661</v>
      </c>
      <c r="I1460" t="s">
        <v>12786</v>
      </c>
      <c r="J1460" t="s">
        <v>12787</v>
      </c>
    </row>
    <row r="1461" spans="1:10" x14ac:dyDescent="0.25">
      <c r="A1461" t="s">
        <v>2700</v>
      </c>
      <c r="B1461">
        <v>514</v>
      </c>
      <c r="C1461" t="s">
        <v>2701</v>
      </c>
      <c r="E1461" s="5" t="s">
        <v>6835</v>
      </c>
      <c r="F1461" s="1" t="str">
        <f>IF(E1461&lt;&gt;"", HYPERLINK("https://www.kegg.jp/dbget-bin/www_bget?ec:" &amp; E1461, "https://www.kegg.jp/dbget-bin/www_bget?ec:" &amp; E1461), "")</f>
        <v>https://www.kegg.jp/dbget-bin/www_bget?ec:1.3.8.7</v>
      </c>
      <c r="G1461" s="3" t="s">
        <v>7361</v>
      </c>
      <c r="H1461" s="1" t="str">
        <f>IF(G1461&lt;&gt;"", HYPERLINK("https://www.kegg.jp/entry/" &amp; G1461, "https://www.kegg.jp/entry/" &amp; G1461), "")</f>
        <v>https://www.kegg.jp/entry/R03172</v>
      </c>
      <c r="I1461" t="s">
        <v>12788</v>
      </c>
      <c r="J1461" t="s">
        <v>12789</v>
      </c>
    </row>
    <row r="1462" spans="1:10" x14ac:dyDescent="0.25">
      <c r="A1462" t="s">
        <v>2703</v>
      </c>
      <c r="B1462">
        <v>570</v>
      </c>
      <c r="C1462" t="s">
        <v>2704</v>
      </c>
      <c r="E1462" s="5" t="s">
        <v>6836</v>
      </c>
      <c r="F1462" s="1" t="str">
        <f>IF(E1462&lt;&gt;"", HYPERLINK("https://www.kegg.jp/dbget-bin/www_bget?ec:" &amp; E1462, "https://www.kegg.jp/dbget-bin/www_bget?ec:" &amp; E1462), "")</f>
        <v>https://www.kegg.jp/dbget-bin/www_bget?ec:1.2.7.5</v>
      </c>
      <c r="G1462" s="3" t="s">
        <v>7717</v>
      </c>
      <c r="H1462" s="1" t="str">
        <f>IF(G1462&lt;&gt;"", HYPERLINK("https://www.kegg.jp/entry/" &amp; G1462, "https://www.kegg.jp/entry/" &amp; G1462), "")</f>
        <v>https://www.kegg.jp/entry/R07158</v>
      </c>
      <c r="I1462" t="s">
        <v>13324</v>
      </c>
      <c r="J1462" t="s">
        <v>13325</v>
      </c>
    </row>
    <row r="1463" spans="1:10" x14ac:dyDescent="0.25">
      <c r="A1463" t="s">
        <v>2703</v>
      </c>
      <c r="B1463">
        <v>570</v>
      </c>
      <c r="C1463" t="s">
        <v>2704</v>
      </c>
      <c r="E1463" s="5" t="s">
        <v>6836</v>
      </c>
      <c r="F1463" s="1" t="str">
        <f>IF(E1463&lt;&gt;"", HYPERLINK("https://www.kegg.jp/dbget-bin/www_bget?ec:" &amp; E1463, "https://www.kegg.jp/dbget-bin/www_bget?ec:" &amp; E1463), "")</f>
        <v>https://www.kegg.jp/dbget-bin/www_bget?ec:1.2.7.5</v>
      </c>
      <c r="G1463" s="3" t="s">
        <v>7718</v>
      </c>
      <c r="H1463" s="1" t="str">
        <f>IF(G1463&lt;&gt;"", HYPERLINK("https://www.kegg.jp/entry/" &amp; G1463, "https://www.kegg.jp/entry/" &amp; G1463), "")</f>
        <v>https://www.kegg.jp/entry/R08571</v>
      </c>
      <c r="I1463" t="s">
        <v>13326</v>
      </c>
      <c r="J1463" t="s">
        <v>13327</v>
      </c>
    </row>
    <row r="1464" spans="1:10" hidden="1" x14ac:dyDescent="0.25">
      <c r="A1464" t="s">
        <v>2705</v>
      </c>
      <c r="B1464">
        <v>167</v>
      </c>
      <c r="C1464" t="s">
        <v>2706</v>
      </c>
      <c r="F1464" s="1" t="str">
        <f>IF(E1464&lt;&gt;"", HYPERLINK("https://www.kegg.jp/dbget-bin/www_bget?ec:" &amp; E1464, "https://www.kegg.jp/dbget-bin/www_bget?ec:" &amp; E1464), "")</f>
        <v/>
      </c>
      <c r="G1464" s="3"/>
      <c r="H1464" s="1" t="str">
        <f>IF(G1464&lt;&gt;"", HYPERLINK("https://www.kegg.jp/entry/" &amp; G1464, "https://www.kegg.jp/entry/" &amp; G1464), "")</f>
        <v/>
      </c>
    </row>
    <row r="1465" spans="1:10" hidden="1" x14ac:dyDescent="0.25">
      <c r="A1465" t="s">
        <v>2707</v>
      </c>
      <c r="B1465">
        <v>136</v>
      </c>
      <c r="C1465" t="s">
        <v>2708</v>
      </c>
      <c r="F1465" s="1" t="str">
        <f>IF(E1465&lt;&gt;"", HYPERLINK("https://www.kegg.jp/dbget-bin/www_bget?ec:" &amp; E1465, "https://www.kegg.jp/dbget-bin/www_bget?ec:" &amp; E1465), "")</f>
        <v/>
      </c>
      <c r="G1465" s="3"/>
      <c r="H1465" s="1" t="str">
        <f>IF(G1465&lt;&gt;"", HYPERLINK("https://www.kegg.jp/entry/" &amp; G1465, "https://www.kegg.jp/entry/" &amp; G1465), "")</f>
        <v/>
      </c>
    </row>
    <row r="1466" spans="1:10" x14ac:dyDescent="0.25">
      <c r="A1466" t="s">
        <v>2710</v>
      </c>
      <c r="B1466">
        <v>554</v>
      </c>
      <c r="C1466" t="s">
        <v>2711</v>
      </c>
      <c r="E1466" s="5" t="s">
        <v>6837</v>
      </c>
      <c r="F1466" s="1" t="str">
        <f>IF(E1466&lt;&gt;"", HYPERLINK("https://www.kegg.jp/dbget-bin/www_bget?ec:" &amp; E1466, "https://www.kegg.jp/dbget-bin/www_bget?ec:" &amp; E1466), "")</f>
        <v>https://www.kegg.jp/dbget-bin/www_bget?ec:5.3.3.2</v>
      </c>
      <c r="G1466" s="3" t="s">
        <v>7200</v>
      </c>
      <c r="H1466" s="1" t="str">
        <f>IF(G1466&lt;&gt;"", HYPERLINK("https://www.kegg.jp/entry/" &amp; G1466, "https://www.kegg.jp/entry/" &amp; G1466), "")</f>
        <v>https://www.kegg.jp/entry/R01123</v>
      </c>
      <c r="I1466" t="s">
        <v>8260</v>
      </c>
      <c r="J1466" t="s">
        <v>8533</v>
      </c>
    </row>
    <row r="1467" spans="1:10" x14ac:dyDescent="0.25">
      <c r="A1467" t="s">
        <v>2713</v>
      </c>
      <c r="B1467">
        <v>438</v>
      </c>
      <c r="C1467" t="s">
        <v>2714</v>
      </c>
      <c r="E1467" s="5" t="s">
        <v>6838</v>
      </c>
      <c r="F1467" s="1" t="str">
        <f>IF(E1467&lt;&gt;"", HYPERLINK("https://www.kegg.jp/dbget-bin/www_bget?ec:" &amp; E1467, "https://www.kegg.jp/dbget-bin/www_bget?ec:" &amp; E1467), "")</f>
        <v>https://www.kegg.jp/dbget-bin/www_bget?ec:2.6.1.18</v>
      </c>
      <c r="G1467" s="3" t="s">
        <v>7719</v>
      </c>
      <c r="H1467" s="1" t="str">
        <f>IF(G1467&lt;&gt;"", HYPERLINK("https://www.kegg.jp/entry/" &amp; G1467, "https://www.kegg.jp/entry/" &amp; G1467), "")</f>
        <v>https://www.kegg.jp/entry/R00907</v>
      </c>
      <c r="I1467" t="s">
        <v>8261</v>
      </c>
      <c r="J1467" t="s">
        <v>8534</v>
      </c>
    </row>
    <row r="1468" spans="1:10" x14ac:dyDescent="0.25">
      <c r="A1468" t="s">
        <v>2713</v>
      </c>
      <c r="B1468">
        <v>438</v>
      </c>
      <c r="C1468" t="s">
        <v>2714</v>
      </c>
      <c r="E1468" s="5" t="s">
        <v>6838</v>
      </c>
      <c r="F1468" s="1" t="str">
        <f>IF(E1468&lt;&gt;"", HYPERLINK("https://www.kegg.jp/dbget-bin/www_bget?ec:" &amp; E1468, "https://www.kegg.jp/dbget-bin/www_bget?ec:" &amp; E1468), "")</f>
        <v>https://www.kegg.jp/dbget-bin/www_bget?ec:2.6.1.18</v>
      </c>
      <c r="G1468" s="3" t="s">
        <v>7720</v>
      </c>
      <c r="H1468" s="1" t="str">
        <f>IF(G1468&lt;&gt;"", HYPERLINK("https://www.kegg.jp/entry/" &amp; G1468, "https://www.kegg.jp/entry/" &amp; G1468), "")</f>
        <v>https://www.kegg.jp/entry/R04187</v>
      </c>
      <c r="I1468" t="s">
        <v>8262</v>
      </c>
      <c r="J1468" t="s">
        <v>8535</v>
      </c>
    </row>
    <row r="1469" spans="1:10" hidden="1" x14ac:dyDescent="0.25">
      <c r="A1469" t="s">
        <v>2715</v>
      </c>
      <c r="B1469">
        <v>528</v>
      </c>
      <c r="C1469" t="s">
        <v>2716</v>
      </c>
      <c r="F1469" s="1" t="str">
        <f>IF(E1469&lt;&gt;"", HYPERLINK("https://www.kegg.jp/dbget-bin/www_bget?ec:" &amp; E1469, "https://www.kegg.jp/dbget-bin/www_bget?ec:" &amp; E1469), "")</f>
        <v/>
      </c>
      <c r="G1469" s="3"/>
      <c r="H1469" s="1" t="str">
        <f>IF(G1469&lt;&gt;"", HYPERLINK("https://www.kegg.jp/entry/" &amp; G1469, "https://www.kegg.jp/entry/" &amp; G1469), "")</f>
        <v/>
      </c>
    </row>
    <row r="1470" spans="1:10" hidden="1" x14ac:dyDescent="0.25">
      <c r="A1470" t="s">
        <v>2717</v>
      </c>
      <c r="B1470">
        <v>234</v>
      </c>
      <c r="C1470" t="s">
        <v>2718</v>
      </c>
      <c r="F1470" s="1" t="str">
        <f>IF(E1470&lt;&gt;"", HYPERLINK("https://www.kegg.jp/dbget-bin/www_bget?ec:" &amp; E1470, "https://www.kegg.jp/dbget-bin/www_bget?ec:" &amp; E1470), "")</f>
        <v/>
      </c>
      <c r="G1470" s="3"/>
      <c r="H1470" s="1" t="str">
        <f>IF(G1470&lt;&gt;"", HYPERLINK("https://www.kegg.jp/entry/" &amp; G1470, "https://www.kegg.jp/entry/" &amp; G1470), "")</f>
        <v/>
      </c>
    </row>
    <row r="1471" spans="1:10" hidden="1" x14ac:dyDescent="0.25">
      <c r="A1471" t="s">
        <v>2719</v>
      </c>
      <c r="B1471">
        <v>54</v>
      </c>
      <c r="C1471" t="s">
        <v>2720</v>
      </c>
      <c r="F1471" s="1" t="str">
        <f>IF(E1471&lt;&gt;"", HYPERLINK("https://www.kegg.jp/dbget-bin/www_bget?ec:" &amp; E1471, "https://www.kegg.jp/dbget-bin/www_bget?ec:" &amp; E1471), "")</f>
        <v/>
      </c>
      <c r="G1471" s="3"/>
      <c r="H1471" s="1" t="str">
        <f>IF(G1471&lt;&gt;"", HYPERLINK("https://www.kegg.jp/entry/" &amp; G1471, "https://www.kegg.jp/entry/" &amp; G1471), "")</f>
        <v/>
      </c>
    </row>
    <row r="1472" spans="1:10" hidden="1" x14ac:dyDescent="0.25">
      <c r="A1472" t="s">
        <v>2722</v>
      </c>
      <c r="B1472">
        <v>284</v>
      </c>
      <c r="C1472" t="s">
        <v>2723</v>
      </c>
      <c r="F1472" s="1" t="str">
        <f>IF(E1472&lt;&gt;"", HYPERLINK("https://www.kegg.jp/dbget-bin/www_bget?ec:" &amp; E1472, "https://www.kegg.jp/dbget-bin/www_bget?ec:" &amp; E1472), "")</f>
        <v/>
      </c>
      <c r="G1472" s="3"/>
      <c r="H1472" s="1" t="str">
        <f>IF(G1472&lt;&gt;"", HYPERLINK("https://www.kegg.jp/entry/" &amp; G1472, "https://www.kegg.jp/entry/" &amp; G1472), "")</f>
        <v/>
      </c>
    </row>
    <row r="1473" spans="1:10" x14ac:dyDescent="0.25">
      <c r="A1473" t="s">
        <v>2725</v>
      </c>
      <c r="B1473">
        <v>347</v>
      </c>
      <c r="C1473" t="s">
        <v>2726</v>
      </c>
      <c r="E1473" s="5" t="s">
        <v>6839</v>
      </c>
      <c r="F1473" s="1" t="str">
        <f>IF(E1473&lt;&gt;"", HYPERLINK("https://www.kegg.jp/dbget-bin/www_bget?ec:" &amp; E1473, "https://www.kegg.jp/dbget-bin/www_bget?ec:" &amp; E1473), "")</f>
        <v>https://www.kegg.jp/dbget-bin/www_bget?ec:2.7.1.6</v>
      </c>
      <c r="G1473" s="3" t="s">
        <v>7201</v>
      </c>
      <c r="H1473" s="1" t="str">
        <f>IF(G1473&lt;&gt;"", HYPERLINK("https://www.kegg.jp/entry/" &amp; G1473, "https://www.kegg.jp/entry/" &amp; G1473), "")</f>
        <v>https://www.kegg.jp/entry/R01092</v>
      </c>
      <c r="I1473" t="s">
        <v>8263</v>
      </c>
      <c r="J1473" t="s">
        <v>8536</v>
      </c>
    </row>
    <row r="1474" spans="1:10" hidden="1" x14ac:dyDescent="0.25">
      <c r="A1474" t="s">
        <v>2728</v>
      </c>
      <c r="B1474">
        <v>41</v>
      </c>
      <c r="C1474" t="s">
        <v>2729</v>
      </c>
      <c r="E1474" s="5" t="s">
        <v>6840</v>
      </c>
      <c r="F1474" s="1" t="str">
        <f>IF(E1474&lt;&gt;"", HYPERLINK("https://www.kegg.jp/dbget-bin/www_bget?ec:" &amp; E1474, "https://www.kegg.jp/dbget-bin/www_bget?ec:" &amp; E1474), "")</f>
        <v>https://www.kegg.jp/dbget-bin/www_bget?ec:1.6.5.3</v>
      </c>
      <c r="G1474" s="3"/>
      <c r="H1474" s="1" t="str">
        <f>IF(G1474&lt;&gt;"", HYPERLINK("https://www.kegg.jp/entry/" &amp; G1474, "https://www.kegg.jp/entry/" &amp; G1474), "")</f>
        <v/>
      </c>
    </row>
    <row r="1475" spans="1:10" hidden="1" x14ac:dyDescent="0.25">
      <c r="A1475" t="s">
        <v>2730</v>
      </c>
      <c r="B1475">
        <v>49</v>
      </c>
      <c r="C1475" t="s">
        <v>2731</v>
      </c>
      <c r="E1475" s="5" t="s">
        <v>6840</v>
      </c>
      <c r="F1475" s="1" t="str">
        <f>IF(E1475&lt;&gt;"", HYPERLINK("https://www.kegg.jp/dbget-bin/www_bget?ec:" &amp; E1475, "https://www.kegg.jp/dbget-bin/www_bget?ec:" &amp; E1475), "")</f>
        <v>https://www.kegg.jp/dbget-bin/www_bget?ec:1.6.5.3</v>
      </c>
      <c r="G1475" s="3"/>
      <c r="H1475" s="1" t="str">
        <f>IF(G1475&lt;&gt;"", HYPERLINK("https://www.kegg.jp/entry/" &amp; G1475, "https://www.kegg.jp/entry/" &amp; G1475), "")</f>
        <v/>
      </c>
    </row>
    <row r="1476" spans="1:10" hidden="1" x14ac:dyDescent="0.25">
      <c r="A1476" t="s">
        <v>2733</v>
      </c>
      <c r="B1476">
        <v>80</v>
      </c>
      <c r="C1476" t="s">
        <v>2734</v>
      </c>
      <c r="E1476" s="5" t="s">
        <v>6841</v>
      </c>
      <c r="F1476" s="1" t="str">
        <f>IF(E1476&lt;&gt;"", HYPERLINK("https://www.kegg.jp/dbget-bin/www_bget?ec:" &amp; E1476, "https://www.kegg.jp/dbget-bin/www_bget?ec:" &amp; E1476), "")</f>
        <v>https://www.kegg.jp/dbget-bin/www_bget?ec:1.2.1.2</v>
      </c>
      <c r="G1476" s="3"/>
      <c r="H1476" s="1" t="str">
        <f>IF(G1476&lt;&gt;"", HYPERLINK("https://www.kegg.jp/entry/" &amp; G1476, "https://www.kegg.jp/entry/" &amp; G1476), "")</f>
        <v/>
      </c>
    </row>
    <row r="1477" spans="1:10" hidden="1" x14ac:dyDescent="0.25">
      <c r="A1477" t="s">
        <v>2736</v>
      </c>
      <c r="B1477">
        <v>358</v>
      </c>
      <c r="C1477" t="s">
        <v>2737</v>
      </c>
      <c r="F1477" s="1" t="str">
        <f>IF(E1477&lt;&gt;"", HYPERLINK("https://www.kegg.jp/dbget-bin/www_bget?ec:" &amp; E1477, "https://www.kegg.jp/dbget-bin/www_bget?ec:" &amp; E1477), "")</f>
        <v/>
      </c>
      <c r="G1477" s="3"/>
      <c r="H1477" s="1" t="str">
        <f>IF(G1477&lt;&gt;"", HYPERLINK("https://www.kegg.jp/entry/" &amp; G1477, "https://www.kegg.jp/entry/" &amp; G1477), "")</f>
        <v/>
      </c>
    </row>
    <row r="1478" spans="1:10" hidden="1" x14ac:dyDescent="0.25">
      <c r="A1478" t="s">
        <v>2738</v>
      </c>
      <c r="B1478">
        <v>106</v>
      </c>
      <c r="C1478" t="s">
        <v>2739</v>
      </c>
      <c r="F1478" s="1" t="str">
        <f>IF(E1478&lt;&gt;"", HYPERLINK("https://www.kegg.jp/dbget-bin/www_bget?ec:" &amp; E1478, "https://www.kegg.jp/dbget-bin/www_bget?ec:" &amp; E1478), "")</f>
        <v/>
      </c>
      <c r="G1478" s="3"/>
      <c r="H1478" s="1" t="str">
        <f>IF(G1478&lt;&gt;"", HYPERLINK("https://www.kegg.jp/entry/" &amp; G1478, "https://www.kegg.jp/entry/" &amp; G1478), "")</f>
        <v/>
      </c>
    </row>
    <row r="1479" spans="1:10" hidden="1" x14ac:dyDescent="0.25">
      <c r="A1479" t="s">
        <v>2740</v>
      </c>
      <c r="B1479">
        <v>958</v>
      </c>
      <c r="C1479" t="s">
        <v>2741</v>
      </c>
      <c r="F1479" s="1" t="str">
        <f>IF(E1479&lt;&gt;"", HYPERLINK("https://www.kegg.jp/dbget-bin/www_bget?ec:" &amp; E1479, "https://www.kegg.jp/dbget-bin/www_bget?ec:" &amp; E1479), "")</f>
        <v/>
      </c>
      <c r="G1479" s="3"/>
      <c r="H1479" s="1" t="str">
        <f>IF(G1479&lt;&gt;"", HYPERLINK("https://www.kegg.jp/entry/" &amp; G1479, "https://www.kegg.jp/entry/" &amp; G1479), "")</f>
        <v/>
      </c>
    </row>
    <row r="1480" spans="1:10" x14ac:dyDescent="0.25">
      <c r="A1480" t="s">
        <v>2743</v>
      </c>
      <c r="B1480">
        <v>381</v>
      </c>
      <c r="C1480" t="s">
        <v>2744</v>
      </c>
      <c r="E1480" s="5" t="s">
        <v>6627</v>
      </c>
      <c r="F1480" s="1" t="str">
        <f>IF(E1480&lt;&gt;"", HYPERLINK("https://www.kegg.jp/dbget-bin/www_bget?ec:" &amp; E1480, "https://www.kegg.jp/dbget-bin/www_bget?ec:" &amp; E1480), "")</f>
        <v>https://www.kegg.jp/dbget-bin/www_bget?ec:1.3.8.1</v>
      </c>
      <c r="G1480" s="3" t="s">
        <v>7359</v>
      </c>
      <c r="H1480" s="1" t="str">
        <f>IF(G1480&lt;&gt;"", HYPERLINK("https://www.kegg.jp/entry/" &amp; G1480, "https://www.kegg.jp/entry/" &amp; G1480), "")</f>
        <v>https://www.kegg.jp/entry/R01178</v>
      </c>
      <c r="I1480" t="s">
        <v>12780</v>
      </c>
      <c r="J1480" t="s">
        <v>12781</v>
      </c>
    </row>
    <row r="1481" spans="1:10" x14ac:dyDescent="0.25">
      <c r="A1481" t="s">
        <v>2743</v>
      </c>
      <c r="B1481">
        <v>381</v>
      </c>
      <c r="C1481" t="s">
        <v>2744</v>
      </c>
      <c r="E1481" s="5" t="s">
        <v>6627</v>
      </c>
      <c r="F1481" s="1" t="str">
        <f>IF(E1481&lt;&gt;"", HYPERLINK("https://www.kegg.jp/dbget-bin/www_bget?ec:" &amp; E1481, "https://www.kegg.jp/dbget-bin/www_bget?ec:" &amp; E1481), "")</f>
        <v>https://www.kegg.jp/dbget-bin/www_bget?ec:1.3.8.1</v>
      </c>
      <c r="G1481" s="3" t="s">
        <v>7364</v>
      </c>
      <c r="H1481" s="1" t="str">
        <f>IF(G1481&lt;&gt;"", HYPERLINK("https://www.kegg.jp/entry/" &amp; G1481, "https://www.kegg.jp/entry/" &amp; G1481), "")</f>
        <v>https://www.kegg.jp/entry/R01175</v>
      </c>
      <c r="I1481" t="s">
        <v>12782</v>
      </c>
      <c r="J1481" t="s">
        <v>12783</v>
      </c>
    </row>
    <row r="1482" spans="1:10" x14ac:dyDescent="0.25">
      <c r="A1482" t="s">
        <v>2743</v>
      </c>
      <c r="B1482">
        <v>381</v>
      </c>
      <c r="C1482" t="s">
        <v>2744</v>
      </c>
      <c r="E1482" s="5" t="s">
        <v>6627</v>
      </c>
      <c r="F1482" s="1" t="str">
        <f>IF(E1482&lt;&gt;"", HYPERLINK("https://www.kegg.jp/dbget-bin/www_bget?ec:" &amp; E1482, "https://www.kegg.jp/dbget-bin/www_bget?ec:" &amp; E1482), "")</f>
        <v>https://www.kegg.jp/dbget-bin/www_bget?ec:1.3.8.1</v>
      </c>
      <c r="G1482" s="3" t="s">
        <v>7363</v>
      </c>
      <c r="H1482" s="1" t="str">
        <f>IF(G1482&lt;&gt;"", HYPERLINK("https://www.kegg.jp/entry/" &amp; G1482, "https://www.kegg.jp/entry/" &amp; G1482), "")</f>
        <v>https://www.kegg.jp/entry/R04751</v>
      </c>
      <c r="I1482" t="s">
        <v>12784</v>
      </c>
      <c r="J1482" t="s">
        <v>12785</v>
      </c>
    </row>
    <row r="1483" spans="1:10" x14ac:dyDescent="0.25">
      <c r="A1483" t="s">
        <v>2743</v>
      </c>
      <c r="B1483">
        <v>381</v>
      </c>
      <c r="C1483" t="s">
        <v>2744</v>
      </c>
      <c r="E1483" s="5" t="s">
        <v>6627</v>
      </c>
      <c r="F1483" s="1" t="str">
        <f>IF(E1483&lt;&gt;"", HYPERLINK("https://www.kegg.jp/dbget-bin/www_bget?ec:" &amp; E1483, "https://www.kegg.jp/dbget-bin/www_bget?ec:" &amp; E1483), "")</f>
        <v>https://www.kegg.jp/dbget-bin/www_bget?ec:1.3.8.1</v>
      </c>
      <c r="G1483" s="3" t="s">
        <v>7362</v>
      </c>
      <c r="H1483" s="1" t="str">
        <f>IF(G1483&lt;&gt;"", HYPERLINK("https://www.kegg.jp/entry/" &amp; G1483, "https://www.kegg.jp/entry/" &amp; G1483), "")</f>
        <v>https://www.kegg.jp/entry/R02661</v>
      </c>
      <c r="I1483" t="s">
        <v>12786</v>
      </c>
      <c r="J1483" t="s">
        <v>12787</v>
      </c>
    </row>
    <row r="1484" spans="1:10" x14ac:dyDescent="0.25">
      <c r="A1484" t="s">
        <v>2743</v>
      </c>
      <c r="B1484">
        <v>381</v>
      </c>
      <c r="C1484" t="s">
        <v>2744</v>
      </c>
      <c r="E1484" s="5" t="s">
        <v>6627</v>
      </c>
      <c r="F1484" s="1" t="str">
        <f>IF(E1484&lt;&gt;"", HYPERLINK("https://www.kegg.jp/dbget-bin/www_bget?ec:" &amp; E1484, "https://www.kegg.jp/dbget-bin/www_bget?ec:" &amp; E1484), "")</f>
        <v>https://www.kegg.jp/dbget-bin/www_bget?ec:1.3.8.1</v>
      </c>
      <c r="G1484" s="3" t="s">
        <v>7361</v>
      </c>
      <c r="H1484" s="1" t="str">
        <f>IF(G1484&lt;&gt;"", HYPERLINK("https://www.kegg.jp/entry/" &amp; G1484, "https://www.kegg.jp/entry/" &amp; G1484), "")</f>
        <v>https://www.kegg.jp/entry/R03172</v>
      </c>
      <c r="I1484" t="s">
        <v>12788</v>
      </c>
      <c r="J1484" t="s">
        <v>12789</v>
      </c>
    </row>
    <row r="1485" spans="1:10" x14ac:dyDescent="0.25">
      <c r="A1485" t="s">
        <v>2743</v>
      </c>
      <c r="B1485">
        <v>381</v>
      </c>
      <c r="C1485" t="s">
        <v>2744</v>
      </c>
      <c r="E1485" s="5" t="s">
        <v>6627</v>
      </c>
      <c r="F1485" s="1" t="str">
        <f>IF(E1485&lt;&gt;"", HYPERLINK("https://www.kegg.jp/dbget-bin/www_bget?ec:" &amp; E1485, "https://www.kegg.jp/dbget-bin/www_bget?ec:" &amp; E1485), "")</f>
        <v>https://www.kegg.jp/dbget-bin/www_bget?ec:1.3.8.1</v>
      </c>
      <c r="G1485" s="3" t="s">
        <v>7360</v>
      </c>
      <c r="H1485" s="1" t="str">
        <f>IF(G1485&lt;&gt;"", HYPERLINK("https://www.kegg.jp/entry/" &amp; G1485, "https://www.kegg.jp/entry/" &amp; G1485), "")</f>
        <v>https://www.kegg.jp/entry/R04432</v>
      </c>
      <c r="I1485" t="s">
        <v>12790</v>
      </c>
      <c r="J1485" t="s">
        <v>12791</v>
      </c>
    </row>
    <row r="1486" spans="1:10" hidden="1" x14ac:dyDescent="0.25">
      <c r="A1486" t="s">
        <v>2746</v>
      </c>
      <c r="B1486">
        <v>247</v>
      </c>
      <c r="C1486" t="s">
        <v>2747</v>
      </c>
      <c r="F1486" s="1" t="str">
        <f>IF(E1486&lt;&gt;"", HYPERLINK("https://www.kegg.jp/dbget-bin/www_bget?ec:" &amp; E1486, "https://www.kegg.jp/dbget-bin/www_bget?ec:" &amp; E1486), "")</f>
        <v/>
      </c>
      <c r="G1486" s="3"/>
      <c r="H1486" s="1" t="str">
        <f>IF(G1486&lt;&gt;"", HYPERLINK("https://www.kegg.jp/entry/" &amp; G1486, "https://www.kegg.jp/entry/" &amp; G1486), "")</f>
        <v/>
      </c>
    </row>
    <row r="1487" spans="1:10" hidden="1" x14ac:dyDescent="0.25">
      <c r="A1487" t="s">
        <v>2749</v>
      </c>
      <c r="B1487">
        <v>313</v>
      </c>
      <c r="C1487" t="s">
        <v>2750</v>
      </c>
      <c r="F1487" s="1" t="str">
        <f>IF(E1487&lt;&gt;"", HYPERLINK("https://www.kegg.jp/dbget-bin/www_bget?ec:" &amp; E1487, "https://www.kegg.jp/dbget-bin/www_bget?ec:" &amp; E1487), "")</f>
        <v/>
      </c>
      <c r="G1487" s="3"/>
      <c r="H1487" s="1" t="str">
        <f>IF(G1487&lt;&gt;"", HYPERLINK("https://www.kegg.jp/entry/" &amp; G1487, "https://www.kegg.jp/entry/" &amp; G1487), "")</f>
        <v/>
      </c>
    </row>
    <row r="1488" spans="1:10" hidden="1" x14ac:dyDescent="0.25">
      <c r="A1488" t="s">
        <v>2751</v>
      </c>
      <c r="B1488">
        <v>125</v>
      </c>
      <c r="C1488" t="s">
        <v>2752</v>
      </c>
      <c r="F1488" s="1" t="str">
        <f>IF(E1488&lt;&gt;"", HYPERLINK("https://www.kegg.jp/dbget-bin/www_bget?ec:" &amp; E1488, "https://www.kegg.jp/dbget-bin/www_bget?ec:" &amp; E1488), "")</f>
        <v/>
      </c>
      <c r="G1488" s="3"/>
      <c r="H1488" s="1" t="str">
        <f>IF(G1488&lt;&gt;"", HYPERLINK("https://www.kegg.jp/entry/" &amp; G1488, "https://www.kegg.jp/entry/" &amp; G1488), "")</f>
        <v/>
      </c>
    </row>
    <row r="1489" spans="1:10" x14ac:dyDescent="0.25">
      <c r="A1489" t="s">
        <v>2753</v>
      </c>
      <c r="B1489">
        <v>524</v>
      </c>
      <c r="C1489" t="s">
        <v>2754</v>
      </c>
      <c r="E1489" s="5" t="s">
        <v>6662</v>
      </c>
      <c r="F1489" s="1" t="str">
        <f>IF(E1489&lt;&gt;"", HYPERLINK("https://www.kegg.jp/dbget-bin/www_bget?ec:" &amp; E1489, "https://www.kegg.jp/dbget-bin/www_bget?ec:" &amp; E1489), "")</f>
        <v>https://www.kegg.jp/dbget-bin/www_bget?ec:6.4.1.2</v>
      </c>
      <c r="G1489" s="3" t="s">
        <v>7108</v>
      </c>
      <c r="H1489" s="1" t="str">
        <f>IF(G1489&lt;&gt;"", HYPERLINK("https://www.kegg.jp/entry/" &amp; G1489, "https://www.kegg.jp/entry/" &amp; G1489), "")</f>
        <v>https://www.kegg.jp/entry/R00742</v>
      </c>
      <c r="I1489" t="s">
        <v>8151</v>
      </c>
      <c r="J1489" t="s">
        <v>8432</v>
      </c>
    </row>
    <row r="1490" spans="1:10" hidden="1" x14ac:dyDescent="0.25">
      <c r="A1490" t="s">
        <v>2756</v>
      </c>
      <c r="B1490">
        <v>223</v>
      </c>
      <c r="C1490" t="s">
        <v>2757</v>
      </c>
      <c r="F1490" s="1" t="str">
        <f>IF(E1490&lt;&gt;"", HYPERLINK("https://www.kegg.jp/dbget-bin/www_bget?ec:" &amp; E1490, "https://www.kegg.jp/dbget-bin/www_bget?ec:" &amp; E1490), "")</f>
        <v/>
      </c>
      <c r="G1490" s="3"/>
      <c r="H1490" s="1" t="str">
        <f>IF(G1490&lt;&gt;"", HYPERLINK("https://www.kegg.jp/entry/" &amp; G1490, "https://www.kegg.jp/entry/" &amp; G1490), "")</f>
        <v/>
      </c>
    </row>
    <row r="1491" spans="1:10" hidden="1" x14ac:dyDescent="0.25">
      <c r="A1491" t="s">
        <v>2759</v>
      </c>
      <c r="B1491">
        <v>575</v>
      </c>
      <c r="C1491" t="s">
        <v>2760</v>
      </c>
      <c r="F1491" s="1" t="str">
        <f>IF(E1491&lt;&gt;"", HYPERLINK("https://www.kegg.jp/dbget-bin/www_bget?ec:" &amp; E1491, "https://www.kegg.jp/dbget-bin/www_bget?ec:" &amp; E1491), "")</f>
        <v/>
      </c>
      <c r="G1491" s="3"/>
      <c r="H1491" s="1" t="str">
        <f>IF(G1491&lt;&gt;"", HYPERLINK("https://www.kegg.jp/entry/" &amp; G1491, "https://www.kegg.jp/entry/" &amp; G1491), "")</f>
        <v/>
      </c>
    </row>
    <row r="1492" spans="1:10" hidden="1" x14ac:dyDescent="0.25">
      <c r="A1492" t="s">
        <v>2761</v>
      </c>
      <c r="B1492">
        <v>82</v>
      </c>
      <c r="C1492" t="s">
        <v>2762</v>
      </c>
      <c r="F1492" s="1" t="str">
        <f>IF(E1492&lt;&gt;"", HYPERLINK("https://www.kegg.jp/dbget-bin/www_bget?ec:" &amp; E1492, "https://www.kegg.jp/dbget-bin/www_bget?ec:" &amp; E1492), "")</f>
        <v/>
      </c>
      <c r="G1492" s="3"/>
      <c r="H1492" s="1" t="str">
        <f>IF(G1492&lt;&gt;"", HYPERLINK("https://www.kegg.jp/entry/" &amp; G1492, "https://www.kegg.jp/entry/" &amp; G1492), "")</f>
        <v/>
      </c>
    </row>
    <row r="1493" spans="1:10" hidden="1" x14ac:dyDescent="0.25">
      <c r="A1493" t="s">
        <v>2763</v>
      </c>
      <c r="B1493">
        <v>46</v>
      </c>
      <c r="C1493" t="s">
        <v>2764</v>
      </c>
      <c r="F1493" s="1" t="str">
        <f>IF(E1493&lt;&gt;"", HYPERLINK("https://www.kegg.jp/dbget-bin/www_bget?ec:" &amp; E1493, "https://www.kegg.jp/dbget-bin/www_bget?ec:" &amp; E1493), "")</f>
        <v/>
      </c>
      <c r="G1493" s="3"/>
      <c r="H1493" s="1" t="str">
        <f>IF(G1493&lt;&gt;"", HYPERLINK("https://www.kegg.jp/entry/" &amp; G1493, "https://www.kegg.jp/entry/" &amp; G1493), "")</f>
        <v/>
      </c>
    </row>
    <row r="1494" spans="1:10" hidden="1" x14ac:dyDescent="0.25">
      <c r="A1494" t="s">
        <v>2766</v>
      </c>
      <c r="B1494">
        <v>408</v>
      </c>
      <c r="C1494" t="s">
        <v>2767</v>
      </c>
      <c r="E1494" s="5" t="s">
        <v>6842</v>
      </c>
      <c r="F1494" s="1" t="str">
        <f>IF(E1494&lt;&gt;"", HYPERLINK("https://www.kegg.jp/dbget-bin/www_bget?ec:" &amp; E1494, "https://www.kegg.jp/dbget-bin/www_bget?ec:" &amp; E1494), "")</f>
        <v>https://www.kegg.jp/dbget-bin/www_bget?ec:3.4.11.24</v>
      </c>
      <c r="G1494" s="3"/>
      <c r="H1494" s="1" t="str">
        <f>IF(G1494&lt;&gt;"", HYPERLINK("https://www.kegg.jp/entry/" &amp; G1494, "https://www.kegg.jp/entry/" &amp; G1494), "")</f>
        <v/>
      </c>
    </row>
    <row r="1495" spans="1:10" x14ac:dyDescent="0.25">
      <c r="A1495" t="s">
        <v>2769</v>
      </c>
      <c r="B1495">
        <v>412</v>
      </c>
      <c r="C1495" t="s">
        <v>2770</v>
      </c>
      <c r="E1495" s="5" t="s">
        <v>6843</v>
      </c>
      <c r="F1495" s="1" t="str">
        <f>IF(E1495&lt;&gt;"", HYPERLINK("https://www.kegg.jp/dbget-bin/www_bget?ec:" &amp; E1495, "https://www.kegg.jp/dbget-bin/www_bget?ec:" &amp; E1495), "")</f>
        <v>https://www.kegg.jp/dbget-bin/www_bget?ec:2.5.1.49</v>
      </c>
      <c r="G1495" s="3" t="s">
        <v>7721</v>
      </c>
      <c r="H1495" s="1" t="str">
        <f>IF(G1495&lt;&gt;"", HYPERLINK("https://www.kegg.jp/entry/" &amp; G1495, "https://www.kegg.jp/entry/" &amp; G1495), "")</f>
        <v>https://www.kegg.jp/entry/R00651</v>
      </c>
      <c r="I1495" t="s">
        <v>13328</v>
      </c>
      <c r="J1495" t="s">
        <v>13329</v>
      </c>
    </row>
    <row r="1496" spans="1:10" x14ac:dyDescent="0.25">
      <c r="A1496" t="s">
        <v>2769</v>
      </c>
      <c r="B1496">
        <v>412</v>
      </c>
      <c r="C1496" t="s">
        <v>2770</v>
      </c>
      <c r="E1496" s="5" t="s">
        <v>6843</v>
      </c>
      <c r="F1496" s="1" t="str">
        <f>IF(E1496&lt;&gt;"", HYPERLINK("https://www.kegg.jp/dbget-bin/www_bget?ec:" &amp; E1496, "https://www.kegg.jp/dbget-bin/www_bget?ec:" &amp; E1496), "")</f>
        <v>https://www.kegg.jp/dbget-bin/www_bget?ec:2.5.1.49</v>
      </c>
      <c r="G1496" s="3" t="s">
        <v>7722</v>
      </c>
      <c r="H1496" s="1" t="str">
        <f>IF(G1496&lt;&gt;"", HYPERLINK("https://www.kegg.jp/entry/" &amp; G1496, "https://www.kegg.jp/entry/" &amp; G1496), "")</f>
        <v>https://www.kegg.jp/entry/R01287</v>
      </c>
      <c r="I1496" t="s">
        <v>13330</v>
      </c>
      <c r="J1496" t="s">
        <v>13331</v>
      </c>
    </row>
    <row r="1497" spans="1:10" x14ac:dyDescent="0.25">
      <c r="A1497" t="s">
        <v>2769</v>
      </c>
      <c r="B1497">
        <v>412</v>
      </c>
      <c r="C1497" t="s">
        <v>2770</v>
      </c>
      <c r="E1497" s="5" t="s">
        <v>6843</v>
      </c>
      <c r="F1497" s="1" t="str">
        <f>IF(E1497&lt;&gt;"", HYPERLINK("https://www.kegg.jp/dbget-bin/www_bget?ec:" &amp; E1497, "https://www.kegg.jp/dbget-bin/www_bget?ec:" &amp; E1497), "")</f>
        <v>https://www.kegg.jp/dbget-bin/www_bget?ec:2.5.1.49</v>
      </c>
      <c r="G1497" s="3" t="s">
        <v>7334</v>
      </c>
      <c r="H1497" s="1" t="str">
        <f>IF(G1497&lt;&gt;"", HYPERLINK("https://www.kegg.jp/entry/" &amp; G1497, "https://www.kegg.jp/entry/" &amp; G1497), "")</f>
        <v>https://www.kegg.jp/entry/R04859</v>
      </c>
      <c r="I1497" t="s">
        <v>12728</v>
      </c>
      <c r="J1497" t="s">
        <v>12729</v>
      </c>
    </row>
    <row r="1498" spans="1:10" hidden="1" x14ac:dyDescent="0.25">
      <c r="A1498" t="s">
        <v>2771</v>
      </c>
      <c r="B1498">
        <v>137</v>
      </c>
      <c r="C1498" t="s">
        <v>2772</v>
      </c>
      <c r="F1498" s="1" t="str">
        <f>IF(E1498&lt;&gt;"", HYPERLINK("https://www.kegg.jp/dbget-bin/www_bget?ec:" &amp; E1498, "https://www.kegg.jp/dbget-bin/www_bget?ec:" &amp; E1498), "")</f>
        <v/>
      </c>
      <c r="G1498" s="3"/>
      <c r="H1498" s="1" t="str">
        <f>IF(G1498&lt;&gt;"", HYPERLINK("https://www.kegg.jp/entry/" &amp; G1498, "https://www.kegg.jp/entry/" &amp; G1498), "")</f>
        <v/>
      </c>
    </row>
    <row r="1499" spans="1:10" hidden="1" x14ac:dyDescent="0.25">
      <c r="A1499" t="s">
        <v>2774</v>
      </c>
      <c r="B1499">
        <v>282</v>
      </c>
      <c r="C1499" t="s">
        <v>2775</v>
      </c>
      <c r="F1499" s="1" t="str">
        <f>IF(E1499&lt;&gt;"", HYPERLINK("https://www.kegg.jp/dbget-bin/www_bget?ec:" &amp; E1499, "https://www.kegg.jp/dbget-bin/www_bget?ec:" &amp; E1499), "")</f>
        <v/>
      </c>
      <c r="G1499" s="3"/>
      <c r="H1499" s="1" t="str">
        <f>IF(G1499&lt;&gt;"", HYPERLINK("https://www.kegg.jp/entry/" &amp; G1499, "https://www.kegg.jp/entry/" &amp; G1499), "")</f>
        <v/>
      </c>
    </row>
    <row r="1500" spans="1:10" hidden="1" x14ac:dyDescent="0.25">
      <c r="A1500" t="s">
        <v>2777</v>
      </c>
      <c r="B1500">
        <v>248</v>
      </c>
      <c r="C1500" t="s">
        <v>2778</v>
      </c>
      <c r="F1500" s="1" t="str">
        <f>IF(E1500&lt;&gt;"", HYPERLINK("https://www.kegg.jp/dbget-bin/www_bget?ec:" &amp; E1500, "https://www.kegg.jp/dbget-bin/www_bget?ec:" &amp; E1500), "")</f>
        <v/>
      </c>
      <c r="G1500" s="3"/>
      <c r="H1500" s="1" t="str">
        <f>IF(G1500&lt;&gt;"", HYPERLINK("https://www.kegg.jp/entry/" &amp; G1500, "https://www.kegg.jp/entry/" &amp; G1500), "")</f>
        <v/>
      </c>
    </row>
    <row r="1501" spans="1:10" hidden="1" x14ac:dyDescent="0.25">
      <c r="A1501" t="s">
        <v>2780</v>
      </c>
      <c r="B1501">
        <v>249</v>
      </c>
      <c r="C1501" t="s">
        <v>2781</v>
      </c>
      <c r="F1501" s="1" t="str">
        <f>IF(E1501&lt;&gt;"", HYPERLINK("https://www.kegg.jp/dbget-bin/www_bget?ec:" &amp; E1501, "https://www.kegg.jp/dbget-bin/www_bget?ec:" &amp; E1501), "")</f>
        <v/>
      </c>
      <c r="G1501" s="3"/>
      <c r="H1501" s="1" t="str">
        <f>IF(G1501&lt;&gt;"", HYPERLINK("https://www.kegg.jp/entry/" &amp; G1501, "https://www.kegg.jp/entry/" &amp; G1501), "")</f>
        <v/>
      </c>
    </row>
    <row r="1502" spans="1:10" hidden="1" x14ac:dyDescent="0.25">
      <c r="A1502" t="s">
        <v>2783</v>
      </c>
      <c r="B1502">
        <v>341</v>
      </c>
      <c r="C1502" t="s">
        <v>2784</v>
      </c>
      <c r="F1502" s="1" t="str">
        <f>IF(E1502&lt;&gt;"", HYPERLINK("https://www.kegg.jp/dbget-bin/www_bget?ec:" &amp; E1502, "https://www.kegg.jp/dbget-bin/www_bget?ec:" &amp; E1502), "")</f>
        <v/>
      </c>
      <c r="G1502" s="3"/>
      <c r="H1502" s="1" t="str">
        <f>IF(G1502&lt;&gt;"", HYPERLINK("https://www.kegg.jp/entry/" &amp; G1502, "https://www.kegg.jp/entry/" &amp; G1502), "")</f>
        <v/>
      </c>
    </row>
    <row r="1503" spans="1:10" x14ac:dyDescent="0.25">
      <c r="A1503" t="s">
        <v>2786</v>
      </c>
      <c r="B1503">
        <v>480</v>
      </c>
      <c r="C1503" t="s">
        <v>2787</v>
      </c>
      <c r="E1503" s="5" t="s">
        <v>6844</v>
      </c>
      <c r="F1503" s="1" t="str">
        <f>IF(E1503&lt;&gt;"", HYPERLINK("https://www.kegg.jp/dbget-bin/www_bget?ec:" &amp; E1503, "https://www.kegg.jp/dbget-bin/www_bget?ec:" &amp; E1503), "")</f>
        <v>https://www.kegg.jp/dbget-bin/www_bget?ec:6.1.1.16</v>
      </c>
      <c r="G1503" s="3" t="s">
        <v>7202</v>
      </c>
      <c r="H1503" s="1" t="str">
        <f>IF(G1503&lt;&gt;"", HYPERLINK("https://www.kegg.jp/entry/" &amp; G1503, "https://www.kegg.jp/entry/" &amp; G1503), "")</f>
        <v>https://www.kegg.jp/entry/R03650</v>
      </c>
      <c r="I1503" t="s">
        <v>8264</v>
      </c>
      <c r="J1503" t="s">
        <v>13332</v>
      </c>
    </row>
    <row r="1504" spans="1:10" x14ac:dyDescent="0.25">
      <c r="A1504" t="s">
        <v>2789</v>
      </c>
      <c r="B1504">
        <v>577</v>
      </c>
      <c r="C1504" t="s">
        <v>2790</v>
      </c>
      <c r="E1504" s="5" t="s">
        <v>6627</v>
      </c>
      <c r="F1504" s="1" t="str">
        <f>IF(E1504&lt;&gt;"", HYPERLINK("https://www.kegg.jp/dbget-bin/www_bget?ec:" &amp; E1504, "https://www.kegg.jp/dbget-bin/www_bget?ec:" &amp; E1504), "")</f>
        <v>https://www.kegg.jp/dbget-bin/www_bget?ec:1.3.8.1</v>
      </c>
      <c r="G1504" s="3" t="s">
        <v>7359</v>
      </c>
      <c r="H1504" s="1" t="str">
        <f>IF(G1504&lt;&gt;"", HYPERLINK("https://www.kegg.jp/entry/" &amp; G1504, "https://www.kegg.jp/entry/" &amp; G1504), "")</f>
        <v>https://www.kegg.jp/entry/R01178</v>
      </c>
      <c r="I1504" t="s">
        <v>12780</v>
      </c>
      <c r="J1504" t="s">
        <v>12781</v>
      </c>
    </row>
    <row r="1505" spans="1:10" x14ac:dyDescent="0.25">
      <c r="A1505" t="s">
        <v>2789</v>
      </c>
      <c r="B1505">
        <v>577</v>
      </c>
      <c r="C1505" t="s">
        <v>2790</v>
      </c>
      <c r="E1505" s="5" t="s">
        <v>6627</v>
      </c>
      <c r="F1505" s="1" t="str">
        <f>IF(E1505&lt;&gt;"", HYPERLINK("https://www.kegg.jp/dbget-bin/www_bget?ec:" &amp; E1505, "https://www.kegg.jp/dbget-bin/www_bget?ec:" &amp; E1505), "")</f>
        <v>https://www.kegg.jp/dbget-bin/www_bget?ec:1.3.8.1</v>
      </c>
      <c r="G1505" s="3" t="s">
        <v>7364</v>
      </c>
      <c r="H1505" s="1" t="str">
        <f>IF(G1505&lt;&gt;"", HYPERLINK("https://www.kegg.jp/entry/" &amp; G1505, "https://www.kegg.jp/entry/" &amp; G1505), "")</f>
        <v>https://www.kegg.jp/entry/R01175</v>
      </c>
      <c r="I1505" t="s">
        <v>12782</v>
      </c>
      <c r="J1505" t="s">
        <v>12783</v>
      </c>
    </row>
    <row r="1506" spans="1:10" x14ac:dyDescent="0.25">
      <c r="A1506" t="s">
        <v>2789</v>
      </c>
      <c r="B1506">
        <v>577</v>
      </c>
      <c r="C1506" t="s">
        <v>2790</v>
      </c>
      <c r="E1506" s="5" t="s">
        <v>6627</v>
      </c>
      <c r="F1506" s="1" t="str">
        <f>IF(E1506&lt;&gt;"", HYPERLINK("https://www.kegg.jp/dbget-bin/www_bget?ec:" &amp; E1506, "https://www.kegg.jp/dbget-bin/www_bget?ec:" &amp; E1506), "")</f>
        <v>https://www.kegg.jp/dbget-bin/www_bget?ec:1.3.8.1</v>
      </c>
      <c r="G1506" s="3" t="s">
        <v>7363</v>
      </c>
      <c r="H1506" s="1" t="str">
        <f>IF(G1506&lt;&gt;"", HYPERLINK("https://www.kegg.jp/entry/" &amp; G1506, "https://www.kegg.jp/entry/" &amp; G1506), "")</f>
        <v>https://www.kegg.jp/entry/R04751</v>
      </c>
      <c r="I1506" t="s">
        <v>12784</v>
      </c>
      <c r="J1506" t="s">
        <v>12785</v>
      </c>
    </row>
    <row r="1507" spans="1:10" x14ac:dyDescent="0.25">
      <c r="A1507" t="s">
        <v>2789</v>
      </c>
      <c r="B1507">
        <v>577</v>
      </c>
      <c r="C1507" t="s">
        <v>2790</v>
      </c>
      <c r="E1507" s="5" t="s">
        <v>6627</v>
      </c>
      <c r="F1507" s="1" t="str">
        <f>IF(E1507&lt;&gt;"", HYPERLINK("https://www.kegg.jp/dbget-bin/www_bget?ec:" &amp; E1507, "https://www.kegg.jp/dbget-bin/www_bget?ec:" &amp; E1507), "")</f>
        <v>https://www.kegg.jp/dbget-bin/www_bget?ec:1.3.8.1</v>
      </c>
      <c r="G1507" s="3" t="s">
        <v>7362</v>
      </c>
      <c r="H1507" s="1" t="str">
        <f>IF(G1507&lt;&gt;"", HYPERLINK("https://www.kegg.jp/entry/" &amp; G1507, "https://www.kegg.jp/entry/" &amp; G1507), "")</f>
        <v>https://www.kegg.jp/entry/R02661</v>
      </c>
      <c r="I1507" t="s">
        <v>12786</v>
      </c>
      <c r="J1507" t="s">
        <v>12787</v>
      </c>
    </row>
    <row r="1508" spans="1:10" x14ac:dyDescent="0.25">
      <c r="A1508" t="s">
        <v>2789</v>
      </c>
      <c r="B1508">
        <v>577</v>
      </c>
      <c r="C1508" t="s">
        <v>2790</v>
      </c>
      <c r="E1508" s="5" t="s">
        <v>6627</v>
      </c>
      <c r="F1508" s="1" t="str">
        <f>IF(E1508&lt;&gt;"", HYPERLINK("https://www.kegg.jp/dbget-bin/www_bget?ec:" &amp; E1508, "https://www.kegg.jp/dbget-bin/www_bget?ec:" &amp; E1508), "")</f>
        <v>https://www.kegg.jp/dbget-bin/www_bget?ec:1.3.8.1</v>
      </c>
      <c r="G1508" s="3" t="s">
        <v>7361</v>
      </c>
      <c r="H1508" s="1" t="str">
        <f>IF(G1508&lt;&gt;"", HYPERLINK("https://www.kegg.jp/entry/" &amp; G1508, "https://www.kegg.jp/entry/" &amp; G1508), "")</f>
        <v>https://www.kegg.jp/entry/R03172</v>
      </c>
      <c r="I1508" t="s">
        <v>12788</v>
      </c>
      <c r="J1508" t="s">
        <v>12789</v>
      </c>
    </row>
    <row r="1509" spans="1:10" x14ac:dyDescent="0.25">
      <c r="A1509" t="s">
        <v>2789</v>
      </c>
      <c r="B1509">
        <v>577</v>
      </c>
      <c r="C1509" t="s">
        <v>2790</v>
      </c>
      <c r="E1509" s="5" t="s">
        <v>6627</v>
      </c>
      <c r="F1509" s="1" t="str">
        <f>IF(E1509&lt;&gt;"", HYPERLINK("https://www.kegg.jp/dbget-bin/www_bget?ec:" &amp; E1509, "https://www.kegg.jp/dbget-bin/www_bget?ec:" &amp; E1509), "")</f>
        <v>https://www.kegg.jp/dbget-bin/www_bget?ec:1.3.8.1</v>
      </c>
      <c r="G1509" s="3" t="s">
        <v>7360</v>
      </c>
      <c r="H1509" s="1" t="str">
        <f>IF(G1509&lt;&gt;"", HYPERLINK("https://www.kegg.jp/entry/" &amp; G1509, "https://www.kegg.jp/entry/" &amp; G1509), "")</f>
        <v>https://www.kegg.jp/entry/R04432</v>
      </c>
      <c r="I1509" t="s">
        <v>12790</v>
      </c>
      <c r="J1509" t="s">
        <v>12791</v>
      </c>
    </row>
    <row r="1510" spans="1:10" x14ac:dyDescent="0.25">
      <c r="A1510" t="s">
        <v>2791</v>
      </c>
      <c r="B1510">
        <v>397</v>
      </c>
      <c r="C1510" t="s">
        <v>2792</v>
      </c>
      <c r="E1510" s="5" t="s">
        <v>6783</v>
      </c>
      <c r="F1510" s="1" t="str">
        <f>IF(E1510&lt;&gt;"", HYPERLINK("https://www.kegg.jp/dbget-bin/www_bget?ec:" &amp; E1510, "https://www.kegg.jp/dbget-bin/www_bget?ec:" &amp; E1510), "")</f>
        <v>https://www.kegg.jp/dbget-bin/www_bget?ec:2.3.1.9</v>
      </c>
      <c r="G1510" s="3" t="s">
        <v>7598</v>
      </c>
      <c r="H1510" s="1" t="str">
        <f>IF(G1510&lt;&gt;"", HYPERLINK("https://www.kegg.jp/entry/" &amp; G1510, "https://www.kegg.jp/entry/" &amp; G1510), "")</f>
        <v>https://www.kegg.jp/entry/R00238</v>
      </c>
      <c r="I1510" t="s">
        <v>8227</v>
      </c>
      <c r="J1510" t="s">
        <v>8503</v>
      </c>
    </row>
    <row r="1511" spans="1:10" x14ac:dyDescent="0.25">
      <c r="A1511" t="s">
        <v>2791</v>
      </c>
      <c r="B1511">
        <v>397</v>
      </c>
      <c r="C1511" t="s">
        <v>2792</v>
      </c>
      <c r="E1511" s="5" t="s">
        <v>6783</v>
      </c>
      <c r="F1511" s="1" t="str">
        <f>IF(E1511&lt;&gt;"", HYPERLINK("https://www.kegg.jp/dbget-bin/www_bget?ec:" &amp; E1511, "https://www.kegg.jp/dbget-bin/www_bget?ec:" &amp; E1511), "")</f>
        <v>https://www.kegg.jp/dbget-bin/www_bget?ec:2.3.1.9</v>
      </c>
      <c r="G1511" s="3" t="s">
        <v>7599</v>
      </c>
      <c r="H1511" s="1" t="str">
        <f>IF(G1511&lt;&gt;"", HYPERLINK("https://www.kegg.jp/entry/" &amp; G1511, "https://www.kegg.jp/entry/" &amp; G1511), "")</f>
        <v>https://www.kegg.jp/entry/R00927</v>
      </c>
      <c r="I1511" t="s">
        <v>13121</v>
      </c>
      <c r="J1511" t="s">
        <v>8504</v>
      </c>
    </row>
    <row r="1512" spans="1:10" x14ac:dyDescent="0.25">
      <c r="A1512" t="s">
        <v>2791</v>
      </c>
      <c r="B1512">
        <v>397</v>
      </c>
      <c r="C1512" t="s">
        <v>2792</v>
      </c>
      <c r="E1512" s="5" t="s">
        <v>6783</v>
      </c>
      <c r="F1512" s="1" t="str">
        <f>IF(E1512&lt;&gt;"", HYPERLINK("https://www.kegg.jp/dbget-bin/www_bget?ec:" &amp; E1512, "https://www.kegg.jp/dbget-bin/www_bget?ec:" &amp; E1512), "")</f>
        <v>https://www.kegg.jp/dbget-bin/www_bget?ec:2.3.1.9</v>
      </c>
      <c r="G1512" s="3" t="s">
        <v>7600</v>
      </c>
      <c r="H1512" s="1" t="str">
        <f>IF(G1512&lt;&gt;"", HYPERLINK("https://www.kegg.jp/entry/" &amp; G1512, "https://www.kegg.jp/entry/" &amp; G1512), "")</f>
        <v>https://www.kegg.jp/entry/R01177</v>
      </c>
      <c r="I1512" t="s">
        <v>8228</v>
      </c>
      <c r="J1512" t="s">
        <v>8505</v>
      </c>
    </row>
    <row r="1513" spans="1:10" x14ac:dyDescent="0.25">
      <c r="A1513" t="s">
        <v>2794</v>
      </c>
      <c r="B1513">
        <v>763</v>
      </c>
      <c r="C1513" t="s">
        <v>2795</v>
      </c>
      <c r="E1513" s="5" t="s">
        <v>6784</v>
      </c>
      <c r="F1513" s="1" t="str">
        <f>IF(E1513&lt;&gt;"", HYPERLINK("https://www.kegg.jp/dbget-bin/www_bget?ec:" &amp; E1513, "https://www.kegg.jp/dbget-bin/www_bget?ec:" &amp; E1513), "")</f>
        <v>https://www.kegg.jp/dbget-bin/www_bget?ec:1.1.1.35</v>
      </c>
      <c r="G1513" s="3" t="s">
        <v>7601</v>
      </c>
      <c r="H1513" s="1" t="str">
        <f>IF(G1513&lt;&gt;"", HYPERLINK("https://www.kegg.jp/entry/" &amp; G1513, "https://www.kegg.jp/entry/" &amp; G1513), "")</f>
        <v>https://www.kegg.jp/entry/R01778</v>
      </c>
      <c r="I1513" t="s">
        <v>13122</v>
      </c>
      <c r="J1513" t="s">
        <v>13123</v>
      </c>
    </row>
    <row r="1514" spans="1:10" x14ac:dyDescent="0.25">
      <c r="A1514" t="s">
        <v>2794</v>
      </c>
      <c r="B1514">
        <v>763</v>
      </c>
      <c r="C1514" t="s">
        <v>2795</v>
      </c>
      <c r="E1514" s="5" t="s">
        <v>6784</v>
      </c>
      <c r="F1514" s="1" t="str">
        <f>IF(E1514&lt;&gt;"", HYPERLINK("https://www.kegg.jp/dbget-bin/www_bget?ec:" &amp; E1514, "https://www.kegg.jp/dbget-bin/www_bget?ec:" &amp; E1514), "")</f>
        <v>https://www.kegg.jp/dbget-bin/www_bget?ec:1.1.1.35</v>
      </c>
      <c r="G1514" s="3" t="s">
        <v>7615</v>
      </c>
      <c r="H1514" s="1" t="str">
        <f>IF(G1514&lt;&gt;"", HYPERLINK("https://www.kegg.jp/entry/" &amp; G1514, "https://www.kegg.jp/entry/" &amp; G1514), "")</f>
        <v>https://www.kegg.jp/entry/R01975</v>
      </c>
      <c r="I1514" t="s">
        <v>13124</v>
      </c>
      <c r="J1514" t="s">
        <v>13125</v>
      </c>
    </row>
    <row r="1515" spans="1:10" x14ac:dyDescent="0.25">
      <c r="A1515" t="s">
        <v>2794</v>
      </c>
      <c r="B1515">
        <v>763</v>
      </c>
      <c r="C1515" t="s">
        <v>2795</v>
      </c>
      <c r="E1515" s="5" t="s">
        <v>6784</v>
      </c>
      <c r="F1515" s="1" t="str">
        <f>IF(E1515&lt;&gt;"", HYPERLINK("https://www.kegg.jp/dbget-bin/www_bget?ec:" &amp; E1515, "https://www.kegg.jp/dbget-bin/www_bget?ec:" &amp; E1515), "")</f>
        <v>https://www.kegg.jp/dbget-bin/www_bget?ec:1.1.1.35</v>
      </c>
      <c r="G1515" s="3" t="s">
        <v>7614</v>
      </c>
      <c r="H1515" s="1" t="str">
        <f>IF(G1515&lt;&gt;"", HYPERLINK("https://www.kegg.jp/entry/" &amp; G1515, "https://www.kegg.jp/entry/" &amp; G1515), "")</f>
        <v>https://www.kegg.jp/entry/R04203</v>
      </c>
      <c r="I1515" t="s">
        <v>13126</v>
      </c>
      <c r="J1515" t="s">
        <v>13127</v>
      </c>
    </row>
    <row r="1516" spans="1:10" x14ac:dyDescent="0.25">
      <c r="A1516" t="s">
        <v>2794</v>
      </c>
      <c r="B1516">
        <v>763</v>
      </c>
      <c r="C1516" t="s">
        <v>2795</v>
      </c>
      <c r="E1516" s="5" t="s">
        <v>6784</v>
      </c>
      <c r="F1516" s="1" t="str">
        <f>IF(E1516&lt;&gt;"", HYPERLINK("https://www.kegg.jp/dbget-bin/www_bget?ec:" &amp; E1516, "https://www.kegg.jp/dbget-bin/www_bget?ec:" &amp; E1516), "")</f>
        <v>https://www.kegg.jp/dbget-bin/www_bget?ec:1.1.1.35</v>
      </c>
      <c r="G1516" s="3" t="s">
        <v>7613</v>
      </c>
      <c r="H1516" s="1" t="str">
        <f>IF(G1516&lt;&gt;"", HYPERLINK("https://www.kegg.jp/entry/" &amp; G1516, "https://www.kegg.jp/entry/" &amp; G1516), "")</f>
        <v>https://www.kegg.jp/entry/R04737</v>
      </c>
      <c r="I1516" t="s">
        <v>13128</v>
      </c>
      <c r="J1516" t="s">
        <v>13129</v>
      </c>
    </row>
    <row r="1517" spans="1:10" x14ac:dyDescent="0.25">
      <c r="A1517" t="s">
        <v>2794</v>
      </c>
      <c r="B1517">
        <v>763</v>
      </c>
      <c r="C1517" t="s">
        <v>2795</v>
      </c>
      <c r="E1517" s="5" t="s">
        <v>6784</v>
      </c>
      <c r="F1517" s="1" t="str">
        <f>IF(E1517&lt;&gt;"", HYPERLINK("https://www.kegg.jp/dbget-bin/www_bget?ec:" &amp; E1517, "https://www.kegg.jp/dbget-bin/www_bget?ec:" &amp; E1517), "")</f>
        <v>https://www.kegg.jp/dbget-bin/www_bget?ec:1.1.1.35</v>
      </c>
      <c r="G1517" s="3" t="s">
        <v>7612</v>
      </c>
      <c r="H1517" s="1" t="str">
        <f>IF(G1517&lt;&gt;"", HYPERLINK("https://www.kegg.jp/entry/" &amp; G1517, "https://www.kegg.jp/entry/" &amp; G1517), "")</f>
        <v>https://www.kegg.jp/entry/R04739</v>
      </c>
      <c r="I1517" t="s">
        <v>13130</v>
      </c>
      <c r="J1517" t="s">
        <v>13131</v>
      </c>
    </row>
    <row r="1518" spans="1:10" x14ac:dyDescent="0.25">
      <c r="A1518" t="s">
        <v>2794</v>
      </c>
      <c r="B1518">
        <v>763</v>
      </c>
      <c r="C1518" t="s">
        <v>2795</v>
      </c>
      <c r="E1518" s="5" t="s">
        <v>6784</v>
      </c>
      <c r="F1518" s="1" t="str">
        <f>IF(E1518&lt;&gt;"", HYPERLINK("https://www.kegg.jp/dbget-bin/www_bget?ec:" &amp; E1518, "https://www.kegg.jp/dbget-bin/www_bget?ec:" &amp; E1518), "")</f>
        <v>https://www.kegg.jp/dbget-bin/www_bget?ec:1.1.1.35</v>
      </c>
      <c r="G1518" s="3" t="s">
        <v>7611</v>
      </c>
      <c r="H1518" s="1" t="str">
        <f>IF(G1518&lt;&gt;"", HYPERLINK("https://www.kegg.jp/entry/" &amp; G1518, "https://www.kegg.jp/entry/" &amp; G1518), "")</f>
        <v>https://www.kegg.jp/entry/R04741</v>
      </c>
      <c r="I1518" t="s">
        <v>13132</v>
      </c>
      <c r="J1518" t="s">
        <v>13133</v>
      </c>
    </row>
    <row r="1519" spans="1:10" x14ac:dyDescent="0.25">
      <c r="A1519" t="s">
        <v>2794</v>
      </c>
      <c r="B1519">
        <v>763</v>
      </c>
      <c r="C1519" t="s">
        <v>2795</v>
      </c>
      <c r="E1519" s="5" t="s">
        <v>6784</v>
      </c>
      <c r="F1519" s="1" t="str">
        <f>IF(E1519&lt;&gt;"", HYPERLINK("https://www.kegg.jp/dbget-bin/www_bget?ec:" &amp; E1519, "https://www.kegg.jp/dbget-bin/www_bget?ec:" &amp; E1519), "")</f>
        <v>https://www.kegg.jp/dbget-bin/www_bget?ec:1.1.1.35</v>
      </c>
      <c r="G1519" s="3" t="s">
        <v>7610</v>
      </c>
      <c r="H1519" s="1" t="str">
        <f>IF(G1519&lt;&gt;"", HYPERLINK("https://www.kegg.jp/entry/" &amp; G1519, "https://www.kegg.jp/entry/" &amp; G1519), "")</f>
        <v>https://www.kegg.jp/entry/R04743</v>
      </c>
      <c r="I1519" t="s">
        <v>13134</v>
      </c>
      <c r="J1519" t="s">
        <v>13135</v>
      </c>
    </row>
    <row r="1520" spans="1:10" x14ac:dyDescent="0.25">
      <c r="A1520" t="s">
        <v>2794</v>
      </c>
      <c r="B1520">
        <v>763</v>
      </c>
      <c r="C1520" t="s">
        <v>2795</v>
      </c>
      <c r="E1520" s="5" t="s">
        <v>6784</v>
      </c>
      <c r="F1520" s="1" t="str">
        <f>IF(E1520&lt;&gt;"", HYPERLINK("https://www.kegg.jp/dbget-bin/www_bget?ec:" &amp; E1520, "https://www.kegg.jp/dbget-bin/www_bget?ec:" &amp; E1520), "")</f>
        <v>https://www.kegg.jp/dbget-bin/www_bget?ec:1.1.1.35</v>
      </c>
      <c r="G1520" s="3" t="s">
        <v>7609</v>
      </c>
      <c r="H1520" s="1" t="str">
        <f>IF(G1520&lt;&gt;"", HYPERLINK("https://www.kegg.jp/entry/" &amp; G1520, "https://www.kegg.jp/entry/" &amp; G1520), "")</f>
        <v>https://www.kegg.jp/entry/R04745</v>
      </c>
      <c r="I1520" t="s">
        <v>13136</v>
      </c>
      <c r="J1520" t="s">
        <v>13137</v>
      </c>
    </row>
    <row r="1521" spans="1:10" x14ac:dyDescent="0.25">
      <c r="A1521" t="s">
        <v>2794</v>
      </c>
      <c r="B1521">
        <v>763</v>
      </c>
      <c r="C1521" t="s">
        <v>2795</v>
      </c>
      <c r="E1521" s="5" t="s">
        <v>6784</v>
      </c>
      <c r="F1521" s="1" t="str">
        <f>IF(E1521&lt;&gt;"", HYPERLINK("https://www.kegg.jp/dbget-bin/www_bget?ec:" &amp; E1521, "https://www.kegg.jp/dbget-bin/www_bget?ec:" &amp; E1521), "")</f>
        <v>https://www.kegg.jp/dbget-bin/www_bget?ec:1.1.1.35</v>
      </c>
      <c r="G1521" s="3" t="s">
        <v>7608</v>
      </c>
      <c r="H1521" s="1" t="str">
        <f>IF(G1521&lt;&gt;"", HYPERLINK("https://www.kegg.jp/entry/" &amp; G1521, "https://www.kegg.jp/entry/" &amp; G1521), "")</f>
        <v>https://www.kegg.jp/entry/R04748</v>
      </c>
      <c r="I1521" t="s">
        <v>13138</v>
      </c>
      <c r="J1521" t="s">
        <v>13139</v>
      </c>
    </row>
    <row r="1522" spans="1:10" x14ac:dyDescent="0.25">
      <c r="A1522" t="s">
        <v>2794</v>
      </c>
      <c r="B1522">
        <v>763</v>
      </c>
      <c r="C1522" t="s">
        <v>2795</v>
      </c>
      <c r="E1522" s="5" t="s">
        <v>6784</v>
      </c>
      <c r="F1522" s="1" t="str">
        <f>IF(E1522&lt;&gt;"", HYPERLINK("https://www.kegg.jp/dbget-bin/www_bget?ec:" &amp; E1522, "https://www.kegg.jp/dbget-bin/www_bget?ec:" &amp; E1522), "")</f>
        <v>https://www.kegg.jp/dbget-bin/www_bget?ec:1.1.1.35</v>
      </c>
      <c r="G1522" s="3" t="s">
        <v>7607</v>
      </c>
      <c r="H1522" s="1" t="str">
        <f>IF(G1522&lt;&gt;"", HYPERLINK("https://www.kegg.jp/entry/" &amp; G1522, "https://www.kegg.jp/entry/" &amp; G1522), "")</f>
        <v>https://www.kegg.jp/entry/R06941</v>
      </c>
      <c r="I1522" t="s">
        <v>13140</v>
      </c>
      <c r="J1522" t="s">
        <v>13141</v>
      </c>
    </row>
    <row r="1523" spans="1:10" x14ac:dyDescent="0.25">
      <c r="A1523" t="s">
        <v>2794</v>
      </c>
      <c r="B1523">
        <v>763</v>
      </c>
      <c r="C1523" t="s">
        <v>2795</v>
      </c>
      <c r="E1523" s="5" t="s">
        <v>6784</v>
      </c>
      <c r="F1523" s="1" t="str">
        <f>IF(E1523&lt;&gt;"", HYPERLINK("https://www.kegg.jp/dbget-bin/www_bget?ec:" &amp; E1523, "https://www.kegg.jp/dbget-bin/www_bget?ec:" &amp; E1523), "")</f>
        <v>https://www.kegg.jp/dbget-bin/www_bget?ec:1.1.1.35</v>
      </c>
      <c r="G1523" s="3" t="s">
        <v>7606</v>
      </c>
      <c r="H1523" s="1" t="str">
        <f>IF(G1523&lt;&gt;"", HYPERLINK("https://www.kegg.jp/entry/" &amp; G1523, "https://www.kegg.jp/entry/" &amp; G1523), "")</f>
        <v>https://www.kegg.jp/entry/R07890</v>
      </c>
      <c r="I1523" t="s">
        <v>13142</v>
      </c>
      <c r="J1523" t="s">
        <v>13143</v>
      </c>
    </row>
    <row r="1524" spans="1:10" x14ac:dyDescent="0.25">
      <c r="A1524" t="s">
        <v>2794</v>
      </c>
      <c r="B1524">
        <v>763</v>
      </c>
      <c r="C1524" t="s">
        <v>2795</v>
      </c>
      <c r="E1524" s="5" t="s">
        <v>6784</v>
      </c>
      <c r="F1524" s="1" t="str">
        <f>IF(E1524&lt;&gt;"", HYPERLINK("https://www.kegg.jp/dbget-bin/www_bget?ec:" &amp; E1524, "https://www.kegg.jp/dbget-bin/www_bget?ec:" &amp; E1524), "")</f>
        <v>https://www.kegg.jp/dbget-bin/www_bget?ec:1.1.1.35</v>
      </c>
      <c r="G1524" s="3" t="s">
        <v>7605</v>
      </c>
      <c r="H1524" s="1" t="str">
        <f>IF(G1524&lt;&gt;"", HYPERLINK("https://www.kegg.jp/entry/" &amp; G1524, "https://www.kegg.jp/entry/" &amp; G1524), "")</f>
        <v>https://www.kegg.jp/entry/R07894</v>
      </c>
      <c r="I1524" t="s">
        <v>13144</v>
      </c>
      <c r="J1524" t="s">
        <v>13145</v>
      </c>
    </row>
    <row r="1525" spans="1:10" x14ac:dyDescent="0.25">
      <c r="A1525" t="s">
        <v>2794</v>
      </c>
      <c r="B1525">
        <v>763</v>
      </c>
      <c r="C1525" t="s">
        <v>2795</v>
      </c>
      <c r="E1525" s="5" t="s">
        <v>6784</v>
      </c>
      <c r="F1525" s="1" t="str">
        <f>IF(E1525&lt;&gt;"", HYPERLINK("https://www.kegg.jp/dbget-bin/www_bget?ec:" &amp; E1525, "https://www.kegg.jp/dbget-bin/www_bget?ec:" &amp; E1525), "")</f>
        <v>https://www.kegg.jp/dbget-bin/www_bget?ec:1.1.1.35</v>
      </c>
      <c r="G1525" s="3" t="s">
        <v>7604</v>
      </c>
      <c r="H1525" s="1" t="str">
        <f>IF(G1525&lt;&gt;"", HYPERLINK("https://www.kegg.jp/entry/" &amp; G1525, "https://www.kegg.jp/entry/" &amp; G1525), "")</f>
        <v>https://www.kegg.jp/entry/R07898</v>
      </c>
      <c r="I1525" t="s">
        <v>13146</v>
      </c>
      <c r="J1525" t="s">
        <v>13147</v>
      </c>
    </row>
    <row r="1526" spans="1:10" x14ac:dyDescent="0.25">
      <c r="A1526" t="s">
        <v>2794</v>
      </c>
      <c r="B1526">
        <v>763</v>
      </c>
      <c r="C1526" t="s">
        <v>2795</v>
      </c>
      <c r="E1526" s="5" t="s">
        <v>6784</v>
      </c>
      <c r="F1526" s="1" t="str">
        <f>IF(E1526&lt;&gt;"", HYPERLINK("https://www.kegg.jp/dbget-bin/www_bget?ec:" &amp; E1526, "https://www.kegg.jp/dbget-bin/www_bget?ec:" &amp; E1526), "")</f>
        <v>https://www.kegg.jp/dbget-bin/www_bget?ec:1.1.1.35</v>
      </c>
      <c r="G1526" s="3" t="s">
        <v>7603</v>
      </c>
      <c r="H1526" s="1" t="str">
        <f>IF(G1526&lt;&gt;"", HYPERLINK("https://www.kegg.jp/entry/" &amp; G1526, "https://www.kegg.jp/entry/" &amp; G1526), "")</f>
        <v>https://www.kegg.jp/entry/R05305</v>
      </c>
      <c r="I1526" t="s">
        <v>13148</v>
      </c>
      <c r="J1526" t="s">
        <v>13149</v>
      </c>
    </row>
    <row r="1527" spans="1:10" x14ac:dyDescent="0.25">
      <c r="A1527" t="s">
        <v>2794</v>
      </c>
      <c r="B1527">
        <v>763</v>
      </c>
      <c r="C1527" t="s">
        <v>2795</v>
      </c>
      <c r="E1527" s="5" t="s">
        <v>6784</v>
      </c>
      <c r="F1527" s="1" t="str">
        <f>IF(E1527&lt;&gt;"", HYPERLINK("https://www.kegg.jp/dbget-bin/www_bget?ec:" &amp; E1527, "https://www.kegg.jp/dbget-bin/www_bget?ec:" &amp; E1527), "")</f>
        <v>https://www.kegg.jp/dbget-bin/www_bget?ec:1.1.1.35</v>
      </c>
      <c r="G1527" s="3" t="s">
        <v>7602</v>
      </c>
      <c r="H1527" s="1" t="str">
        <f>IF(G1527&lt;&gt;"", HYPERLINK("https://www.kegg.jp/entry/" &amp; G1527, "https://www.kegg.jp/entry/" &amp; G1527), "")</f>
        <v>https://www.kegg.jp/entry/R08094</v>
      </c>
      <c r="I1527" t="s">
        <v>13150</v>
      </c>
      <c r="J1527" t="s">
        <v>13151</v>
      </c>
    </row>
    <row r="1528" spans="1:10" hidden="1" x14ac:dyDescent="0.25">
      <c r="A1528" t="s">
        <v>2796</v>
      </c>
      <c r="B1528">
        <v>63</v>
      </c>
      <c r="C1528" t="s">
        <v>2797</v>
      </c>
      <c r="F1528" s="1" t="str">
        <f>IF(E1528&lt;&gt;"", HYPERLINK("https://www.kegg.jp/dbget-bin/www_bget?ec:" &amp; E1528, "https://www.kegg.jp/dbget-bin/www_bget?ec:" &amp; E1528), "")</f>
        <v/>
      </c>
      <c r="G1528" s="3"/>
      <c r="H1528" s="1" t="str">
        <f>IF(G1528&lt;&gt;"", HYPERLINK("https://www.kegg.jp/entry/" &amp; G1528, "https://www.kegg.jp/entry/" &amp; G1528), "")</f>
        <v/>
      </c>
    </row>
    <row r="1529" spans="1:10" hidden="1" x14ac:dyDescent="0.25">
      <c r="A1529" t="s">
        <v>2799</v>
      </c>
      <c r="B1529">
        <v>978</v>
      </c>
      <c r="C1529" t="s">
        <v>2800</v>
      </c>
      <c r="F1529" s="1" t="str">
        <f>IF(E1529&lt;&gt;"", HYPERLINK("https://www.kegg.jp/dbget-bin/www_bget?ec:" &amp; E1529, "https://www.kegg.jp/dbget-bin/www_bget?ec:" &amp; E1529), "")</f>
        <v/>
      </c>
      <c r="G1529" s="3"/>
      <c r="H1529" s="1" t="str">
        <f>IF(G1529&lt;&gt;"", HYPERLINK("https://www.kegg.jp/entry/" &amp; G1529, "https://www.kegg.jp/entry/" &amp; G1529), "")</f>
        <v/>
      </c>
    </row>
    <row r="1530" spans="1:10" hidden="1" x14ac:dyDescent="0.25">
      <c r="A1530" t="s">
        <v>2801</v>
      </c>
      <c r="B1530">
        <v>286</v>
      </c>
      <c r="C1530" t="s">
        <v>2802</v>
      </c>
      <c r="F1530" s="1" t="str">
        <f>IF(E1530&lt;&gt;"", HYPERLINK("https://www.kegg.jp/dbget-bin/www_bget?ec:" &amp; E1530, "https://www.kegg.jp/dbget-bin/www_bget?ec:" &amp; E1530), "")</f>
        <v/>
      </c>
      <c r="G1530" s="3"/>
      <c r="H1530" s="1" t="str">
        <f>IF(G1530&lt;&gt;"", HYPERLINK("https://www.kegg.jp/entry/" &amp; G1530, "https://www.kegg.jp/entry/" &amp; G1530), "")</f>
        <v/>
      </c>
    </row>
    <row r="1531" spans="1:10" hidden="1" x14ac:dyDescent="0.25">
      <c r="A1531" t="s">
        <v>2804</v>
      </c>
      <c r="B1531">
        <v>192</v>
      </c>
      <c r="C1531" t="s">
        <v>2805</v>
      </c>
      <c r="E1531" s="5" t="s">
        <v>6845</v>
      </c>
      <c r="F1531" s="1" t="str">
        <f>IF(E1531&lt;&gt;"", HYPERLINK("https://www.kegg.jp/dbget-bin/www_bget?ec:" &amp; E1531, "https://www.kegg.jp/dbget-bin/www_bget?ec:" &amp; E1531), "")</f>
        <v>https://www.kegg.jp/dbget-bin/www_bget?ec:3.4.19.3</v>
      </c>
      <c r="G1531" s="3"/>
      <c r="H1531" s="1" t="str">
        <f>IF(G1531&lt;&gt;"", HYPERLINK("https://www.kegg.jp/entry/" &amp; G1531, "https://www.kegg.jp/entry/" &amp; G1531), "")</f>
        <v/>
      </c>
    </row>
    <row r="1532" spans="1:10" hidden="1" x14ac:dyDescent="0.25">
      <c r="A1532" t="s">
        <v>2806</v>
      </c>
      <c r="B1532">
        <v>270</v>
      </c>
      <c r="C1532" t="s">
        <v>2807</v>
      </c>
      <c r="F1532" s="1" t="str">
        <f>IF(E1532&lt;&gt;"", HYPERLINK("https://www.kegg.jp/dbget-bin/www_bget?ec:" &amp; E1532, "https://www.kegg.jp/dbget-bin/www_bget?ec:" &amp; E1532), "")</f>
        <v/>
      </c>
      <c r="G1532" s="3"/>
      <c r="H1532" s="1" t="str">
        <f>IF(G1532&lt;&gt;"", HYPERLINK("https://www.kegg.jp/entry/" &amp; G1532, "https://www.kegg.jp/entry/" &amp; G1532), "")</f>
        <v/>
      </c>
    </row>
    <row r="1533" spans="1:10" hidden="1" x14ac:dyDescent="0.25">
      <c r="A1533" t="s">
        <v>2808</v>
      </c>
      <c r="B1533">
        <v>398</v>
      </c>
      <c r="C1533" t="s">
        <v>2809</v>
      </c>
      <c r="F1533" s="1" t="str">
        <f>IF(E1533&lt;&gt;"", HYPERLINK("https://www.kegg.jp/dbget-bin/www_bget?ec:" &amp; E1533, "https://www.kegg.jp/dbget-bin/www_bget?ec:" &amp; E1533), "")</f>
        <v/>
      </c>
      <c r="G1533" s="3"/>
      <c r="H1533" s="1" t="str">
        <f>IF(G1533&lt;&gt;"", HYPERLINK("https://www.kegg.jp/entry/" &amp; G1533, "https://www.kegg.jp/entry/" &amp; G1533), "")</f>
        <v/>
      </c>
    </row>
    <row r="1534" spans="1:10" hidden="1" x14ac:dyDescent="0.25">
      <c r="A1534" t="s">
        <v>2810</v>
      </c>
      <c r="B1534">
        <v>235</v>
      </c>
      <c r="C1534" t="s">
        <v>2811</v>
      </c>
      <c r="F1534" s="1" t="str">
        <f>IF(E1534&lt;&gt;"", HYPERLINK("https://www.kegg.jp/dbget-bin/www_bget?ec:" &amp; E1534, "https://www.kegg.jp/dbget-bin/www_bget?ec:" &amp; E1534), "")</f>
        <v/>
      </c>
      <c r="G1534" s="3"/>
      <c r="H1534" s="1" t="str">
        <f>IF(G1534&lt;&gt;"", HYPERLINK("https://www.kegg.jp/entry/" &amp; G1534, "https://www.kegg.jp/entry/" &amp; G1534), "")</f>
        <v/>
      </c>
    </row>
    <row r="1535" spans="1:10" hidden="1" x14ac:dyDescent="0.25">
      <c r="A1535" t="s">
        <v>2813</v>
      </c>
      <c r="B1535">
        <v>390</v>
      </c>
      <c r="C1535" t="s">
        <v>2814</v>
      </c>
      <c r="F1535" s="1" t="str">
        <f>IF(E1535&lt;&gt;"", HYPERLINK("https://www.kegg.jp/dbget-bin/www_bget?ec:" &amp; E1535, "https://www.kegg.jp/dbget-bin/www_bget?ec:" &amp; E1535), "")</f>
        <v/>
      </c>
      <c r="G1535" s="3"/>
      <c r="H1535" s="1" t="str">
        <f>IF(G1535&lt;&gt;"", HYPERLINK("https://www.kegg.jp/entry/" &amp; G1535, "https://www.kegg.jp/entry/" &amp; G1535), "")</f>
        <v/>
      </c>
    </row>
    <row r="1536" spans="1:10" hidden="1" x14ac:dyDescent="0.25">
      <c r="A1536" t="s">
        <v>2816</v>
      </c>
      <c r="B1536">
        <v>397</v>
      </c>
      <c r="C1536" t="s">
        <v>2817</v>
      </c>
      <c r="F1536" s="1" t="str">
        <f>IF(E1536&lt;&gt;"", HYPERLINK("https://www.kegg.jp/dbget-bin/www_bget?ec:" &amp; E1536, "https://www.kegg.jp/dbget-bin/www_bget?ec:" &amp; E1536), "")</f>
        <v/>
      </c>
      <c r="G1536" s="3"/>
      <c r="H1536" s="1" t="str">
        <f>IF(G1536&lt;&gt;"", HYPERLINK("https://www.kegg.jp/entry/" &amp; G1536, "https://www.kegg.jp/entry/" &amp; G1536), "")</f>
        <v/>
      </c>
    </row>
    <row r="1537" spans="1:10" hidden="1" x14ac:dyDescent="0.25">
      <c r="A1537" t="s">
        <v>2818</v>
      </c>
      <c r="B1537">
        <v>222</v>
      </c>
      <c r="C1537" t="s">
        <v>2819</v>
      </c>
      <c r="F1537" s="1" t="str">
        <f>IF(E1537&lt;&gt;"", HYPERLINK("https://www.kegg.jp/dbget-bin/www_bget?ec:" &amp; E1537, "https://www.kegg.jp/dbget-bin/www_bget?ec:" &amp; E1537), "")</f>
        <v/>
      </c>
      <c r="G1537" s="3"/>
      <c r="H1537" s="1" t="str">
        <f>IF(G1537&lt;&gt;"", HYPERLINK("https://www.kegg.jp/entry/" &amp; G1537, "https://www.kegg.jp/entry/" &amp; G1537), "")</f>
        <v/>
      </c>
    </row>
    <row r="1538" spans="1:10" hidden="1" x14ac:dyDescent="0.25">
      <c r="A1538" t="s">
        <v>2820</v>
      </c>
      <c r="B1538">
        <v>247</v>
      </c>
      <c r="C1538" t="s">
        <v>2821</v>
      </c>
      <c r="F1538" s="1" t="str">
        <f>IF(E1538&lt;&gt;"", HYPERLINK("https://www.kegg.jp/dbget-bin/www_bget?ec:" &amp; E1538, "https://www.kegg.jp/dbget-bin/www_bget?ec:" &amp; E1538), "")</f>
        <v/>
      </c>
      <c r="G1538" s="3"/>
      <c r="H1538" s="1" t="str">
        <f>IF(G1538&lt;&gt;"", HYPERLINK("https://www.kegg.jp/entry/" &amp; G1538, "https://www.kegg.jp/entry/" &amp; G1538), "")</f>
        <v/>
      </c>
    </row>
    <row r="1539" spans="1:10" x14ac:dyDescent="0.25">
      <c r="A1539" t="s">
        <v>2823</v>
      </c>
      <c r="B1539">
        <v>89</v>
      </c>
      <c r="C1539" t="s">
        <v>2824</v>
      </c>
      <c r="E1539" s="5" t="s">
        <v>6622</v>
      </c>
      <c r="F1539" s="1" t="str">
        <f>IF(E1539&lt;&gt;"", HYPERLINK("https://www.kegg.jp/dbget-bin/www_bget?ec:" &amp; E1539, "https://www.kegg.jp/dbget-bin/www_bget?ec:" &amp; E1539), "")</f>
        <v>https://www.kegg.jp/dbget-bin/www_bget?ec:6.3.5.6</v>
      </c>
      <c r="G1539" s="3" t="s">
        <v>7092</v>
      </c>
      <c r="H1539" s="1" t="str">
        <f>IF(G1539&lt;&gt;"", HYPERLINK("https://www.kegg.jp/entry/" &amp; G1539, "https://www.kegg.jp/entry/" &amp; G1539), "")</f>
        <v>https://www.kegg.jp/entry/R04212</v>
      </c>
      <c r="I1539" t="s">
        <v>12767</v>
      </c>
      <c r="J1539" t="s">
        <v>12768</v>
      </c>
    </row>
    <row r="1540" spans="1:10" x14ac:dyDescent="0.25">
      <c r="A1540" t="s">
        <v>2826</v>
      </c>
      <c r="B1540">
        <v>424</v>
      </c>
      <c r="C1540" t="s">
        <v>2827</v>
      </c>
      <c r="E1540" s="5" t="s">
        <v>6846</v>
      </c>
      <c r="F1540" s="1" t="str">
        <f>IF(E1540&lt;&gt;"", HYPERLINK("https://www.kegg.jp/dbget-bin/www_bget?ec:" &amp; E1540, "https://www.kegg.jp/dbget-bin/www_bget?ec:" &amp; E1540), "")</f>
        <v>https://www.kegg.jp/dbget-bin/www_bget?ec:6.1.1.11</v>
      </c>
      <c r="G1540" s="3" t="s">
        <v>7723</v>
      </c>
      <c r="H1540" s="1" t="str">
        <f>IF(G1540&lt;&gt;"", HYPERLINK("https://www.kegg.jp/entry/" &amp; G1540, "https://www.kegg.jp/entry/" &amp; G1540), "")</f>
        <v>https://www.kegg.jp/entry/R03662</v>
      </c>
      <c r="I1540" t="s">
        <v>8265</v>
      </c>
      <c r="J1540" t="s">
        <v>13333</v>
      </c>
    </row>
    <row r="1541" spans="1:10" x14ac:dyDescent="0.25">
      <c r="A1541" t="s">
        <v>2826</v>
      </c>
      <c r="B1541">
        <v>424</v>
      </c>
      <c r="C1541" t="s">
        <v>2827</v>
      </c>
      <c r="E1541" s="5" t="s">
        <v>6846</v>
      </c>
      <c r="F1541" s="1" t="str">
        <f>IF(E1541&lt;&gt;"", HYPERLINK("https://www.kegg.jp/dbget-bin/www_bget?ec:" &amp; E1541, "https://www.kegg.jp/dbget-bin/www_bget?ec:" &amp; E1541), "")</f>
        <v>https://www.kegg.jp/dbget-bin/www_bget?ec:6.1.1.11</v>
      </c>
      <c r="G1541" s="3" t="s">
        <v>7724</v>
      </c>
      <c r="H1541" s="1" t="str">
        <f>IF(G1541&lt;&gt;"", HYPERLINK("https://www.kegg.jp/entry/" &amp; G1541, "https://www.kegg.jp/entry/" &amp; G1541), "")</f>
        <v>https://www.kegg.jp/entry/R08218</v>
      </c>
      <c r="I1541" t="s">
        <v>8266</v>
      </c>
      <c r="J1541" t="s">
        <v>13334</v>
      </c>
    </row>
    <row r="1542" spans="1:10" hidden="1" x14ac:dyDescent="0.25">
      <c r="A1542" t="s">
        <v>2829</v>
      </c>
      <c r="B1542">
        <v>369</v>
      </c>
      <c r="C1542" t="s">
        <v>2830</v>
      </c>
      <c r="F1542" s="1" t="str">
        <f>IF(E1542&lt;&gt;"", HYPERLINK("https://www.kegg.jp/dbget-bin/www_bget?ec:" &amp; E1542, "https://www.kegg.jp/dbget-bin/www_bget?ec:" &amp; E1542), "")</f>
        <v/>
      </c>
      <c r="G1542" s="3"/>
      <c r="H1542" s="1" t="str">
        <f>IF(G1542&lt;&gt;"", HYPERLINK("https://www.kegg.jp/entry/" &amp; G1542, "https://www.kegg.jp/entry/" &amp; G1542), "")</f>
        <v/>
      </c>
    </row>
    <row r="1543" spans="1:10" hidden="1" x14ac:dyDescent="0.25">
      <c r="A1543" t="s">
        <v>2831</v>
      </c>
      <c r="B1543">
        <v>260</v>
      </c>
      <c r="C1543" t="s">
        <v>2832</v>
      </c>
      <c r="F1543" s="1" t="str">
        <f>IF(E1543&lt;&gt;"", HYPERLINK("https://www.kegg.jp/dbget-bin/www_bget?ec:" &amp; E1543, "https://www.kegg.jp/dbget-bin/www_bget?ec:" &amp; E1543), "")</f>
        <v/>
      </c>
      <c r="G1543" s="3"/>
      <c r="H1543" s="1" t="str">
        <f>IF(G1543&lt;&gt;"", HYPERLINK("https://www.kegg.jp/entry/" &amp; G1543, "https://www.kegg.jp/entry/" &amp; G1543), "")</f>
        <v/>
      </c>
    </row>
    <row r="1544" spans="1:10" x14ac:dyDescent="0.25">
      <c r="A1544" t="s">
        <v>2834</v>
      </c>
      <c r="B1544">
        <v>369</v>
      </c>
      <c r="C1544" t="s">
        <v>2835</v>
      </c>
      <c r="E1544" s="5" t="s">
        <v>6847</v>
      </c>
      <c r="F1544" s="1" t="str">
        <f>IF(E1544&lt;&gt;"", HYPERLINK("https://www.kegg.jp/dbget-bin/www_bget?ec:" &amp; E1544, "https://www.kegg.jp/dbget-bin/www_bget?ec:" &amp; E1544), "")</f>
        <v>https://www.kegg.jp/dbget-bin/www_bget?ec:3.5.4.28</v>
      </c>
      <c r="G1544" s="3" t="s">
        <v>7203</v>
      </c>
      <c r="H1544" s="1" t="str">
        <f>IF(G1544&lt;&gt;"", HYPERLINK("https://www.kegg.jp/entry/" &amp; G1544, "https://www.kegg.jp/entry/" &amp; G1544), "")</f>
        <v>https://www.kegg.jp/entry/R00193</v>
      </c>
      <c r="I1544" t="s">
        <v>13335</v>
      </c>
      <c r="J1544" t="s">
        <v>13336</v>
      </c>
    </row>
    <row r="1545" spans="1:10" hidden="1" x14ac:dyDescent="0.25">
      <c r="A1545" t="s">
        <v>2837</v>
      </c>
      <c r="B1545">
        <v>453</v>
      </c>
      <c r="C1545" t="s">
        <v>2838</v>
      </c>
      <c r="F1545" s="1" t="str">
        <f>IF(E1545&lt;&gt;"", HYPERLINK("https://www.kegg.jp/dbget-bin/www_bget?ec:" &amp; E1545, "https://www.kegg.jp/dbget-bin/www_bget?ec:" &amp; E1545), "")</f>
        <v/>
      </c>
      <c r="G1545" s="3"/>
      <c r="H1545" s="1" t="str">
        <f>IF(G1545&lt;&gt;"", HYPERLINK("https://www.kegg.jp/entry/" &amp; G1545, "https://www.kegg.jp/entry/" &amp; G1545), "")</f>
        <v/>
      </c>
    </row>
    <row r="1546" spans="1:10" hidden="1" x14ac:dyDescent="0.25">
      <c r="A1546" t="s">
        <v>2840</v>
      </c>
      <c r="B1546">
        <v>230</v>
      </c>
      <c r="C1546" t="s">
        <v>2841</v>
      </c>
      <c r="F1546" s="1" t="str">
        <f>IF(E1546&lt;&gt;"", HYPERLINK("https://www.kegg.jp/dbget-bin/www_bget?ec:" &amp; E1546, "https://www.kegg.jp/dbget-bin/www_bget?ec:" &amp; E1546), "")</f>
        <v/>
      </c>
      <c r="G1546" s="3"/>
      <c r="H1546" s="1" t="str">
        <f>IF(G1546&lt;&gt;"", HYPERLINK("https://www.kegg.jp/entry/" &amp; G1546, "https://www.kegg.jp/entry/" &amp; G1546), "")</f>
        <v/>
      </c>
    </row>
    <row r="1547" spans="1:10" x14ac:dyDescent="0.25">
      <c r="A1547" t="s">
        <v>2843</v>
      </c>
      <c r="B1547">
        <v>122</v>
      </c>
      <c r="C1547" t="s">
        <v>2844</v>
      </c>
      <c r="E1547" s="5" t="s">
        <v>6848</v>
      </c>
      <c r="F1547" s="1" t="str">
        <f>IF(E1547&lt;&gt;"", HYPERLINK("https://www.kegg.jp/dbget-bin/www_bget?ec:" &amp; E1547, "https://www.kegg.jp/dbget-bin/www_bget?ec:" &amp; E1547), "")</f>
        <v>https://www.kegg.jp/dbget-bin/www_bget?ec:5.4.99.5</v>
      </c>
      <c r="G1547" s="3" t="s">
        <v>7204</v>
      </c>
      <c r="H1547" s="1" t="str">
        <f>IF(G1547&lt;&gt;"", HYPERLINK("https://www.kegg.jp/entry/" &amp; G1547, "https://www.kegg.jp/entry/" &amp; G1547), "")</f>
        <v>https://www.kegg.jp/entry/R01715</v>
      </c>
      <c r="I1547" t="s">
        <v>8267</v>
      </c>
      <c r="J1547" t="s">
        <v>8537</v>
      </c>
    </row>
    <row r="1548" spans="1:10" hidden="1" x14ac:dyDescent="0.25">
      <c r="A1548" t="s">
        <v>2845</v>
      </c>
      <c r="B1548">
        <v>59</v>
      </c>
      <c r="C1548" t="s">
        <v>2846</v>
      </c>
      <c r="F1548" s="1" t="str">
        <f>IF(E1548&lt;&gt;"", HYPERLINK("https://www.kegg.jp/dbget-bin/www_bget?ec:" &amp; E1548, "https://www.kegg.jp/dbget-bin/www_bget?ec:" &amp; E1548), "")</f>
        <v/>
      </c>
      <c r="G1548" s="3"/>
      <c r="H1548" s="1" t="str">
        <f>IF(G1548&lt;&gt;"", HYPERLINK("https://www.kegg.jp/entry/" &amp; G1548, "https://www.kegg.jp/entry/" &amp; G1548), "")</f>
        <v/>
      </c>
    </row>
    <row r="1549" spans="1:10" x14ac:dyDescent="0.25">
      <c r="A1549" t="s">
        <v>2848</v>
      </c>
      <c r="B1549">
        <v>530</v>
      </c>
      <c r="C1549" t="s">
        <v>2849</v>
      </c>
      <c r="E1549" s="5" t="s">
        <v>6849</v>
      </c>
      <c r="F1549" s="1" t="str">
        <f>IF(E1549&lt;&gt;"", HYPERLINK("https://www.kegg.jp/dbget-bin/www_bget?ec:" &amp; E1549, "https://www.kegg.jp/dbget-bin/www_bget?ec:" &amp; E1549), "")</f>
        <v>https://www.kegg.jp/dbget-bin/www_bget?ec:1.2.1.22</v>
      </c>
      <c r="G1549" s="3" t="s">
        <v>7725</v>
      </c>
      <c r="H1549" s="1" t="str">
        <f>IF(G1549&lt;&gt;"", HYPERLINK("https://www.kegg.jp/entry/" &amp; G1549, "https://www.kegg.jp/entry/" &amp; G1549), "")</f>
        <v>https://www.kegg.jp/entry/R01446</v>
      </c>
      <c r="I1549" t="s">
        <v>13337</v>
      </c>
      <c r="J1549" t="s">
        <v>13338</v>
      </c>
    </row>
    <row r="1550" spans="1:10" x14ac:dyDescent="0.25">
      <c r="A1550" t="s">
        <v>2848</v>
      </c>
      <c r="B1550">
        <v>530</v>
      </c>
      <c r="C1550" t="s">
        <v>2849</v>
      </c>
      <c r="E1550" s="5" t="s">
        <v>6849</v>
      </c>
      <c r="F1550" s="1" t="str">
        <f>IF(E1550&lt;&gt;"", HYPERLINK("https://www.kegg.jp/dbget-bin/www_bget?ec:" &amp; E1550, "https://www.kegg.jp/dbget-bin/www_bget?ec:" &amp; E1550), "")</f>
        <v>https://www.kegg.jp/dbget-bin/www_bget?ec:1.2.1.22</v>
      </c>
      <c r="G1550" s="3" t="s">
        <v>7726</v>
      </c>
      <c r="H1550" s="1" t="str">
        <f>IF(G1550&lt;&gt;"", HYPERLINK("https://www.kegg.jp/entry/" &amp; G1550, "https://www.kegg.jp/entry/" &amp; G1550), "")</f>
        <v>https://www.kegg.jp/entry/R00203</v>
      </c>
      <c r="I1550" t="s">
        <v>13339</v>
      </c>
      <c r="J1550" t="s">
        <v>13106</v>
      </c>
    </row>
    <row r="1551" spans="1:10" x14ac:dyDescent="0.25">
      <c r="A1551" t="s">
        <v>2851</v>
      </c>
      <c r="B1551">
        <v>161</v>
      </c>
      <c r="C1551" t="s">
        <v>2852</v>
      </c>
      <c r="E1551" s="5" t="s">
        <v>6850</v>
      </c>
      <c r="F1551" s="1" t="str">
        <f>IF(E1551&lt;&gt;"", HYPERLINK("https://www.kegg.jp/dbget-bin/www_bget?ec:" &amp; E1551, "https://www.kegg.jp/dbget-bin/www_bget?ec:" &amp; E1551), "")</f>
        <v>https://www.kegg.jp/dbget-bin/www_bget?ec:2.7.7.3</v>
      </c>
      <c r="G1551" s="3" t="s">
        <v>7205</v>
      </c>
      <c r="H1551" s="1" t="str">
        <f>IF(G1551&lt;&gt;"", HYPERLINK("https://www.kegg.jp/entry/" &amp; G1551, "https://www.kegg.jp/entry/" &amp; G1551), "")</f>
        <v>https://www.kegg.jp/entry/R03035</v>
      </c>
      <c r="I1551" t="s">
        <v>8268</v>
      </c>
      <c r="J1551" t="s">
        <v>8538</v>
      </c>
    </row>
    <row r="1552" spans="1:10" hidden="1" x14ac:dyDescent="0.25">
      <c r="A1552" t="s">
        <v>2854</v>
      </c>
      <c r="B1552">
        <v>170</v>
      </c>
      <c r="C1552" t="s">
        <v>2855</v>
      </c>
      <c r="F1552" s="1" t="str">
        <f>IF(E1552&lt;&gt;"", HYPERLINK("https://www.kegg.jp/dbget-bin/www_bget?ec:" &amp; E1552, "https://www.kegg.jp/dbget-bin/www_bget?ec:" &amp; E1552), "")</f>
        <v/>
      </c>
      <c r="G1552" s="3"/>
      <c r="H1552" s="1" t="str">
        <f>IF(G1552&lt;&gt;"", HYPERLINK("https://www.kegg.jp/entry/" &amp; G1552, "https://www.kegg.jp/entry/" &amp; G1552), "")</f>
        <v/>
      </c>
    </row>
    <row r="1553" spans="1:10" hidden="1" x14ac:dyDescent="0.25">
      <c r="A1553" t="s">
        <v>2857</v>
      </c>
      <c r="B1553">
        <v>491</v>
      </c>
      <c r="C1553" t="s">
        <v>2858</v>
      </c>
      <c r="F1553" s="1" t="str">
        <f>IF(E1553&lt;&gt;"", HYPERLINK("https://www.kegg.jp/dbget-bin/www_bget?ec:" &amp; E1553, "https://www.kegg.jp/dbget-bin/www_bget?ec:" &amp; E1553), "")</f>
        <v/>
      </c>
      <c r="G1553" s="3"/>
      <c r="H1553" s="1" t="str">
        <f>IF(G1553&lt;&gt;"", HYPERLINK("https://www.kegg.jp/entry/" &amp; G1553, "https://www.kegg.jp/entry/" &amp; G1553), "")</f>
        <v/>
      </c>
    </row>
    <row r="1554" spans="1:10" hidden="1" x14ac:dyDescent="0.25">
      <c r="C1554" t="s">
        <v>2859</v>
      </c>
      <c r="F1554" s="1" t="str">
        <f>IF(E1554&lt;&gt;"", HYPERLINK("https://www.kegg.jp/dbget-bin/www_bget?ec:" &amp; E1554, "https://www.kegg.jp/dbget-bin/www_bget?ec:" &amp; E1554), "")</f>
        <v/>
      </c>
      <c r="G1554" s="3"/>
      <c r="H1554" s="1" t="str">
        <f>IF(G1554&lt;&gt;"", HYPERLINK("https://www.kegg.jp/entry/" &amp; G1554, "https://www.kegg.jp/entry/" &amp; G1554), "")</f>
        <v/>
      </c>
    </row>
    <row r="1555" spans="1:10" hidden="1" x14ac:dyDescent="0.25">
      <c r="A1555" t="s">
        <v>2860</v>
      </c>
      <c r="B1555">
        <v>374</v>
      </c>
      <c r="C1555" t="s">
        <v>2861</v>
      </c>
      <c r="F1555" s="1" t="str">
        <f>IF(E1555&lt;&gt;"", HYPERLINK("https://www.kegg.jp/dbget-bin/www_bget?ec:" &amp; E1555, "https://www.kegg.jp/dbget-bin/www_bget?ec:" &amp; E1555), "")</f>
        <v/>
      </c>
      <c r="G1555" s="3"/>
      <c r="H1555" s="1" t="str">
        <f>IF(G1555&lt;&gt;"", HYPERLINK("https://www.kegg.jp/entry/" &amp; G1555, "https://www.kegg.jp/entry/" &amp; G1555), "")</f>
        <v/>
      </c>
    </row>
    <row r="1556" spans="1:10" x14ac:dyDescent="0.25">
      <c r="A1556" t="s">
        <v>2863</v>
      </c>
      <c r="B1556">
        <v>434</v>
      </c>
      <c r="C1556" t="s">
        <v>2864</v>
      </c>
      <c r="E1556" s="5" t="s">
        <v>6851</v>
      </c>
      <c r="F1556" s="1" t="str">
        <f>IF(E1556&lt;&gt;"", HYPERLINK("https://www.kegg.jp/dbget-bin/www_bget?ec:" &amp; E1556, "https://www.kegg.jp/dbget-bin/www_bget?ec:" &amp; E1556), "")</f>
        <v>https://www.kegg.jp/dbget-bin/www_bget?ec:2.5.1.48</v>
      </c>
      <c r="G1556" s="3" t="s">
        <v>7727</v>
      </c>
      <c r="H1556" s="1" t="str">
        <f>IF(G1556&lt;&gt;"", HYPERLINK("https://www.kegg.jp/entry/" &amp; G1556, "https://www.kegg.jp/entry/" &amp; G1556), "")</f>
        <v>https://www.kegg.jp/entry/R03260</v>
      </c>
      <c r="I1556" t="s">
        <v>13340</v>
      </c>
      <c r="J1556" t="s">
        <v>13341</v>
      </c>
    </row>
    <row r="1557" spans="1:10" x14ac:dyDescent="0.25">
      <c r="A1557" t="s">
        <v>2863</v>
      </c>
      <c r="B1557">
        <v>434</v>
      </c>
      <c r="C1557" t="s">
        <v>2864</v>
      </c>
      <c r="E1557" s="5" t="s">
        <v>6851</v>
      </c>
      <c r="F1557" s="1" t="str">
        <f>IF(E1557&lt;&gt;"", HYPERLINK("https://www.kegg.jp/dbget-bin/www_bget?ec:" &amp; E1557, "https://www.kegg.jp/dbget-bin/www_bget?ec:" &amp; E1557), "")</f>
        <v>https://www.kegg.jp/dbget-bin/www_bget?ec:2.5.1.48</v>
      </c>
      <c r="G1557" s="3" t="s">
        <v>7734</v>
      </c>
      <c r="H1557" s="1" t="str">
        <f>IF(G1557&lt;&gt;"", HYPERLINK("https://www.kegg.jp/entry/" &amp; G1557, "https://www.kegg.jp/entry/" &amp; G1557), "")</f>
        <v>https://www.kegg.jp/entry/R00999</v>
      </c>
      <c r="I1557" t="s">
        <v>13342</v>
      </c>
      <c r="J1557" t="s">
        <v>13343</v>
      </c>
    </row>
    <row r="1558" spans="1:10" x14ac:dyDescent="0.25">
      <c r="A1558" t="s">
        <v>2863</v>
      </c>
      <c r="B1558">
        <v>434</v>
      </c>
      <c r="C1558" t="s">
        <v>2864</v>
      </c>
      <c r="E1558" s="5" t="s">
        <v>6851</v>
      </c>
      <c r="F1558" s="1" t="str">
        <f>IF(E1558&lt;&gt;"", HYPERLINK("https://www.kegg.jp/dbget-bin/www_bget?ec:" &amp; E1558, "https://www.kegg.jp/dbget-bin/www_bget?ec:" &amp; E1558), "")</f>
        <v>https://www.kegg.jp/dbget-bin/www_bget?ec:2.5.1.48</v>
      </c>
      <c r="G1558" s="3" t="s">
        <v>7733</v>
      </c>
      <c r="H1558" s="1" t="str">
        <f>IF(G1558&lt;&gt;"", HYPERLINK("https://www.kegg.jp/entry/" &amp; G1558, "https://www.kegg.jp/entry/" &amp; G1558), "")</f>
        <v>https://www.kegg.jp/entry/R01288</v>
      </c>
      <c r="I1558" t="s">
        <v>13344</v>
      </c>
      <c r="J1558" t="s">
        <v>13345</v>
      </c>
    </row>
    <row r="1559" spans="1:10" x14ac:dyDescent="0.25">
      <c r="A1559" t="s">
        <v>2863</v>
      </c>
      <c r="B1559">
        <v>434</v>
      </c>
      <c r="C1559" t="s">
        <v>2864</v>
      </c>
      <c r="E1559" s="5" t="s">
        <v>6851</v>
      </c>
      <c r="F1559" s="1" t="str">
        <f>IF(E1559&lt;&gt;"", HYPERLINK("https://www.kegg.jp/dbget-bin/www_bget?ec:" &amp; E1559, "https://www.kegg.jp/dbget-bin/www_bget?ec:" &amp; E1559), "")</f>
        <v>https://www.kegg.jp/dbget-bin/www_bget?ec:2.5.1.48</v>
      </c>
      <c r="G1559" s="3" t="s">
        <v>7732</v>
      </c>
      <c r="H1559" s="1" t="str">
        <f>IF(G1559&lt;&gt;"", HYPERLINK("https://www.kegg.jp/entry/" &amp; G1559, "https://www.kegg.jp/entry/" &amp; G1559), "")</f>
        <v>https://www.kegg.jp/entry/R02508</v>
      </c>
      <c r="I1559" t="s">
        <v>13346</v>
      </c>
      <c r="J1559" t="s">
        <v>13340</v>
      </c>
    </row>
    <row r="1560" spans="1:10" x14ac:dyDescent="0.25">
      <c r="A1560" t="s">
        <v>2863</v>
      </c>
      <c r="B1560">
        <v>434</v>
      </c>
      <c r="C1560" t="s">
        <v>2864</v>
      </c>
      <c r="E1560" s="5" t="s">
        <v>6851</v>
      </c>
      <c r="F1560" s="1" t="str">
        <f>IF(E1560&lt;&gt;"", HYPERLINK("https://www.kegg.jp/dbget-bin/www_bget?ec:" &amp; E1560, "https://www.kegg.jp/dbget-bin/www_bget?ec:" &amp; E1560), "")</f>
        <v>https://www.kegg.jp/dbget-bin/www_bget?ec:2.5.1.48</v>
      </c>
      <c r="G1560" s="3" t="s">
        <v>7731</v>
      </c>
      <c r="H1560" s="1" t="str">
        <f>IF(G1560&lt;&gt;"", HYPERLINK("https://www.kegg.jp/entry/" &amp; G1560, "https://www.kegg.jp/entry/" &amp; G1560), "")</f>
        <v>https://www.kegg.jp/entry/R03217</v>
      </c>
      <c r="I1560" t="s">
        <v>13347</v>
      </c>
      <c r="J1560" t="s">
        <v>13348</v>
      </c>
    </row>
    <row r="1561" spans="1:10" x14ac:dyDescent="0.25">
      <c r="A1561" t="s">
        <v>2863</v>
      </c>
      <c r="B1561">
        <v>434</v>
      </c>
      <c r="C1561" t="s">
        <v>2864</v>
      </c>
      <c r="E1561" s="5" t="s">
        <v>6851</v>
      </c>
      <c r="F1561" s="1" t="str">
        <f>IF(E1561&lt;&gt;"", HYPERLINK("https://www.kegg.jp/dbget-bin/www_bget?ec:" &amp; E1561, "https://www.kegg.jp/dbget-bin/www_bget?ec:" &amp; E1561), "")</f>
        <v>https://www.kegg.jp/dbget-bin/www_bget?ec:2.5.1.48</v>
      </c>
      <c r="G1561" s="3" t="s">
        <v>7730</v>
      </c>
      <c r="H1561" s="1" t="str">
        <f>IF(G1561&lt;&gt;"", HYPERLINK("https://www.kegg.jp/entry/" &amp; G1561, "https://www.kegg.jp/entry/" &amp; G1561), "")</f>
        <v>https://www.kegg.jp/entry/R04944</v>
      </c>
      <c r="I1561" t="s">
        <v>13349</v>
      </c>
      <c r="J1561" t="s">
        <v>13350</v>
      </c>
    </row>
    <row r="1562" spans="1:10" x14ac:dyDescent="0.25">
      <c r="A1562" t="s">
        <v>2863</v>
      </c>
      <c r="B1562">
        <v>434</v>
      </c>
      <c r="C1562" t="s">
        <v>2864</v>
      </c>
      <c r="E1562" s="5" t="s">
        <v>6851</v>
      </c>
      <c r="F1562" s="1" t="str">
        <f>IF(E1562&lt;&gt;"", HYPERLINK("https://www.kegg.jp/dbget-bin/www_bget?ec:" &amp; E1562, "https://www.kegg.jp/dbget-bin/www_bget?ec:" &amp; E1562), "")</f>
        <v>https://www.kegg.jp/dbget-bin/www_bget?ec:2.5.1.48</v>
      </c>
      <c r="G1562" s="3" t="s">
        <v>7729</v>
      </c>
      <c r="H1562" s="1" t="str">
        <f>IF(G1562&lt;&gt;"", HYPERLINK("https://www.kegg.jp/entry/" &amp; G1562, "https://www.kegg.jp/entry/" &amp; G1562), "")</f>
        <v>https://www.kegg.jp/entry/R04945</v>
      </c>
      <c r="I1562" t="s">
        <v>8269</v>
      </c>
      <c r="J1562" t="s">
        <v>13351</v>
      </c>
    </row>
    <row r="1563" spans="1:10" x14ac:dyDescent="0.25">
      <c r="A1563" t="s">
        <v>2863</v>
      </c>
      <c r="B1563">
        <v>434</v>
      </c>
      <c r="C1563" t="s">
        <v>2864</v>
      </c>
      <c r="E1563" s="5" t="s">
        <v>6851</v>
      </c>
      <c r="F1563" s="1" t="str">
        <f>IF(E1563&lt;&gt;"", HYPERLINK("https://www.kegg.jp/dbget-bin/www_bget?ec:" &amp; E1563, "https://www.kegg.jp/dbget-bin/www_bget?ec:" &amp; E1563), "")</f>
        <v>https://www.kegg.jp/dbget-bin/www_bget?ec:2.5.1.48</v>
      </c>
      <c r="G1563" s="3" t="s">
        <v>7728</v>
      </c>
      <c r="H1563" s="1" t="str">
        <f>IF(G1563&lt;&gt;"", HYPERLINK("https://www.kegg.jp/entry/" &amp; G1563, "https://www.kegg.jp/entry/" &amp; G1563), "")</f>
        <v>https://www.kegg.jp/entry/R04946</v>
      </c>
      <c r="I1563" t="s">
        <v>8270</v>
      </c>
      <c r="J1563" t="s">
        <v>13352</v>
      </c>
    </row>
    <row r="1564" spans="1:10" x14ac:dyDescent="0.25">
      <c r="A1564" t="s">
        <v>2866</v>
      </c>
      <c r="B1564">
        <v>380</v>
      </c>
      <c r="C1564" t="s">
        <v>2867</v>
      </c>
      <c r="E1564" s="5" t="s">
        <v>6852</v>
      </c>
      <c r="F1564" s="1" t="str">
        <f>IF(E1564&lt;&gt;"", HYPERLINK("https://www.kegg.jp/dbget-bin/www_bget?ec:" &amp; E1564, "https://www.kegg.jp/dbget-bin/www_bget?ec:" &amp; E1564), "")</f>
        <v>https://www.kegg.jp/dbget-bin/www_bget?ec:2.3.1.31</v>
      </c>
      <c r="G1564" s="3" t="s">
        <v>7206</v>
      </c>
      <c r="H1564" s="1" t="str">
        <f>IF(G1564&lt;&gt;"", HYPERLINK("https://www.kegg.jp/entry/" &amp; G1564, "https://www.kegg.jp/entry/" &amp; G1564), "")</f>
        <v>https://www.kegg.jp/entry/R01776</v>
      </c>
      <c r="I1564" t="s">
        <v>8271</v>
      </c>
      <c r="J1564" t="s">
        <v>8539</v>
      </c>
    </row>
    <row r="1565" spans="1:10" hidden="1" x14ac:dyDescent="0.25">
      <c r="A1565" t="s">
        <v>2869</v>
      </c>
      <c r="B1565">
        <v>432</v>
      </c>
      <c r="C1565" t="s">
        <v>2870</v>
      </c>
      <c r="F1565" s="1" t="str">
        <f>IF(E1565&lt;&gt;"", HYPERLINK("https://www.kegg.jp/dbget-bin/www_bget?ec:" &amp; E1565, "https://www.kegg.jp/dbget-bin/www_bget?ec:" &amp; E1565), "")</f>
        <v/>
      </c>
      <c r="G1565" s="3"/>
      <c r="H1565" s="1" t="str">
        <f>IF(G1565&lt;&gt;"", HYPERLINK("https://www.kegg.jp/entry/" &amp; G1565, "https://www.kegg.jp/entry/" &amp; G1565), "")</f>
        <v/>
      </c>
    </row>
    <row r="1566" spans="1:10" hidden="1" x14ac:dyDescent="0.25">
      <c r="A1566" t="s">
        <v>2871</v>
      </c>
      <c r="B1566">
        <v>64</v>
      </c>
      <c r="C1566" t="s">
        <v>2872</v>
      </c>
      <c r="F1566" s="1" t="str">
        <f>IF(E1566&lt;&gt;"", HYPERLINK("https://www.kegg.jp/dbget-bin/www_bget?ec:" &amp; E1566, "https://www.kegg.jp/dbget-bin/www_bget?ec:" &amp; E1566), "")</f>
        <v/>
      </c>
      <c r="G1566" s="3"/>
      <c r="H1566" s="1" t="str">
        <f>IF(G1566&lt;&gt;"", HYPERLINK("https://www.kegg.jp/entry/" &amp; G1566, "https://www.kegg.jp/entry/" &amp; G1566), "")</f>
        <v/>
      </c>
    </row>
    <row r="1567" spans="1:10" hidden="1" x14ac:dyDescent="0.25">
      <c r="A1567" t="s">
        <v>2873</v>
      </c>
      <c r="B1567">
        <v>83</v>
      </c>
      <c r="C1567" t="s">
        <v>2874</v>
      </c>
      <c r="F1567" s="1" t="str">
        <f>IF(E1567&lt;&gt;"", HYPERLINK("https://www.kegg.jp/dbget-bin/www_bget?ec:" &amp; E1567, "https://www.kegg.jp/dbget-bin/www_bget?ec:" &amp; E1567), "")</f>
        <v/>
      </c>
      <c r="G1567" s="3"/>
      <c r="H1567" s="1" t="str">
        <f>IF(G1567&lt;&gt;"", HYPERLINK("https://www.kegg.jp/entry/" &amp; G1567, "https://www.kegg.jp/entry/" &amp; G1567), "")</f>
        <v/>
      </c>
    </row>
    <row r="1568" spans="1:10" x14ac:dyDescent="0.25">
      <c r="A1568" t="s">
        <v>2876</v>
      </c>
      <c r="B1568">
        <v>424</v>
      </c>
      <c r="C1568" t="s">
        <v>2877</v>
      </c>
      <c r="E1568" s="5" t="s">
        <v>6853</v>
      </c>
      <c r="F1568" s="1" t="str">
        <f>IF(E1568&lt;&gt;"", HYPERLINK("https://www.kegg.jp/dbget-bin/www_bget?ec:" &amp; E1568, "https://www.kegg.jp/dbget-bin/www_bget?ec:" &amp; E1568), "")</f>
        <v>https://www.kegg.jp/dbget-bin/www_bget?ec:5.4.3.8</v>
      </c>
      <c r="G1568" s="3" t="s">
        <v>7207</v>
      </c>
      <c r="H1568" s="1" t="str">
        <f>IF(G1568&lt;&gt;"", HYPERLINK("https://www.kegg.jp/entry/" &amp; G1568, "https://www.kegg.jp/entry/" &amp; G1568), "")</f>
        <v>https://www.kegg.jp/entry/R02272</v>
      </c>
      <c r="I1568" t="s">
        <v>8194</v>
      </c>
      <c r="J1568" t="s">
        <v>8540</v>
      </c>
    </row>
    <row r="1569" spans="1:10" hidden="1" x14ac:dyDescent="0.25">
      <c r="A1569" t="s">
        <v>2879</v>
      </c>
      <c r="B1569">
        <v>331</v>
      </c>
      <c r="C1569" t="s">
        <v>2880</v>
      </c>
      <c r="F1569" s="1" t="str">
        <f>IF(E1569&lt;&gt;"", HYPERLINK("https://www.kegg.jp/dbget-bin/www_bget?ec:" &amp; E1569, "https://www.kegg.jp/dbget-bin/www_bget?ec:" &amp; E1569), "")</f>
        <v/>
      </c>
      <c r="G1569" s="3"/>
      <c r="H1569" s="1" t="str">
        <f>IF(G1569&lt;&gt;"", HYPERLINK("https://www.kegg.jp/entry/" &amp; G1569, "https://www.kegg.jp/entry/" &amp; G1569), "")</f>
        <v/>
      </c>
    </row>
    <row r="1570" spans="1:10" hidden="1" x14ac:dyDescent="0.25">
      <c r="A1570" t="s">
        <v>2882</v>
      </c>
      <c r="B1570">
        <v>341</v>
      </c>
      <c r="C1570" t="s">
        <v>2883</v>
      </c>
      <c r="F1570" s="1" t="str">
        <f>IF(E1570&lt;&gt;"", HYPERLINK("https://www.kegg.jp/dbget-bin/www_bget?ec:" &amp; E1570, "https://www.kegg.jp/dbget-bin/www_bget?ec:" &amp; E1570), "")</f>
        <v/>
      </c>
      <c r="G1570" s="3"/>
      <c r="H1570" s="1" t="str">
        <f>IF(G1570&lt;&gt;"", HYPERLINK("https://www.kegg.jp/entry/" &amp; G1570, "https://www.kegg.jp/entry/" &amp; G1570), "")</f>
        <v/>
      </c>
    </row>
    <row r="1571" spans="1:10" x14ac:dyDescent="0.25">
      <c r="A1571" t="s">
        <v>2885</v>
      </c>
      <c r="B1571">
        <v>372</v>
      </c>
      <c r="C1571" t="s">
        <v>2886</v>
      </c>
      <c r="E1571" s="5" t="s">
        <v>6854</v>
      </c>
      <c r="F1571" s="1" t="str">
        <f>IF(E1571&lt;&gt;"", HYPERLINK("https://www.kegg.jp/dbget-bin/www_bget?ec:" &amp; E1571, "https://www.kegg.jp/dbget-bin/www_bget?ec:" &amp; E1571), "")</f>
        <v>https://www.kegg.jp/dbget-bin/www_bget?ec:2.6.1.1</v>
      </c>
      <c r="G1571" s="3" t="s">
        <v>7735</v>
      </c>
      <c r="H1571" s="1" t="str">
        <f>IF(G1571&lt;&gt;"", HYPERLINK("https://www.kegg.jp/entry/" &amp; G1571, "https://www.kegg.jp/entry/" &amp; G1571), "")</f>
        <v>https://www.kegg.jp/entry/R00355</v>
      </c>
      <c r="I1571" t="s">
        <v>13353</v>
      </c>
      <c r="J1571" t="s">
        <v>13354</v>
      </c>
    </row>
    <row r="1572" spans="1:10" x14ac:dyDescent="0.25">
      <c r="A1572" t="s">
        <v>2885</v>
      </c>
      <c r="B1572">
        <v>372</v>
      </c>
      <c r="C1572" t="s">
        <v>2886</v>
      </c>
      <c r="E1572" s="5" t="s">
        <v>6854</v>
      </c>
      <c r="F1572" s="1" t="str">
        <f>IF(E1572&lt;&gt;"", HYPERLINK("https://www.kegg.jp/dbget-bin/www_bget?ec:" &amp; E1572, "https://www.kegg.jp/dbget-bin/www_bget?ec:" &amp; E1572), "")</f>
        <v>https://www.kegg.jp/dbget-bin/www_bget?ec:2.6.1.1</v>
      </c>
      <c r="G1572" s="3" t="s">
        <v>7742</v>
      </c>
      <c r="H1572" s="1" t="str">
        <f>IF(G1572&lt;&gt;"", HYPERLINK("https://www.kegg.jp/entry/" &amp; G1572, "https://www.kegg.jp/entry/" &amp; G1572), "")</f>
        <v>https://www.kegg.jp/entry/R00694</v>
      </c>
      <c r="I1572" t="s">
        <v>13355</v>
      </c>
      <c r="J1572" t="s">
        <v>13356</v>
      </c>
    </row>
    <row r="1573" spans="1:10" x14ac:dyDescent="0.25">
      <c r="A1573" t="s">
        <v>2885</v>
      </c>
      <c r="B1573">
        <v>372</v>
      </c>
      <c r="C1573" t="s">
        <v>2886</v>
      </c>
      <c r="E1573" s="5" t="s">
        <v>6854</v>
      </c>
      <c r="F1573" s="1" t="str">
        <f>IF(E1573&lt;&gt;"", HYPERLINK("https://www.kegg.jp/dbget-bin/www_bget?ec:" &amp; E1573, "https://www.kegg.jp/dbget-bin/www_bget?ec:" &amp; E1573), "")</f>
        <v>https://www.kegg.jp/dbget-bin/www_bget?ec:2.6.1.1</v>
      </c>
      <c r="G1573" s="3" t="s">
        <v>7741</v>
      </c>
      <c r="H1573" s="1" t="str">
        <f>IF(G1573&lt;&gt;"", HYPERLINK("https://www.kegg.jp/entry/" &amp; G1573, "https://www.kegg.jp/entry/" &amp; G1573), "")</f>
        <v>https://www.kegg.jp/entry/R00734</v>
      </c>
      <c r="I1573" t="s">
        <v>13357</v>
      </c>
      <c r="J1573" t="s">
        <v>13358</v>
      </c>
    </row>
    <row r="1574" spans="1:10" x14ac:dyDescent="0.25">
      <c r="A1574" t="s">
        <v>2885</v>
      </c>
      <c r="B1574">
        <v>372</v>
      </c>
      <c r="C1574" t="s">
        <v>2886</v>
      </c>
      <c r="E1574" s="5" t="s">
        <v>6854</v>
      </c>
      <c r="F1574" s="1" t="str">
        <f>IF(E1574&lt;&gt;"", HYPERLINK("https://www.kegg.jp/dbget-bin/www_bget?ec:" &amp; E1574, "https://www.kegg.jp/dbget-bin/www_bget?ec:" &amp; E1574), "")</f>
        <v>https://www.kegg.jp/dbget-bin/www_bget?ec:2.6.1.1</v>
      </c>
      <c r="G1574" s="3" t="s">
        <v>7740</v>
      </c>
      <c r="H1574" s="1" t="str">
        <f>IF(G1574&lt;&gt;"", HYPERLINK("https://www.kegg.jp/entry/" &amp; G1574, "https://www.kegg.jp/entry/" &amp; G1574), "")</f>
        <v>https://www.kegg.jp/entry/R00895</v>
      </c>
      <c r="I1574" t="s">
        <v>13359</v>
      </c>
      <c r="J1574" t="s">
        <v>13360</v>
      </c>
    </row>
    <row r="1575" spans="1:10" x14ac:dyDescent="0.25">
      <c r="A1575" t="s">
        <v>2885</v>
      </c>
      <c r="B1575">
        <v>372</v>
      </c>
      <c r="C1575" t="s">
        <v>2886</v>
      </c>
      <c r="E1575" s="5" t="s">
        <v>6854</v>
      </c>
      <c r="F1575" s="1" t="str">
        <f>IF(E1575&lt;&gt;"", HYPERLINK("https://www.kegg.jp/dbget-bin/www_bget?ec:" &amp; E1575, "https://www.kegg.jp/dbget-bin/www_bget?ec:" &amp; E1575), "")</f>
        <v>https://www.kegg.jp/dbget-bin/www_bget?ec:2.6.1.1</v>
      </c>
      <c r="G1575" s="3" t="s">
        <v>7739</v>
      </c>
      <c r="H1575" s="1" t="str">
        <f>IF(G1575&lt;&gt;"", HYPERLINK("https://www.kegg.jp/entry/" &amp; G1575, "https://www.kegg.jp/entry/" &amp; G1575), "")</f>
        <v>https://www.kegg.jp/entry/R00896</v>
      </c>
      <c r="I1575" t="s">
        <v>13359</v>
      </c>
      <c r="J1575" t="s">
        <v>13361</v>
      </c>
    </row>
    <row r="1576" spans="1:10" x14ac:dyDescent="0.25">
      <c r="A1576" t="s">
        <v>2885</v>
      </c>
      <c r="B1576">
        <v>372</v>
      </c>
      <c r="C1576" t="s">
        <v>2886</v>
      </c>
      <c r="E1576" s="5" t="s">
        <v>6854</v>
      </c>
      <c r="F1576" s="1" t="str">
        <f>IF(E1576&lt;&gt;"", HYPERLINK("https://www.kegg.jp/dbget-bin/www_bget?ec:" &amp; E1576, "https://www.kegg.jp/dbget-bin/www_bget?ec:" &amp; E1576), "")</f>
        <v>https://www.kegg.jp/dbget-bin/www_bget?ec:2.6.1.1</v>
      </c>
      <c r="G1576" s="3" t="s">
        <v>7738</v>
      </c>
      <c r="H1576" s="1" t="str">
        <f>IF(G1576&lt;&gt;"", HYPERLINK("https://www.kegg.jp/entry/" &amp; G1576, "https://www.kegg.jp/entry/" &amp; G1576), "")</f>
        <v>https://www.kegg.jp/entry/R02433</v>
      </c>
      <c r="I1576" t="s">
        <v>13362</v>
      </c>
      <c r="J1576" t="s">
        <v>13363</v>
      </c>
    </row>
    <row r="1577" spans="1:10" x14ac:dyDescent="0.25">
      <c r="A1577" t="s">
        <v>2885</v>
      </c>
      <c r="B1577">
        <v>372</v>
      </c>
      <c r="C1577" t="s">
        <v>2886</v>
      </c>
      <c r="E1577" s="5" t="s">
        <v>6854</v>
      </c>
      <c r="F1577" s="1" t="str">
        <f>IF(E1577&lt;&gt;"", HYPERLINK("https://www.kegg.jp/dbget-bin/www_bget?ec:" &amp; E1577, "https://www.kegg.jp/dbget-bin/www_bget?ec:" &amp; E1577), "")</f>
        <v>https://www.kegg.jp/dbget-bin/www_bget?ec:2.6.1.1</v>
      </c>
      <c r="G1577" s="3" t="s">
        <v>7737</v>
      </c>
      <c r="H1577" s="1" t="str">
        <f>IF(G1577&lt;&gt;"", HYPERLINK("https://www.kegg.jp/entry/" &amp; G1577, "https://www.kegg.jp/entry/" &amp; G1577), "")</f>
        <v>https://www.kegg.jp/entry/R02619</v>
      </c>
      <c r="I1577" t="s">
        <v>13364</v>
      </c>
      <c r="J1577" t="s">
        <v>13365</v>
      </c>
    </row>
    <row r="1578" spans="1:10" x14ac:dyDescent="0.25">
      <c r="A1578" t="s">
        <v>2885</v>
      </c>
      <c r="B1578">
        <v>372</v>
      </c>
      <c r="C1578" t="s">
        <v>2886</v>
      </c>
      <c r="E1578" s="5" t="s">
        <v>6854</v>
      </c>
      <c r="F1578" s="1" t="str">
        <f>IF(E1578&lt;&gt;"", HYPERLINK("https://www.kegg.jp/dbget-bin/www_bget?ec:" &amp; E1578, "https://www.kegg.jp/dbget-bin/www_bget?ec:" &amp; E1578), "")</f>
        <v>https://www.kegg.jp/dbget-bin/www_bget?ec:2.6.1.1</v>
      </c>
      <c r="G1578" s="3" t="s">
        <v>7736</v>
      </c>
      <c r="H1578" s="1" t="str">
        <f>IF(G1578&lt;&gt;"", HYPERLINK("https://www.kegg.jp/entry/" &amp; G1578, "https://www.kegg.jp/entry/" &amp; G1578), "")</f>
        <v>https://www.kegg.jp/entry/R05052</v>
      </c>
      <c r="I1578" t="s">
        <v>13366</v>
      </c>
      <c r="J1578" t="s">
        <v>13367</v>
      </c>
    </row>
    <row r="1579" spans="1:10" x14ac:dyDescent="0.25">
      <c r="A1579" t="s">
        <v>2888</v>
      </c>
      <c r="B1579">
        <v>247</v>
      </c>
      <c r="C1579" t="s">
        <v>2889</v>
      </c>
      <c r="E1579" s="5" t="s">
        <v>6855</v>
      </c>
      <c r="F1579" s="1" t="str">
        <f>IF(E1579&lt;&gt;"", HYPERLINK("https://www.kegg.jp/dbget-bin/www_bget?ec:" &amp; E1579, "https://www.kegg.jp/dbget-bin/www_bget?ec:" &amp; E1579), "")</f>
        <v>https://www.kegg.jp/dbget-bin/www_bget?ec:5.3.1.1</v>
      </c>
      <c r="G1579" s="3" t="s">
        <v>7208</v>
      </c>
      <c r="H1579" s="1" t="str">
        <f>IF(G1579&lt;&gt;"", HYPERLINK("https://www.kegg.jp/entry/" &amp; G1579, "https://www.kegg.jp/entry/" &amp; G1579), "")</f>
        <v>https://www.kegg.jp/entry/R01015</v>
      </c>
      <c r="I1579" t="s">
        <v>8272</v>
      </c>
      <c r="J1579" t="s">
        <v>8105</v>
      </c>
    </row>
    <row r="1580" spans="1:10" hidden="1" x14ac:dyDescent="0.25">
      <c r="A1580" t="s">
        <v>2891</v>
      </c>
      <c r="B1580">
        <v>534</v>
      </c>
      <c r="C1580" t="s">
        <v>2892</v>
      </c>
      <c r="F1580" s="1" t="str">
        <f>IF(E1580&lt;&gt;"", HYPERLINK("https://www.kegg.jp/dbget-bin/www_bget?ec:" &amp; E1580, "https://www.kegg.jp/dbget-bin/www_bget?ec:" &amp; E1580), "")</f>
        <v/>
      </c>
      <c r="G1580" s="3"/>
      <c r="H1580" s="1" t="str">
        <f>IF(G1580&lt;&gt;"", HYPERLINK("https://www.kegg.jp/entry/" &amp; G1580, "https://www.kegg.jp/entry/" &amp; G1580), "")</f>
        <v/>
      </c>
    </row>
    <row r="1581" spans="1:10" x14ac:dyDescent="0.25">
      <c r="A1581" t="s">
        <v>2894</v>
      </c>
      <c r="B1581">
        <v>390</v>
      </c>
      <c r="C1581" t="s">
        <v>2895</v>
      </c>
      <c r="E1581" s="5" t="s">
        <v>6856</v>
      </c>
      <c r="F1581" s="1" t="str">
        <f>IF(E1581&lt;&gt;"", HYPERLINK("https://www.kegg.jp/dbget-bin/www_bget?ec:" &amp; E1581, "https://www.kegg.jp/dbget-bin/www_bget?ec:" &amp; E1581), "")</f>
        <v>https://www.kegg.jp/dbget-bin/www_bget?ec:2.7.2.3</v>
      </c>
      <c r="G1581" s="3" t="s">
        <v>7209</v>
      </c>
      <c r="H1581" s="1" t="str">
        <f>IF(G1581&lt;&gt;"", HYPERLINK("https://www.kegg.jp/entry/" &amp; G1581, "https://www.kegg.jp/entry/" &amp; G1581), "")</f>
        <v>https://www.kegg.jp/entry/R01512</v>
      </c>
      <c r="I1581" t="s">
        <v>8273</v>
      </c>
      <c r="J1581" t="s">
        <v>8541</v>
      </c>
    </row>
    <row r="1582" spans="1:10" x14ac:dyDescent="0.25">
      <c r="A1582" t="s">
        <v>2897</v>
      </c>
      <c r="B1582">
        <v>331</v>
      </c>
      <c r="C1582" t="s">
        <v>2898</v>
      </c>
      <c r="E1582" s="5" t="s">
        <v>6857</v>
      </c>
      <c r="F1582" s="1" t="str">
        <f>IF(E1582&lt;&gt;"", HYPERLINK("https://www.kegg.jp/dbget-bin/www_bget?ec:" &amp; E1582, "https://www.kegg.jp/dbget-bin/www_bget?ec:" &amp; E1582), "")</f>
        <v>https://www.kegg.jp/dbget-bin/www_bget?ec:1.2.1.12</v>
      </c>
      <c r="G1582" s="3" t="s">
        <v>7210</v>
      </c>
      <c r="H1582" s="1" t="str">
        <f>IF(G1582&lt;&gt;"", HYPERLINK("https://www.kegg.jp/entry/" &amp; G1582, "https://www.kegg.jp/entry/" &amp; G1582), "")</f>
        <v>https://www.kegg.jp/entry/R01061</v>
      </c>
      <c r="I1582" t="s">
        <v>13368</v>
      </c>
      <c r="J1582" t="s">
        <v>13369</v>
      </c>
    </row>
    <row r="1583" spans="1:10" x14ac:dyDescent="0.25">
      <c r="A1583" t="s">
        <v>2900</v>
      </c>
      <c r="B1583">
        <v>202</v>
      </c>
      <c r="C1583" t="s">
        <v>2901</v>
      </c>
      <c r="E1583" s="5" t="s">
        <v>6627</v>
      </c>
      <c r="F1583" s="1" t="str">
        <f>IF(E1583&lt;&gt;"", HYPERLINK("https://www.kegg.jp/dbget-bin/www_bget?ec:" &amp; E1583, "https://www.kegg.jp/dbget-bin/www_bget?ec:" &amp; E1583), "")</f>
        <v>https://www.kegg.jp/dbget-bin/www_bget?ec:1.3.8.1</v>
      </c>
      <c r="G1583" s="3" t="s">
        <v>7359</v>
      </c>
      <c r="H1583" s="1" t="str">
        <f>IF(G1583&lt;&gt;"", HYPERLINK("https://www.kegg.jp/entry/" &amp; G1583, "https://www.kegg.jp/entry/" &amp; G1583), "")</f>
        <v>https://www.kegg.jp/entry/R01178</v>
      </c>
      <c r="I1583" t="s">
        <v>12780</v>
      </c>
      <c r="J1583" t="s">
        <v>12781</v>
      </c>
    </row>
    <row r="1584" spans="1:10" x14ac:dyDescent="0.25">
      <c r="A1584" t="s">
        <v>2900</v>
      </c>
      <c r="B1584">
        <v>202</v>
      </c>
      <c r="C1584" t="s">
        <v>2901</v>
      </c>
      <c r="E1584" s="5" t="s">
        <v>6627</v>
      </c>
      <c r="F1584" s="1" t="str">
        <f>IF(E1584&lt;&gt;"", HYPERLINK("https://www.kegg.jp/dbget-bin/www_bget?ec:" &amp; E1584, "https://www.kegg.jp/dbget-bin/www_bget?ec:" &amp; E1584), "")</f>
        <v>https://www.kegg.jp/dbget-bin/www_bget?ec:1.3.8.1</v>
      </c>
      <c r="G1584" s="3" t="s">
        <v>7364</v>
      </c>
      <c r="H1584" s="1" t="str">
        <f>IF(G1584&lt;&gt;"", HYPERLINK("https://www.kegg.jp/entry/" &amp; G1584, "https://www.kegg.jp/entry/" &amp; G1584), "")</f>
        <v>https://www.kegg.jp/entry/R01175</v>
      </c>
      <c r="I1584" t="s">
        <v>12782</v>
      </c>
      <c r="J1584" t="s">
        <v>12783</v>
      </c>
    </row>
    <row r="1585" spans="1:10" x14ac:dyDescent="0.25">
      <c r="A1585" t="s">
        <v>2900</v>
      </c>
      <c r="B1585">
        <v>202</v>
      </c>
      <c r="C1585" t="s">
        <v>2901</v>
      </c>
      <c r="E1585" s="5" t="s">
        <v>6627</v>
      </c>
      <c r="F1585" s="1" t="str">
        <f>IF(E1585&lt;&gt;"", HYPERLINK("https://www.kegg.jp/dbget-bin/www_bget?ec:" &amp; E1585, "https://www.kegg.jp/dbget-bin/www_bget?ec:" &amp; E1585), "")</f>
        <v>https://www.kegg.jp/dbget-bin/www_bget?ec:1.3.8.1</v>
      </c>
      <c r="G1585" s="3" t="s">
        <v>7363</v>
      </c>
      <c r="H1585" s="1" t="str">
        <f>IF(G1585&lt;&gt;"", HYPERLINK("https://www.kegg.jp/entry/" &amp; G1585, "https://www.kegg.jp/entry/" &amp; G1585), "")</f>
        <v>https://www.kegg.jp/entry/R04751</v>
      </c>
      <c r="I1585" t="s">
        <v>12784</v>
      </c>
      <c r="J1585" t="s">
        <v>12785</v>
      </c>
    </row>
    <row r="1586" spans="1:10" x14ac:dyDescent="0.25">
      <c r="A1586" t="s">
        <v>2900</v>
      </c>
      <c r="B1586">
        <v>202</v>
      </c>
      <c r="C1586" t="s">
        <v>2901</v>
      </c>
      <c r="E1586" s="5" t="s">
        <v>6627</v>
      </c>
      <c r="F1586" s="1" t="str">
        <f>IF(E1586&lt;&gt;"", HYPERLINK("https://www.kegg.jp/dbget-bin/www_bget?ec:" &amp; E1586, "https://www.kegg.jp/dbget-bin/www_bget?ec:" &amp; E1586), "")</f>
        <v>https://www.kegg.jp/dbget-bin/www_bget?ec:1.3.8.1</v>
      </c>
      <c r="G1586" s="3" t="s">
        <v>7362</v>
      </c>
      <c r="H1586" s="1" t="str">
        <f>IF(G1586&lt;&gt;"", HYPERLINK("https://www.kegg.jp/entry/" &amp; G1586, "https://www.kegg.jp/entry/" &amp; G1586), "")</f>
        <v>https://www.kegg.jp/entry/R02661</v>
      </c>
      <c r="I1586" t="s">
        <v>12786</v>
      </c>
      <c r="J1586" t="s">
        <v>12787</v>
      </c>
    </row>
    <row r="1587" spans="1:10" x14ac:dyDescent="0.25">
      <c r="A1587" t="s">
        <v>2900</v>
      </c>
      <c r="B1587">
        <v>202</v>
      </c>
      <c r="C1587" t="s">
        <v>2901</v>
      </c>
      <c r="E1587" s="5" t="s">
        <v>6627</v>
      </c>
      <c r="F1587" s="1" t="str">
        <f>IF(E1587&lt;&gt;"", HYPERLINK("https://www.kegg.jp/dbget-bin/www_bget?ec:" &amp; E1587, "https://www.kegg.jp/dbget-bin/www_bget?ec:" &amp; E1587), "")</f>
        <v>https://www.kegg.jp/dbget-bin/www_bget?ec:1.3.8.1</v>
      </c>
      <c r="G1587" s="3" t="s">
        <v>7361</v>
      </c>
      <c r="H1587" s="1" t="str">
        <f>IF(G1587&lt;&gt;"", HYPERLINK("https://www.kegg.jp/entry/" &amp; G1587, "https://www.kegg.jp/entry/" &amp; G1587), "")</f>
        <v>https://www.kegg.jp/entry/R03172</v>
      </c>
      <c r="I1587" t="s">
        <v>12788</v>
      </c>
      <c r="J1587" t="s">
        <v>12789</v>
      </c>
    </row>
    <row r="1588" spans="1:10" x14ac:dyDescent="0.25">
      <c r="A1588" t="s">
        <v>2900</v>
      </c>
      <c r="B1588">
        <v>202</v>
      </c>
      <c r="C1588" t="s">
        <v>2901</v>
      </c>
      <c r="E1588" s="5" t="s">
        <v>6627</v>
      </c>
      <c r="F1588" s="1" t="str">
        <f>IF(E1588&lt;&gt;"", HYPERLINK("https://www.kegg.jp/dbget-bin/www_bget?ec:" &amp; E1588, "https://www.kegg.jp/dbget-bin/www_bget?ec:" &amp; E1588), "")</f>
        <v>https://www.kegg.jp/dbget-bin/www_bget?ec:1.3.8.1</v>
      </c>
      <c r="G1588" s="3" t="s">
        <v>7360</v>
      </c>
      <c r="H1588" s="1" t="str">
        <f>IF(G1588&lt;&gt;"", HYPERLINK("https://www.kegg.jp/entry/" &amp; G1588, "https://www.kegg.jp/entry/" &amp; G1588), "")</f>
        <v>https://www.kegg.jp/entry/R04432</v>
      </c>
      <c r="I1588" t="s">
        <v>12790</v>
      </c>
      <c r="J1588" t="s">
        <v>12791</v>
      </c>
    </row>
    <row r="1589" spans="1:10" hidden="1" x14ac:dyDescent="0.25">
      <c r="A1589" t="s">
        <v>2902</v>
      </c>
      <c r="B1589">
        <v>263</v>
      </c>
      <c r="C1589" t="s">
        <v>2903</v>
      </c>
      <c r="F1589" s="1" t="str">
        <f>IF(E1589&lt;&gt;"", HYPERLINK("https://www.kegg.jp/dbget-bin/www_bget?ec:" &amp; E1589, "https://www.kegg.jp/dbget-bin/www_bget?ec:" &amp; E1589), "")</f>
        <v/>
      </c>
      <c r="G1589" s="3"/>
      <c r="H1589" s="1" t="str">
        <f>IF(G1589&lt;&gt;"", HYPERLINK("https://www.kegg.jp/entry/" &amp; G1589, "https://www.kegg.jp/entry/" &amp; G1589), "")</f>
        <v/>
      </c>
    </row>
    <row r="1590" spans="1:10" hidden="1" x14ac:dyDescent="0.25">
      <c r="A1590" t="s">
        <v>2905</v>
      </c>
      <c r="B1590">
        <v>111</v>
      </c>
      <c r="C1590" t="s">
        <v>2906</v>
      </c>
      <c r="F1590" s="1" t="str">
        <f>IF(E1590&lt;&gt;"", HYPERLINK("https://www.kegg.jp/dbget-bin/www_bget?ec:" &amp; E1590, "https://www.kegg.jp/dbget-bin/www_bget?ec:" &amp; E1590), "")</f>
        <v/>
      </c>
      <c r="G1590" s="3"/>
      <c r="H1590" s="1" t="str">
        <f>IF(G1590&lt;&gt;"", HYPERLINK("https://www.kegg.jp/entry/" &amp; G1590, "https://www.kegg.jp/entry/" &amp; G1590), "")</f>
        <v/>
      </c>
    </row>
    <row r="1591" spans="1:10" hidden="1" x14ac:dyDescent="0.25">
      <c r="A1591" t="s">
        <v>2908</v>
      </c>
      <c r="B1591">
        <v>144</v>
      </c>
      <c r="C1591" t="s">
        <v>2909</v>
      </c>
      <c r="F1591" s="1" t="str">
        <f>IF(E1591&lt;&gt;"", HYPERLINK("https://www.kegg.jp/dbget-bin/www_bget?ec:" &amp; E1591, "https://www.kegg.jp/dbget-bin/www_bget?ec:" &amp; E1591), "")</f>
        <v/>
      </c>
      <c r="G1591" s="3"/>
      <c r="H1591" s="1" t="str">
        <f>IF(G1591&lt;&gt;"", HYPERLINK("https://www.kegg.jp/entry/" &amp; G1591, "https://www.kegg.jp/entry/" &amp; G1591), "")</f>
        <v/>
      </c>
    </row>
    <row r="1592" spans="1:10" x14ac:dyDescent="0.25">
      <c r="A1592" t="s">
        <v>2910</v>
      </c>
      <c r="B1592">
        <v>382</v>
      </c>
      <c r="C1592" t="s">
        <v>2911</v>
      </c>
      <c r="E1592" s="5" t="s">
        <v>6732</v>
      </c>
      <c r="F1592" s="1" t="str">
        <f>IF(E1592&lt;&gt;"", HYPERLINK("https://www.kegg.jp/dbget-bin/www_bget?ec:" &amp; E1592, "https://www.kegg.jp/dbget-bin/www_bget?ec:" &amp; E1592), "")</f>
        <v>https://www.kegg.jp/dbget-bin/www_bget?ec:3.5.1.28</v>
      </c>
      <c r="G1592" s="3" t="s">
        <v>7145</v>
      </c>
      <c r="H1592" s="1" t="str">
        <f>IF(G1592&lt;&gt;"", HYPERLINK("https://www.kegg.jp/entry/" &amp; G1592, "https://www.kegg.jp/entry/" &amp; G1592), "")</f>
        <v>https://www.kegg.jp/entry/R04112</v>
      </c>
      <c r="I1592" t="s">
        <v>13022</v>
      </c>
      <c r="J1592" t="s">
        <v>13023</v>
      </c>
    </row>
    <row r="1593" spans="1:10" hidden="1" x14ac:dyDescent="0.25">
      <c r="A1593" t="s">
        <v>2912</v>
      </c>
      <c r="B1593">
        <v>164</v>
      </c>
      <c r="C1593" t="s">
        <v>2913</v>
      </c>
      <c r="F1593" s="1" t="str">
        <f>IF(E1593&lt;&gt;"", HYPERLINK("https://www.kegg.jp/dbget-bin/www_bget?ec:" &amp; E1593, "https://www.kegg.jp/dbget-bin/www_bget?ec:" &amp; E1593), "")</f>
        <v/>
      </c>
      <c r="G1593" s="3"/>
      <c r="H1593" s="1" t="str">
        <f>IF(G1593&lt;&gt;"", HYPERLINK("https://www.kegg.jp/entry/" &amp; G1593, "https://www.kegg.jp/entry/" &amp; G1593), "")</f>
        <v/>
      </c>
    </row>
    <row r="1594" spans="1:10" hidden="1" x14ac:dyDescent="0.25">
      <c r="A1594" t="s">
        <v>2914</v>
      </c>
      <c r="B1594">
        <v>1007</v>
      </c>
      <c r="C1594" t="s">
        <v>2915</v>
      </c>
      <c r="F1594" s="1" t="str">
        <f>IF(E1594&lt;&gt;"", HYPERLINK("https://www.kegg.jp/dbget-bin/www_bget?ec:" &amp; E1594, "https://www.kegg.jp/dbget-bin/www_bget?ec:" &amp; E1594), "")</f>
        <v/>
      </c>
      <c r="G1594" s="3"/>
      <c r="H1594" s="1" t="str">
        <f>IF(G1594&lt;&gt;"", HYPERLINK("https://www.kegg.jp/entry/" &amp; G1594, "https://www.kegg.jp/entry/" &amp; G1594), "")</f>
        <v/>
      </c>
    </row>
    <row r="1595" spans="1:10" hidden="1" x14ac:dyDescent="0.25">
      <c r="A1595" t="s">
        <v>2916</v>
      </c>
      <c r="B1595">
        <v>108</v>
      </c>
      <c r="C1595" t="s">
        <v>2917</v>
      </c>
      <c r="F1595" s="1" t="str">
        <f>IF(E1595&lt;&gt;"", HYPERLINK("https://www.kegg.jp/dbget-bin/www_bget?ec:" &amp; E1595, "https://www.kegg.jp/dbget-bin/www_bget?ec:" &amp; E1595), "")</f>
        <v/>
      </c>
      <c r="G1595" s="3"/>
      <c r="H1595" s="1" t="str">
        <f>IF(G1595&lt;&gt;"", HYPERLINK("https://www.kegg.jp/entry/" &amp; G1595, "https://www.kegg.jp/entry/" &amp; G1595), "")</f>
        <v/>
      </c>
    </row>
    <row r="1596" spans="1:10" hidden="1" x14ac:dyDescent="0.25">
      <c r="A1596" t="s">
        <v>2918</v>
      </c>
      <c r="B1596">
        <v>67</v>
      </c>
      <c r="C1596" t="s">
        <v>2919</v>
      </c>
      <c r="F1596" s="1" t="str">
        <f>IF(E1596&lt;&gt;"", HYPERLINK("https://www.kegg.jp/dbget-bin/www_bget?ec:" &amp; E1596, "https://www.kegg.jp/dbget-bin/www_bget?ec:" &amp; E1596), "")</f>
        <v/>
      </c>
      <c r="G1596" s="3"/>
      <c r="H1596" s="1" t="str">
        <f>IF(G1596&lt;&gt;"", HYPERLINK("https://www.kegg.jp/entry/" &amp; G1596, "https://www.kegg.jp/entry/" &amp; G1596), "")</f>
        <v/>
      </c>
    </row>
    <row r="1597" spans="1:10" hidden="1" x14ac:dyDescent="0.25">
      <c r="A1597" t="s">
        <v>2921</v>
      </c>
      <c r="B1597">
        <v>227</v>
      </c>
      <c r="C1597" t="s">
        <v>2922</v>
      </c>
      <c r="F1597" s="1" t="str">
        <f>IF(E1597&lt;&gt;"", HYPERLINK("https://www.kegg.jp/dbget-bin/www_bget?ec:" &amp; E1597, "https://www.kegg.jp/dbget-bin/www_bget?ec:" &amp; E1597), "")</f>
        <v/>
      </c>
      <c r="G1597" s="3"/>
      <c r="H1597" s="1" t="str">
        <f>IF(G1597&lt;&gt;"", HYPERLINK("https://www.kegg.jp/entry/" &amp; G1597, "https://www.kegg.jp/entry/" &amp; G1597), "")</f>
        <v/>
      </c>
    </row>
    <row r="1598" spans="1:10" x14ac:dyDescent="0.25">
      <c r="A1598" t="s">
        <v>2923</v>
      </c>
      <c r="B1598">
        <v>42</v>
      </c>
      <c r="C1598" t="s">
        <v>2924</v>
      </c>
      <c r="E1598" s="5" t="s">
        <v>6851</v>
      </c>
      <c r="F1598" s="1" t="str">
        <f>IF(E1598&lt;&gt;"", HYPERLINK("https://www.kegg.jp/dbget-bin/www_bget?ec:" &amp; E1598, "https://www.kegg.jp/dbget-bin/www_bget?ec:" &amp; E1598), "")</f>
        <v>https://www.kegg.jp/dbget-bin/www_bget?ec:2.5.1.48</v>
      </c>
      <c r="G1598" s="3" t="s">
        <v>7727</v>
      </c>
      <c r="H1598" s="1" t="str">
        <f>IF(G1598&lt;&gt;"", HYPERLINK("https://www.kegg.jp/entry/" &amp; G1598, "https://www.kegg.jp/entry/" &amp; G1598), "")</f>
        <v>https://www.kegg.jp/entry/R03260</v>
      </c>
      <c r="I1598" t="s">
        <v>13340</v>
      </c>
      <c r="J1598" t="s">
        <v>13341</v>
      </c>
    </row>
    <row r="1599" spans="1:10" x14ac:dyDescent="0.25">
      <c r="A1599" t="s">
        <v>2923</v>
      </c>
      <c r="B1599">
        <v>42</v>
      </c>
      <c r="C1599" t="s">
        <v>2924</v>
      </c>
      <c r="E1599" s="5" t="s">
        <v>6851</v>
      </c>
      <c r="F1599" s="1" t="str">
        <f>IF(E1599&lt;&gt;"", HYPERLINK("https://www.kegg.jp/dbget-bin/www_bget?ec:" &amp; E1599, "https://www.kegg.jp/dbget-bin/www_bget?ec:" &amp; E1599), "")</f>
        <v>https://www.kegg.jp/dbget-bin/www_bget?ec:2.5.1.48</v>
      </c>
      <c r="G1599" s="3" t="s">
        <v>7734</v>
      </c>
      <c r="H1599" s="1" t="str">
        <f>IF(G1599&lt;&gt;"", HYPERLINK("https://www.kegg.jp/entry/" &amp; G1599, "https://www.kegg.jp/entry/" &amp; G1599), "")</f>
        <v>https://www.kegg.jp/entry/R00999</v>
      </c>
      <c r="I1599" t="s">
        <v>13342</v>
      </c>
      <c r="J1599" t="s">
        <v>13343</v>
      </c>
    </row>
    <row r="1600" spans="1:10" x14ac:dyDescent="0.25">
      <c r="A1600" t="s">
        <v>2923</v>
      </c>
      <c r="B1600">
        <v>42</v>
      </c>
      <c r="C1600" t="s">
        <v>2924</v>
      </c>
      <c r="E1600" s="5" t="s">
        <v>6851</v>
      </c>
      <c r="F1600" s="1" t="str">
        <f>IF(E1600&lt;&gt;"", HYPERLINK("https://www.kegg.jp/dbget-bin/www_bget?ec:" &amp; E1600, "https://www.kegg.jp/dbget-bin/www_bget?ec:" &amp; E1600), "")</f>
        <v>https://www.kegg.jp/dbget-bin/www_bget?ec:2.5.1.48</v>
      </c>
      <c r="G1600" s="3" t="s">
        <v>7733</v>
      </c>
      <c r="H1600" s="1" t="str">
        <f>IF(G1600&lt;&gt;"", HYPERLINK("https://www.kegg.jp/entry/" &amp; G1600, "https://www.kegg.jp/entry/" &amp; G1600), "")</f>
        <v>https://www.kegg.jp/entry/R01288</v>
      </c>
      <c r="I1600" t="s">
        <v>13344</v>
      </c>
      <c r="J1600" t="s">
        <v>13345</v>
      </c>
    </row>
    <row r="1601" spans="1:10" x14ac:dyDescent="0.25">
      <c r="A1601" t="s">
        <v>2923</v>
      </c>
      <c r="B1601">
        <v>42</v>
      </c>
      <c r="C1601" t="s">
        <v>2924</v>
      </c>
      <c r="E1601" s="5" t="s">
        <v>6851</v>
      </c>
      <c r="F1601" s="1" t="str">
        <f>IF(E1601&lt;&gt;"", HYPERLINK("https://www.kegg.jp/dbget-bin/www_bget?ec:" &amp; E1601, "https://www.kegg.jp/dbget-bin/www_bget?ec:" &amp; E1601), "")</f>
        <v>https://www.kegg.jp/dbget-bin/www_bget?ec:2.5.1.48</v>
      </c>
      <c r="G1601" s="3" t="s">
        <v>7732</v>
      </c>
      <c r="H1601" s="1" t="str">
        <f>IF(G1601&lt;&gt;"", HYPERLINK("https://www.kegg.jp/entry/" &amp; G1601, "https://www.kegg.jp/entry/" &amp; G1601), "")</f>
        <v>https://www.kegg.jp/entry/R02508</v>
      </c>
      <c r="I1601" t="s">
        <v>13346</v>
      </c>
      <c r="J1601" t="s">
        <v>13340</v>
      </c>
    </row>
    <row r="1602" spans="1:10" x14ac:dyDescent="0.25">
      <c r="A1602" t="s">
        <v>2923</v>
      </c>
      <c r="B1602">
        <v>42</v>
      </c>
      <c r="C1602" t="s">
        <v>2924</v>
      </c>
      <c r="E1602" s="5" t="s">
        <v>6851</v>
      </c>
      <c r="F1602" s="1" t="str">
        <f>IF(E1602&lt;&gt;"", HYPERLINK("https://www.kegg.jp/dbget-bin/www_bget?ec:" &amp; E1602, "https://www.kegg.jp/dbget-bin/www_bget?ec:" &amp; E1602), "")</f>
        <v>https://www.kegg.jp/dbget-bin/www_bget?ec:2.5.1.48</v>
      </c>
      <c r="G1602" s="3" t="s">
        <v>7731</v>
      </c>
      <c r="H1602" s="1" t="str">
        <f>IF(G1602&lt;&gt;"", HYPERLINK("https://www.kegg.jp/entry/" &amp; G1602, "https://www.kegg.jp/entry/" &amp; G1602), "")</f>
        <v>https://www.kegg.jp/entry/R03217</v>
      </c>
      <c r="I1602" t="s">
        <v>13347</v>
      </c>
      <c r="J1602" t="s">
        <v>13348</v>
      </c>
    </row>
    <row r="1603" spans="1:10" x14ac:dyDescent="0.25">
      <c r="A1603" t="s">
        <v>2923</v>
      </c>
      <c r="B1603">
        <v>42</v>
      </c>
      <c r="C1603" t="s">
        <v>2924</v>
      </c>
      <c r="E1603" s="5" t="s">
        <v>6851</v>
      </c>
      <c r="F1603" s="1" t="str">
        <f>IF(E1603&lt;&gt;"", HYPERLINK("https://www.kegg.jp/dbget-bin/www_bget?ec:" &amp; E1603, "https://www.kegg.jp/dbget-bin/www_bget?ec:" &amp; E1603), "")</f>
        <v>https://www.kegg.jp/dbget-bin/www_bget?ec:2.5.1.48</v>
      </c>
      <c r="G1603" s="3" t="s">
        <v>7730</v>
      </c>
      <c r="H1603" s="1" t="str">
        <f>IF(G1603&lt;&gt;"", HYPERLINK("https://www.kegg.jp/entry/" &amp; G1603, "https://www.kegg.jp/entry/" &amp; G1603), "")</f>
        <v>https://www.kegg.jp/entry/R04944</v>
      </c>
      <c r="I1603" t="s">
        <v>13349</v>
      </c>
      <c r="J1603" t="s">
        <v>13350</v>
      </c>
    </row>
    <row r="1604" spans="1:10" x14ac:dyDescent="0.25">
      <c r="A1604" t="s">
        <v>2923</v>
      </c>
      <c r="B1604">
        <v>42</v>
      </c>
      <c r="C1604" t="s">
        <v>2924</v>
      </c>
      <c r="E1604" s="5" t="s">
        <v>6851</v>
      </c>
      <c r="F1604" s="1" t="str">
        <f>IF(E1604&lt;&gt;"", HYPERLINK("https://www.kegg.jp/dbget-bin/www_bget?ec:" &amp; E1604, "https://www.kegg.jp/dbget-bin/www_bget?ec:" &amp; E1604), "")</f>
        <v>https://www.kegg.jp/dbget-bin/www_bget?ec:2.5.1.48</v>
      </c>
      <c r="G1604" s="3" t="s">
        <v>7729</v>
      </c>
      <c r="H1604" s="1" t="str">
        <f>IF(G1604&lt;&gt;"", HYPERLINK("https://www.kegg.jp/entry/" &amp; G1604, "https://www.kegg.jp/entry/" &amp; G1604), "")</f>
        <v>https://www.kegg.jp/entry/R04945</v>
      </c>
      <c r="I1604" t="s">
        <v>8269</v>
      </c>
      <c r="J1604" t="s">
        <v>13351</v>
      </c>
    </row>
    <row r="1605" spans="1:10" x14ac:dyDescent="0.25">
      <c r="A1605" t="s">
        <v>2923</v>
      </c>
      <c r="B1605">
        <v>42</v>
      </c>
      <c r="C1605" t="s">
        <v>2924</v>
      </c>
      <c r="E1605" s="5" t="s">
        <v>6851</v>
      </c>
      <c r="F1605" s="1" t="str">
        <f>IF(E1605&lt;&gt;"", HYPERLINK("https://www.kegg.jp/dbget-bin/www_bget?ec:" &amp; E1605, "https://www.kegg.jp/dbget-bin/www_bget?ec:" &amp; E1605), "")</f>
        <v>https://www.kegg.jp/dbget-bin/www_bget?ec:2.5.1.48</v>
      </c>
      <c r="G1605" s="3" t="s">
        <v>7728</v>
      </c>
      <c r="H1605" s="1" t="str">
        <f>IF(G1605&lt;&gt;"", HYPERLINK("https://www.kegg.jp/entry/" &amp; G1605, "https://www.kegg.jp/entry/" &amp; G1605), "")</f>
        <v>https://www.kegg.jp/entry/R04946</v>
      </c>
      <c r="I1605" t="s">
        <v>8270</v>
      </c>
      <c r="J1605" t="s">
        <v>13352</v>
      </c>
    </row>
    <row r="1606" spans="1:10" x14ac:dyDescent="0.25">
      <c r="A1606" t="s">
        <v>2926</v>
      </c>
      <c r="B1606">
        <v>286</v>
      </c>
      <c r="C1606" t="s">
        <v>2927</v>
      </c>
      <c r="E1606" s="5" t="s">
        <v>6858</v>
      </c>
      <c r="F1606" s="1" t="str">
        <f>IF(E1606&lt;&gt;"", HYPERLINK("https://www.kegg.jp/dbget-bin/www_bget?ec:" &amp; E1606, "https://www.kegg.jp/dbget-bin/www_bget?ec:" &amp; E1606), "")</f>
        <v>https://www.kegg.jp/dbget-bin/www_bget?ec:2.8.1.1</v>
      </c>
      <c r="G1606" s="3" t="s">
        <v>7211</v>
      </c>
      <c r="H1606" s="1" t="str">
        <f>IF(G1606&lt;&gt;"", HYPERLINK("https://www.kegg.jp/entry/" &amp; G1606, "https://www.kegg.jp/entry/" &amp; G1606), "")</f>
        <v>https://www.kegg.jp/entry/R01931</v>
      </c>
      <c r="I1606" t="s">
        <v>13370</v>
      </c>
      <c r="J1606" t="s">
        <v>8542</v>
      </c>
    </row>
    <row r="1607" spans="1:10" x14ac:dyDescent="0.25">
      <c r="A1607" t="s">
        <v>2929</v>
      </c>
      <c r="B1607">
        <v>286</v>
      </c>
      <c r="C1607" t="s">
        <v>2930</v>
      </c>
      <c r="E1607" s="5" t="s">
        <v>6755</v>
      </c>
      <c r="F1607" s="1" t="str">
        <f>IF(E1607&lt;&gt;"", HYPERLINK("https://www.kegg.jp/dbget-bin/www_bget?ec:" &amp; E1607, "https://www.kegg.jp/dbget-bin/www_bget?ec:" &amp; E1607), "")</f>
        <v>https://www.kegg.jp/dbget-bin/www_bget?ec:4.3.1.17</v>
      </c>
      <c r="G1607" s="3" t="s">
        <v>7431</v>
      </c>
      <c r="H1607" s="1" t="str">
        <f>IF(G1607&lt;&gt;"", HYPERLINK("https://www.kegg.jp/entry/" &amp; G1607, "https://www.kegg.jp/entry/" &amp; G1607), "")</f>
        <v>https://www.kegg.jp/entry/R00220</v>
      </c>
      <c r="I1607" t="s">
        <v>8143</v>
      </c>
      <c r="J1607" t="s">
        <v>12874</v>
      </c>
    </row>
    <row r="1608" spans="1:10" x14ac:dyDescent="0.25">
      <c r="A1608" t="s">
        <v>2929</v>
      </c>
      <c r="B1608">
        <v>286</v>
      </c>
      <c r="C1608" t="s">
        <v>2930</v>
      </c>
      <c r="E1608" s="5" t="s">
        <v>6755</v>
      </c>
      <c r="F1608" s="1" t="str">
        <f>IF(E1608&lt;&gt;"", HYPERLINK("https://www.kegg.jp/dbget-bin/www_bget?ec:" &amp; E1608, "https://www.kegg.jp/dbget-bin/www_bget?ec:" &amp; E1608), "")</f>
        <v>https://www.kegg.jp/dbget-bin/www_bget?ec:4.3.1.17</v>
      </c>
      <c r="G1608" s="3" t="s">
        <v>7576</v>
      </c>
      <c r="H1608" s="1" t="str">
        <f>IF(G1608&lt;&gt;"", HYPERLINK("https://www.kegg.jp/entry/" &amp; G1608, "https://www.kegg.jp/entry/" &amp; G1608), "")</f>
        <v>https://www.kegg.jp/entry/R00590</v>
      </c>
      <c r="I1608" t="s">
        <v>8143</v>
      </c>
      <c r="J1608" t="s">
        <v>13078</v>
      </c>
    </row>
    <row r="1609" spans="1:10" x14ac:dyDescent="0.25">
      <c r="A1609" t="s">
        <v>2929</v>
      </c>
      <c r="B1609">
        <v>286</v>
      </c>
      <c r="C1609" t="s">
        <v>2930</v>
      </c>
      <c r="E1609" s="5" t="s">
        <v>6755</v>
      </c>
      <c r="F1609" s="1" t="str">
        <f>IF(E1609&lt;&gt;"", HYPERLINK("https://www.kegg.jp/dbget-bin/www_bget?ec:" &amp; E1609, "https://www.kegg.jp/dbget-bin/www_bget?ec:" &amp; E1609), "")</f>
        <v>https://www.kegg.jp/dbget-bin/www_bget?ec:4.3.1.17</v>
      </c>
      <c r="G1609" s="3" t="s">
        <v>7575</v>
      </c>
      <c r="H1609" s="1" t="str">
        <f>IF(G1609&lt;&gt;"", HYPERLINK("https://www.kegg.jp/entry/" &amp; G1609, "https://www.kegg.jp/entry/" &amp; G1609), "")</f>
        <v>https://www.kegg.jp/entry/R11099</v>
      </c>
      <c r="I1609" t="s">
        <v>13079</v>
      </c>
      <c r="J1609" t="s">
        <v>12874</v>
      </c>
    </row>
    <row r="1610" spans="1:10" x14ac:dyDescent="0.25">
      <c r="A1610" t="s">
        <v>2929</v>
      </c>
      <c r="B1610">
        <v>286</v>
      </c>
      <c r="C1610" t="s">
        <v>2930</v>
      </c>
      <c r="E1610" s="5" t="s">
        <v>6755</v>
      </c>
      <c r="F1610" s="1" t="str">
        <f>IF(E1610&lt;&gt;"", HYPERLINK("https://www.kegg.jp/dbget-bin/www_bget?ec:" &amp; E1610, "https://www.kegg.jp/dbget-bin/www_bget?ec:" &amp; E1610), "")</f>
        <v>https://www.kegg.jp/dbget-bin/www_bget?ec:4.3.1.17</v>
      </c>
      <c r="G1610" s="3" t="s">
        <v>7574</v>
      </c>
      <c r="H1610" s="1" t="str">
        <f>IF(G1610&lt;&gt;"", HYPERLINK("https://www.kegg.jp/entry/" &amp; G1610, "https://www.kegg.jp/entry/" &amp; G1610), "")</f>
        <v>https://www.kegg.jp/entry/R11100</v>
      </c>
      <c r="I1610" t="s">
        <v>8212</v>
      </c>
      <c r="J1610" t="s">
        <v>8490</v>
      </c>
    </row>
    <row r="1611" spans="1:10" x14ac:dyDescent="0.25">
      <c r="A1611" t="s">
        <v>2929</v>
      </c>
      <c r="B1611">
        <v>286</v>
      </c>
      <c r="C1611" t="s">
        <v>2930</v>
      </c>
      <c r="E1611" s="5" t="s">
        <v>6755</v>
      </c>
      <c r="F1611" s="1" t="str">
        <f>IF(E1611&lt;&gt;"", HYPERLINK("https://www.kegg.jp/dbget-bin/www_bget?ec:" &amp; E1611, "https://www.kegg.jp/dbget-bin/www_bget?ec:" &amp; E1611), "")</f>
        <v>https://www.kegg.jp/dbget-bin/www_bget?ec:4.3.1.17</v>
      </c>
      <c r="G1611" s="3" t="s">
        <v>7430</v>
      </c>
      <c r="H1611" s="1" t="str">
        <f>IF(G1611&lt;&gt;"", HYPERLINK("https://www.kegg.jp/entry/" &amp; G1611, "https://www.kegg.jp/entry/" &amp; G1611), "")</f>
        <v>https://www.kegg.jp/entry/R06131</v>
      </c>
      <c r="I1611" t="s">
        <v>8144</v>
      </c>
      <c r="J1611" t="s">
        <v>12875</v>
      </c>
    </row>
    <row r="1612" spans="1:10" hidden="1" x14ac:dyDescent="0.25">
      <c r="A1612" t="s">
        <v>2932</v>
      </c>
      <c r="B1612">
        <v>192</v>
      </c>
      <c r="C1612" t="s">
        <v>2933</v>
      </c>
      <c r="F1612" s="1" t="str">
        <f>IF(E1612&lt;&gt;"", HYPERLINK("https://www.kegg.jp/dbget-bin/www_bget?ec:" &amp; E1612, "https://www.kegg.jp/dbget-bin/www_bget?ec:" &amp; E1612), "")</f>
        <v/>
      </c>
      <c r="G1612" s="3"/>
      <c r="H1612" s="1" t="str">
        <f>IF(G1612&lt;&gt;"", HYPERLINK("https://www.kegg.jp/entry/" &amp; G1612, "https://www.kegg.jp/entry/" &amp; G1612), "")</f>
        <v/>
      </c>
    </row>
    <row r="1613" spans="1:10" hidden="1" x14ac:dyDescent="0.25">
      <c r="A1613" t="s">
        <v>2935</v>
      </c>
      <c r="B1613">
        <v>150</v>
      </c>
      <c r="C1613" t="s">
        <v>2936</v>
      </c>
      <c r="F1613" s="1" t="str">
        <f>IF(E1613&lt;&gt;"", HYPERLINK("https://www.kegg.jp/dbget-bin/www_bget?ec:" &amp; E1613, "https://www.kegg.jp/dbget-bin/www_bget?ec:" &amp; E1613), "")</f>
        <v/>
      </c>
      <c r="G1613" s="3"/>
      <c r="H1613" s="1" t="str">
        <f>IF(G1613&lt;&gt;"", HYPERLINK("https://www.kegg.jp/entry/" &amp; G1613, "https://www.kegg.jp/entry/" &amp; G1613), "")</f>
        <v/>
      </c>
    </row>
    <row r="1614" spans="1:10" x14ac:dyDescent="0.25">
      <c r="A1614" t="s">
        <v>2938</v>
      </c>
      <c r="B1614">
        <v>239</v>
      </c>
      <c r="C1614" t="s">
        <v>2939</v>
      </c>
      <c r="E1614" s="5" t="s">
        <v>6859</v>
      </c>
      <c r="F1614" s="1" t="str">
        <f>IF(E1614&lt;&gt;"", HYPERLINK("https://www.kegg.jp/dbget-bin/www_bget?ec:" &amp; E1614, "https://www.kegg.jp/dbget-bin/www_bget?ec:" &amp; E1614), "")</f>
        <v>https://www.kegg.jp/dbget-bin/www_bget?ec:2.1.1.228</v>
      </c>
      <c r="G1614" s="3" t="s">
        <v>7212</v>
      </c>
      <c r="H1614" s="1" t="str">
        <f>IF(G1614&lt;&gt;"", HYPERLINK("https://www.kegg.jp/entry/" &amp; G1614, "https://www.kegg.jp/entry/" &amp; G1614), "")</f>
        <v>https://www.kegg.jp/entry/R00597</v>
      </c>
      <c r="I1614" t="s">
        <v>8274</v>
      </c>
      <c r="J1614" t="s">
        <v>8543</v>
      </c>
    </row>
    <row r="1615" spans="1:10" hidden="1" x14ac:dyDescent="0.25">
      <c r="A1615" t="s">
        <v>2941</v>
      </c>
      <c r="B1615">
        <v>165</v>
      </c>
      <c r="C1615" t="s">
        <v>2942</v>
      </c>
      <c r="F1615" s="1" t="str">
        <f>IF(E1615&lt;&gt;"", HYPERLINK("https://www.kegg.jp/dbget-bin/www_bget?ec:" &amp; E1615, "https://www.kegg.jp/dbget-bin/www_bget?ec:" &amp; E1615), "")</f>
        <v/>
      </c>
      <c r="G1615" s="3"/>
      <c r="H1615" s="1" t="str">
        <f>IF(G1615&lt;&gt;"", HYPERLINK("https://www.kegg.jp/entry/" &amp; G1615, "https://www.kegg.jp/entry/" &amp; G1615), "")</f>
        <v/>
      </c>
    </row>
    <row r="1616" spans="1:10" hidden="1" x14ac:dyDescent="0.25">
      <c r="A1616" t="s">
        <v>2944</v>
      </c>
      <c r="B1616">
        <v>72</v>
      </c>
      <c r="C1616" t="s">
        <v>2945</v>
      </c>
      <c r="F1616" s="1" t="str">
        <f>IF(E1616&lt;&gt;"", HYPERLINK("https://www.kegg.jp/dbget-bin/www_bget?ec:" &amp; E1616, "https://www.kegg.jp/dbget-bin/www_bget?ec:" &amp; E1616), "")</f>
        <v/>
      </c>
      <c r="G1616" s="3"/>
      <c r="H1616" s="1" t="str">
        <f>IF(G1616&lt;&gt;"", HYPERLINK("https://www.kegg.jp/entry/" &amp; G1616, "https://www.kegg.jp/entry/" &amp; G1616), "")</f>
        <v/>
      </c>
    </row>
    <row r="1617" spans="1:10" hidden="1" x14ac:dyDescent="0.25">
      <c r="A1617" t="s">
        <v>2947</v>
      </c>
      <c r="B1617">
        <v>87</v>
      </c>
      <c r="C1617" t="s">
        <v>2948</v>
      </c>
      <c r="F1617" s="1" t="str">
        <f>IF(E1617&lt;&gt;"", HYPERLINK("https://www.kegg.jp/dbget-bin/www_bget?ec:" &amp; E1617, "https://www.kegg.jp/dbget-bin/www_bget?ec:" &amp; E1617), "")</f>
        <v/>
      </c>
      <c r="G1617" s="3"/>
      <c r="H1617" s="1" t="str">
        <f>IF(G1617&lt;&gt;"", HYPERLINK("https://www.kegg.jp/entry/" &amp; G1617, "https://www.kegg.jp/entry/" &amp; G1617), "")</f>
        <v/>
      </c>
    </row>
    <row r="1618" spans="1:10" hidden="1" x14ac:dyDescent="0.25">
      <c r="A1618" t="s">
        <v>2950</v>
      </c>
      <c r="B1618">
        <v>430</v>
      </c>
      <c r="C1618" t="s">
        <v>2951</v>
      </c>
      <c r="F1618" s="1" t="str">
        <f>IF(E1618&lt;&gt;"", HYPERLINK("https://www.kegg.jp/dbget-bin/www_bget?ec:" &amp; E1618, "https://www.kegg.jp/dbget-bin/www_bget?ec:" &amp; E1618), "")</f>
        <v/>
      </c>
      <c r="G1618" s="3"/>
      <c r="H1618" s="1" t="str">
        <f>IF(G1618&lt;&gt;"", HYPERLINK("https://www.kegg.jp/entry/" &amp; G1618, "https://www.kegg.jp/entry/" &amp; G1618), "")</f>
        <v/>
      </c>
    </row>
    <row r="1619" spans="1:10" hidden="1" x14ac:dyDescent="0.25">
      <c r="A1619" t="s">
        <v>2953</v>
      </c>
      <c r="B1619">
        <v>448</v>
      </c>
      <c r="C1619" t="s">
        <v>2954</v>
      </c>
      <c r="F1619" s="1" t="str">
        <f>IF(E1619&lt;&gt;"", HYPERLINK("https://www.kegg.jp/dbget-bin/www_bget?ec:" &amp; E1619, "https://www.kegg.jp/dbget-bin/www_bget?ec:" &amp; E1619), "")</f>
        <v/>
      </c>
      <c r="G1619" s="3"/>
      <c r="H1619" s="1" t="str">
        <f>IF(G1619&lt;&gt;"", HYPERLINK("https://www.kegg.jp/entry/" &amp; G1619, "https://www.kegg.jp/entry/" &amp; G1619), "")</f>
        <v/>
      </c>
    </row>
    <row r="1620" spans="1:10" hidden="1" x14ac:dyDescent="0.25">
      <c r="A1620" t="s">
        <v>2956</v>
      </c>
      <c r="B1620">
        <v>131</v>
      </c>
      <c r="C1620" t="s">
        <v>2957</v>
      </c>
      <c r="F1620" s="1" t="str">
        <f>IF(E1620&lt;&gt;"", HYPERLINK("https://www.kegg.jp/dbget-bin/www_bget?ec:" &amp; E1620, "https://www.kegg.jp/dbget-bin/www_bget?ec:" &amp; E1620), "")</f>
        <v/>
      </c>
      <c r="G1620" s="3"/>
      <c r="H1620" s="1" t="str">
        <f>IF(G1620&lt;&gt;"", HYPERLINK("https://www.kegg.jp/entry/" &amp; G1620, "https://www.kegg.jp/entry/" &amp; G1620), "")</f>
        <v/>
      </c>
    </row>
    <row r="1621" spans="1:10" hidden="1" x14ac:dyDescent="0.25">
      <c r="A1621" t="s">
        <v>2959</v>
      </c>
      <c r="B1621">
        <v>345</v>
      </c>
      <c r="C1621" t="s">
        <v>2960</v>
      </c>
      <c r="F1621" s="1" t="str">
        <f>IF(E1621&lt;&gt;"", HYPERLINK("https://www.kegg.jp/dbget-bin/www_bget?ec:" &amp; E1621, "https://www.kegg.jp/dbget-bin/www_bget?ec:" &amp; E1621), "")</f>
        <v/>
      </c>
      <c r="G1621" s="3"/>
      <c r="H1621" s="1" t="str">
        <f>IF(G1621&lt;&gt;"", HYPERLINK("https://www.kegg.jp/entry/" &amp; G1621, "https://www.kegg.jp/entry/" &amp; G1621), "")</f>
        <v/>
      </c>
    </row>
    <row r="1622" spans="1:10" hidden="1" x14ac:dyDescent="0.25">
      <c r="A1622" t="s">
        <v>2961</v>
      </c>
      <c r="B1622">
        <v>179</v>
      </c>
      <c r="C1622" t="s">
        <v>2962</v>
      </c>
      <c r="F1622" s="1" t="str">
        <f>IF(E1622&lt;&gt;"", HYPERLINK("https://www.kegg.jp/dbget-bin/www_bget?ec:" &amp; E1622, "https://www.kegg.jp/dbget-bin/www_bget?ec:" &amp; E1622), "")</f>
        <v/>
      </c>
      <c r="G1622" s="3"/>
      <c r="H1622" s="1" t="str">
        <f>IF(G1622&lt;&gt;"", HYPERLINK("https://www.kegg.jp/entry/" &amp; G1622, "https://www.kegg.jp/entry/" &amp; G1622), "")</f>
        <v/>
      </c>
    </row>
    <row r="1623" spans="1:10" x14ac:dyDescent="0.25">
      <c r="A1623" t="s">
        <v>2964</v>
      </c>
      <c r="B1623">
        <v>857</v>
      </c>
      <c r="C1623" t="s">
        <v>2965</v>
      </c>
      <c r="E1623" s="5" t="s">
        <v>6860</v>
      </c>
      <c r="F1623" s="1" t="str">
        <f>IF(E1623&lt;&gt;"", HYPERLINK("https://www.kegg.jp/dbget-bin/www_bget?ec:" &amp; E1623, "https://www.kegg.jp/dbget-bin/www_bget?ec:" &amp; E1623), "")</f>
        <v>https://www.kegg.jp/dbget-bin/www_bget?ec:4.1.1.31</v>
      </c>
      <c r="G1623" s="3" t="s">
        <v>7213</v>
      </c>
      <c r="H1623" s="1" t="str">
        <f>IF(G1623&lt;&gt;"", HYPERLINK("https://www.kegg.jp/entry/" &amp; G1623, "https://www.kegg.jp/entry/" &amp; G1623), "")</f>
        <v>https://www.kegg.jp/entry/R00345</v>
      </c>
      <c r="I1623" t="s">
        <v>8275</v>
      </c>
      <c r="J1623" t="s">
        <v>13371</v>
      </c>
    </row>
    <row r="1624" spans="1:10" hidden="1" x14ac:dyDescent="0.25">
      <c r="A1624" t="s">
        <v>2967</v>
      </c>
      <c r="B1624">
        <v>251</v>
      </c>
      <c r="C1624" t="s">
        <v>2968</v>
      </c>
      <c r="F1624" s="1" t="str">
        <f>IF(E1624&lt;&gt;"", HYPERLINK("https://www.kegg.jp/dbget-bin/www_bget?ec:" &amp; E1624, "https://www.kegg.jp/dbget-bin/www_bget?ec:" &amp; E1624), "")</f>
        <v/>
      </c>
      <c r="G1624" s="3"/>
      <c r="H1624" s="1" t="str">
        <f>IF(G1624&lt;&gt;"", HYPERLINK("https://www.kegg.jp/entry/" &amp; G1624, "https://www.kegg.jp/entry/" &amp; G1624), "")</f>
        <v/>
      </c>
    </row>
    <row r="1625" spans="1:10" hidden="1" x14ac:dyDescent="0.25">
      <c r="A1625" t="s">
        <v>2969</v>
      </c>
      <c r="B1625">
        <v>317</v>
      </c>
      <c r="C1625" t="s">
        <v>2970</v>
      </c>
      <c r="F1625" s="1" t="str">
        <f>IF(E1625&lt;&gt;"", HYPERLINK("https://www.kegg.jp/dbget-bin/www_bget?ec:" &amp; E1625, "https://www.kegg.jp/dbget-bin/www_bget?ec:" &amp; E1625), "")</f>
        <v/>
      </c>
      <c r="G1625" s="3"/>
      <c r="H1625" s="1" t="str">
        <f>IF(G1625&lt;&gt;"", HYPERLINK("https://www.kegg.jp/entry/" &amp; G1625, "https://www.kegg.jp/entry/" &amp; G1625), "")</f>
        <v/>
      </c>
    </row>
    <row r="1626" spans="1:10" hidden="1" x14ac:dyDescent="0.25">
      <c r="A1626" t="s">
        <v>2971</v>
      </c>
      <c r="B1626">
        <v>79</v>
      </c>
      <c r="C1626" t="s">
        <v>2972</v>
      </c>
      <c r="F1626" s="1" t="str">
        <f>IF(E1626&lt;&gt;"", HYPERLINK("https://www.kegg.jp/dbget-bin/www_bget?ec:" &amp; E1626, "https://www.kegg.jp/dbget-bin/www_bget?ec:" &amp; E1626), "")</f>
        <v/>
      </c>
      <c r="G1626" s="3"/>
      <c r="H1626" s="1" t="str">
        <f>IF(G1626&lt;&gt;"", HYPERLINK("https://www.kegg.jp/entry/" &amp; G1626, "https://www.kegg.jp/entry/" &amp; G1626), "")</f>
        <v/>
      </c>
    </row>
    <row r="1627" spans="1:10" hidden="1" x14ac:dyDescent="0.25">
      <c r="A1627" t="s">
        <v>2974</v>
      </c>
      <c r="B1627">
        <v>221</v>
      </c>
      <c r="C1627" t="s">
        <v>2975</v>
      </c>
      <c r="F1627" s="1" t="str">
        <f>IF(E1627&lt;&gt;"", HYPERLINK("https://www.kegg.jp/dbget-bin/www_bget?ec:" &amp; E1627, "https://www.kegg.jp/dbget-bin/www_bget?ec:" &amp; E1627), "")</f>
        <v/>
      </c>
      <c r="G1627" s="3"/>
      <c r="H1627" s="1" t="str">
        <f>IF(G1627&lt;&gt;"", HYPERLINK("https://www.kegg.jp/entry/" &amp; G1627, "https://www.kegg.jp/entry/" &amp; G1627), "")</f>
        <v/>
      </c>
    </row>
    <row r="1628" spans="1:10" hidden="1" x14ac:dyDescent="0.25">
      <c r="A1628" t="s">
        <v>2977</v>
      </c>
      <c r="B1628">
        <v>156</v>
      </c>
      <c r="C1628" t="s">
        <v>2978</v>
      </c>
      <c r="F1628" s="1" t="str">
        <f>IF(E1628&lt;&gt;"", HYPERLINK("https://www.kegg.jp/dbget-bin/www_bget?ec:" &amp; E1628, "https://www.kegg.jp/dbget-bin/www_bget?ec:" &amp; E1628), "")</f>
        <v/>
      </c>
      <c r="G1628" s="3"/>
      <c r="H1628" s="1" t="str">
        <f>IF(G1628&lt;&gt;"", HYPERLINK("https://www.kegg.jp/entry/" &amp; G1628, "https://www.kegg.jp/entry/" &amp; G1628), "")</f>
        <v/>
      </c>
    </row>
    <row r="1629" spans="1:10" x14ac:dyDescent="0.25">
      <c r="A1629" t="s">
        <v>2980</v>
      </c>
      <c r="B1629">
        <v>248</v>
      </c>
      <c r="C1629" t="s">
        <v>2981</v>
      </c>
      <c r="E1629" s="5" t="s">
        <v>6861</v>
      </c>
      <c r="F1629" s="1" t="str">
        <f>IF(E1629&lt;&gt;"", HYPERLINK("https://www.kegg.jp/dbget-bin/www_bget?ec:" &amp; E1629, "https://www.kegg.jp/dbget-bin/www_bget?ec:" &amp; E1629), "")</f>
        <v>https://www.kegg.jp/dbget-bin/www_bget?ec:4.1.3.38</v>
      </c>
      <c r="G1629" s="3" t="s">
        <v>7214</v>
      </c>
      <c r="H1629" s="1" t="str">
        <f>IF(G1629&lt;&gt;"", HYPERLINK("https://www.kegg.jp/entry/" &amp; G1629, "https://www.kegg.jp/entry/" &amp; G1629), "")</f>
        <v>https://www.kegg.jp/entry/R05553</v>
      </c>
      <c r="I1629" t="s">
        <v>8276</v>
      </c>
      <c r="J1629" t="s">
        <v>13372</v>
      </c>
    </row>
    <row r="1630" spans="1:10" x14ac:dyDescent="0.25">
      <c r="A1630" t="s">
        <v>2983</v>
      </c>
      <c r="B1630">
        <v>616</v>
      </c>
      <c r="C1630" t="s">
        <v>2984</v>
      </c>
      <c r="E1630" s="5" t="s">
        <v>6862</v>
      </c>
      <c r="F1630" s="1" t="str">
        <f>IF(E1630&lt;&gt;"", HYPERLINK("https://www.kegg.jp/dbget-bin/www_bget?ec:" &amp; E1630, "https://www.kegg.jp/dbget-bin/www_bget?ec:" &amp; E1630), "")</f>
        <v>https://www.kegg.jp/dbget-bin/www_bget?ec:2.6.1.85</v>
      </c>
      <c r="G1630" s="3" t="s">
        <v>7423</v>
      </c>
      <c r="H1630" s="1" t="str">
        <f>IF(G1630&lt;&gt;"", HYPERLINK("https://www.kegg.jp/entry/" &amp; G1630, "https://www.kegg.jp/entry/" &amp; G1630), "")</f>
        <v>https://www.kegg.jp/entry/R00256</v>
      </c>
      <c r="I1630" t="s">
        <v>12866</v>
      </c>
      <c r="J1630" t="s">
        <v>12867</v>
      </c>
    </row>
    <row r="1631" spans="1:10" x14ac:dyDescent="0.25">
      <c r="A1631" t="s">
        <v>2983</v>
      </c>
      <c r="B1631">
        <v>616</v>
      </c>
      <c r="C1631" t="s">
        <v>2984</v>
      </c>
      <c r="E1631" s="5" t="s">
        <v>6862</v>
      </c>
      <c r="F1631" s="1" t="str">
        <f>IF(E1631&lt;&gt;"", HYPERLINK("https://www.kegg.jp/dbget-bin/www_bget?ec:" &amp; E1631, "https://www.kegg.jp/dbget-bin/www_bget?ec:" &amp; E1631), "")</f>
        <v>https://www.kegg.jp/dbget-bin/www_bget?ec:2.6.1.85</v>
      </c>
      <c r="G1631" s="3" t="s">
        <v>7744</v>
      </c>
      <c r="H1631" s="1" t="str">
        <f>IF(G1631&lt;&gt;"", HYPERLINK("https://www.kegg.jp/entry/" &amp; G1631, "https://www.kegg.jp/entry/" &amp; G1631), "")</f>
        <v>https://www.kegg.jp/entry/R01716</v>
      </c>
      <c r="I1631" t="s">
        <v>13373</v>
      </c>
      <c r="J1631" t="s">
        <v>13374</v>
      </c>
    </row>
    <row r="1632" spans="1:10" x14ac:dyDescent="0.25">
      <c r="A1632" t="s">
        <v>2983</v>
      </c>
      <c r="B1632">
        <v>616</v>
      </c>
      <c r="C1632" t="s">
        <v>2984</v>
      </c>
      <c r="E1632" s="5" t="s">
        <v>6862</v>
      </c>
      <c r="F1632" s="1" t="str">
        <f>IF(E1632&lt;&gt;"", HYPERLINK("https://www.kegg.jp/dbget-bin/www_bget?ec:" &amp; E1632, "https://www.kegg.jp/dbget-bin/www_bget?ec:" &amp; E1632), "")</f>
        <v>https://www.kegg.jp/dbget-bin/www_bget?ec:2.6.1.85</v>
      </c>
      <c r="G1632" s="3" t="s">
        <v>7743</v>
      </c>
      <c r="H1632" s="1" t="str">
        <f>IF(G1632&lt;&gt;"", HYPERLINK("https://www.kegg.jp/entry/" &amp; G1632, "https://www.kegg.jp/entry/" &amp; G1632), "")</f>
        <v>https://www.kegg.jp/entry/R05552</v>
      </c>
      <c r="I1632" t="s">
        <v>13375</v>
      </c>
      <c r="J1632" t="s">
        <v>13376</v>
      </c>
    </row>
    <row r="1633" spans="1:10" hidden="1" x14ac:dyDescent="0.25">
      <c r="A1633" t="s">
        <v>2985</v>
      </c>
      <c r="B1633">
        <v>173</v>
      </c>
      <c r="C1633" t="s">
        <v>2986</v>
      </c>
      <c r="F1633" s="1" t="str">
        <f>IF(E1633&lt;&gt;"", HYPERLINK("https://www.kegg.jp/dbget-bin/www_bget?ec:" &amp; E1633, "https://www.kegg.jp/dbget-bin/www_bget?ec:" &amp; E1633), "")</f>
        <v/>
      </c>
      <c r="G1633" s="3"/>
      <c r="H1633" s="1" t="str">
        <f>IF(G1633&lt;&gt;"", HYPERLINK("https://www.kegg.jp/entry/" &amp; G1633, "https://www.kegg.jp/entry/" &amp; G1633), "")</f>
        <v/>
      </c>
    </row>
    <row r="1634" spans="1:10" x14ac:dyDescent="0.25">
      <c r="A1634" t="s">
        <v>2988</v>
      </c>
      <c r="B1634">
        <v>1185</v>
      </c>
      <c r="C1634" t="s">
        <v>2989</v>
      </c>
      <c r="E1634" s="5" t="s">
        <v>6863</v>
      </c>
      <c r="F1634" s="1" t="str">
        <f>IF(E1634&lt;&gt;"", HYPERLINK("https://www.kegg.jp/dbget-bin/www_bget?ec:" &amp; E1634, "https://www.kegg.jp/dbget-bin/www_bget?ec:" &amp; E1634), "")</f>
        <v>https://www.kegg.jp/dbget-bin/www_bget?ec:2.1.1.13</v>
      </c>
      <c r="G1634" s="3" t="s">
        <v>7745</v>
      </c>
      <c r="H1634" s="1" t="str">
        <f>IF(G1634&lt;&gt;"", HYPERLINK("https://www.kegg.jp/entry/" &amp; G1634, "https://www.kegg.jp/entry/" &amp; G1634), "")</f>
        <v>https://www.kegg.jp/entry/R00946</v>
      </c>
      <c r="I1634" t="s">
        <v>13377</v>
      </c>
      <c r="J1634" t="s">
        <v>13378</v>
      </c>
    </row>
    <row r="1635" spans="1:10" x14ac:dyDescent="0.25">
      <c r="A1635" t="s">
        <v>2988</v>
      </c>
      <c r="B1635">
        <v>1185</v>
      </c>
      <c r="C1635" t="s">
        <v>2989</v>
      </c>
      <c r="E1635" s="5" t="s">
        <v>6863</v>
      </c>
      <c r="F1635" s="1" t="str">
        <f>IF(E1635&lt;&gt;"", HYPERLINK("https://www.kegg.jp/dbget-bin/www_bget?ec:" &amp; E1635, "https://www.kegg.jp/dbget-bin/www_bget?ec:" &amp; E1635), "")</f>
        <v>https://www.kegg.jp/dbget-bin/www_bget?ec:2.1.1.13</v>
      </c>
      <c r="G1635" s="3" t="s">
        <v>7746</v>
      </c>
      <c r="H1635" s="1" t="str">
        <f>IF(G1635&lt;&gt;"", HYPERLINK("https://www.kegg.jp/entry/" &amp; G1635, "https://www.kegg.jp/entry/" &amp; G1635), "")</f>
        <v>https://www.kegg.jp/entry/R09365</v>
      </c>
      <c r="I1635" t="s">
        <v>13379</v>
      </c>
      <c r="J1635" t="s">
        <v>13380</v>
      </c>
    </row>
    <row r="1636" spans="1:10" x14ac:dyDescent="0.25">
      <c r="A1636" t="s">
        <v>2991</v>
      </c>
      <c r="B1636">
        <v>507</v>
      </c>
      <c r="C1636" t="s">
        <v>2992</v>
      </c>
      <c r="E1636" s="5" t="s">
        <v>6864</v>
      </c>
      <c r="F1636" s="1" t="str">
        <f>IF(E1636&lt;&gt;"", HYPERLINK("https://www.kegg.jp/dbget-bin/www_bget?ec:" &amp; E1636, "https://www.kegg.jp/dbget-bin/www_bget?ec:" &amp; E1636), "")</f>
        <v>https://www.kegg.jp/dbget-bin/www_bget?ec:6.3.4.21</v>
      </c>
      <c r="G1636" s="3" t="s">
        <v>7215</v>
      </c>
      <c r="H1636" s="1" t="str">
        <f>IF(G1636&lt;&gt;"", HYPERLINK("https://www.kegg.jp/entry/" &amp; G1636, "https://www.kegg.jp/entry/" &amp; G1636), "")</f>
        <v>https://www.kegg.jp/entry/R01724</v>
      </c>
      <c r="I1636" t="s">
        <v>13381</v>
      </c>
      <c r="J1636" t="s">
        <v>13382</v>
      </c>
    </row>
    <row r="1637" spans="1:10" hidden="1" x14ac:dyDescent="0.25">
      <c r="A1637" t="s">
        <v>2994</v>
      </c>
      <c r="B1637">
        <v>396</v>
      </c>
      <c r="C1637" t="s">
        <v>2995</v>
      </c>
      <c r="F1637" s="1" t="str">
        <f>IF(E1637&lt;&gt;"", HYPERLINK("https://www.kegg.jp/dbget-bin/www_bget?ec:" &amp; E1637, "https://www.kegg.jp/dbget-bin/www_bget?ec:" &amp; E1637), "")</f>
        <v/>
      </c>
      <c r="G1637" s="3"/>
      <c r="H1637" s="1" t="str">
        <f>IF(G1637&lt;&gt;"", HYPERLINK("https://www.kegg.jp/entry/" &amp; G1637, "https://www.kegg.jp/entry/" &amp; G1637), "")</f>
        <v/>
      </c>
    </row>
    <row r="1638" spans="1:10" hidden="1" x14ac:dyDescent="0.25">
      <c r="A1638" t="s">
        <v>2997</v>
      </c>
      <c r="B1638">
        <v>194</v>
      </c>
      <c r="C1638" t="s">
        <v>2998</v>
      </c>
      <c r="E1638" s="5" t="s">
        <v>6865</v>
      </c>
      <c r="F1638" s="1" t="str">
        <f>IF(E1638&lt;&gt;"", HYPERLINK("https://www.kegg.jp/dbget-bin/www_bget?ec:" &amp; E1638, "https://www.kegg.jp/dbget-bin/www_bget?ec:" &amp; E1638), "")</f>
        <v>https://www.kegg.jp/dbget-bin/www_bget?ec:3.4.21.92</v>
      </c>
      <c r="G1638" s="3"/>
      <c r="H1638" s="1" t="str">
        <f>IF(G1638&lt;&gt;"", HYPERLINK("https://www.kegg.jp/entry/" &amp; G1638, "https://www.kegg.jp/entry/" &amp; G1638), "")</f>
        <v/>
      </c>
    </row>
    <row r="1639" spans="1:10" x14ac:dyDescent="0.25">
      <c r="A1639" t="s">
        <v>3000</v>
      </c>
      <c r="B1639">
        <v>403</v>
      </c>
      <c r="C1639" t="s">
        <v>3001</v>
      </c>
      <c r="E1639" s="5" t="s">
        <v>6616</v>
      </c>
      <c r="F1639" s="1" t="str">
        <f>IF(E1639&lt;&gt;"", HYPERLINK("https://www.kegg.jp/dbget-bin/www_bget?ec:" &amp; E1639, "https://www.kegg.jp/dbget-bin/www_bget?ec:" &amp; E1639), "")</f>
        <v>https://www.kegg.jp/dbget-bin/www_bget?ec:5.2.1.8</v>
      </c>
      <c r="G1639" s="3" t="s">
        <v>7089</v>
      </c>
      <c r="H1639" s="1" t="str">
        <f>IF(G1639&lt;&gt;"", HYPERLINK("https://www.kegg.jp/entry/" &amp; G1639, "https://www.kegg.jp/entry/" &amp; G1639), "")</f>
        <v>https://www.kegg.jp/entry/R04273</v>
      </c>
      <c r="I1639" t="s">
        <v>8094</v>
      </c>
      <c r="J1639" t="s">
        <v>8395</v>
      </c>
    </row>
    <row r="1640" spans="1:10" hidden="1" x14ac:dyDescent="0.25">
      <c r="C1640" t="s">
        <v>3002</v>
      </c>
      <c r="F1640" s="1" t="str">
        <f>IF(E1640&lt;&gt;"", HYPERLINK("https://www.kegg.jp/dbget-bin/www_bget?ec:" &amp; E1640, "https://www.kegg.jp/dbget-bin/www_bget?ec:" &amp; E1640), "")</f>
        <v/>
      </c>
      <c r="G1640" s="3"/>
      <c r="H1640" s="1" t="str">
        <f>IF(G1640&lt;&gt;"", HYPERLINK("https://www.kegg.jp/entry/" &amp; G1640, "https://www.kegg.jp/entry/" &amp; G1640), "")</f>
        <v/>
      </c>
    </row>
    <row r="1641" spans="1:10" hidden="1" x14ac:dyDescent="0.25">
      <c r="C1641" t="s">
        <v>3004</v>
      </c>
      <c r="F1641" s="1" t="str">
        <f>IF(E1641&lt;&gt;"", HYPERLINK("https://www.kegg.jp/dbget-bin/www_bget?ec:" &amp; E1641, "https://www.kegg.jp/dbget-bin/www_bget?ec:" &amp; E1641), "")</f>
        <v/>
      </c>
      <c r="G1641" s="3"/>
      <c r="H1641" s="1" t="str">
        <f>IF(G1641&lt;&gt;"", HYPERLINK("https://www.kegg.jp/entry/" &amp; G1641, "https://www.kegg.jp/entry/" &amp; G1641), "")</f>
        <v/>
      </c>
    </row>
    <row r="1642" spans="1:10" hidden="1" x14ac:dyDescent="0.25">
      <c r="A1642" t="s">
        <v>3005</v>
      </c>
      <c r="B1642">
        <v>94</v>
      </c>
      <c r="C1642" t="s">
        <v>3006</v>
      </c>
      <c r="F1642" s="1" t="str">
        <f>IF(E1642&lt;&gt;"", HYPERLINK("https://www.kegg.jp/dbget-bin/www_bget?ec:" &amp; E1642, "https://www.kegg.jp/dbget-bin/www_bget?ec:" &amp; E1642), "")</f>
        <v/>
      </c>
      <c r="G1642" s="3"/>
      <c r="H1642" s="1" t="str">
        <f>IF(G1642&lt;&gt;"", HYPERLINK("https://www.kegg.jp/entry/" &amp; G1642, "https://www.kegg.jp/entry/" &amp; G1642), "")</f>
        <v/>
      </c>
    </row>
    <row r="1643" spans="1:10" x14ac:dyDescent="0.25">
      <c r="A1643" t="s">
        <v>3008</v>
      </c>
      <c r="B1643">
        <v>1030</v>
      </c>
      <c r="C1643" t="s">
        <v>3009</v>
      </c>
      <c r="E1643" s="5" t="s">
        <v>6653</v>
      </c>
      <c r="F1643" s="1" t="str">
        <f>IF(E1643&lt;&gt;"", HYPERLINK("https://www.kegg.jp/dbget-bin/www_bget?ec:" &amp; E1643, "https://www.kegg.jp/dbget-bin/www_bget?ec:" &amp; E1643), "")</f>
        <v>https://www.kegg.jp/dbget-bin/www_bget?ec:6.3.5.5</v>
      </c>
      <c r="G1643" s="3" t="s">
        <v>7423</v>
      </c>
      <c r="H1643" s="1" t="str">
        <f>IF(G1643&lt;&gt;"", HYPERLINK("https://www.kegg.jp/entry/" &amp; G1643, "https://www.kegg.jp/entry/" &amp; G1643), "")</f>
        <v>https://www.kegg.jp/entry/R00256</v>
      </c>
      <c r="I1643" t="s">
        <v>12866</v>
      </c>
      <c r="J1643" t="s">
        <v>12867</v>
      </c>
    </row>
    <row r="1644" spans="1:10" x14ac:dyDescent="0.25">
      <c r="A1644" t="s">
        <v>3008</v>
      </c>
      <c r="B1644">
        <v>1030</v>
      </c>
      <c r="C1644" t="s">
        <v>3009</v>
      </c>
      <c r="E1644" s="5" t="s">
        <v>6653</v>
      </c>
      <c r="F1644" s="1" t="str">
        <f>IF(E1644&lt;&gt;"", HYPERLINK("https://www.kegg.jp/dbget-bin/www_bget?ec:" &amp; E1644, "https://www.kegg.jp/dbget-bin/www_bget?ec:" &amp; E1644), "")</f>
        <v>https://www.kegg.jp/dbget-bin/www_bget?ec:6.3.5.5</v>
      </c>
      <c r="G1644" s="3" t="s">
        <v>7428</v>
      </c>
      <c r="H1644" s="1" t="str">
        <f>IF(G1644&lt;&gt;"", HYPERLINK("https://www.kegg.jp/entry/" &amp; G1644, "https://www.kegg.jp/entry/" &amp; G1644), "")</f>
        <v>https://www.kegg.jp/entry/R00575</v>
      </c>
      <c r="I1644" t="s">
        <v>12868</v>
      </c>
      <c r="J1644" t="s">
        <v>8418</v>
      </c>
    </row>
    <row r="1645" spans="1:10" x14ac:dyDescent="0.25">
      <c r="A1645" t="s">
        <v>3008</v>
      </c>
      <c r="B1645">
        <v>1030</v>
      </c>
      <c r="C1645" t="s">
        <v>3009</v>
      </c>
      <c r="E1645" s="5" t="s">
        <v>6653</v>
      </c>
      <c r="F1645" s="1" t="str">
        <f>IF(E1645&lt;&gt;"", HYPERLINK("https://www.kegg.jp/dbget-bin/www_bget?ec:" &amp; E1645, "https://www.kegg.jp/dbget-bin/www_bget?ec:" &amp; E1645), "")</f>
        <v>https://www.kegg.jp/dbget-bin/www_bget?ec:6.3.5.5</v>
      </c>
      <c r="G1645" s="3" t="s">
        <v>7427</v>
      </c>
      <c r="H1645" s="1" t="str">
        <f>IF(G1645&lt;&gt;"", HYPERLINK("https://www.kegg.jp/entry/" &amp; G1645, "https://www.kegg.jp/entry/" &amp; G1645), "")</f>
        <v>https://www.kegg.jp/entry/R01395</v>
      </c>
      <c r="I1645" t="s">
        <v>8138</v>
      </c>
      <c r="J1645" t="s">
        <v>8419</v>
      </c>
    </row>
    <row r="1646" spans="1:10" x14ac:dyDescent="0.25">
      <c r="A1646" t="s">
        <v>3008</v>
      </c>
      <c r="B1646">
        <v>1030</v>
      </c>
      <c r="C1646" t="s">
        <v>3009</v>
      </c>
      <c r="E1646" s="5" t="s">
        <v>6653</v>
      </c>
      <c r="F1646" s="1" t="str">
        <f>IF(E1646&lt;&gt;"", HYPERLINK("https://www.kegg.jp/dbget-bin/www_bget?ec:" &amp; E1646, "https://www.kegg.jp/dbget-bin/www_bget?ec:" &amp; E1646), "")</f>
        <v>https://www.kegg.jp/dbget-bin/www_bget?ec:6.3.5.5</v>
      </c>
      <c r="G1646" s="3" t="s">
        <v>7426</v>
      </c>
      <c r="H1646" s="1" t="str">
        <f>IF(G1646&lt;&gt;"", HYPERLINK("https://www.kegg.jp/entry/" &amp; G1646, "https://www.kegg.jp/entry/" &amp; G1646), "")</f>
        <v>https://www.kegg.jp/entry/R10948</v>
      </c>
      <c r="I1646" t="s">
        <v>8139</v>
      </c>
      <c r="J1646" t="s">
        <v>8420</v>
      </c>
    </row>
    <row r="1647" spans="1:10" x14ac:dyDescent="0.25">
      <c r="A1647" t="s">
        <v>3008</v>
      </c>
      <c r="B1647">
        <v>1030</v>
      </c>
      <c r="C1647" t="s">
        <v>3009</v>
      </c>
      <c r="E1647" s="5" t="s">
        <v>6653</v>
      </c>
      <c r="F1647" s="1" t="str">
        <f>IF(E1647&lt;&gt;"", HYPERLINK("https://www.kegg.jp/dbget-bin/www_bget?ec:" &amp; E1647, "https://www.kegg.jp/dbget-bin/www_bget?ec:" &amp; E1647), "")</f>
        <v>https://www.kegg.jp/dbget-bin/www_bget?ec:6.3.5.5</v>
      </c>
      <c r="G1647" s="3" t="s">
        <v>7425</v>
      </c>
      <c r="H1647" s="1" t="str">
        <f>IF(G1647&lt;&gt;"", HYPERLINK("https://www.kegg.jp/entry/" &amp; G1647, "https://www.kegg.jp/entry/" &amp; G1647), "")</f>
        <v>https://www.kegg.jp/entry/R10949</v>
      </c>
      <c r="I1647" t="s">
        <v>8140</v>
      </c>
      <c r="J1647" t="s">
        <v>12869</v>
      </c>
    </row>
    <row r="1648" spans="1:10" x14ac:dyDescent="0.25">
      <c r="A1648" t="s">
        <v>3008</v>
      </c>
      <c r="B1648">
        <v>1030</v>
      </c>
      <c r="C1648" t="s">
        <v>3009</v>
      </c>
      <c r="E1648" s="5" t="s">
        <v>6653</v>
      </c>
      <c r="F1648" s="1" t="str">
        <f>IF(E1648&lt;&gt;"", HYPERLINK("https://www.kegg.jp/dbget-bin/www_bget?ec:" &amp; E1648, "https://www.kegg.jp/dbget-bin/www_bget?ec:" &amp; E1648), "")</f>
        <v>https://www.kegg.jp/dbget-bin/www_bget?ec:6.3.5.5</v>
      </c>
      <c r="G1648" s="3" t="s">
        <v>7424</v>
      </c>
      <c r="H1648" s="1" t="str">
        <f>IF(G1648&lt;&gt;"", HYPERLINK("https://www.kegg.jp/entry/" &amp; G1648, "https://www.kegg.jp/entry/" &amp; G1648), "")</f>
        <v>https://www.kegg.jp/entry/R07641</v>
      </c>
      <c r="I1648" t="s">
        <v>12870</v>
      </c>
      <c r="J1648" t="s">
        <v>8421</v>
      </c>
    </row>
    <row r="1649" spans="1:10" hidden="1" x14ac:dyDescent="0.25">
      <c r="A1649" t="s">
        <v>3011</v>
      </c>
      <c r="B1649">
        <v>109</v>
      </c>
      <c r="C1649" t="s">
        <v>3012</v>
      </c>
      <c r="F1649" s="1" t="str">
        <f>IF(E1649&lt;&gt;"", HYPERLINK("https://www.kegg.jp/dbget-bin/www_bget?ec:" &amp; E1649, "https://www.kegg.jp/dbget-bin/www_bget?ec:" &amp; E1649), "")</f>
        <v/>
      </c>
      <c r="G1649" s="3"/>
      <c r="H1649" s="1" t="str">
        <f>IF(G1649&lt;&gt;"", HYPERLINK("https://www.kegg.jp/entry/" &amp; G1649, "https://www.kegg.jp/entry/" &amp; G1649), "")</f>
        <v/>
      </c>
    </row>
    <row r="1650" spans="1:10" hidden="1" x14ac:dyDescent="0.25">
      <c r="A1650" t="s">
        <v>3013</v>
      </c>
      <c r="B1650">
        <v>285</v>
      </c>
      <c r="C1650" t="s">
        <v>3014</v>
      </c>
      <c r="F1650" s="1" t="str">
        <f>IF(E1650&lt;&gt;"", HYPERLINK("https://www.kegg.jp/dbget-bin/www_bget?ec:" &amp; E1650, "https://www.kegg.jp/dbget-bin/www_bget?ec:" &amp; E1650), "")</f>
        <v/>
      </c>
      <c r="G1650" s="3"/>
      <c r="H1650" s="1" t="str">
        <f>IF(G1650&lt;&gt;"", HYPERLINK("https://www.kegg.jp/entry/" &amp; G1650, "https://www.kegg.jp/entry/" &amp; G1650), "")</f>
        <v/>
      </c>
    </row>
    <row r="1651" spans="1:10" hidden="1" x14ac:dyDescent="0.25">
      <c r="A1651" t="s">
        <v>3016</v>
      </c>
      <c r="B1651">
        <v>257</v>
      </c>
      <c r="C1651" t="s">
        <v>3017</v>
      </c>
      <c r="F1651" s="1" t="str">
        <f>IF(E1651&lt;&gt;"", HYPERLINK("https://www.kegg.jp/dbget-bin/www_bget?ec:" &amp; E1651, "https://www.kegg.jp/dbget-bin/www_bget?ec:" &amp; E1651), "")</f>
        <v/>
      </c>
      <c r="G1651" s="3"/>
      <c r="H1651" s="1" t="str">
        <f>IF(G1651&lt;&gt;"", HYPERLINK("https://www.kegg.jp/entry/" &amp; G1651, "https://www.kegg.jp/entry/" &amp; G1651), "")</f>
        <v/>
      </c>
    </row>
    <row r="1652" spans="1:10" x14ac:dyDescent="0.25">
      <c r="A1652" t="s">
        <v>3019</v>
      </c>
      <c r="B1652">
        <v>516</v>
      </c>
      <c r="C1652" t="s">
        <v>3020</v>
      </c>
      <c r="E1652" s="5" t="s">
        <v>6853</v>
      </c>
      <c r="F1652" s="1" t="str">
        <f>IF(E1652&lt;&gt;"", HYPERLINK("https://www.kegg.jp/dbget-bin/www_bget?ec:" &amp; E1652, "https://www.kegg.jp/dbget-bin/www_bget?ec:" &amp; E1652), "")</f>
        <v>https://www.kegg.jp/dbget-bin/www_bget?ec:5.4.3.8</v>
      </c>
      <c r="G1652" s="3" t="s">
        <v>7207</v>
      </c>
      <c r="H1652" s="1" t="str">
        <f>IF(G1652&lt;&gt;"", HYPERLINK("https://www.kegg.jp/entry/" &amp; G1652, "https://www.kegg.jp/entry/" &amp; G1652), "")</f>
        <v>https://www.kegg.jp/entry/R02272</v>
      </c>
      <c r="I1652" t="s">
        <v>8194</v>
      </c>
      <c r="J1652" t="s">
        <v>8540</v>
      </c>
    </row>
    <row r="1653" spans="1:10" x14ac:dyDescent="0.25">
      <c r="A1653" t="s">
        <v>3022</v>
      </c>
      <c r="B1653">
        <v>116</v>
      </c>
      <c r="C1653" t="s">
        <v>3023</v>
      </c>
      <c r="E1653" s="5" t="s">
        <v>6866</v>
      </c>
      <c r="F1653" s="1" t="str">
        <f>IF(E1653&lt;&gt;"", HYPERLINK("https://www.kegg.jp/dbget-bin/www_bget?ec:" &amp; E1653, "https://www.kegg.jp/dbget-bin/www_bget?ec:" &amp; E1653), "")</f>
        <v>https://www.kegg.jp/dbget-bin/www_bget?ec:4.1.1.11</v>
      </c>
      <c r="G1653" s="3" t="s">
        <v>7216</v>
      </c>
      <c r="H1653" s="1" t="str">
        <f>IF(G1653&lt;&gt;"", HYPERLINK("https://www.kegg.jp/entry/" &amp; G1653, "https://www.kegg.jp/entry/" &amp; G1653), "")</f>
        <v>https://www.kegg.jp/entry/R00489</v>
      </c>
      <c r="I1653" t="s">
        <v>8277</v>
      </c>
      <c r="J1653" t="s">
        <v>13383</v>
      </c>
    </row>
    <row r="1654" spans="1:10" hidden="1" x14ac:dyDescent="0.25">
      <c r="A1654" t="s">
        <v>3025</v>
      </c>
      <c r="B1654">
        <v>284</v>
      </c>
      <c r="C1654" t="s">
        <v>3026</v>
      </c>
      <c r="F1654" s="1" t="str">
        <f>IF(E1654&lt;&gt;"", HYPERLINK("https://www.kegg.jp/dbget-bin/www_bget?ec:" &amp; E1654, "https://www.kegg.jp/dbget-bin/www_bget?ec:" &amp; E1654), "")</f>
        <v/>
      </c>
      <c r="G1654" s="3"/>
      <c r="H1654" s="1" t="str">
        <f>IF(G1654&lt;&gt;"", HYPERLINK("https://www.kegg.jp/entry/" &amp; G1654, "https://www.kegg.jp/entry/" &amp; G1654), "")</f>
        <v/>
      </c>
    </row>
    <row r="1655" spans="1:10" hidden="1" x14ac:dyDescent="0.25">
      <c r="A1655" t="s">
        <v>3027</v>
      </c>
      <c r="B1655">
        <v>192</v>
      </c>
      <c r="C1655" t="s">
        <v>3028</v>
      </c>
      <c r="F1655" s="1" t="str">
        <f>IF(E1655&lt;&gt;"", HYPERLINK("https://www.kegg.jp/dbget-bin/www_bget?ec:" &amp; E1655, "https://www.kegg.jp/dbget-bin/www_bget?ec:" &amp; E1655), "")</f>
        <v/>
      </c>
      <c r="G1655" s="3"/>
      <c r="H1655" s="1" t="str">
        <f>IF(G1655&lt;&gt;"", HYPERLINK("https://www.kegg.jp/entry/" &amp; G1655, "https://www.kegg.jp/entry/" &amp; G1655), "")</f>
        <v/>
      </c>
    </row>
    <row r="1656" spans="1:10" hidden="1" x14ac:dyDescent="0.25">
      <c r="A1656" t="s">
        <v>3030</v>
      </c>
      <c r="B1656">
        <v>352</v>
      </c>
      <c r="C1656" t="s">
        <v>3031</v>
      </c>
      <c r="F1656" s="1" t="str">
        <f>IF(E1656&lt;&gt;"", HYPERLINK("https://www.kegg.jp/dbget-bin/www_bget?ec:" &amp; E1656, "https://www.kegg.jp/dbget-bin/www_bget?ec:" &amp; E1656), "")</f>
        <v/>
      </c>
      <c r="G1656" s="3"/>
      <c r="H1656" s="1" t="str">
        <f>IF(G1656&lt;&gt;"", HYPERLINK("https://www.kegg.jp/entry/" &amp; G1656, "https://www.kegg.jp/entry/" &amp; G1656), "")</f>
        <v/>
      </c>
    </row>
    <row r="1657" spans="1:10" hidden="1" x14ac:dyDescent="0.25">
      <c r="A1657" t="s">
        <v>3032</v>
      </c>
      <c r="B1657">
        <v>286</v>
      </c>
      <c r="C1657" t="s">
        <v>3033</v>
      </c>
      <c r="F1657" s="1" t="str">
        <f>IF(E1657&lt;&gt;"", HYPERLINK("https://www.kegg.jp/dbget-bin/www_bget?ec:" &amp; E1657, "https://www.kegg.jp/dbget-bin/www_bget?ec:" &amp; E1657), "")</f>
        <v/>
      </c>
      <c r="G1657" s="3"/>
      <c r="H1657" s="1" t="str">
        <f>IF(G1657&lt;&gt;"", HYPERLINK("https://www.kegg.jp/entry/" &amp; G1657, "https://www.kegg.jp/entry/" &amp; G1657), "")</f>
        <v/>
      </c>
    </row>
    <row r="1658" spans="1:10" hidden="1" x14ac:dyDescent="0.25">
      <c r="A1658" t="s">
        <v>3035</v>
      </c>
      <c r="B1658">
        <v>124</v>
      </c>
      <c r="C1658" t="s">
        <v>3036</v>
      </c>
      <c r="F1658" s="1" t="str">
        <f>IF(E1658&lt;&gt;"", HYPERLINK("https://www.kegg.jp/dbget-bin/www_bget?ec:" &amp; E1658, "https://www.kegg.jp/dbget-bin/www_bget?ec:" &amp; E1658), "")</f>
        <v/>
      </c>
      <c r="G1658" s="3"/>
      <c r="H1658" s="1" t="str">
        <f>IF(G1658&lt;&gt;"", HYPERLINK("https://www.kegg.jp/entry/" &amp; G1658, "https://www.kegg.jp/entry/" &amp; G1658), "")</f>
        <v/>
      </c>
    </row>
    <row r="1659" spans="1:10" hidden="1" x14ac:dyDescent="0.25">
      <c r="A1659" t="s">
        <v>3038</v>
      </c>
      <c r="B1659">
        <v>376</v>
      </c>
      <c r="C1659" t="s">
        <v>3039</v>
      </c>
      <c r="F1659" s="1" t="str">
        <f>IF(E1659&lt;&gt;"", HYPERLINK("https://www.kegg.jp/dbget-bin/www_bget?ec:" &amp; E1659, "https://www.kegg.jp/dbget-bin/www_bget?ec:" &amp; E1659), "")</f>
        <v/>
      </c>
      <c r="G1659" s="3"/>
      <c r="H1659" s="1" t="str">
        <f>IF(G1659&lt;&gt;"", HYPERLINK("https://www.kegg.jp/entry/" &amp; G1659, "https://www.kegg.jp/entry/" &amp; G1659), "")</f>
        <v/>
      </c>
    </row>
    <row r="1660" spans="1:10" hidden="1" x14ac:dyDescent="0.25">
      <c r="A1660" t="s">
        <v>3040</v>
      </c>
      <c r="B1660">
        <v>566</v>
      </c>
      <c r="C1660" t="s">
        <v>3041</v>
      </c>
      <c r="F1660" s="1" t="str">
        <f>IF(E1660&lt;&gt;"", HYPERLINK("https://www.kegg.jp/dbget-bin/www_bget?ec:" &amp; E1660, "https://www.kegg.jp/dbget-bin/www_bget?ec:" &amp; E1660), "")</f>
        <v/>
      </c>
      <c r="G1660" s="3"/>
      <c r="H1660" s="1" t="str">
        <f>IF(G1660&lt;&gt;"", HYPERLINK("https://www.kegg.jp/entry/" &amp; G1660, "https://www.kegg.jp/entry/" &amp; G1660), "")</f>
        <v/>
      </c>
    </row>
    <row r="1661" spans="1:10" hidden="1" x14ac:dyDescent="0.25">
      <c r="A1661" t="s">
        <v>3043</v>
      </c>
      <c r="B1661">
        <v>330</v>
      </c>
      <c r="C1661" t="s">
        <v>3044</v>
      </c>
      <c r="F1661" s="1" t="str">
        <f>IF(E1661&lt;&gt;"", HYPERLINK("https://www.kegg.jp/dbget-bin/www_bget?ec:" &amp; E1661, "https://www.kegg.jp/dbget-bin/www_bget?ec:" &amp; E1661), "")</f>
        <v/>
      </c>
      <c r="G1661" s="3"/>
      <c r="H1661" s="1" t="str">
        <f>IF(G1661&lt;&gt;"", HYPERLINK("https://www.kegg.jp/entry/" &amp; G1661, "https://www.kegg.jp/entry/" &amp; G1661), "")</f>
        <v/>
      </c>
    </row>
    <row r="1662" spans="1:10" hidden="1" x14ac:dyDescent="0.25">
      <c r="A1662" t="s">
        <v>3045</v>
      </c>
      <c r="B1662">
        <v>352</v>
      </c>
      <c r="C1662" t="s">
        <v>3046</v>
      </c>
      <c r="F1662" s="1" t="str">
        <f>IF(E1662&lt;&gt;"", HYPERLINK("https://www.kegg.jp/dbget-bin/www_bget?ec:" &amp; E1662, "https://www.kegg.jp/dbget-bin/www_bget?ec:" &amp; E1662), "")</f>
        <v/>
      </c>
      <c r="G1662" s="3"/>
      <c r="H1662" s="1" t="str">
        <f>IF(G1662&lt;&gt;"", HYPERLINK("https://www.kegg.jp/entry/" &amp; G1662, "https://www.kegg.jp/entry/" &amp; G1662), "")</f>
        <v/>
      </c>
    </row>
    <row r="1663" spans="1:10" x14ac:dyDescent="0.25">
      <c r="A1663" t="s">
        <v>3047</v>
      </c>
      <c r="B1663">
        <v>247</v>
      </c>
      <c r="C1663" t="s">
        <v>3048</v>
      </c>
      <c r="E1663" s="5" t="s">
        <v>6611</v>
      </c>
      <c r="F1663" s="1" t="str">
        <f>IF(E1663&lt;&gt;"", HYPERLINK("https://www.kegg.jp/dbget-bin/www_bget?ec:" &amp; E1663, "https://www.kegg.jp/dbget-bin/www_bget?ec:" &amp; E1663), "")</f>
        <v>https://www.kegg.jp/dbget-bin/www_bget?ec:2.7.7.7</v>
      </c>
      <c r="G1663" s="3" t="s">
        <v>7218</v>
      </c>
      <c r="H1663" s="1" t="str">
        <f>IF(G1663&lt;&gt;"", HYPERLINK("https://www.kegg.jp/entry/" &amp; G1663, "https://www.kegg.jp/entry/" &amp; G1663), "")</f>
        <v>https://www.kegg.jp/entry/R00379</v>
      </c>
      <c r="I1663" t="s">
        <v>12705</v>
      </c>
      <c r="J1663" t="s">
        <v>7080</v>
      </c>
    </row>
    <row r="1664" spans="1:10" x14ac:dyDescent="0.25">
      <c r="A1664" t="s">
        <v>3047</v>
      </c>
      <c r="B1664">
        <v>247</v>
      </c>
      <c r="C1664" t="s">
        <v>3048</v>
      </c>
      <c r="E1664" s="5" t="s">
        <v>6611</v>
      </c>
      <c r="F1664" s="1" t="str">
        <f>IF(E1664&lt;&gt;"", HYPERLINK("https://www.kegg.jp/dbget-bin/www_bget?ec:" &amp; E1664, "https://www.kegg.jp/dbget-bin/www_bget?ec:" &amp; E1664), "")</f>
        <v>https://www.kegg.jp/dbget-bin/www_bget?ec:2.7.7.7</v>
      </c>
      <c r="G1664" s="3" t="s">
        <v>7315</v>
      </c>
      <c r="H1664" s="1" t="str">
        <f>IF(G1664&lt;&gt;"", HYPERLINK("https://www.kegg.jp/entry/" &amp; G1664, "https://www.kegg.jp/entry/" &amp; G1664), "")</f>
        <v>https://www.kegg.jp/entry/R00375</v>
      </c>
      <c r="I1664" t="s">
        <v>12706</v>
      </c>
      <c r="J1664" t="s">
        <v>7080</v>
      </c>
    </row>
    <row r="1665" spans="1:10" x14ac:dyDescent="0.25">
      <c r="A1665" t="s">
        <v>3047</v>
      </c>
      <c r="B1665">
        <v>247</v>
      </c>
      <c r="C1665" t="s">
        <v>3048</v>
      </c>
      <c r="E1665" s="5" t="s">
        <v>6611</v>
      </c>
      <c r="F1665" s="1" t="str">
        <f>IF(E1665&lt;&gt;"", HYPERLINK("https://www.kegg.jp/dbget-bin/www_bget?ec:" &amp; E1665, "https://www.kegg.jp/dbget-bin/www_bget?ec:" &amp; E1665), "")</f>
        <v>https://www.kegg.jp/dbget-bin/www_bget?ec:2.7.7.7</v>
      </c>
      <c r="G1665" s="3" t="s">
        <v>7316</v>
      </c>
      <c r="H1665" s="1" t="str">
        <f>IF(G1665&lt;&gt;"", HYPERLINK("https://www.kegg.jp/entry/" &amp; G1665, "https://www.kegg.jp/entry/" &amp; G1665), "")</f>
        <v>https://www.kegg.jp/entry/R00376</v>
      </c>
      <c r="I1665" t="s">
        <v>12707</v>
      </c>
      <c r="J1665" t="s">
        <v>7080</v>
      </c>
    </row>
    <row r="1666" spans="1:10" x14ac:dyDescent="0.25">
      <c r="A1666" t="s">
        <v>3047</v>
      </c>
      <c r="B1666">
        <v>247</v>
      </c>
      <c r="C1666" t="s">
        <v>3048</v>
      </c>
      <c r="E1666" s="5" t="s">
        <v>6611</v>
      </c>
      <c r="F1666" s="1" t="str">
        <f>IF(E1666&lt;&gt;"", HYPERLINK("https://www.kegg.jp/dbget-bin/www_bget?ec:" &amp; E1666, "https://www.kegg.jp/dbget-bin/www_bget?ec:" &amp; E1666), "")</f>
        <v>https://www.kegg.jp/dbget-bin/www_bget?ec:2.7.7.7</v>
      </c>
      <c r="G1666" s="3" t="s">
        <v>7317</v>
      </c>
      <c r="H1666" s="1" t="str">
        <f>IF(G1666&lt;&gt;"", HYPERLINK("https://www.kegg.jp/entry/" &amp; G1666, "https://www.kegg.jp/entry/" &amp; G1666), "")</f>
        <v>https://www.kegg.jp/entry/R00377</v>
      </c>
      <c r="I1666" t="s">
        <v>12708</v>
      </c>
      <c r="J1666" t="s">
        <v>7080</v>
      </c>
    </row>
    <row r="1667" spans="1:10" x14ac:dyDescent="0.25">
      <c r="A1667" t="s">
        <v>3047</v>
      </c>
      <c r="B1667">
        <v>247</v>
      </c>
      <c r="C1667" t="s">
        <v>3048</v>
      </c>
      <c r="E1667" s="5" t="s">
        <v>6611</v>
      </c>
      <c r="F1667" s="1" t="str">
        <f>IF(E1667&lt;&gt;"", HYPERLINK("https://www.kegg.jp/dbget-bin/www_bget?ec:" &amp; E1667, "https://www.kegg.jp/dbget-bin/www_bget?ec:" &amp; E1667), "")</f>
        <v>https://www.kegg.jp/dbget-bin/www_bget?ec:2.7.7.7</v>
      </c>
      <c r="G1667" s="3" t="s">
        <v>7318</v>
      </c>
      <c r="H1667" s="1" t="str">
        <f>IF(G1667&lt;&gt;"", HYPERLINK("https://www.kegg.jp/entry/" &amp; G1667, "https://www.kegg.jp/entry/" &amp; G1667), "")</f>
        <v>https://www.kegg.jp/entry/R00378</v>
      </c>
      <c r="I1667" t="s">
        <v>12709</v>
      </c>
      <c r="J1667" t="s">
        <v>7080</v>
      </c>
    </row>
    <row r="1668" spans="1:10" x14ac:dyDescent="0.25">
      <c r="A1668" t="s">
        <v>3047</v>
      </c>
      <c r="B1668">
        <v>247</v>
      </c>
      <c r="C1668" t="s">
        <v>3048</v>
      </c>
      <c r="E1668" s="5" t="s">
        <v>6611</v>
      </c>
      <c r="F1668" s="1" t="str">
        <f>IF(E1668&lt;&gt;"", HYPERLINK("https://www.kegg.jp/dbget-bin/www_bget?ec:" &amp; E1668, "https://www.kegg.jp/dbget-bin/www_bget?ec:" &amp; E1668), "")</f>
        <v>https://www.kegg.jp/dbget-bin/www_bget?ec:2.7.7.7</v>
      </c>
      <c r="G1668" s="3" t="s">
        <v>7319</v>
      </c>
      <c r="H1668" s="1" t="str">
        <f>IF(G1668&lt;&gt;"", HYPERLINK("https://www.kegg.jp/entry/" &amp; G1668, "https://www.kegg.jp/entry/" &amp; G1668), "")</f>
        <v>https://www.kegg.jp/entry/R11029</v>
      </c>
      <c r="I1668" t="s">
        <v>8088</v>
      </c>
      <c r="J1668" t="s">
        <v>8391</v>
      </c>
    </row>
    <row r="1669" spans="1:10" x14ac:dyDescent="0.25">
      <c r="A1669" t="s">
        <v>3050</v>
      </c>
      <c r="B1669">
        <v>471</v>
      </c>
      <c r="C1669" t="s">
        <v>3051</v>
      </c>
      <c r="E1669" s="5" t="s">
        <v>6622</v>
      </c>
      <c r="F1669" s="1" t="str">
        <f>IF(E1669&lt;&gt;"", HYPERLINK("https://www.kegg.jp/dbget-bin/www_bget?ec:" &amp; E1669, "https://www.kegg.jp/dbget-bin/www_bget?ec:" &amp; E1669), "")</f>
        <v>https://www.kegg.jp/dbget-bin/www_bget?ec:6.3.5.6</v>
      </c>
      <c r="G1669" s="3" t="s">
        <v>7092</v>
      </c>
      <c r="H1669" s="1" t="str">
        <f>IF(G1669&lt;&gt;"", HYPERLINK("https://www.kegg.jp/entry/" &amp; G1669, "https://www.kegg.jp/entry/" &amp; G1669), "")</f>
        <v>https://www.kegg.jp/entry/R04212</v>
      </c>
      <c r="I1669" t="s">
        <v>12767</v>
      </c>
      <c r="J1669" t="s">
        <v>12768</v>
      </c>
    </row>
    <row r="1670" spans="1:10" x14ac:dyDescent="0.25">
      <c r="A1670" t="s">
        <v>3053</v>
      </c>
      <c r="B1670">
        <v>302</v>
      </c>
      <c r="C1670" t="s">
        <v>3054</v>
      </c>
      <c r="E1670" s="5" t="s">
        <v>6867</v>
      </c>
      <c r="F1670" s="1" t="str">
        <f>IF(E1670&lt;&gt;"", HYPERLINK("https://www.kegg.jp/dbget-bin/www_bget?ec:" &amp; E1670, "https://www.kegg.jp/dbget-bin/www_bget?ec:" &amp; E1670), "")</f>
        <v>https://www.kegg.jp/dbget-bin/www_bget?ec:2.5.1.75</v>
      </c>
      <c r="G1670" s="3" t="s">
        <v>7217</v>
      </c>
      <c r="H1670" s="1" t="str">
        <f>IF(G1670&lt;&gt;"", HYPERLINK("https://www.kegg.jp/entry/" &amp; G1670, "https://www.kegg.jp/entry/" &amp; G1670), "")</f>
        <v>https://www.kegg.jp/entry/R01122</v>
      </c>
      <c r="I1670" t="s">
        <v>8278</v>
      </c>
      <c r="J1670" t="s">
        <v>8544</v>
      </c>
    </row>
    <row r="1671" spans="1:10" hidden="1" x14ac:dyDescent="0.25">
      <c r="A1671" t="s">
        <v>3056</v>
      </c>
      <c r="B1671">
        <v>133</v>
      </c>
      <c r="C1671" t="s">
        <v>3057</v>
      </c>
      <c r="F1671" s="1" t="str">
        <f>IF(E1671&lt;&gt;"", HYPERLINK("https://www.kegg.jp/dbget-bin/www_bget?ec:" &amp; E1671, "https://www.kegg.jp/dbget-bin/www_bget?ec:" &amp; E1671), "")</f>
        <v/>
      </c>
      <c r="G1671" s="3"/>
      <c r="H1671" s="1" t="str">
        <f>IF(G1671&lt;&gt;"", HYPERLINK("https://www.kegg.jp/entry/" &amp; G1671, "https://www.kegg.jp/entry/" &amp; G1671), "")</f>
        <v/>
      </c>
    </row>
    <row r="1672" spans="1:10" x14ac:dyDescent="0.25">
      <c r="A1672" t="s">
        <v>3059</v>
      </c>
      <c r="B1672">
        <v>192</v>
      </c>
      <c r="C1672" t="s">
        <v>3060</v>
      </c>
      <c r="E1672" s="5" t="s">
        <v>6868</v>
      </c>
      <c r="F1672" s="1" t="str">
        <f>IF(E1672&lt;&gt;"", HYPERLINK("https://www.kegg.jp/dbget-bin/www_bget?ec:" &amp; E1672, "https://www.kegg.jp/dbget-bin/www_bget?ec:" &amp; E1672), "")</f>
        <v>https://www.kegg.jp/dbget-bin/www_bget?ec:2.7.1.21</v>
      </c>
      <c r="G1672" s="3" t="s">
        <v>7747</v>
      </c>
      <c r="H1672" s="1" t="str">
        <f>IF(G1672&lt;&gt;"", HYPERLINK("https://www.kegg.jp/entry/" &amp; G1672, "https://www.kegg.jp/entry/" &amp; G1672), "")</f>
        <v>https://www.kegg.jp/entry/R01567</v>
      </c>
      <c r="I1672" t="s">
        <v>8279</v>
      </c>
      <c r="J1672" t="s">
        <v>8545</v>
      </c>
    </row>
    <row r="1673" spans="1:10" x14ac:dyDescent="0.25">
      <c r="A1673" t="s">
        <v>3059</v>
      </c>
      <c r="B1673">
        <v>192</v>
      </c>
      <c r="C1673" t="s">
        <v>3060</v>
      </c>
      <c r="E1673" s="5" t="s">
        <v>6868</v>
      </c>
      <c r="F1673" s="1" t="str">
        <f>IF(E1673&lt;&gt;"", HYPERLINK("https://www.kegg.jp/dbget-bin/www_bget?ec:" &amp; E1673, "https://www.kegg.jp/dbget-bin/www_bget?ec:" &amp; E1673), "")</f>
        <v>https://www.kegg.jp/dbget-bin/www_bget?ec:2.7.1.21</v>
      </c>
      <c r="G1673" s="3" t="s">
        <v>7749</v>
      </c>
      <c r="H1673" s="1" t="str">
        <f>IF(G1673&lt;&gt;"", HYPERLINK("https://www.kegg.jp/entry/" &amp; G1673, "https://www.kegg.jp/entry/" &amp; G1673), "")</f>
        <v>https://www.kegg.jp/entry/R02099</v>
      </c>
      <c r="I1673" t="s">
        <v>8280</v>
      </c>
      <c r="J1673" t="s">
        <v>8546</v>
      </c>
    </row>
    <row r="1674" spans="1:10" x14ac:dyDescent="0.25">
      <c r="A1674" t="s">
        <v>3059</v>
      </c>
      <c r="B1674">
        <v>192</v>
      </c>
      <c r="C1674" t="s">
        <v>3060</v>
      </c>
      <c r="E1674" s="5" t="s">
        <v>6868</v>
      </c>
      <c r="F1674" s="1" t="str">
        <f>IF(E1674&lt;&gt;"", HYPERLINK("https://www.kegg.jp/dbget-bin/www_bget?ec:" &amp; E1674, "https://www.kegg.jp/dbget-bin/www_bget?ec:" &amp; E1674), "")</f>
        <v>https://www.kegg.jp/dbget-bin/www_bget?ec:2.7.1.21</v>
      </c>
      <c r="G1674" s="3" t="s">
        <v>7748</v>
      </c>
      <c r="H1674" s="1" t="str">
        <f>IF(G1674&lt;&gt;"", HYPERLINK("https://www.kegg.jp/entry/" &amp; G1674, "https://www.kegg.jp/entry/" &amp; G1674), "")</f>
        <v>https://www.kegg.jp/entry/R08233</v>
      </c>
      <c r="I1674" t="s">
        <v>13384</v>
      </c>
      <c r="J1674" t="s">
        <v>13385</v>
      </c>
    </row>
    <row r="1675" spans="1:10" hidden="1" x14ac:dyDescent="0.25">
      <c r="A1675" t="s">
        <v>3062</v>
      </c>
      <c r="B1675">
        <v>96</v>
      </c>
      <c r="C1675" t="s">
        <v>3063</v>
      </c>
      <c r="F1675" s="1" t="str">
        <f>IF(E1675&lt;&gt;"", HYPERLINK("https://www.kegg.jp/dbget-bin/www_bget?ec:" &amp; E1675, "https://www.kegg.jp/dbget-bin/www_bget?ec:" &amp; E1675), "")</f>
        <v/>
      </c>
      <c r="G1675" s="3"/>
      <c r="H1675" s="1" t="str">
        <f>IF(G1675&lt;&gt;"", HYPERLINK("https://www.kegg.jp/entry/" &amp; G1675, "https://www.kegg.jp/entry/" &amp; G1675), "")</f>
        <v/>
      </c>
    </row>
    <row r="1676" spans="1:10" hidden="1" x14ac:dyDescent="0.25">
      <c r="A1676" t="s">
        <v>3064</v>
      </c>
      <c r="B1676">
        <v>61</v>
      </c>
      <c r="C1676" t="s">
        <v>3065</v>
      </c>
      <c r="F1676" s="1" t="str">
        <f>IF(E1676&lt;&gt;"", HYPERLINK("https://www.kegg.jp/dbget-bin/www_bget?ec:" &amp; E1676, "https://www.kegg.jp/dbget-bin/www_bget?ec:" &amp; E1676), "")</f>
        <v/>
      </c>
      <c r="G1676" s="3"/>
      <c r="H1676" s="1" t="str">
        <f>IF(G1676&lt;&gt;"", HYPERLINK("https://www.kegg.jp/entry/" &amp; G1676, "https://www.kegg.jp/entry/" &amp; G1676), "")</f>
        <v/>
      </c>
    </row>
    <row r="1677" spans="1:10" x14ac:dyDescent="0.25">
      <c r="A1677" t="s">
        <v>3067</v>
      </c>
      <c r="B1677">
        <v>347</v>
      </c>
      <c r="C1677" t="s">
        <v>3068</v>
      </c>
      <c r="E1677" s="5" t="s">
        <v>6869</v>
      </c>
      <c r="F1677" s="1" t="str">
        <f>IF(E1677&lt;&gt;"", HYPERLINK("https://www.kegg.jp/dbget-bin/www_bget?ec:" &amp; E1677, "https://www.kegg.jp/dbget-bin/www_bget?ec:" &amp; E1677), "")</f>
        <v>https://www.kegg.jp/dbget-bin/www_bget?ec:2.7.7.49</v>
      </c>
      <c r="G1677" s="3" t="s">
        <v>7218</v>
      </c>
      <c r="H1677" s="1" t="str">
        <f>IF(G1677&lt;&gt;"", HYPERLINK("https://www.kegg.jp/entry/" &amp; G1677, "https://www.kegg.jp/entry/" &amp; G1677), "")</f>
        <v>https://www.kegg.jp/entry/R00379</v>
      </c>
      <c r="I1677" t="s">
        <v>12705</v>
      </c>
      <c r="J1677" t="s">
        <v>7080</v>
      </c>
    </row>
    <row r="1678" spans="1:10" hidden="1" x14ac:dyDescent="0.25">
      <c r="A1678" t="s">
        <v>3070</v>
      </c>
      <c r="B1678">
        <v>115</v>
      </c>
      <c r="C1678" t="s">
        <v>3071</v>
      </c>
      <c r="F1678" s="1" t="str">
        <f>IF(E1678&lt;&gt;"", HYPERLINK("https://www.kegg.jp/dbget-bin/www_bget?ec:" &amp; E1678, "https://www.kegg.jp/dbget-bin/www_bget?ec:" &amp; E1678), "")</f>
        <v/>
      </c>
      <c r="G1678" s="3"/>
      <c r="H1678" s="1" t="str">
        <f>IF(G1678&lt;&gt;"", HYPERLINK("https://www.kegg.jp/entry/" &amp; G1678, "https://www.kegg.jp/entry/" &amp; G1678), "")</f>
        <v/>
      </c>
    </row>
    <row r="1679" spans="1:10" hidden="1" x14ac:dyDescent="0.25">
      <c r="A1679" t="s">
        <v>3073</v>
      </c>
      <c r="B1679">
        <v>381</v>
      </c>
      <c r="C1679" t="s">
        <v>3074</v>
      </c>
      <c r="F1679" s="1" t="str">
        <f>IF(E1679&lt;&gt;"", HYPERLINK("https://www.kegg.jp/dbget-bin/www_bget?ec:" &amp; E1679, "https://www.kegg.jp/dbget-bin/www_bget?ec:" &amp; E1679), "")</f>
        <v/>
      </c>
      <c r="G1679" s="3"/>
      <c r="H1679" s="1" t="str">
        <f>IF(G1679&lt;&gt;"", HYPERLINK("https://www.kegg.jp/entry/" &amp; G1679, "https://www.kegg.jp/entry/" &amp; G1679), "")</f>
        <v/>
      </c>
    </row>
    <row r="1680" spans="1:10" hidden="1" x14ac:dyDescent="0.25">
      <c r="A1680" t="s">
        <v>3075</v>
      </c>
      <c r="B1680">
        <v>120</v>
      </c>
      <c r="C1680" t="s">
        <v>3076</v>
      </c>
      <c r="F1680" s="1" t="str">
        <f>IF(E1680&lt;&gt;"", HYPERLINK("https://www.kegg.jp/dbget-bin/www_bget?ec:" &amp; E1680, "https://www.kegg.jp/dbget-bin/www_bget?ec:" &amp; E1680), "")</f>
        <v/>
      </c>
      <c r="G1680" s="3"/>
      <c r="H1680" s="1" t="str">
        <f>IF(G1680&lt;&gt;"", HYPERLINK("https://www.kegg.jp/entry/" &amp; G1680, "https://www.kegg.jp/entry/" &amp; G1680), "")</f>
        <v/>
      </c>
    </row>
    <row r="1681" spans="1:8" hidden="1" x14ac:dyDescent="0.25">
      <c r="A1681" t="s">
        <v>3077</v>
      </c>
      <c r="B1681">
        <v>287</v>
      </c>
      <c r="C1681" t="s">
        <v>3078</v>
      </c>
      <c r="F1681" s="1" t="str">
        <f>IF(E1681&lt;&gt;"", HYPERLINK("https://www.kegg.jp/dbget-bin/www_bget?ec:" &amp; E1681, "https://www.kegg.jp/dbget-bin/www_bget?ec:" &amp; E1681), "")</f>
        <v/>
      </c>
      <c r="G1681" s="3"/>
      <c r="H1681" s="1" t="str">
        <f>IF(G1681&lt;&gt;"", HYPERLINK("https://www.kegg.jp/entry/" &amp; G1681, "https://www.kegg.jp/entry/" &amp; G1681), "")</f>
        <v/>
      </c>
    </row>
    <row r="1682" spans="1:8" hidden="1" x14ac:dyDescent="0.25">
      <c r="A1682" t="s">
        <v>3079</v>
      </c>
      <c r="B1682">
        <v>113</v>
      </c>
      <c r="C1682" t="s">
        <v>3080</v>
      </c>
      <c r="F1682" s="1" t="str">
        <f>IF(E1682&lt;&gt;"", HYPERLINK("https://www.kegg.jp/dbget-bin/www_bget?ec:" &amp; E1682, "https://www.kegg.jp/dbget-bin/www_bget?ec:" &amp; E1682), "")</f>
        <v/>
      </c>
      <c r="G1682" s="3"/>
      <c r="H1682" s="1" t="str">
        <f>IF(G1682&lt;&gt;"", HYPERLINK("https://www.kegg.jp/entry/" &amp; G1682, "https://www.kegg.jp/entry/" &amp; G1682), "")</f>
        <v/>
      </c>
    </row>
    <row r="1683" spans="1:8" hidden="1" x14ac:dyDescent="0.25">
      <c r="A1683" t="s">
        <v>3081</v>
      </c>
      <c r="B1683">
        <v>70</v>
      </c>
      <c r="C1683" t="s">
        <v>3082</v>
      </c>
      <c r="F1683" s="1" t="str">
        <f>IF(E1683&lt;&gt;"", HYPERLINK("https://www.kegg.jp/dbget-bin/www_bget?ec:" &amp; E1683, "https://www.kegg.jp/dbget-bin/www_bget?ec:" &amp; E1683), "")</f>
        <v/>
      </c>
      <c r="G1683" s="3"/>
      <c r="H1683" s="1" t="str">
        <f>IF(G1683&lt;&gt;"", HYPERLINK("https://www.kegg.jp/entry/" &amp; G1683, "https://www.kegg.jp/entry/" &amp; G1683), "")</f>
        <v/>
      </c>
    </row>
    <row r="1684" spans="1:8" hidden="1" x14ac:dyDescent="0.25">
      <c r="A1684" t="s">
        <v>3083</v>
      </c>
      <c r="B1684">
        <v>252</v>
      </c>
      <c r="C1684" t="s">
        <v>3084</v>
      </c>
      <c r="F1684" s="1" t="str">
        <f>IF(E1684&lt;&gt;"", HYPERLINK("https://www.kegg.jp/dbget-bin/www_bget?ec:" &amp; E1684, "https://www.kegg.jp/dbget-bin/www_bget?ec:" &amp; E1684), "")</f>
        <v/>
      </c>
      <c r="G1684" s="3"/>
      <c r="H1684" s="1" t="str">
        <f>IF(G1684&lt;&gt;"", HYPERLINK("https://www.kegg.jp/entry/" &amp; G1684, "https://www.kegg.jp/entry/" &amp; G1684), "")</f>
        <v/>
      </c>
    </row>
    <row r="1685" spans="1:8" hidden="1" x14ac:dyDescent="0.25">
      <c r="A1685" t="s">
        <v>3086</v>
      </c>
      <c r="B1685">
        <v>345</v>
      </c>
      <c r="C1685" t="s">
        <v>3087</v>
      </c>
      <c r="F1685" s="1" t="str">
        <f>IF(E1685&lt;&gt;"", HYPERLINK("https://www.kegg.jp/dbget-bin/www_bget?ec:" &amp; E1685, "https://www.kegg.jp/dbget-bin/www_bget?ec:" &amp; E1685), "")</f>
        <v/>
      </c>
      <c r="G1685" s="3"/>
      <c r="H1685" s="1" t="str">
        <f>IF(G1685&lt;&gt;"", HYPERLINK("https://www.kegg.jp/entry/" &amp; G1685, "https://www.kegg.jp/entry/" &amp; G1685), "")</f>
        <v/>
      </c>
    </row>
    <row r="1686" spans="1:8" hidden="1" x14ac:dyDescent="0.25">
      <c r="A1686" t="s">
        <v>3089</v>
      </c>
      <c r="B1686">
        <v>120</v>
      </c>
      <c r="C1686" t="s">
        <v>3090</v>
      </c>
      <c r="F1686" s="1" t="str">
        <f>IF(E1686&lt;&gt;"", HYPERLINK("https://www.kegg.jp/dbget-bin/www_bget?ec:" &amp; E1686, "https://www.kegg.jp/dbget-bin/www_bget?ec:" &amp; E1686), "")</f>
        <v/>
      </c>
      <c r="G1686" s="3"/>
      <c r="H1686" s="1" t="str">
        <f>IF(G1686&lt;&gt;"", HYPERLINK("https://www.kegg.jp/entry/" &amp; G1686, "https://www.kegg.jp/entry/" &amp; G1686), "")</f>
        <v/>
      </c>
    </row>
    <row r="1687" spans="1:8" hidden="1" x14ac:dyDescent="0.25">
      <c r="A1687" t="s">
        <v>3092</v>
      </c>
      <c r="B1687">
        <v>214</v>
      </c>
      <c r="C1687" t="s">
        <v>3093</v>
      </c>
      <c r="F1687" s="1" t="str">
        <f>IF(E1687&lt;&gt;"", HYPERLINK("https://www.kegg.jp/dbget-bin/www_bget?ec:" &amp; E1687, "https://www.kegg.jp/dbget-bin/www_bget?ec:" &amp; E1687), "")</f>
        <v/>
      </c>
      <c r="G1687" s="3"/>
      <c r="H1687" s="1" t="str">
        <f>IF(G1687&lt;&gt;"", HYPERLINK("https://www.kegg.jp/entry/" &amp; G1687, "https://www.kegg.jp/entry/" &amp; G1687), "")</f>
        <v/>
      </c>
    </row>
    <row r="1688" spans="1:8" hidden="1" x14ac:dyDescent="0.25">
      <c r="A1688" t="s">
        <v>3094</v>
      </c>
      <c r="B1688">
        <v>228</v>
      </c>
      <c r="C1688" t="s">
        <v>3095</v>
      </c>
      <c r="F1688" s="1" t="str">
        <f>IF(E1688&lt;&gt;"", HYPERLINK("https://www.kegg.jp/dbget-bin/www_bget?ec:" &amp; E1688, "https://www.kegg.jp/dbget-bin/www_bget?ec:" &amp; E1688), "")</f>
        <v/>
      </c>
      <c r="G1688" s="3"/>
      <c r="H1688" s="1" t="str">
        <f>IF(G1688&lt;&gt;"", HYPERLINK("https://www.kegg.jp/entry/" &amp; G1688, "https://www.kegg.jp/entry/" &amp; G1688), "")</f>
        <v/>
      </c>
    </row>
    <row r="1689" spans="1:8" hidden="1" x14ac:dyDescent="0.25">
      <c r="A1689" t="s">
        <v>3096</v>
      </c>
      <c r="B1689">
        <v>197</v>
      </c>
      <c r="C1689" t="s">
        <v>3097</v>
      </c>
      <c r="F1689" s="1" t="str">
        <f>IF(E1689&lt;&gt;"", HYPERLINK("https://www.kegg.jp/dbget-bin/www_bget?ec:" &amp; E1689, "https://www.kegg.jp/dbget-bin/www_bget?ec:" &amp; E1689), "")</f>
        <v/>
      </c>
      <c r="G1689" s="3"/>
      <c r="H1689" s="1" t="str">
        <f>IF(G1689&lt;&gt;"", HYPERLINK("https://www.kegg.jp/entry/" &amp; G1689, "https://www.kegg.jp/entry/" &amp; G1689), "")</f>
        <v/>
      </c>
    </row>
    <row r="1690" spans="1:8" hidden="1" x14ac:dyDescent="0.25">
      <c r="A1690" t="s">
        <v>3099</v>
      </c>
      <c r="B1690">
        <v>1043</v>
      </c>
      <c r="C1690" t="s">
        <v>3100</v>
      </c>
      <c r="F1690" s="1" t="str">
        <f>IF(E1690&lt;&gt;"", HYPERLINK("https://www.kegg.jp/dbget-bin/www_bget?ec:" &amp; E1690, "https://www.kegg.jp/dbget-bin/www_bget?ec:" &amp; E1690), "")</f>
        <v/>
      </c>
      <c r="G1690" s="3"/>
      <c r="H1690" s="1" t="str">
        <f>IF(G1690&lt;&gt;"", HYPERLINK("https://www.kegg.jp/entry/" &amp; G1690, "https://www.kegg.jp/entry/" &amp; G1690), "")</f>
        <v/>
      </c>
    </row>
    <row r="1691" spans="1:8" hidden="1" x14ac:dyDescent="0.25">
      <c r="A1691" t="s">
        <v>3102</v>
      </c>
      <c r="B1691">
        <v>208</v>
      </c>
      <c r="C1691" t="s">
        <v>3103</v>
      </c>
      <c r="F1691" s="1" t="str">
        <f>IF(E1691&lt;&gt;"", HYPERLINK("https://www.kegg.jp/dbget-bin/www_bget?ec:" &amp; E1691, "https://www.kegg.jp/dbget-bin/www_bget?ec:" &amp; E1691), "")</f>
        <v/>
      </c>
      <c r="G1691" s="3"/>
      <c r="H1691" s="1" t="str">
        <f>IF(G1691&lt;&gt;"", HYPERLINK("https://www.kegg.jp/entry/" &amp; G1691, "https://www.kegg.jp/entry/" &amp; G1691), "")</f>
        <v/>
      </c>
    </row>
    <row r="1692" spans="1:8" hidden="1" x14ac:dyDescent="0.25">
      <c r="A1692" t="s">
        <v>3104</v>
      </c>
      <c r="B1692">
        <v>173</v>
      </c>
      <c r="C1692" t="s">
        <v>3105</v>
      </c>
      <c r="F1692" s="1" t="str">
        <f>IF(E1692&lt;&gt;"", HYPERLINK("https://www.kegg.jp/dbget-bin/www_bget?ec:" &amp; E1692, "https://www.kegg.jp/dbget-bin/www_bget?ec:" &amp; E1692), "")</f>
        <v/>
      </c>
      <c r="G1692" s="3"/>
      <c r="H1692" s="1" t="str">
        <f>IF(G1692&lt;&gt;"", HYPERLINK("https://www.kegg.jp/entry/" &amp; G1692, "https://www.kegg.jp/entry/" &amp; G1692), "")</f>
        <v/>
      </c>
    </row>
    <row r="1693" spans="1:8" hidden="1" x14ac:dyDescent="0.25">
      <c r="A1693" t="s">
        <v>3106</v>
      </c>
      <c r="B1693">
        <v>93</v>
      </c>
      <c r="C1693" t="s">
        <v>3107</v>
      </c>
      <c r="F1693" s="1" t="str">
        <f>IF(E1693&lt;&gt;"", HYPERLINK("https://www.kegg.jp/dbget-bin/www_bget?ec:" &amp; E1693, "https://www.kegg.jp/dbget-bin/www_bget?ec:" &amp; E1693), "")</f>
        <v/>
      </c>
      <c r="G1693" s="3"/>
      <c r="H1693" s="1" t="str">
        <f>IF(G1693&lt;&gt;"", HYPERLINK("https://www.kegg.jp/entry/" &amp; G1693, "https://www.kegg.jp/entry/" &amp; G1693), "")</f>
        <v/>
      </c>
    </row>
    <row r="1694" spans="1:8" hidden="1" x14ac:dyDescent="0.25">
      <c r="A1694" t="s">
        <v>3109</v>
      </c>
      <c r="B1694">
        <v>389</v>
      </c>
      <c r="C1694" t="s">
        <v>3110</v>
      </c>
      <c r="F1694" s="1" t="str">
        <f>IF(E1694&lt;&gt;"", HYPERLINK("https://www.kegg.jp/dbget-bin/www_bget?ec:" &amp; E1694, "https://www.kegg.jp/dbget-bin/www_bget?ec:" &amp; E1694), "")</f>
        <v/>
      </c>
      <c r="G1694" s="3"/>
      <c r="H1694" s="1" t="str">
        <f>IF(G1694&lt;&gt;"", HYPERLINK("https://www.kegg.jp/entry/" &amp; G1694, "https://www.kegg.jp/entry/" &amp; G1694), "")</f>
        <v/>
      </c>
    </row>
    <row r="1695" spans="1:8" hidden="1" x14ac:dyDescent="0.25">
      <c r="A1695" t="s">
        <v>3112</v>
      </c>
      <c r="B1695">
        <v>502</v>
      </c>
      <c r="C1695" t="s">
        <v>3113</v>
      </c>
      <c r="F1695" s="1" t="str">
        <f>IF(E1695&lt;&gt;"", HYPERLINK("https://www.kegg.jp/dbget-bin/www_bget?ec:" &amp; E1695, "https://www.kegg.jp/dbget-bin/www_bget?ec:" &amp; E1695), "")</f>
        <v/>
      </c>
      <c r="G1695" s="3"/>
      <c r="H1695" s="1" t="str">
        <f>IF(G1695&lt;&gt;"", HYPERLINK("https://www.kegg.jp/entry/" &amp; G1695, "https://www.kegg.jp/entry/" &amp; G1695), "")</f>
        <v/>
      </c>
    </row>
    <row r="1696" spans="1:8" hidden="1" x14ac:dyDescent="0.25">
      <c r="A1696" t="s">
        <v>3115</v>
      </c>
      <c r="B1696">
        <v>425</v>
      </c>
      <c r="C1696" t="s">
        <v>3116</v>
      </c>
      <c r="F1696" s="1" t="str">
        <f>IF(E1696&lt;&gt;"", HYPERLINK("https://www.kegg.jp/dbget-bin/www_bget?ec:" &amp; E1696, "https://www.kegg.jp/dbget-bin/www_bget?ec:" &amp; E1696), "")</f>
        <v/>
      </c>
      <c r="G1696" s="3"/>
      <c r="H1696" s="1" t="str">
        <f>IF(G1696&lt;&gt;"", HYPERLINK("https://www.kegg.jp/entry/" &amp; G1696, "https://www.kegg.jp/entry/" &amp; G1696), "")</f>
        <v/>
      </c>
    </row>
    <row r="1697" spans="1:8" hidden="1" x14ac:dyDescent="0.25">
      <c r="A1697" t="s">
        <v>3117</v>
      </c>
      <c r="B1697">
        <v>179</v>
      </c>
      <c r="C1697" t="s">
        <v>3118</v>
      </c>
      <c r="F1697" s="1" t="str">
        <f>IF(E1697&lt;&gt;"", HYPERLINK("https://www.kegg.jp/dbget-bin/www_bget?ec:" &amp; E1697, "https://www.kegg.jp/dbget-bin/www_bget?ec:" &amp; E1697), "")</f>
        <v/>
      </c>
      <c r="G1697" s="3"/>
      <c r="H1697" s="1" t="str">
        <f>IF(G1697&lt;&gt;"", HYPERLINK("https://www.kegg.jp/entry/" &amp; G1697, "https://www.kegg.jp/entry/" &amp; G1697), "")</f>
        <v/>
      </c>
    </row>
    <row r="1698" spans="1:8" hidden="1" x14ac:dyDescent="0.25">
      <c r="A1698" t="s">
        <v>3119</v>
      </c>
      <c r="B1698">
        <v>60</v>
      </c>
      <c r="C1698" t="s">
        <v>3120</v>
      </c>
      <c r="F1698" s="1" t="str">
        <f>IF(E1698&lt;&gt;"", HYPERLINK("https://www.kegg.jp/dbget-bin/www_bget?ec:" &amp; E1698, "https://www.kegg.jp/dbget-bin/www_bget?ec:" &amp; E1698), "")</f>
        <v/>
      </c>
      <c r="G1698" s="3"/>
      <c r="H1698" s="1" t="str">
        <f>IF(G1698&lt;&gt;"", HYPERLINK("https://www.kegg.jp/entry/" &amp; G1698, "https://www.kegg.jp/entry/" &amp; G1698), "")</f>
        <v/>
      </c>
    </row>
    <row r="1699" spans="1:8" hidden="1" x14ac:dyDescent="0.25">
      <c r="A1699" t="s">
        <v>3121</v>
      </c>
      <c r="B1699">
        <v>91</v>
      </c>
      <c r="C1699" t="s">
        <v>3122</v>
      </c>
      <c r="F1699" s="1" t="str">
        <f>IF(E1699&lt;&gt;"", HYPERLINK("https://www.kegg.jp/dbget-bin/www_bget?ec:" &amp; E1699, "https://www.kegg.jp/dbget-bin/www_bget?ec:" &amp; E1699), "")</f>
        <v/>
      </c>
      <c r="G1699" s="3"/>
      <c r="H1699" s="1" t="str">
        <f>IF(G1699&lt;&gt;"", HYPERLINK("https://www.kegg.jp/entry/" &amp; G1699, "https://www.kegg.jp/entry/" &amp; G1699), "")</f>
        <v/>
      </c>
    </row>
    <row r="1700" spans="1:8" hidden="1" x14ac:dyDescent="0.25">
      <c r="A1700" t="s">
        <v>3123</v>
      </c>
      <c r="B1700">
        <v>85</v>
      </c>
      <c r="C1700" t="s">
        <v>3124</v>
      </c>
      <c r="F1700" s="1" t="str">
        <f>IF(E1700&lt;&gt;"", HYPERLINK("https://www.kegg.jp/dbget-bin/www_bget?ec:" &amp; E1700, "https://www.kegg.jp/dbget-bin/www_bget?ec:" &amp; E1700), "")</f>
        <v/>
      </c>
      <c r="G1700" s="3"/>
      <c r="H1700" s="1" t="str">
        <f>IF(G1700&lt;&gt;"", HYPERLINK("https://www.kegg.jp/entry/" &amp; G1700, "https://www.kegg.jp/entry/" &amp; G1700), "")</f>
        <v/>
      </c>
    </row>
    <row r="1701" spans="1:8" hidden="1" x14ac:dyDescent="0.25">
      <c r="A1701" t="s">
        <v>3125</v>
      </c>
      <c r="B1701">
        <v>150</v>
      </c>
      <c r="C1701" t="s">
        <v>3126</v>
      </c>
      <c r="F1701" s="1" t="str">
        <f>IF(E1701&lt;&gt;"", HYPERLINK("https://www.kegg.jp/dbget-bin/www_bget?ec:" &amp; E1701, "https://www.kegg.jp/dbget-bin/www_bget?ec:" &amp; E1701), "")</f>
        <v/>
      </c>
      <c r="G1701" s="3"/>
      <c r="H1701" s="1" t="str">
        <f>IF(G1701&lt;&gt;"", HYPERLINK("https://www.kegg.jp/entry/" &amp; G1701, "https://www.kegg.jp/entry/" &amp; G1701), "")</f>
        <v/>
      </c>
    </row>
    <row r="1702" spans="1:8" hidden="1" x14ac:dyDescent="0.25">
      <c r="A1702" t="s">
        <v>3128</v>
      </c>
      <c r="B1702">
        <v>284</v>
      </c>
      <c r="C1702" t="s">
        <v>3129</v>
      </c>
      <c r="F1702" s="1" t="str">
        <f>IF(E1702&lt;&gt;"", HYPERLINK("https://www.kegg.jp/dbget-bin/www_bget?ec:" &amp; E1702, "https://www.kegg.jp/dbget-bin/www_bget?ec:" &amp; E1702), "")</f>
        <v/>
      </c>
      <c r="G1702" s="3"/>
      <c r="H1702" s="1" t="str">
        <f>IF(G1702&lt;&gt;"", HYPERLINK("https://www.kegg.jp/entry/" &amp; G1702, "https://www.kegg.jp/entry/" &amp; G1702), "")</f>
        <v/>
      </c>
    </row>
    <row r="1703" spans="1:8" hidden="1" x14ac:dyDescent="0.25">
      <c r="A1703" t="s">
        <v>3130</v>
      </c>
      <c r="B1703">
        <v>62</v>
      </c>
      <c r="C1703" t="s">
        <v>3131</v>
      </c>
      <c r="F1703" s="1" t="str">
        <f>IF(E1703&lt;&gt;"", HYPERLINK("https://www.kegg.jp/dbget-bin/www_bget?ec:" &amp; E1703, "https://www.kegg.jp/dbget-bin/www_bget?ec:" &amp; E1703), "")</f>
        <v/>
      </c>
      <c r="G1703" s="3"/>
      <c r="H1703" s="1" t="str">
        <f>IF(G1703&lt;&gt;"", HYPERLINK("https://www.kegg.jp/entry/" &amp; G1703, "https://www.kegg.jp/entry/" &amp; G1703), "")</f>
        <v/>
      </c>
    </row>
    <row r="1704" spans="1:8" hidden="1" x14ac:dyDescent="0.25">
      <c r="A1704" t="s">
        <v>3132</v>
      </c>
      <c r="B1704">
        <v>87</v>
      </c>
      <c r="C1704" t="s">
        <v>3133</v>
      </c>
      <c r="F1704" s="1" t="str">
        <f>IF(E1704&lt;&gt;"", HYPERLINK("https://www.kegg.jp/dbget-bin/www_bget?ec:" &amp; E1704, "https://www.kegg.jp/dbget-bin/www_bget?ec:" &amp; E1704), "")</f>
        <v/>
      </c>
      <c r="G1704" s="3"/>
      <c r="H1704" s="1" t="str">
        <f>IF(G1704&lt;&gt;"", HYPERLINK("https://www.kegg.jp/entry/" &amp; G1704, "https://www.kegg.jp/entry/" &amp; G1704), "")</f>
        <v/>
      </c>
    </row>
    <row r="1705" spans="1:8" hidden="1" x14ac:dyDescent="0.25">
      <c r="A1705" t="s">
        <v>3134</v>
      </c>
      <c r="B1705">
        <v>74</v>
      </c>
      <c r="C1705" t="s">
        <v>3135</v>
      </c>
      <c r="F1705" s="1" t="str">
        <f>IF(E1705&lt;&gt;"", HYPERLINK("https://www.kegg.jp/dbget-bin/www_bget?ec:" &amp; E1705, "https://www.kegg.jp/dbget-bin/www_bget?ec:" &amp; E1705), "")</f>
        <v/>
      </c>
      <c r="G1705" s="3"/>
      <c r="H1705" s="1" t="str">
        <f>IF(G1705&lt;&gt;"", HYPERLINK("https://www.kegg.jp/entry/" &amp; G1705, "https://www.kegg.jp/entry/" &amp; G1705), "")</f>
        <v/>
      </c>
    </row>
    <row r="1706" spans="1:8" hidden="1" x14ac:dyDescent="0.25">
      <c r="A1706" t="s">
        <v>3136</v>
      </c>
      <c r="B1706">
        <v>126</v>
      </c>
      <c r="C1706" t="s">
        <v>3137</v>
      </c>
      <c r="F1706" s="1" t="str">
        <f>IF(E1706&lt;&gt;"", HYPERLINK("https://www.kegg.jp/dbget-bin/www_bget?ec:" &amp; E1706, "https://www.kegg.jp/dbget-bin/www_bget?ec:" &amp; E1706), "")</f>
        <v/>
      </c>
      <c r="G1706" s="3"/>
      <c r="H1706" s="1" t="str">
        <f>IF(G1706&lt;&gt;"", HYPERLINK("https://www.kegg.jp/entry/" &amp; G1706, "https://www.kegg.jp/entry/" &amp; G1706), "")</f>
        <v/>
      </c>
    </row>
    <row r="1707" spans="1:8" hidden="1" x14ac:dyDescent="0.25">
      <c r="A1707" t="s">
        <v>3139</v>
      </c>
      <c r="B1707">
        <v>132</v>
      </c>
      <c r="C1707" t="s">
        <v>3140</v>
      </c>
      <c r="F1707" s="1" t="str">
        <f>IF(E1707&lt;&gt;"", HYPERLINK("https://www.kegg.jp/dbget-bin/www_bget?ec:" &amp; E1707, "https://www.kegg.jp/dbget-bin/www_bget?ec:" &amp; E1707), "")</f>
        <v/>
      </c>
      <c r="G1707" s="3"/>
      <c r="H1707" s="1" t="str">
        <f>IF(G1707&lt;&gt;"", HYPERLINK("https://www.kegg.jp/entry/" &amp; G1707, "https://www.kegg.jp/entry/" &amp; G1707), "")</f>
        <v/>
      </c>
    </row>
    <row r="1708" spans="1:8" hidden="1" x14ac:dyDescent="0.25">
      <c r="A1708" t="s">
        <v>3141</v>
      </c>
      <c r="B1708">
        <v>80</v>
      </c>
      <c r="C1708" t="s">
        <v>3142</v>
      </c>
      <c r="F1708" s="1" t="str">
        <f>IF(E1708&lt;&gt;"", HYPERLINK("https://www.kegg.jp/dbget-bin/www_bget?ec:" &amp; E1708, "https://www.kegg.jp/dbget-bin/www_bget?ec:" &amp; E1708), "")</f>
        <v/>
      </c>
      <c r="G1708" s="3"/>
      <c r="H1708" s="1" t="str">
        <f>IF(G1708&lt;&gt;"", HYPERLINK("https://www.kegg.jp/entry/" &amp; G1708, "https://www.kegg.jp/entry/" &amp; G1708), "")</f>
        <v/>
      </c>
    </row>
    <row r="1709" spans="1:8" hidden="1" x14ac:dyDescent="0.25">
      <c r="A1709" t="s">
        <v>3143</v>
      </c>
      <c r="B1709">
        <v>91</v>
      </c>
      <c r="C1709" t="s">
        <v>3144</v>
      </c>
      <c r="F1709" s="1" t="str">
        <f>IF(E1709&lt;&gt;"", HYPERLINK("https://www.kegg.jp/dbget-bin/www_bget?ec:" &amp; E1709, "https://www.kegg.jp/dbget-bin/www_bget?ec:" &amp; E1709), "")</f>
        <v/>
      </c>
      <c r="G1709" s="3"/>
      <c r="H1709" s="1" t="str">
        <f>IF(G1709&lt;&gt;"", HYPERLINK("https://www.kegg.jp/entry/" &amp; G1709, "https://www.kegg.jp/entry/" &amp; G1709), "")</f>
        <v/>
      </c>
    </row>
    <row r="1710" spans="1:8" hidden="1" x14ac:dyDescent="0.25">
      <c r="A1710" t="s">
        <v>3145</v>
      </c>
      <c r="B1710">
        <v>94</v>
      </c>
      <c r="C1710" t="s">
        <v>3146</v>
      </c>
      <c r="F1710" s="1" t="str">
        <f>IF(E1710&lt;&gt;"", HYPERLINK("https://www.kegg.jp/dbget-bin/www_bget?ec:" &amp; E1710, "https://www.kegg.jp/dbget-bin/www_bget?ec:" &amp; E1710), "")</f>
        <v/>
      </c>
      <c r="G1710" s="3"/>
      <c r="H1710" s="1" t="str">
        <f>IF(G1710&lt;&gt;"", HYPERLINK("https://www.kegg.jp/entry/" &amp; G1710, "https://www.kegg.jp/entry/" &amp; G1710), "")</f>
        <v/>
      </c>
    </row>
    <row r="1711" spans="1:8" hidden="1" x14ac:dyDescent="0.25">
      <c r="A1711" t="s">
        <v>3147</v>
      </c>
      <c r="B1711">
        <v>62</v>
      </c>
      <c r="C1711" t="s">
        <v>3148</v>
      </c>
      <c r="F1711" s="1" t="str">
        <f>IF(E1711&lt;&gt;"", HYPERLINK("https://www.kegg.jp/dbget-bin/www_bget?ec:" &amp; E1711, "https://www.kegg.jp/dbget-bin/www_bget?ec:" &amp; E1711), "")</f>
        <v/>
      </c>
      <c r="G1711" s="3"/>
      <c r="H1711" s="1" t="str">
        <f>IF(G1711&lt;&gt;"", HYPERLINK("https://www.kegg.jp/entry/" &amp; G1711, "https://www.kegg.jp/entry/" &amp; G1711), "")</f>
        <v/>
      </c>
    </row>
    <row r="1712" spans="1:8" hidden="1" x14ac:dyDescent="0.25">
      <c r="A1712" t="s">
        <v>3149</v>
      </c>
      <c r="B1712">
        <v>140</v>
      </c>
      <c r="C1712" t="s">
        <v>3150</v>
      </c>
      <c r="F1712" s="1" t="str">
        <f>IF(E1712&lt;&gt;"", HYPERLINK("https://www.kegg.jp/dbget-bin/www_bget?ec:" &amp; E1712, "https://www.kegg.jp/dbget-bin/www_bget?ec:" &amp; E1712), "")</f>
        <v/>
      </c>
      <c r="G1712" s="3"/>
      <c r="H1712" s="1" t="str">
        <f>IF(G1712&lt;&gt;"", HYPERLINK("https://www.kegg.jp/entry/" &amp; G1712, "https://www.kegg.jp/entry/" &amp; G1712), "")</f>
        <v/>
      </c>
    </row>
    <row r="1713" spans="1:8" hidden="1" x14ac:dyDescent="0.25">
      <c r="A1713" t="s">
        <v>3151</v>
      </c>
      <c r="B1713">
        <v>108</v>
      </c>
      <c r="C1713" t="s">
        <v>3152</v>
      </c>
      <c r="F1713" s="1" t="str">
        <f>IF(E1713&lt;&gt;"", HYPERLINK("https://www.kegg.jp/dbget-bin/www_bget?ec:" &amp; E1713, "https://www.kegg.jp/dbget-bin/www_bget?ec:" &amp; E1713), "")</f>
        <v/>
      </c>
      <c r="G1713" s="3"/>
      <c r="H1713" s="1" t="str">
        <f>IF(G1713&lt;&gt;"", HYPERLINK("https://www.kegg.jp/entry/" &amp; G1713, "https://www.kegg.jp/entry/" &amp; G1713), "")</f>
        <v/>
      </c>
    </row>
    <row r="1714" spans="1:8" hidden="1" x14ac:dyDescent="0.25">
      <c r="A1714" t="s">
        <v>3154</v>
      </c>
      <c r="B1714">
        <v>256</v>
      </c>
      <c r="C1714" t="s">
        <v>3155</v>
      </c>
      <c r="F1714" s="1" t="str">
        <f>IF(E1714&lt;&gt;"", HYPERLINK("https://www.kegg.jp/dbget-bin/www_bget?ec:" &amp; E1714, "https://www.kegg.jp/dbget-bin/www_bget?ec:" &amp; E1714), "")</f>
        <v/>
      </c>
      <c r="G1714" s="3"/>
      <c r="H1714" s="1" t="str">
        <f>IF(G1714&lt;&gt;"", HYPERLINK("https://www.kegg.jp/entry/" &amp; G1714, "https://www.kegg.jp/entry/" &amp; G1714), "")</f>
        <v/>
      </c>
    </row>
    <row r="1715" spans="1:8" hidden="1" x14ac:dyDescent="0.25">
      <c r="A1715" t="s">
        <v>3157</v>
      </c>
      <c r="B1715">
        <v>649</v>
      </c>
      <c r="C1715" t="s">
        <v>3158</v>
      </c>
      <c r="F1715" s="1" t="str">
        <f>IF(E1715&lt;&gt;"", HYPERLINK("https://www.kegg.jp/dbget-bin/www_bget?ec:" &amp; E1715, "https://www.kegg.jp/dbget-bin/www_bget?ec:" &amp; E1715), "")</f>
        <v/>
      </c>
      <c r="G1715" s="3"/>
      <c r="H1715" s="1" t="str">
        <f>IF(G1715&lt;&gt;"", HYPERLINK("https://www.kegg.jp/entry/" &amp; G1715, "https://www.kegg.jp/entry/" &amp; G1715), "")</f>
        <v/>
      </c>
    </row>
    <row r="1716" spans="1:8" hidden="1" x14ac:dyDescent="0.25">
      <c r="A1716" t="s">
        <v>3160</v>
      </c>
      <c r="B1716">
        <v>87</v>
      </c>
      <c r="C1716" t="s">
        <v>3161</v>
      </c>
      <c r="F1716" s="1" t="str">
        <f>IF(E1716&lt;&gt;"", HYPERLINK("https://www.kegg.jp/dbget-bin/www_bget?ec:" &amp; E1716, "https://www.kegg.jp/dbget-bin/www_bget?ec:" &amp; E1716), "")</f>
        <v/>
      </c>
      <c r="G1716" s="3"/>
      <c r="H1716" s="1" t="str">
        <f>IF(G1716&lt;&gt;"", HYPERLINK("https://www.kegg.jp/entry/" &amp; G1716, "https://www.kegg.jp/entry/" &amp; G1716), "")</f>
        <v/>
      </c>
    </row>
    <row r="1717" spans="1:8" hidden="1" x14ac:dyDescent="0.25">
      <c r="A1717" t="s">
        <v>3163</v>
      </c>
      <c r="B1717">
        <v>233</v>
      </c>
      <c r="C1717" t="s">
        <v>3164</v>
      </c>
      <c r="F1717" s="1" t="str">
        <f>IF(E1717&lt;&gt;"", HYPERLINK("https://www.kegg.jp/dbget-bin/www_bget?ec:" &amp; E1717, "https://www.kegg.jp/dbget-bin/www_bget?ec:" &amp; E1717), "")</f>
        <v/>
      </c>
      <c r="G1717" s="3"/>
      <c r="H1717" s="1" t="str">
        <f>IF(G1717&lt;&gt;"", HYPERLINK("https://www.kegg.jp/entry/" &amp; G1717, "https://www.kegg.jp/entry/" &amp; G1717), "")</f>
        <v/>
      </c>
    </row>
    <row r="1718" spans="1:8" hidden="1" x14ac:dyDescent="0.25">
      <c r="A1718" t="s">
        <v>3165</v>
      </c>
      <c r="B1718">
        <v>89</v>
      </c>
      <c r="C1718" t="s">
        <v>3166</v>
      </c>
      <c r="F1718" s="1" t="str">
        <f>IF(E1718&lt;&gt;"", HYPERLINK("https://www.kegg.jp/dbget-bin/www_bget?ec:" &amp; E1718, "https://www.kegg.jp/dbget-bin/www_bget?ec:" &amp; E1718), "")</f>
        <v/>
      </c>
      <c r="G1718" s="3"/>
      <c r="H1718" s="1" t="str">
        <f>IF(G1718&lt;&gt;"", HYPERLINK("https://www.kegg.jp/entry/" &amp; G1718, "https://www.kegg.jp/entry/" &amp; G1718), "")</f>
        <v/>
      </c>
    </row>
    <row r="1719" spans="1:8" hidden="1" x14ac:dyDescent="0.25">
      <c r="A1719" t="s">
        <v>3168</v>
      </c>
      <c r="B1719">
        <v>333</v>
      </c>
      <c r="C1719" t="s">
        <v>3169</v>
      </c>
      <c r="F1719" s="1" t="str">
        <f>IF(E1719&lt;&gt;"", HYPERLINK("https://www.kegg.jp/dbget-bin/www_bget?ec:" &amp; E1719, "https://www.kegg.jp/dbget-bin/www_bget?ec:" &amp; E1719), "")</f>
        <v/>
      </c>
      <c r="G1719" s="3"/>
      <c r="H1719" s="1" t="str">
        <f>IF(G1719&lt;&gt;"", HYPERLINK("https://www.kegg.jp/entry/" &amp; G1719, "https://www.kegg.jp/entry/" &amp; G1719), "")</f>
        <v/>
      </c>
    </row>
    <row r="1720" spans="1:8" hidden="1" x14ac:dyDescent="0.25">
      <c r="A1720" t="s">
        <v>3171</v>
      </c>
      <c r="B1720">
        <v>127</v>
      </c>
      <c r="C1720" t="s">
        <v>3172</v>
      </c>
      <c r="F1720" s="1" t="str">
        <f>IF(E1720&lt;&gt;"", HYPERLINK("https://www.kegg.jp/dbget-bin/www_bget?ec:" &amp; E1720, "https://www.kegg.jp/dbget-bin/www_bget?ec:" &amp; E1720), "")</f>
        <v/>
      </c>
      <c r="G1720" s="3"/>
      <c r="H1720" s="1" t="str">
        <f>IF(G1720&lt;&gt;"", HYPERLINK("https://www.kegg.jp/entry/" &amp; G1720, "https://www.kegg.jp/entry/" &amp; G1720), "")</f>
        <v/>
      </c>
    </row>
    <row r="1721" spans="1:8" hidden="1" x14ac:dyDescent="0.25">
      <c r="A1721" t="s">
        <v>3174</v>
      </c>
      <c r="B1721">
        <v>298</v>
      </c>
      <c r="C1721" t="s">
        <v>3175</v>
      </c>
      <c r="F1721" s="1" t="str">
        <f>IF(E1721&lt;&gt;"", HYPERLINK("https://www.kegg.jp/dbget-bin/www_bget?ec:" &amp; E1721, "https://www.kegg.jp/dbget-bin/www_bget?ec:" &amp; E1721), "")</f>
        <v/>
      </c>
      <c r="G1721" s="3"/>
      <c r="H1721" s="1" t="str">
        <f>IF(G1721&lt;&gt;"", HYPERLINK("https://www.kegg.jp/entry/" &amp; G1721, "https://www.kegg.jp/entry/" &amp; G1721), "")</f>
        <v/>
      </c>
    </row>
    <row r="1722" spans="1:8" hidden="1" x14ac:dyDescent="0.25">
      <c r="A1722" t="s">
        <v>3177</v>
      </c>
      <c r="B1722">
        <v>145</v>
      </c>
      <c r="C1722" t="s">
        <v>3178</v>
      </c>
      <c r="F1722" s="1" t="str">
        <f>IF(E1722&lt;&gt;"", HYPERLINK("https://www.kegg.jp/dbget-bin/www_bget?ec:" &amp; E1722, "https://www.kegg.jp/dbget-bin/www_bget?ec:" &amp; E1722), "")</f>
        <v/>
      </c>
      <c r="G1722" s="3"/>
      <c r="H1722" s="1" t="str">
        <f>IF(G1722&lt;&gt;"", HYPERLINK("https://www.kegg.jp/entry/" &amp; G1722, "https://www.kegg.jp/entry/" &amp; G1722), "")</f>
        <v/>
      </c>
    </row>
    <row r="1723" spans="1:8" hidden="1" x14ac:dyDescent="0.25">
      <c r="A1723" t="s">
        <v>3180</v>
      </c>
      <c r="B1723">
        <v>161</v>
      </c>
      <c r="C1723" t="s">
        <v>3181</v>
      </c>
      <c r="F1723" s="1" t="str">
        <f>IF(E1723&lt;&gt;"", HYPERLINK("https://www.kegg.jp/dbget-bin/www_bget?ec:" &amp; E1723, "https://www.kegg.jp/dbget-bin/www_bget?ec:" &amp; E1723), "")</f>
        <v/>
      </c>
      <c r="G1723" s="3"/>
      <c r="H1723" s="1" t="str">
        <f>IF(G1723&lt;&gt;"", HYPERLINK("https://www.kegg.jp/entry/" &amp; G1723, "https://www.kegg.jp/entry/" &amp; G1723), "")</f>
        <v/>
      </c>
    </row>
    <row r="1724" spans="1:8" hidden="1" x14ac:dyDescent="0.25">
      <c r="A1724" t="s">
        <v>3182</v>
      </c>
      <c r="B1724">
        <v>157</v>
      </c>
      <c r="C1724" t="s">
        <v>3183</v>
      </c>
      <c r="F1724" s="1" t="str">
        <f>IF(E1724&lt;&gt;"", HYPERLINK("https://www.kegg.jp/dbget-bin/www_bget?ec:" &amp; E1724, "https://www.kegg.jp/dbget-bin/www_bget?ec:" &amp; E1724), "")</f>
        <v/>
      </c>
      <c r="G1724" s="3"/>
      <c r="H1724" s="1" t="str">
        <f>IF(G1724&lt;&gt;"", HYPERLINK("https://www.kegg.jp/entry/" &amp; G1724, "https://www.kegg.jp/entry/" &amp; G1724), "")</f>
        <v/>
      </c>
    </row>
    <row r="1725" spans="1:8" hidden="1" x14ac:dyDescent="0.25">
      <c r="A1725" t="s">
        <v>3184</v>
      </c>
      <c r="B1725">
        <v>69</v>
      </c>
      <c r="C1725" t="s">
        <v>3185</v>
      </c>
      <c r="F1725" s="1" t="str">
        <f>IF(E1725&lt;&gt;"", HYPERLINK("https://www.kegg.jp/dbget-bin/www_bget?ec:" &amp; E1725, "https://www.kegg.jp/dbget-bin/www_bget?ec:" &amp; E1725), "")</f>
        <v/>
      </c>
      <c r="G1725" s="3"/>
      <c r="H1725" s="1" t="str">
        <f>IF(G1725&lt;&gt;"", HYPERLINK("https://www.kegg.jp/entry/" &amp; G1725, "https://www.kegg.jp/entry/" &amp; G1725), "")</f>
        <v/>
      </c>
    </row>
    <row r="1726" spans="1:8" hidden="1" x14ac:dyDescent="0.25">
      <c r="A1726" t="s">
        <v>3187</v>
      </c>
      <c r="B1726">
        <v>473</v>
      </c>
      <c r="C1726" t="s">
        <v>3188</v>
      </c>
      <c r="F1726" s="1" t="str">
        <f>IF(E1726&lt;&gt;"", HYPERLINK("https://www.kegg.jp/dbget-bin/www_bget?ec:" &amp; E1726, "https://www.kegg.jp/dbget-bin/www_bget?ec:" &amp; E1726), "")</f>
        <v/>
      </c>
      <c r="G1726" s="3"/>
      <c r="H1726" s="1" t="str">
        <f>IF(G1726&lt;&gt;"", HYPERLINK("https://www.kegg.jp/entry/" &amp; G1726, "https://www.kegg.jp/entry/" &amp; G1726), "")</f>
        <v/>
      </c>
    </row>
    <row r="1727" spans="1:8" hidden="1" x14ac:dyDescent="0.25">
      <c r="A1727" t="s">
        <v>3189</v>
      </c>
      <c r="B1727">
        <v>137</v>
      </c>
      <c r="C1727" t="s">
        <v>3190</v>
      </c>
      <c r="F1727" s="1" t="str">
        <f>IF(E1727&lt;&gt;"", HYPERLINK("https://www.kegg.jp/dbget-bin/www_bget?ec:" &amp; E1727, "https://www.kegg.jp/dbget-bin/www_bget?ec:" &amp; E1727), "")</f>
        <v/>
      </c>
      <c r="G1727" s="3"/>
      <c r="H1727" s="1" t="str">
        <f>IF(G1727&lt;&gt;"", HYPERLINK("https://www.kegg.jp/entry/" &amp; G1727, "https://www.kegg.jp/entry/" &amp; G1727), "")</f>
        <v/>
      </c>
    </row>
    <row r="1728" spans="1:8" hidden="1" x14ac:dyDescent="0.25">
      <c r="A1728" t="s">
        <v>3191</v>
      </c>
      <c r="B1728">
        <v>82</v>
      </c>
      <c r="C1728" t="s">
        <v>3192</v>
      </c>
      <c r="F1728" s="1" t="str">
        <f>IF(E1728&lt;&gt;"", HYPERLINK("https://www.kegg.jp/dbget-bin/www_bget?ec:" &amp; E1728, "https://www.kegg.jp/dbget-bin/www_bget?ec:" &amp; E1728), "")</f>
        <v/>
      </c>
      <c r="G1728" s="3"/>
      <c r="H1728" s="1" t="str">
        <f>IF(G1728&lt;&gt;"", HYPERLINK("https://www.kegg.jp/entry/" &amp; G1728, "https://www.kegg.jp/entry/" &amp; G1728), "")</f>
        <v/>
      </c>
    </row>
    <row r="1729" spans="1:10" hidden="1" x14ac:dyDescent="0.25">
      <c r="A1729" t="s">
        <v>3193</v>
      </c>
      <c r="B1729">
        <v>40</v>
      </c>
      <c r="C1729" t="s">
        <v>3194</v>
      </c>
      <c r="F1729" s="1" t="str">
        <f>IF(E1729&lt;&gt;"", HYPERLINK("https://www.kegg.jp/dbget-bin/www_bget?ec:" &amp; E1729, "https://www.kegg.jp/dbget-bin/www_bget?ec:" &amp; E1729), "")</f>
        <v/>
      </c>
      <c r="G1729" s="3"/>
      <c r="H1729" s="1" t="str">
        <f>IF(G1729&lt;&gt;"", HYPERLINK("https://www.kegg.jp/entry/" &amp; G1729, "https://www.kegg.jp/entry/" &amp; G1729), "")</f>
        <v/>
      </c>
    </row>
    <row r="1730" spans="1:10" hidden="1" x14ac:dyDescent="0.25">
      <c r="A1730" t="s">
        <v>3195</v>
      </c>
      <c r="B1730">
        <v>46</v>
      </c>
      <c r="C1730" t="s">
        <v>3196</v>
      </c>
      <c r="F1730" s="1" t="str">
        <f>IF(E1730&lt;&gt;"", HYPERLINK("https://www.kegg.jp/dbget-bin/www_bget?ec:" &amp; E1730, "https://www.kegg.jp/dbget-bin/www_bget?ec:" &amp; E1730), "")</f>
        <v/>
      </c>
      <c r="G1730" s="3"/>
      <c r="H1730" s="1" t="str">
        <f>IF(G1730&lt;&gt;"", HYPERLINK("https://www.kegg.jp/entry/" &amp; G1730, "https://www.kegg.jp/entry/" &amp; G1730), "")</f>
        <v/>
      </c>
    </row>
    <row r="1731" spans="1:10" hidden="1" x14ac:dyDescent="0.25">
      <c r="A1731" t="s">
        <v>3198</v>
      </c>
      <c r="B1731">
        <v>144</v>
      </c>
      <c r="C1731" t="s">
        <v>3199</v>
      </c>
      <c r="F1731" s="1" t="str">
        <f>IF(E1731&lt;&gt;"", HYPERLINK("https://www.kegg.jp/dbget-bin/www_bget?ec:" &amp; E1731, "https://www.kegg.jp/dbget-bin/www_bget?ec:" &amp; E1731), "")</f>
        <v/>
      </c>
      <c r="G1731" s="3"/>
      <c r="H1731" s="1" t="str">
        <f>IF(G1731&lt;&gt;"", HYPERLINK("https://www.kegg.jp/entry/" &amp; G1731, "https://www.kegg.jp/entry/" &amp; G1731), "")</f>
        <v/>
      </c>
    </row>
    <row r="1732" spans="1:10" hidden="1" x14ac:dyDescent="0.25">
      <c r="A1732" t="s">
        <v>3201</v>
      </c>
      <c r="B1732">
        <v>286</v>
      </c>
      <c r="C1732" t="s">
        <v>3202</v>
      </c>
      <c r="F1732" s="1" t="str">
        <f>IF(E1732&lt;&gt;"", HYPERLINK("https://www.kegg.jp/dbget-bin/www_bget?ec:" &amp; E1732, "https://www.kegg.jp/dbget-bin/www_bget?ec:" &amp; E1732), "")</f>
        <v/>
      </c>
      <c r="G1732" s="3"/>
      <c r="H1732" s="1" t="str">
        <f>IF(G1732&lt;&gt;"", HYPERLINK("https://www.kegg.jp/entry/" &amp; G1732, "https://www.kegg.jp/entry/" &amp; G1732), "")</f>
        <v/>
      </c>
    </row>
    <row r="1733" spans="1:10" hidden="1" x14ac:dyDescent="0.25">
      <c r="A1733" t="s">
        <v>3204</v>
      </c>
      <c r="B1733">
        <v>81</v>
      </c>
      <c r="C1733" t="s">
        <v>3205</v>
      </c>
      <c r="F1733" s="1" t="str">
        <f>IF(E1733&lt;&gt;"", HYPERLINK("https://www.kegg.jp/dbget-bin/www_bget?ec:" &amp; E1733, "https://www.kegg.jp/dbget-bin/www_bget?ec:" &amp; E1733), "")</f>
        <v/>
      </c>
      <c r="G1733" s="3"/>
      <c r="H1733" s="1" t="str">
        <f>IF(G1733&lt;&gt;"", HYPERLINK("https://www.kegg.jp/entry/" &amp; G1733, "https://www.kegg.jp/entry/" &amp; G1733), "")</f>
        <v/>
      </c>
    </row>
    <row r="1734" spans="1:10" x14ac:dyDescent="0.25">
      <c r="A1734" t="s">
        <v>3207</v>
      </c>
      <c r="B1734">
        <v>439</v>
      </c>
      <c r="C1734" t="s">
        <v>3208</v>
      </c>
      <c r="D1734" t="s">
        <v>6870</v>
      </c>
      <c r="E1734" s="5" t="s">
        <v>7750</v>
      </c>
      <c r="F1734" s="1" t="str">
        <f>IF(E1734&lt;&gt;"", HYPERLINK("https://www.kegg.jp/dbget-bin/www_bget?ec:" &amp; E1734, "https://www.kegg.jp/dbget-bin/www_bget?ec:" &amp; E1734), "")</f>
        <v>https://www.kegg.jp/dbget-bin/www_bget?ec:2.4.99.28</v>
      </c>
      <c r="G1734" s="3" t="s">
        <v>7751</v>
      </c>
      <c r="H1734" s="1" t="str">
        <f>IF(G1734&lt;&gt;"", HYPERLINK("https://www.kegg.jp/entry/" &amp; G1734, "https://www.kegg.jp/entry/" &amp; G1734), "")</f>
        <v>https://www.kegg.jp/entry/R06178</v>
      </c>
      <c r="I1734" t="s">
        <v>8281</v>
      </c>
      <c r="J1734" t="s">
        <v>8547</v>
      </c>
    </row>
    <row r="1735" spans="1:10" x14ac:dyDescent="0.25">
      <c r="A1735" t="s">
        <v>270</v>
      </c>
      <c r="B1735">
        <v>531</v>
      </c>
      <c r="C1735" t="s">
        <v>271</v>
      </c>
      <c r="E1735" s="5" t="s">
        <v>6633</v>
      </c>
      <c r="F1735" s="6" t="str">
        <f>IF(E1735&lt;&gt;"", HYPERLINK("https://www.kegg.jp/dbget-bin/www_bget?ec:" &amp; E1735, "https://www.kegg.jp/dbget-bin/www_bget?ec:" &amp; E1735), "")</f>
        <v>https://www.kegg.jp/dbget-bin/www_bget?ec:2.4.1.18</v>
      </c>
      <c r="G1735" s="7" t="s">
        <v>7366</v>
      </c>
      <c r="H1735" s="1" t="str">
        <f>IF(G1735&lt;&gt;"", HYPERLINK("https://www.kegg.jp/entry/" &amp; G1735, "https://www.kegg.jp/entry/" &amp; G1735), "")</f>
        <v>https://www.kegg.jp/entry/R06186</v>
      </c>
      <c r="I1735" t="s">
        <v>12797</v>
      </c>
      <c r="J1735" t="s">
        <v>12798</v>
      </c>
    </row>
    <row r="1736" spans="1:10" x14ac:dyDescent="0.25">
      <c r="A1736" t="s">
        <v>3207</v>
      </c>
      <c r="B1736">
        <v>439</v>
      </c>
      <c r="C1736" t="s">
        <v>3208</v>
      </c>
      <c r="D1736" t="s">
        <v>6870</v>
      </c>
      <c r="E1736" s="5" t="s">
        <v>7750</v>
      </c>
      <c r="F1736" s="1" t="str">
        <f>IF(E1736&lt;&gt;"", HYPERLINK("https://www.kegg.jp/dbget-bin/www_bget?ec:" &amp; E1736, "https://www.kegg.jp/dbget-bin/www_bget?ec:" &amp; E1736), "")</f>
        <v>https://www.kegg.jp/dbget-bin/www_bget?ec:2.4.99.28</v>
      </c>
      <c r="G1736" s="3" t="s">
        <v>7753</v>
      </c>
      <c r="H1736" s="1" t="str">
        <f>IF(G1736&lt;&gt;"", HYPERLINK("https://www.kegg.jp/entry/" &amp; G1736, "https://www.kegg.jp/entry/" &amp; G1736), "")</f>
        <v>https://www.kegg.jp/entry/R04519</v>
      </c>
      <c r="I1736" t="s">
        <v>8282</v>
      </c>
      <c r="J1736" t="s">
        <v>8549</v>
      </c>
    </row>
    <row r="1737" spans="1:10" x14ac:dyDescent="0.25">
      <c r="A1737" t="s">
        <v>957</v>
      </c>
      <c r="B1737">
        <v>440</v>
      </c>
      <c r="C1737" t="s">
        <v>958</v>
      </c>
      <c r="E1737" s="5" t="s">
        <v>6693</v>
      </c>
      <c r="F1737" s="1" t="str">
        <f>IF(E1737&lt;&gt;"", HYPERLINK("https://www.kegg.jp/dbget-bin/www_bget?ec:" &amp; E1737, "https://www.kegg.jp/dbget-bin/www_bget?ec:" &amp; E1737), "")</f>
        <v>https://www.kegg.jp/dbget-bin/www_bget?ec:2.4.1.21</v>
      </c>
      <c r="G1737" s="3" t="s">
        <v>7484</v>
      </c>
      <c r="H1737" s="1" t="str">
        <f>IF(G1737&lt;&gt;"", HYPERLINK("https://www.kegg.jp/entry/" &amp; G1737, "https://www.kegg.jp/entry/" &amp; G1737), "")</f>
        <v>https://www.kegg.jp/entry/R06049</v>
      </c>
      <c r="I1737" t="s">
        <v>12933</v>
      </c>
      <c r="J1737" t="s">
        <v>12934</v>
      </c>
    </row>
    <row r="1738" spans="1:10" x14ac:dyDescent="0.25">
      <c r="A1738" t="s">
        <v>3210</v>
      </c>
      <c r="B1738">
        <v>420</v>
      </c>
      <c r="C1738" t="s">
        <v>3211</v>
      </c>
      <c r="E1738" s="5" t="s">
        <v>6871</v>
      </c>
      <c r="F1738" s="1" t="str">
        <f>IF(E1738&lt;&gt;"", HYPERLINK("https://www.kegg.jp/dbget-bin/www_bget?ec:" &amp; E1738, "https://www.kegg.jp/dbget-bin/www_bget?ec:" &amp; E1738), "")</f>
        <v>https://www.kegg.jp/dbget-bin/www_bget?ec:6.3.2.10</v>
      </c>
      <c r="G1738" s="9" t="s">
        <v>7755</v>
      </c>
      <c r="H1738" s="1" t="str">
        <f>IF(G1738&lt;&gt;"", HYPERLINK("https://www.kegg.jp/entry/" &amp; G1738, "https://www.kegg.jp/entry/" &amp; G1738), "")</f>
        <v>https://www.kegg.jp/entry/R04573</v>
      </c>
      <c r="I1738" t="s">
        <v>13390</v>
      </c>
      <c r="J1738" t="s">
        <v>8550</v>
      </c>
    </row>
    <row r="1739" spans="1:10" x14ac:dyDescent="0.25">
      <c r="A1739" t="s">
        <v>3210</v>
      </c>
      <c r="B1739">
        <v>420</v>
      </c>
      <c r="C1739" t="s">
        <v>3211</v>
      </c>
      <c r="E1739" s="5" t="s">
        <v>6871</v>
      </c>
      <c r="F1739" s="1" t="str">
        <f>IF(E1739&lt;&gt;"", HYPERLINK("https://www.kegg.jp/dbget-bin/www_bget?ec:" &amp; E1739, "https://www.kegg.jp/dbget-bin/www_bget?ec:" &amp; E1739), "")</f>
        <v>https://www.kegg.jp/dbget-bin/www_bget?ec:6.3.2.10</v>
      </c>
      <c r="G1739" s="3" t="s">
        <v>7756</v>
      </c>
      <c r="H1739" s="1" t="str">
        <f>IF(G1739&lt;&gt;"", HYPERLINK("https://www.kegg.jp/entry/" &amp; G1739, "https://www.kegg.jp/entry/" &amp; G1739), "")</f>
        <v>https://www.kegg.jp/entry/R04617</v>
      </c>
      <c r="I1739" t="s">
        <v>13391</v>
      </c>
      <c r="J1739" t="s">
        <v>8551</v>
      </c>
    </row>
    <row r="1740" spans="1:10" hidden="1" x14ac:dyDescent="0.25">
      <c r="A1740" t="s">
        <v>3212</v>
      </c>
      <c r="B1740">
        <v>266</v>
      </c>
      <c r="C1740" t="s">
        <v>3213</v>
      </c>
      <c r="F1740" s="1" t="str">
        <f>IF(E1740&lt;&gt;"", HYPERLINK("https://www.kegg.jp/dbget-bin/www_bget?ec:" &amp; E1740, "https://www.kegg.jp/dbget-bin/www_bget?ec:" &amp; E1740), "")</f>
        <v/>
      </c>
      <c r="G1740" s="3"/>
      <c r="H1740" s="1" t="str">
        <f>IF(G1740&lt;&gt;"", HYPERLINK("https://www.kegg.jp/entry/" &amp; G1740, "https://www.kegg.jp/entry/" &amp; G1740), "")</f>
        <v/>
      </c>
    </row>
    <row r="1741" spans="1:10" x14ac:dyDescent="0.25">
      <c r="A1741" t="s">
        <v>3215</v>
      </c>
      <c r="B1741">
        <v>283</v>
      </c>
      <c r="C1741" t="s">
        <v>3216</v>
      </c>
      <c r="E1741" s="5" t="s">
        <v>6872</v>
      </c>
      <c r="F1741" s="1" t="str">
        <f>IF(E1741&lt;&gt;"", HYPERLINK("https://www.kegg.jp/dbget-bin/www_bget?ec:" &amp; E1741, "https://www.kegg.jp/dbget-bin/www_bget?ec:" &amp; E1741), "")</f>
        <v>https://www.kegg.jp/dbget-bin/www_bget?ec:2.7.8.13</v>
      </c>
      <c r="G1741" s="3" t="s">
        <v>7757</v>
      </c>
      <c r="H1741" s="1" t="str">
        <f>IF(G1741&lt;&gt;"", HYPERLINK("https://www.kegg.jp/entry/" &amp; G1741, "https://www.kegg.jp/entry/" &amp; G1741), "")</f>
        <v>https://www.kegg.jp/entry/R05629</v>
      </c>
      <c r="I1741" t="s">
        <v>8283</v>
      </c>
      <c r="J1741" t="s">
        <v>8552</v>
      </c>
    </row>
    <row r="1742" spans="1:10" x14ac:dyDescent="0.25">
      <c r="A1742" t="s">
        <v>3215</v>
      </c>
      <c r="B1742">
        <v>283</v>
      </c>
      <c r="C1742" t="s">
        <v>3216</v>
      </c>
      <c r="E1742" s="5" t="s">
        <v>6872</v>
      </c>
      <c r="F1742" s="1" t="str">
        <f>IF(E1742&lt;&gt;"", HYPERLINK("https://www.kegg.jp/dbget-bin/www_bget?ec:" &amp; E1742, "https://www.kegg.jp/dbget-bin/www_bget?ec:" &amp; E1742), "")</f>
        <v>https://www.kegg.jp/dbget-bin/www_bget?ec:2.7.8.13</v>
      </c>
      <c r="G1742" s="3" t="s">
        <v>7758</v>
      </c>
      <c r="H1742" s="1" t="str">
        <f>IF(G1742&lt;&gt;"", HYPERLINK("https://www.kegg.jp/entry/" &amp; G1742, "https://www.kegg.jp/entry/" &amp; G1742), "")</f>
        <v>https://www.kegg.jp/entry/R05630</v>
      </c>
      <c r="I1742" t="s">
        <v>8284</v>
      </c>
      <c r="J1742" t="s">
        <v>8553</v>
      </c>
    </row>
    <row r="1743" spans="1:10" x14ac:dyDescent="0.25">
      <c r="A1743" t="s">
        <v>3218</v>
      </c>
      <c r="B1743">
        <v>418</v>
      </c>
      <c r="C1743" t="s">
        <v>3219</v>
      </c>
      <c r="E1743" s="5" t="s">
        <v>6873</v>
      </c>
      <c r="F1743" s="1" t="str">
        <f>IF(E1743&lt;&gt;"", HYPERLINK("https://www.kegg.jp/dbget-bin/www_bget?ec:" &amp; E1743, "https://www.kegg.jp/dbget-bin/www_bget?ec:" &amp; E1743), "")</f>
        <v>https://www.kegg.jp/dbget-bin/www_bget?ec:6.3.2.9</v>
      </c>
      <c r="G1743" s="3" t="s">
        <v>7219</v>
      </c>
      <c r="H1743" s="1" t="str">
        <f>IF(G1743&lt;&gt;"", HYPERLINK("https://www.kegg.jp/entry/" &amp; G1743, "https://www.kegg.jp/entry/" &amp; G1743), "")</f>
        <v>https://www.kegg.jp/entry/R02783</v>
      </c>
      <c r="I1743" t="s">
        <v>13392</v>
      </c>
      <c r="J1743" t="s">
        <v>8554</v>
      </c>
    </row>
    <row r="1744" spans="1:10" hidden="1" x14ac:dyDescent="0.25">
      <c r="A1744" t="s">
        <v>3221</v>
      </c>
      <c r="B1744">
        <v>352</v>
      </c>
      <c r="C1744" t="s">
        <v>3222</v>
      </c>
      <c r="F1744" s="1" t="str">
        <f>IF(E1744&lt;&gt;"", HYPERLINK("https://www.kegg.jp/dbget-bin/www_bget?ec:" &amp; E1744, "https://www.kegg.jp/dbget-bin/www_bget?ec:" &amp; E1744), "")</f>
        <v/>
      </c>
      <c r="G1744" s="3"/>
      <c r="H1744" s="1" t="str">
        <f>IF(G1744&lt;&gt;"", HYPERLINK("https://www.kegg.jp/entry/" &amp; G1744, "https://www.kegg.jp/entry/" &amp; G1744), "")</f>
        <v/>
      </c>
    </row>
    <row r="1745" spans="1:10" x14ac:dyDescent="0.25">
      <c r="A1745" t="s">
        <v>3224</v>
      </c>
      <c r="B1745">
        <v>339</v>
      </c>
      <c r="C1745" t="s">
        <v>3225</v>
      </c>
      <c r="E1745" s="5" t="s">
        <v>6874</v>
      </c>
      <c r="F1745" s="1" t="str">
        <f>IF(E1745&lt;&gt;"", HYPERLINK("https://www.kegg.jp/dbget-bin/www_bget?ec:" &amp; E1745, "https://www.kegg.jp/dbget-bin/www_bget?ec:" &amp; E1745), "")</f>
        <v>https://www.kegg.jp/dbget-bin/www_bget?ec:2.4.1.227</v>
      </c>
      <c r="G1745" s="3" t="s">
        <v>7759</v>
      </c>
      <c r="H1745" s="1" t="str">
        <f>IF(G1745&lt;&gt;"", HYPERLINK("https://www.kegg.jp/entry/" &amp; G1745, "https://www.kegg.jp/entry/" &amp; G1745), "")</f>
        <v>https://www.kegg.jp/entry/R05662</v>
      </c>
      <c r="I1745" t="s">
        <v>13393</v>
      </c>
      <c r="J1745" t="s">
        <v>13394</v>
      </c>
    </row>
    <row r="1746" spans="1:10" x14ac:dyDescent="0.25">
      <c r="A1746" t="s">
        <v>3224</v>
      </c>
      <c r="B1746">
        <v>339</v>
      </c>
      <c r="C1746" t="s">
        <v>3225</v>
      </c>
      <c r="E1746" s="5" t="s">
        <v>6874</v>
      </c>
      <c r="F1746" s="1" t="str">
        <f>IF(E1746&lt;&gt;"", HYPERLINK("https://www.kegg.jp/dbget-bin/www_bget?ec:" &amp; E1746, "https://www.kegg.jp/dbget-bin/www_bget?ec:" &amp; E1746), "")</f>
        <v>https://www.kegg.jp/dbget-bin/www_bget?ec:2.4.1.227</v>
      </c>
      <c r="G1746" s="3" t="s">
        <v>7761</v>
      </c>
      <c r="H1746" s="1" t="str">
        <f>IF(G1746&lt;&gt;"", HYPERLINK("https://www.kegg.jp/entry/" &amp; G1746, "https://www.kegg.jp/entry/" &amp; G1746), "")</f>
        <v>https://www.kegg.jp/entry/R06172</v>
      </c>
      <c r="I1746" t="s">
        <v>13399</v>
      </c>
      <c r="J1746" t="s">
        <v>13400</v>
      </c>
    </row>
    <row r="1747" spans="1:10" x14ac:dyDescent="0.25">
      <c r="A1747" t="s">
        <v>3224</v>
      </c>
      <c r="B1747">
        <v>339</v>
      </c>
      <c r="C1747" t="s">
        <v>3225</v>
      </c>
      <c r="E1747" s="5" t="s">
        <v>6874</v>
      </c>
      <c r="F1747" s="1" t="str">
        <f>IF(E1747&lt;&gt;"", HYPERLINK("https://www.kegg.jp/dbget-bin/www_bget?ec:" &amp; E1747, "https://www.kegg.jp/dbget-bin/www_bget?ec:" &amp; E1747), "")</f>
        <v>https://www.kegg.jp/dbget-bin/www_bget?ec:2.4.1.227</v>
      </c>
      <c r="G1747" s="3" t="s">
        <v>7762</v>
      </c>
      <c r="H1747" s="1" t="str">
        <f>IF(G1747&lt;&gt;"", HYPERLINK("https://www.kegg.jp/entry/" &amp; G1747, "https://www.kegg.jp/entry/" &amp; G1747), "")</f>
        <v>https://www.kegg.jp/entry/R05032</v>
      </c>
      <c r="I1747" t="s">
        <v>13397</v>
      </c>
      <c r="J1747" t="s">
        <v>13398</v>
      </c>
    </row>
    <row r="1748" spans="1:10" x14ac:dyDescent="0.25">
      <c r="A1748" t="s">
        <v>3224</v>
      </c>
      <c r="B1748">
        <v>339</v>
      </c>
      <c r="C1748" t="s">
        <v>3225</v>
      </c>
      <c r="E1748" s="5" t="s">
        <v>6874</v>
      </c>
      <c r="F1748" s="1" t="str">
        <f>IF(E1748&lt;&gt;"", HYPERLINK("https://www.kegg.jp/dbget-bin/www_bget?ec:" &amp; E1748, "https://www.kegg.jp/dbget-bin/www_bget?ec:" &amp; E1748), "")</f>
        <v>https://www.kegg.jp/dbget-bin/www_bget?ec:2.4.1.227</v>
      </c>
      <c r="G1748" s="3" t="s">
        <v>7763</v>
      </c>
      <c r="H1748" s="1" t="str">
        <f>IF(G1748&lt;&gt;"", HYPERLINK("https://www.kegg.jp/entry/" &amp; G1748, "https://www.kegg.jp/entry/" &amp; G1748), "")</f>
        <v>https://www.kegg.jp/entry/R06173</v>
      </c>
      <c r="I1748" t="s">
        <v>13395</v>
      </c>
      <c r="J1748" t="s">
        <v>13396</v>
      </c>
    </row>
    <row r="1749" spans="1:10" x14ac:dyDescent="0.25">
      <c r="A1749" t="s">
        <v>3207</v>
      </c>
      <c r="B1749">
        <v>439</v>
      </c>
      <c r="C1749" t="s">
        <v>3208</v>
      </c>
      <c r="D1749" t="s">
        <v>6870</v>
      </c>
      <c r="E1749" s="5" t="s">
        <v>7750</v>
      </c>
      <c r="F1749" s="1" t="str">
        <f>IF(E1749&lt;&gt;"", HYPERLINK("https://www.kegg.jp/dbget-bin/www_bget?ec:" &amp; E1749, "https://www.kegg.jp/dbget-bin/www_bget?ec:" &amp; E1749), "")</f>
        <v>https://www.kegg.jp/dbget-bin/www_bget?ec:2.4.99.28</v>
      </c>
      <c r="G1749" s="3" t="s">
        <v>7754</v>
      </c>
      <c r="H1749" s="1" t="str">
        <f>IF(G1749&lt;&gt;"", HYPERLINK("https://www.kegg.jp/entry/" &amp; G1749, "https://www.kegg.jp/entry/" &amp; G1749), "")</f>
        <v>https://www.kegg.jp/entry/R06179</v>
      </c>
      <c r="I1749" t="s">
        <v>13386</v>
      </c>
      <c r="J1749" t="s">
        <v>13387</v>
      </c>
    </row>
    <row r="1750" spans="1:10" x14ac:dyDescent="0.25">
      <c r="A1750" t="s">
        <v>3227</v>
      </c>
      <c r="B1750">
        <v>446</v>
      </c>
      <c r="C1750" t="s">
        <v>3228</v>
      </c>
      <c r="E1750" s="5" t="s">
        <v>6875</v>
      </c>
      <c r="F1750" s="1" t="str">
        <f>IF(E1750&lt;&gt;"", HYPERLINK("https://www.kegg.jp/dbget-bin/www_bget?ec:" &amp; E1750, "https://www.kegg.jp/dbget-bin/www_bget?ec:" &amp; E1750), "")</f>
        <v>https://www.kegg.jp/dbget-bin/www_bget?ec:6.3.2.8</v>
      </c>
      <c r="G1750" s="3" t="s">
        <v>7220</v>
      </c>
      <c r="H1750" s="1" t="str">
        <f>IF(G1750&lt;&gt;"", HYPERLINK("https://www.kegg.jp/entry/" &amp; G1750, "https://www.kegg.jp/entry/" &amp; G1750), "")</f>
        <v>https://www.kegg.jp/entry/R03193</v>
      </c>
      <c r="I1750" t="s">
        <v>13403</v>
      </c>
      <c r="J1750" t="s">
        <v>8555</v>
      </c>
    </row>
    <row r="1751" spans="1:10" x14ac:dyDescent="0.25">
      <c r="A1751" t="s">
        <v>3230</v>
      </c>
      <c r="B1751">
        <v>260</v>
      </c>
      <c r="C1751" t="s">
        <v>3231</v>
      </c>
      <c r="E1751" s="5" t="s">
        <v>6876</v>
      </c>
      <c r="F1751" s="1" t="str">
        <f>IF(E1751&lt;&gt;"", HYPERLINK("https://www.kegg.jp/dbget-bin/www_bget?ec:" &amp; E1751, "https://www.kegg.jp/dbget-bin/www_bget?ec:" &amp; E1751), "")</f>
        <v>https://www.kegg.jp/dbget-bin/www_bget?ec:1.3.1.98</v>
      </c>
      <c r="G1751" s="3" t="s">
        <v>7764</v>
      </c>
      <c r="H1751" s="1" t="str">
        <f>IF(G1751&lt;&gt;"", HYPERLINK("https://www.kegg.jp/entry/" &amp; G1751, "https://www.kegg.jp/entry/" &amp; G1751), "")</f>
        <v>https://www.kegg.jp/entry/R03192</v>
      </c>
      <c r="I1751" t="s">
        <v>13404</v>
      </c>
      <c r="J1751" t="s">
        <v>13405</v>
      </c>
    </row>
    <row r="1752" spans="1:10" x14ac:dyDescent="0.25">
      <c r="A1752" t="s">
        <v>3230</v>
      </c>
      <c r="B1752">
        <v>260</v>
      </c>
      <c r="C1752" t="s">
        <v>3231</v>
      </c>
      <c r="E1752" s="5" t="s">
        <v>6876</v>
      </c>
      <c r="F1752" s="1" t="str">
        <f>IF(E1752&lt;&gt;"", HYPERLINK("https://www.kegg.jp/dbget-bin/www_bget?ec:" &amp; E1752, "https://www.kegg.jp/dbget-bin/www_bget?ec:" &amp; E1752), "")</f>
        <v>https://www.kegg.jp/dbget-bin/www_bget?ec:1.3.1.98</v>
      </c>
      <c r="G1752" s="3" t="s">
        <v>7765</v>
      </c>
      <c r="H1752" s="1" t="str">
        <f>IF(G1752&lt;&gt;"", HYPERLINK("https://www.kegg.jp/entry/" &amp; G1752, "https://www.kegg.jp/entry/" &amp; G1752), "")</f>
        <v>https://www.kegg.jp/entry/R03191</v>
      </c>
      <c r="I1752" t="s">
        <v>13406</v>
      </c>
      <c r="J1752" t="s">
        <v>13407</v>
      </c>
    </row>
    <row r="1753" spans="1:10" hidden="1" x14ac:dyDescent="0.25">
      <c r="A1753" t="s">
        <v>3233</v>
      </c>
      <c r="B1753">
        <v>192</v>
      </c>
      <c r="C1753" t="s">
        <v>3234</v>
      </c>
      <c r="F1753" s="1" t="str">
        <f>IF(E1753&lt;&gt;"", HYPERLINK("https://www.kegg.jp/dbget-bin/www_bget?ec:" &amp; E1753, "https://www.kegg.jp/dbget-bin/www_bget?ec:" &amp; E1753), "")</f>
        <v/>
      </c>
      <c r="G1753" s="3"/>
      <c r="H1753" s="1" t="str">
        <f>IF(G1753&lt;&gt;"", HYPERLINK("https://www.kegg.jp/entry/" &amp; G1753, "https://www.kegg.jp/entry/" &amp; G1753), "")</f>
        <v/>
      </c>
    </row>
    <row r="1754" spans="1:10" hidden="1" x14ac:dyDescent="0.25">
      <c r="A1754" t="s">
        <v>3236</v>
      </c>
      <c r="B1754">
        <v>398</v>
      </c>
      <c r="C1754" t="s">
        <v>3237</v>
      </c>
      <c r="F1754" s="1" t="str">
        <f>IF(E1754&lt;&gt;"", HYPERLINK("https://www.kegg.jp/dbget-bin/www_bget?ec:" &amp; E1754, "https://www.kegg.jp/dbget-bin/www_bget?ec:" &amp; E1754), "")</f>
        <v/>
      </c>
      <c r="G1754" s="3"/>
      <c r="H1754" s="1" t="str">
        <f>IF(G1754&lt;&gt;"", HYPERLINK("https://www.kegg.jp/entry/" &amp; G1754, "https://www.kegg.jp/entry/" &amp; G1754), "")</f>
        <v/>
      </c>
    </row>
    <row r="1755" spans="1:10" hidden="1" x14ac:dyDescent="0.25">
      <c r="A1755" t="s">
        <v>3239</v>
      </c>
      <c r="B1755">
        <v>351</v>
      </c>
      <c r="C1755" t="s">
        <v>3240</v>
      </c>
      <c r="F1755" s="1" t="str">
        <f>IF(E1755&lt;&gt;"", HYPERLINK("https://www.kegg.jp/dbget-bin/www_bget?ec:" &amp; E1755, "https://www.kegg.jp/dbget-bin/www_bget?ec:" &amp; E1755), "")</f>
        <v/>
      </c>
      <c r="G1755" s="3"/>
      <c r="H1755" s="1" t="str">
        <f>IF(G1755&lt;&gt;"", HYPERLINK("https://www.kegg.jp/entry/" &amp; G1755, "https://www.kegg.jp/entry/" &amp; G1755), "")</f>
        <v/>
      </c>
    </row>
    <row r="1756" spans="1:10" hidden="1" x14ac:dyDescent="0.25">
      <c r="A1756" t="s">
        <v>3242</v>
      </c>
      <c r="B1756">
        <v>166</v>
      </c>
      <c r="C1756" t="s">
        <v>3243</v>
      </c>
      <c r="D1756" t="s">
        <v>7767</v>
      </c>
      <c r="E1756" s="5" t="s">
        <v>7766</v>
      </c>
      <c r="F1756" s="1" t="str">
        <f>IF(E1756&lt;&gt;"", HYPERLINK("https://www.kegg.jp/dbget-bin/www_bget?ec:" &amp; E1756, "https://www.kegg.jp/dbget-bin/www_bget?ec:" &amp; E1756), "")</f>
        <v>https://www.kegg.jp/dbget-bin/www_bget?ec:3.1.21.10</v>
      </c>
      <c r="G1756" s="3"/>
      <c r="H1756" s="1" t="str">
        <f>IF(G1756&lt;&gt;"", HYPERLINK("https://www.kegg.jp/entry/" &amp; G1756, "https://www.kegg.jp/entry/" &amp; G1756), "")</f>
        <v/>
      </c>
    </row>
    <row r="1757" spans="1:10" hidden="1" x14ac:dyDescent="0.25">
      <c r="A1757" t="s">
        <v>3244</v>
      </c>
      <c r="B1757">
        <v>207</v>
      </c>
      <c r="C1757" t="s">
        <v>3245</v>
      </c>
      <c r="F1757" s="1" t="str">
        <f>IF(E1757&lt;&gt;"", HYPERLINK("https://www.kegg.jp/dbget-bin/www_bget?ec:" &amp; E1757, "https://www.kegg.jp/dbget-bin/www_bget?ec:" &amp; E1757), "")</f>
        <v/>
      </c>
      <c r="G1757" s="3"/>
      <c r="H1757" s="1" t="str">
        <f>IF(G1757&lt;&gt;"", HYPERLINK("https://www.kegg.jp/entry/" &amp; G1757, "https://www.kegg.jp/entry/" &amp; G1757), "")</f>
        <v/>
      </c>
    </row>
    <row r="1758" spans="1:10" hidden="1" x14ac:dyDescent="0.25">
      <c r="A1758" t="s">
        <v>3246</v>
      </c>
      <c r="B1758">
        <v>559</v>
      </c>
      <c r="C1758" t="s">
        <v>3247</v>
      </c>
      <c r="F1758" s="1" t="str">
        <f>IF(E1758&lt;&gt;"", HYPERLINK("https://www.kegg.jp/dbget-bin/www_bget?ec:" &amp; E1758, "https://www.kegg.jp/dbget-bin/www_bget?ec:" &amp; E1758), "")</f>
        <v/>
      </c>
      <c r="G1758" s="3"/>
      <c r="H1758" s="1" t="str">
        <f>IF(G1758&lt;&gt;"", HYPERLINK("https://www.kegg.jp/entry/" &amp; G1758, "https://www.kegg.jp/entry/" &amp; G1758), "")</f>
        <v/>
      </c>
    </row>
    <row r="1759" spans="1:10" hidden="1" x14ac:dyDescent="0.25">
      <c r="A1759" t="s">
        <v>3249</v>
      </c>
      <c r="B1759">
        <v>277</v>
      </c>
      <c r="C1759" t="s">
        <v>3250</v>
      </c>
      <c r="F1759" s="1" t="str">
        <f>IF(E1759&lt;&gt;"", HYPERLINK("https://www.kegg.jp/dbget-bin/www_bget?ec:" &amp; E1759, "https://www.kegg.jp/dbget-bin/www_bget?ec:" &amp; E1759), "")</f>
        <v/>
      </c>
      <c r="G1759" s="3"/>
      <c r="H1759" s="1" t="str">
        <f>IF(G1759&lt;&gt;"", HYPERLINK("https://www.kegg.jp/entry/" &amp; G1759, "https://www.kegg.jp/entry/" &amp; G1759), "")</f>
        <v/>
      </c>
    </row>
    <row r="1760" spans="1:10" hidden="1" x14ac:dyDescent="0.25">
      <c r="A1760" t="s">
        <v>3252</v>
      </c>
      <c r="B1760">
        <v>277</v>
      </c>
      <c r="C1760" t="s">
        <v>3253</v>
      </c>
      <c r="F1760" s="1" t="str">
        <f>IF(E1760&lt;&gt;"", HYPERLINK("https://www.kegg.jp/dbget-bin/www_bget?ec:" &amp; E1760, "https://www.kegg.jp/dbget-bin/www_bget?ec:" &amp; E1760), "")</f>
        <v/>
      </c>
      <c r="G1760" s="3"/>
      <c r="H1760" s="1" t="str">
        <f>IF(G1760&lt;&gt;"", HYPERLINK("https://www.kegg.jp/entry/" &amp; G1760, "https://www.kegg.jp/entry/" &amp; G1760), "")</f>
        <v/>
      </c>
    </row>
    <row r="1761" spans="1:10" hidden="1" x14ac:dyDescent="0.25">
      <c r="A1761" t="s">
        <v>3255</v>
      </c>
      <c r="B1761">
        <v>1061</v>
      </c>
      <c r="C1761" t="s">
        <v>3256</v>
      </c>
      <c r="F1761" s="1" t="str">
        <f>IF(E1761&lt;&gt;"", HYPERLINK("https://www.kegg.jp/dbget-bin/www_bget?ec:" &amp; E1761, "https://www.kegg.jp/dbget-bin/www_bget?ec:" &amp; E1761), "")</f>
        <v/>
      </c>
      <c r="G1761" s="3"/>
      <c r="H1761" s="1" t="str">
        <f>IF(G1761&lt;&gt;"", HYPERLINK("https://www.kegg.jp/entry/" &amp; G1761, "https://www.kegg.jp/entry/" &amp; G1761), "")</f>
        <v/>
      </c>
    </row>
    <row r="1762" spans="1:10" hidden="1" x14ac:dyDescent="0.25">
      <c r="A1762" t="s">
        <v>3257</v>
      </c>
      <c r="B1762">
        <v>145</v>
      </c>
      <c r="C1762" t="s">
        <v>3258</v>
      </c>
      <c r="F1762" s="1" t="str">
        <f>IF(E1762&lt;&gt;"", HYPERLINK("https://www.kegg.jp/dbget-bin/www_bget?ec:" &amp; E1762, "https://www.kegg.jp/dbget-bin/www_bget?ec:" &amp; E1762), "")</f>
        <v/>
      </c>
      <c r="G1762" s="3"/>
      <c r="H1762" s="1" t="str">
        <f>IF(G1762&lt;&gt;"", HYPERLINK("https://www.kegg.jp/entry/" &amp; G1762, "https://www.kegg.jp/entry/" &amp; G1762), "")</f>
        <v/>
      </c>
    </row>
    <row r="1763" spans="1:10" hidden="1" x14ac:dyDescent="0.25">
      <c r="A1763" t="s">
        <v>3259</v>
      </c>
      <c r="B1763">
        <v>147</v>
      </c>
      <c r="C1763" t="s">
        <v>3260</v>
      </c>
      <c r="F1763" s="1" t="str">
        <f>IF(E1763&lt;&gt;"", HYPERLINK("https://www.kegg.jp/dbget-bin/www_bget?ec:" &amp; E1763, "https://www.kegg.jp/dbget-bin/www_bget?ec:" &amp; E1763), "")</f>
        <v/>
      </c>
      <c r="G1763" s="3"/>
      <c r="H1763" s="1" t="str">
        <f>IF(G1763&lt;&gt;"", HYPERLINK("https://www.kegg.jp/entry/" &amp; G1763, "https://www.kegg.jp/entry/" &amp; G1763), "")</f>
        <v/>
      </c>
    </row>
    <row r="1764" spans="1:10" hidden="1" x14ac:dyDescent="0.25">
      <c r="A1764" t="s">
        <v>3261</v>
      </c>
      <c r="B1764">
        <v>184</v>
      </c>
      <c r="C1764" t="s">
        <v>3262</v>
      </c>
      <c r="F1764" s="1" t="str">
        <f>IF(E1764&lt;&gt;"", HYPERLINK("https://www.kegg.jp/dbget-bin/www_bget?ec:" &amp; E1764, "https://www.kegg.jp/dbget-bin/www_bget?ec:" &amp; E1764), "")</f>
        <v/>
      </c>
      <c r="G1764" s="3"/>
      <c r="H1764" s="1" t="str">
        <f>IF(G1764&lt;&gt;"", HYPERLINK("https://www.kegg.jp/entry/" &amp; G1764, "https://www.kegg.jp/entry/" &amp; G1764), "")</f>
        <v/>
      </c>
    </row>
    <row r="1765" spans="1:10" hidden="1" x14ac:dyDescent="0.25">
      <c r="A1765" t="s">
        <v>3263</v>
      </c>
      <c r="B1765">
        <v>401</v>
      </c>
      <c r="C1765" t="s">
        <v>3264</v>
      </c>
      <c r="F1765" s="1" t="str">
        <f>IF(E1765&lt;&gt;"", HYPERLINK("https://www.kegg.jp/dbget-bin/www_bget?ec:" &amp; E1765, "https://www.kegg.jp/dbget-bin/www_bget?ec:" &amp; E1765), "")</f>
        <v/>
      </c>
      <c r="G1765" s="3"/>
      <c r="H1765" s="1" t="str">
        <f>IF(G1765&lt;&gt;"", HYPERLINK("https://www.kegg.jp/entry/" &amp; G1765, "https://www.kegg.jp/entry/" &amp; G1765), "")</f>
        <v/>
      </c>
    </row>
    <row r="1766" spans="1:10" hidden="1" x14ac:dyDescent="0.25">
      <c r="A1766" t="s">
        <v>3266</v>
      </c>
      <c r="B1766">
        <v>287</v>
      </c>
      <c r="C1766" t="s">
        <v>3267</v>
      </c>
      <c r="F1766" s="1" t="str">
        <f>IF(E1766&lt;&gt;"", HYPERLINK("https://www.kegg.jp/dbget-bin/www_bget?ec:" &amp; E1766, "https://www.kegg.jp/dbget-bin/www_bget?ec:" &amp; E1766), "")</f>
        <v/>
      </c>
      <c r="G1766" s="3"/>
      <c r="H1766" s="1" t="str">
        <f>IF(G1766&lt;&gt;"", HYPERLINK("https://www.kegg.jp/entry/" &amp; G1766, "https://www.kegg.jp/entry/" &amp; G1766), "")</f>
        <v/>
      </c>
    </row>
    <row r="1767" spans="1:10" hidden="1" x14ac:dyDescent="0.25">
      <c r="A1767" t="s">
        <v>3269</v>
      </c>
      <c r="B1767">
        <v>195</v>
      </c>
      <c r="C1767" t="s">
        <v>3270</v>
      </c>
      <c r="F1767" s="1" t="str">
        <f>IF(E1767&lt;&gt;"", HYPERLINK("https://www.kegg.jp/dbget-bin/www_bget?ec:" &amp; E1767, "https://www.kegg.jp/dbget-bin/www_bget?ec:" &amp; E1767), "")</f>
        <v/>
      </c>
      <c r="G1767" s="3"/>
      <c r="H1767" s="1" t="str">
        <f>IF(G1767&lt;&gt;"", HYPERLINK("https://www.kegg.jp/entry/" &amp; G1767, "https://www.kegg.jp/entry/" &amp; G1767), "")</f>
        <v/>
      </c>
    </row>
    <row r="1768" spans="1:10" hidden="1" x14ac:dyDescent="0.25">
      <c r="A1768" t="s">
        <v>3272</v>
      </c>
      <c r="B1768">
        <v>283</v>
      </c>
      <c r="C1768" t="s">
        <v>3273</v>
      </c>
      <c r="F1768" s="1" t="str">
        <f>IF(E1768&lt;&gt;"", HYPERLINK("https://www.kegg.jp/dbget-bin/www_bget?ec:" &amp; E1768, "https://www.kegg.jp/dbget-bin/www_bget?ec:" &amp; E1768), "")</f>
        <v/>
      </c>
      <c r="G1768" s="3"/>
      <c r="H1768" s="1" t="str">
        <f>IF(G1768&lt;&gt;"", HYPERLINK("https://www.kegg.jp/entry/" &amp; G1768, "https://www.kegg.jp/entry/" &amp; G1768), "")</f>
        <v/>
      </c>
    </row>
    <row r="1769" spans="1:10" x14ac:dyDescent="0.25">
      <c r="A1769" t="s">
        <v>3275</v>
      </c>
      <c r="B1769">
        <v>283</v>
      </c>
      <c r="C1769" t="s">
        <v>3276</v>
      </c>
      <c r="E1769" s="5" t="s">
        <v>6877</v>
      </c>
      <c r="F1769" s="1" t="str">
        <f>IF(E1769&lt;&gt;"", HYPERLINK("https://www.kegg.jp/dbget-bin/www_bget?ec:" &amp; E1769, "https://www.kegg.jp/dbget-bin/www_bget?ec:" &amp; E1769), "")</f>
        <v>https://www.kegg.jp/dbget-bin/www_bget?ec:2.5.1.32</v>
      </c>
      <c r="G1769" s="3" t="s">
        <v>7768</v>
      </c>
      <c r="H1769" s="1" t="str">
        <f>IF(G1769&lt;&gt;"", HYPERLINK("https://www.kegg.jp/entry/" &amp; G1769, "https://www.kegg.jp/entry/" &amp; G1769), "")</f>
        <v>https://www.kegg.jp/entry/R02065</v>
      </c>
      <c r="I1769" t="s">
        <v>8285</v>
      </c>
      <c r="J1769" t="s">
        <v>8556</v>
      </c>
    </row>
    <row r="1770" spans="1:10" x14ac:dyDescent="0.25">
      <c r="A1770" t="s">
        <v>3275</v>
      </c>
      <c r="B1770">
        <v>283</v>
      </c>
      <c r="C1770" t="s">
        <v>3276</v>
      </c>
      <c r="E1770" s="5" t="s">
        <v>6877</v>
      </c>
      <c r="F1770" s="1" t="str">
        <f>IF(E1770&lt;&gt;"", HYPERLINK("https://www.kegg.jp/dbget-bin/www_bget?ec:" &amp; E1770, "https://www.kegg.jp/dbget-bin/www_bget?ec:" &amp; E1770), "")</f>
        <v>https://www.kegg.jp/dbget-bin/www_bget?ec:2.5.1.32</v>
      </c>
      <c r="G1770" s="3" t="s">
        <v>7772</v>
      </c>
      <c r="H1770" s="1" t="str">
        <f>IF(G1770&lt;&gt;"", HYPERLINK("https://www.kegg.jp/entry/" &amp; G1770, "https://www.kegg.jp/entry/" &amp; G1770), "")</f>
        <v>https://www.kegg.jp/entry/R04218</v>
      </c>
      <c r="I1770" t="s">
        <v>8286</v>
      </c>
      <c r="J1770" t="s">
        <v>8557</v>
      </c>
    </row>
    <row r="1771" spans="1:10" x14ac:dyDescent="0.25">
      <c r="A1771" t="s">
        <v>3275</v>
      </c>
      <c r="B1771">
        <v>283</v>
      </c>
      <c r="C1771" t="s">
        <v>3276</v>
      </c>
      <c r="E1771" s="5" t="s">
        <v>6877</v>
      </c>
      <c r="F1771" s="1" t="str">
        <f>IF(E1771&lt;&gt;"", HYPERLINK("https://www.kegg.jp/dbget-bin/www_bget?ec:" &amp; E1771, "https://www.kegg.jp/dbget-bin/www_bget?ec:" &amp; E1771), "")</f>
        <v>https://www.kegg.jp/dbget-bin/www_bget?ec:2.5.1.32</v>
      </c>
      <c r="G1771" s="3" t="s">
        <v>7771</v>
      </c>
      <c r="H1771" s="1" t="str">
        <f>IF(G1771&lt;&gt;"", HYPERLINK("https://www.kegg.jp/entry/" &amp; G1771, "https://www.kegg.jp/entry/" &amp; G1771), "")</f>
        <v>https://www.kegg.jp/entry/R10177</v>
      </c>
      <c r="I1771" t="s">
        <v>8285</v>
      </c>
      <c r="J1771" t="s">
        <v>8557</v>
      </c>
    </row>
    <row r="1772" spans="1:10" x14ac:dyDescent="0.25">
      <c r="A1772" t="s">
        <v>3275</v>
      </c>
      <c r="B1772">
        <v>283</v>
      </c>
      <c r="C1772" t="s">
        <v>3276</v>
      </c>
      <c r="E1772" s="5" t="s">
        <v>6877</v>
      </c>
      <c r="F1772" s="1" t="str">
        <f>IF(E1772&lt;&gt;"", HYPERLINK("https://www.kegg.jp/dbget-bin/www_bget?ec:" &amp; E1772, "https://www.kegg.jp/dbget-bin/www_bget?ec:" &amp; E1772), "")</f>
        <v>https://www.kegg.jp/dbget-bin/www_bget?ec:2.5.1.32</v>
      </c>
      <c r="G1772" s="3" t="s">
        <v>7770</v>
      </c>
      <c r="H1772" s="1" t="str">
        <f>IF(G1772&lt;&gt;"", HYPERLINK("https://www.kegg.jp/entry/" &amp; G1772, "https://www.kegg.jp/entry/" &amp; G1772), "")</f>
        <v>https://www.kegg.jp/entry/R07270</v>
      </c>
      <c r="I1772" t="s">
        <v>8286</v>
      </c>
      <c r="J1772" t="s">
        <v>13408</v>
      </c>
    </row>
    <row r="1773" spans="1:10" x14ac:dyDescent="0.25">
      <c r="A1773" t="s">
        <v>3275</v>
      </c>
      <c r="B1773">
        <v>283</v>
      </c>
      <c r="C1773" t="s">
        <v>3276</v>
      </c>
      <c r="E1773" s="5" t="s">
        <v>6877</v>
      </c>
      <c r="F1773" s="1" t="str">
        <f>IF(E1773&lt;&gt;"", HYPERLINK("https://www.kegg.jp/dbget-bin/www_bget?ec:" &amp; E1773, "https://www.kegg.jp/dbget-bin/www_bget?ec:" &amp; E1773), "")</f>
        <v>https://www.kegg.jp/dbget-bin/www_bget?ec:2.5.1.32</v>
      </c>
      <c r="G1773" s="3" t="s">
        <v>7769</v>
      </c>
      <c r="H1773" s="1" t="str">
        <f>IF(G1773&lt;&gt;"", HYPERLINK("https://www.kegg.jp/entry/" &amp; G1773, "https://www.kegg.jp/entry/" &amp; G1773), "")</f>
        <v>https://www.kegg.jp/entry/R07916</v>
      </c>
      <c r="I1773" t="s">
        <v>8285</v>
      </c>
      <c r="J1773" t="s">
        <v>13408</v>
      </c>
    </row>
    <row r="1774" spans="1:10" x14ac:dyDescent="0.25">
      <c r="A1774" t="s">
        <v>3278</v>
      </c>
      <c r="B1774">
        <v>417</v>
      </c>
      <c r="C1774" t="s">
        <v>3279</v>
      </c>
      <c r="E1774" s="5" t="s">
        <v>6878</v>
      </c>
      <c r="F1774" s="1" t="str">
        <f>IF(E1774&lt;&gt;"", HYPERLINK("https://www.kegg.jp/dbget-bin/www_bget?ec:" &amp; E1774, "https://www.kegg.jp/dbget-bin/www_bget?ec:" &amp; E1774), "")</f>
        <v>https://www.kegg.jp/dbget-bin/www_bget?ec:4.1.99.3</v>
      </c>
      <c r="G1774" s="3" t="s">
        <v>7773</v>
      </c>
      <c r="H1774" s="1" t="str">
        <f>IF(G1774&lt;&gt;"", HYPERLINK("https://www.kegg.jp/entry/" &amp; G1774, "https://www.kegg.jp/entry/" &amp; G1774), "")</f>
        <v>https://www.kegg.jp/entry/R00034</v>
      </c>
      <c r="I1774" t="s">
        <v>8287</v>
      </c>
      <c r="J1774" t="s">
        <v>8558</v>
      </c>
    </row>
    <row r="1775" spans="1:10" x14ac:dyDescent="0.25">
      <c r="A1775" t="s">
        <v>3278</v>
      </c>
      <c r="B1775">
        <v>417</v>
      </c>
      <c r="C1775" t="s">
        <v>3279</v>
      </c>
      <c r="E1775" s="5" t="s">
        <v>6878</v>
      </c>
      <c r="F1775" s="1" t="str">
        <f>IF(E1775&lt;&gt;"", HYPERLINK("https://www.kegg.jp/dbget-bin/www_bget?ec:" &amp; E1775, "https://www.kegg.jp/dbget-bin/www_bget?ec:" &amp; E1775), "")</f>
        <v>https://www.kegg.jp/dbget-bin/www_bget?ec:4.1.99.3</v>
      </c>
      <c r="G1775" s="3" t="s">
        <v>7774</v>
      </c>
      <c r="H1775" s="1" t="str">
        <f>IF(G1775&lt;&gt;"", HYPERLINK("https://www.kegg.jp/entry/" &amp; G1775, "https://www.kegg.jp/entry/" &amp; G1775), "")</f>
        <v>https://www.kegg.jp/entry/R08765</v>
      </c>
      <c r="I1775" t="s">
        <v>8288</v>
      </c>
      <c r="J1775" t="s">
        <v>8559</v>
      </c>
    </row>
    <row r="1776" spans="1:10" hidden="1" x14ac:dyDescent="0.25">
      <c r="A1776" t="s">
        <v>3280</v>
      </c>
      <c r="B1776">
        <v>59</v>
      </c>
      <c r="C1776" t="s">
        <v>3281</v>
      </c>
      <c r="F1776" s="1" t="str">
        <f>IF(E1776&lt;&gt;"", HYPERLINK("https://www.kegg.jp/dbget-bin/www_bget?ec:" &amp; E1776, "https://www.kegg.jp/dbget-bin/www_bget?ec:" &amp; E1776), "")</f>
        <v/>
      </c>
      <c r="G1776" s="3"/>
      <c r="H1776" s="1" t="str">
        <f>IF(G1776&lt;&gt;"", HYPERLINK("https://www.kegg.jp/entry/" &amp; G1776, "https://www.kegg.jp/entry/" &amp; G1776), "")</f>
        <v/>
      </c>
    </row>
    <row r="1777" spans="1:10" hidden="1" x14ac:dyDescent="0.25">
      <c r="A1777" t="s">
        <v>3283</v>
      </c>
      <c r="B1777">
        <v>390</v>
      </c>
      <c r="C1777" t="s">
        <v>3284</v>
      </c>
      <c r="F1777" s="1" t="str">
        <f>IF(E1777&lt;&gt;"", HYPERLINK("https://www.kegg.jp/dbget-bin/www_bget?ec:" &amp; E1777, "https://www.kegg.jp/dbget-bin/www_bget?ec:" &amp; E1777), "")</f>
        <v/>
      </c>
      <c r="G1777" s="3"/>
      <c r="H1777" s="1" t="str">
        <f>IF(G1777&lt;&gt;"", HYPERLINK("https://www.kegg.jp/entry/" &amp; G1777, "https://www.kegg.jp/entry/" &amp; G1777), "")</f>
        <v/>
      </c>
    </row>
    <row r="1778" spans="1:10" hidden="1" x14ac:dyDescent="0.25">
      <c r="A1778" t="s">
        <v>3286</v>
      </c>
      <c r="B1778">
        <v>232</v>
      </c>
      <c r="C1778" t="s">
        <v>3287</v>
      </c>
      <c r="F1778" s="1" t="str">
        <f>IF(E1778&lt;&gt;"", HYPERLINK("https://www.kegg.jp/dbget-bin/www_bget?ec:" &amp; E1778, "https://www.kegg.jp/dbget-bin/www_bget?ec:" &amp; E1778), "")</f>
        <v/>
      </c>
      <c r="G1778" s="3"/>
      <c r="H1778" s="1" t="str">
        <f>IF(G1778&lt;&gt;"", HYPERLINK("https://www.kegg.jp/entry/" &amp; G1778, "https://www.kegg.jp/entry/" &amp; G1778), "")</f>
        <v/>
      </c>
    </row>
    <row r="1779" spans="1:10" hidden="1" x14ac:dyDescent="0.25">
      <c r="A1779" t="s">
        <v>3288</v>
      </c>
      <c r="B1779">
        <v>220</v>
      </c>
      <c r="C1779" t="s">
        <v>3289</v>
      </c>
      <c r="F1779" s="1" t="str">
        <f>IF(E1779&lt;&gt;"", HYPERLINK("https://www.kegg.jp/dbget-bin/www_bget?ec:" &amp; E1779, "https://www.kegg.jp/dbget-bin/www_bget?ec:" &amp; E1779), "")</f>
        <v/>
      </c>
      <c r="G1779" s="3"/>
      <c r="H1779" s="1" t="str">
        <f>IF(G1779&lt;&gt;"", HYPERLINK("https://www.kegg.jp/entry/" &amp; G1779, "https://www.kegg.jp/entry/" &amp; G1779), "")</f>
        <v/>
      </c>
    </row>
    <row r="1780" spans="1:10" hidden="1" x14ac:dyDescent="0.25">
      <c r="A1780" t="s">
        <v>3291</v>
      </c>
      <c r="B1780">
        <v>334</v>
      </c>
      <c r="C1780" t="s">
        <v>3292</v>
      </c>
      <c r="F1780" s="1" t="str">
        <f>IF(E1780&lt;&gt;"", HYPERLINK("https://www.kegg.jp/dbget-bin/www_bget?ec:" &amp; E1780, "https://www.kegg.jp/dbget-bin/www_bget?ec:" &amp; E1780), "")</f>
        <v/>
      </c>
      <c r="G1780" s="3"/>
      <c r="H1780" s="1" t="str">
        <f>IF(G1780&lt;&gt;"", HYPERLINK("https://www.kegg.jp/entry/" &amp; G1780, "https://www.kegg.jp/entry/" &amp; G1780), "")</f>
        <v/>
      </c>
    </row>
    <row r="1781" spans="1:10" hidden="1" x14ac:dyDescent="0.25">
      <c r="A1781" t="s">
        <v>3294</v>
      </c>
      <c r="B1781">
        <v>522</v>
      </c>
      <c r="C1781" t="s">
        <v>3295</v>
      </c>
      <c r="E1781" s="5" t="s">
        <v>6879</v>
      </c>
      <c r="F1781" s="1" t="str">
        <f>IF(E1781&lt;&gt;"", HYPERLINK("https://www.kegg.jp/dbget-bin/www_bget?ec:" &amp; E1781, "https://www.kegg.jp/dbget-bin/www_bget?ec:" &amp; E1781), "")</f>
        <v>https://www.kegg.jp/dbget-bin/www_bget?ec:1.3.-.-</v>
      </c>
      <c r="G1781" s="3"/>
      <c r="H1781" s="1" t="str">
        <f>IF(G1781&lt;&gt;"", HYPERLINK("https://www.kegg.jp/entry/" &amp; G1781, "https://www.kegg.jp/entry/" &amp; G1781), "")</f>
        <v/>
      </c>
    </row>
    <row r="1782" spans="1:10" x14ac:dyDescent="0.25">
      <c r="A1782" t="s">
        <v>3297</v>
      </c>
      <c r="B1782">
        <v>335</v>
      </c>
      <c r="C1782" t="s">
        <v>3298</v>
      </c>
      <c r="E1782" s="5" t="s">
        <v>6837</v>
      </c>
      <c r="F1782" s="1" t="str">
        <f>IF(E1782&lt;&gt;"", HYPERLINK("https://www.kegg.jp/dbget-bin/www_bget?ec:" &amp; E1782, "https://www.kegg.jp/dbget-bin/www_bget?ec:" &amp; E1782), "")</f>
        <v>https://www.kegg.jp/dbget-bin/www_bget?ec:5.3.3.2</v>
      </c>
      <c r="G1782" s="3" t="s">
        <v>7200</v>
      </c>
      <c r="H1782" s="1" t="str">
        <f>IF(G1782&lt;&gt;"", HYPERLINK("https://www.kegg.jp/entry/" &amp; G1782, "https://www.kegg.jp/entry/" &amp; G1782), "")</f>
        <v>https://www.kegg.jp/entry/R01123</v>
      </c>
      <c r="I1782" t="s">
        <v>8260</v>
      </c>
      <c r="J1782" t="s">
        <v>8533</v>
      </c>
    </row>
    <row r="1783" spans="1:10" hidden="1" x14ac:dyDescent="0.25">
      <c r="A1783" t="s">
        <v>3299</v>
      </c>
      <c r="B1783">
        <v>320</v>
      </c>
      <c r="C1783" t="s">
        <v>3300</v>
      </c>
      <c r="F1783" s="1" t="str">
        <f>IF(E1783&lt;&gt;"", HYPERLINK("https://www.kegg.jp/dbget-bin/www_bget?ec:" &amp; E1783, "https://www.kegg.jp/dbget-bin/www_bget?ec:" &amp; E1783), "")</f>
        <v/>
      </c>
      <c r="G1783" s="3"/>
      <c r="H1783" s="1" t="str">
        <f>IF(G1783&lt;&gt;"", HYPERLINK("https://www.kegg.jp/entry/" &amp; G1783, "https://www.kegg.jp/entry/" &amp; G1783), "")</f>
        <v/>
      </c>
    </row>
    <row r="1784" spans="1:10" hidden="1" x14ac:dyDescent="0.25">
      <c r="A1784" t="s">
        <v>3301</v>
      </c>
      <c r="B1784">
        <v>202</v>
      </c>
      <c r="C1784" t="s">
        <v>3302</v>
      </c>
      <c r="F1784" s="1" t="str">
        <f>IF(E1784&lt;&gt;"", HYPERLINK("https://www.kegg.jp/dbget-bin/www_bget?ec:" &amp; E1784, "https://www.kegg.jp/dbget-bin/www_bget?ec:" &amp; E1784), "")</f>
        <v/>
      </c>
      <c r="G1784" s="3"/>
      <c r="H1784" s="1" t="str">
        <f>IF(G1784&lt;&gt;"", HYPERLINK("https://www.kegg.jp/entry/" &amp; G1784, "https://www.kegg.jp/entry/" &amp; G1784), "")</f>
        <v/>
      </c>
    </row>
    <row r="1785" spans="1:10" hidden="1" x14ac:dyDescent="0.25">
      <c r="A1785" t="s">
        <v>3303</v>
      </c>
      <c r="B1785">
        <v>255</v>
      </c>
      <c r="C1785" t="s">
        <v>3304</v>
      </c>
      <c r="F1785" s="1" t="str">
        <f>IF(E1785&lt;&gt;"", HYPERLINK("https://www.kegg.jp/dbget-bin/www_bget?ec:" &amp; E1785, "https://www.kegg.jp/dbget-bin/www_bget?ec:" &amp; E1785), "")</f>
        <v/>
      </c>
      <c r="G1785" s="3"/>
      <c r="H1785" s="1" t="str">
        <f>IF(G1785&lt;&gt;"", HYPERLINK("https://www.kegg.jp/entry/" &amp; G1785, "https://www.kegg.jp/entry/" &amp; G1785), "")</f>
        <v/>
      </c>
    </row>
    <row r="1786" spans="1:10" hidden="1" x14ac:dyDescent="0.25">
      <c r="A1786" t="s">
        <v>3305</v>
      </c>
      <c r="B1786">
        <v>198</v>
      </c>
      <c r="C1786" t="s">
        <v>3306</v>
      </c>
      <c r="F1786" s="1" t="str">
        <f>IF(E1786&lt;&gt;"", HYPERLINK("https://www.kegg.jp/dbget-bin/www_bget?ec:" &amp; E1786, "https://www.kegg.jp/dbget-bin/www_bget?ec:" &amp; E1786), "")</f>
        <v/>
      </c>
      <c r="G1786" s="3"/>
      <c r="H1786" s="1" t="str">
        <f>IF(G1786&lt;&gt;"", HYPERLINK("https://www.kegg.jp/entry/" &amp; G1786, "https://www.kegg.jp/entry/" &amp; G1786), "")</f>
        <v/>
      </c>
    </row>
    <row r="1787" spans="1:10" hidden="1" x14ac:dyDescent="0.25">
      <c r="A1787" t="s">
        <v>3307</v>
      </c>
      <c r="B1787">
        <v>814</v>
      </c>
      <c r="C1787" t="s">
        <v>3308</v>
      </c>
      <c r="F1787" s="1" t="str">
        <f>IF(E1787&lt;&gt;"", HYPERLINK("https://www.kegg.jp/dbget-bin/www_bget?ec:" &amp; E1787, "https://www.kegg.jp/dbget-bin/www_bget?ec:" &amp; E1787), "")</f>
        <v/>
      </c>
      <c r="G1787" s="3"/>
      <c r="H1787" s="1" t="str">
        <f>IF(G1787&lt;&gt;"", HYPERLINK("https://www.kegg.jp/entry/" &amp; G1787, "https://www.kegg.jp/entry/" &amp; G1787), "")</f>
        <v/>
      </c>
    </row>
    <row r="1788" spans="1:10" hidden="1" x14ac:dyDescent="0.25">
      <c r="A1788" t="s">
        <v>3309</v>
      </c>
      <c r="B1788">
        <v>293</v>
      </c>
      <c r="C1788" t="s">
        <v>3310</v>
      </c>
      <c r="F1788" s="1" t="str">
        <f>IF(E1788&lt;&gt;"", HYPERLINK("https://www.kegg.jp/dbget-bin/www_bget?ec:" &amp; E1788, "https://www.kegg.jp/dbget-bin/www_bget?ec:" &amp; E1788), "")</f>
        <v/>
      </c>
      <c r="G1788" s="3"/>
      <c r="H1788" s="1" t="str">
        <f>IF(G1788&lt;&gt;"", HYPERLINK("https://www.kegg.jp/entry/" &amp; G1788, "https://www.kegg.jp/entry/" &amp; G1788), "")</f>
        <v/>
      </c>
    </row>
    <row r="1789" spans="1:10" x14ac:dyDescent="0.25">
      <c r="A1789" t="s">
        <v>3312</v>
      </c>
      <c r="B1789">
        <v>525</v>
      </c>
      <c r="C1789" t="s">
        <v>3313</v>
      </c>
      <c r="E1789" s="5" t="s">
        <v>6880</v>
      </c>
      <c r="F1789" s="1" t="str">
        <f>IF(E1789&lt;&gt;"", HYPERLINK("https://www.kegg.jp/dbget-bin/www_bget?ec:" &amp; E1789, "https://www.kegg.jp/dbget-bin/www_bget?ec:" &amp; E1789), "")</f>
        <v>https://www.kegg.jp/dbget-bin/www_bget?ec:2.3.2.2</v>
      </c>
      <c r="G1789" s="3" t="s">
        <v>7775</v>
      </c>
      <c r="H1789" s="1" t="str">
        <f>IF(G1789&lt;&gt;"", HYPERLINK("https://www.kegg.jp/entry/" &amp; G1789, "https://www.kegg.jp/entry/" &amp; G1789), "")</f>
        <v>https://www.kegg.jp/entry/R04159</v>
      </c>
      <c r="I1789" t="s">
        <v>13409</v>
      </c>
      <c r="J1789" t="s">
        <v>8560</v>
      </c>
    </row>
    <row r="1790" spans="1:10" x14ac:dyDescent="0.25">
      <c r="A1790" t="s">
        <v>3312</v>
      </c>
      <c r="B1790">
        <v>525</v>
      </c>
      <c r="C1790" t="s">
        <v>3313</v>
      </c>
      <c r="E1790" s="5" t="s">
        <v>6880</v>
      </c>
      <c r="F1790" s="1" t="str">
        <f>IF(E1790&lt;&gt;"", HYPERLINK("https://www.kegg.jp/dbget-bin/www_bget?ec:" &amp; E1790, "https://www.kegg.jp/dbget-bin/www_bget?ec:" &amp; E1790), "")</f>
        <v>https://www.kegg.jp/dbget-bin/www_bget?ec:2.3.2.2</v>
      </c>
      <c r="G1790" s="3" t="s">
        <v>7782</v>
      </c>
      <c r="H1790" s="1" t="str">
        <f>IF(G1790&lt;&gt;"", HYPERLINK("https://www.kegg.jp/entry/" &amp; G1790, "https://www.kegg.jp/entry/" &amp; G1790), "")</f>
        <v>https://www.kegg.jp/entry/R01262</v>
      </c>
      <c r="I1790" t="s">
        <v>8289</v>
      </c>
      <c r="J1790" t="s">
        <v>8561</v>
      </c>
    </row>
    <row r="1791" spans="1:10" x14ac:dyDescent="0.25">
      <c r="A1791" t="s">
        <v>3312</v>
      </c>
      <c r="B1791">
        <v>525</v>
      </c>
      <c r="C1791" t="s">
        <v>3313</v>
      </c>
      <c r="E1791" s="5" t="s">
        <v>6880</v>
      </c>
      <c r="F1791" s="1" t="str">
        <f>IF(E1791&lt;&gt;"", HYPERLINK("https://www.kegg.jp/dbget-bin/www_bget?ec:" &amp; E1791, "https://www.kegg.jp/dbget-bin/www_bget?ec:" &amp; E1791), "")</f>
        <v>https://www.kegg.jp/dbget-bin/www_bget?ec:2.3.2.2</v>
      </c>
      <c r="G1791" s="3" t="s">
        <v>7781</v>
      </c>
      <c r="H1791" s="1" t="str">
        <f>IF(G1791&lt;&gt;"", HYPERLINK("https://www.kegg.jp/entry/" &amp; G1791, "https://www.kegg.jp/entry/" &amp; G1791), "")</f>
        <v>https://www.kegg.jp/entry/R01687</v>
      </c>
      <c r="I1791" t="s">
        <v>13410</v>
      </c>
      <c r="J1791" t="s">
        <v>8562</v>
      </c>
    </row>
    <row r="1792" spans="1:10" x14ac:dyDescent="0.25">
      <c r="A1792" t="s">
        <v>3312</v>
      </c>
      <c r="B1792">
        <v>525</v>
      </c>
      <c r="C1792" t="s">
        <v>3313</v>
      </c>
      <c r="E1792" s="5" t="s">
        <v>6880</v>
      </c>
      <c r="F1792" s="1" t="str">
        <f>IF(E1792&lt;&gt;"", HYPERLINK("https://www.kegg.jp/dbget-bin/www_bget?ec:" &amp; E1792, "https://www.kegg.jp/dbget-bin/www_bget?ec:" &amp; E1792), "")</f>
        <v>https://www.kegg.jp/dbget-bin/www_bget?ec:2.3.2.2</v>
      </c>
      <c r="G1792" s="3" t="s">
        <v>7780</v>
      </c>
      <c r="H1792" s="1" t="str">
        <f>IF(G1792&lt;&gt;"", HYPERLINK("https://www.kegg.jp/entry/" &amp; G1792, "https://www.kegg.jp/entry/" &amp; G1792), "")</f>
        <v>https://www.kegg.jp/entry/R03867</v>
      </c>
      <c r="I1792" t="s">
        <v>13411</v>
      </c>
      <c r="J1792" t="s">
        <v>13412</v>
      </c>
    </row>
    <row r="1793" spans="1:10" x14ac:dyDescent="0.25">
      <c r="A1793" t="s">
        <v>3312</v>
      </c>
      <c r="B1793">
        <v>525</v>
      </c>
      <c r="C1793" t="s">
        <v>3313</v>
      </c>
      <c r="E1793" s="5" t="s">
        <v>6880</v>
      </c>
      <c r="F1793" s="1" t="str">
        <f>IF(E1793&lt;&gt;"", HYPERLINK("https://www.kegg.jp/dbget-bin/www_bget?ec:" &amp; E1793, "https://www.kegg.jp/dbget-bin/www_bget?ec:" &amp; E1793), "")</f>
        <v>https://www.kegg.jp/dbget-bin/www_bget?ec:2.3.2.2</v>
      </c>
      <c r="G1793" s="3" t="s">
        <v>7779</v>
      </c>
      <c r="H1793" s="1" t="str">
        <f>IF(G1793&lt;&gt;"", HYPERLINK("https://www.kegg.jp/entry/" &amp; G1793, "https://www.kegg.jp/entry/" &amp; G1793), "")</f>
        <v>https://www.kegg.jp/entry/R04935</v>
      </c>
      <c r="I1793" t="s">
        <v>8290</v>
      </c>
      <c r="J1793" t="s">
        <v>8563</v>
      </c>
    </row>
    <row r="1794" spans="1:10" x14ac:dyDescent="0.25">
      <c r="A1794" t="s">
        <v>3312</v>
      </c>
      <c r="B1794">
        <v>525</v>
      </c>
      <c r="C1794" t="s">
        <v>3313</v>
      </c>
      <c r="E1794" s="5" t="s">
        <v>6880</v>
      </c>
      <c r="F1794" s="1" t="str">
        <f>IF(E1794&lt;&gt;"", HYPERLINK("https://www.kegg.jp/dbget-bin/www_bget?ec:" &amp; E1794, "https://www.kegg.jp/dbget-bin/www_bget?ec:" &amp; E1794), "")</f>
        <v>https://www.kegg.jp/dbget-bin/www_bget?ec:2.3.2.2</v>
      </c>
      <c r="G1794" s="3" t="s">
        <v>7778</v>
      </c>
      <c r="H1794" s="1" t="str">
        <f>IF(G1794&lt;&gt;"", HYPERLINK("https://www.kegg.jp/entry/" &amp; G1794, "https://www.kegg.jp/entry/" &amp; G1794), "")</f>
        <v>https://www.kegg.jp/entry/R03916</v>
      </c>
      <c r="I1794" t="s">
        <v>13413</v>
      </c>
      <c r="J1794" t="s">
        <v>13414</v>
      </c>
    </row>
    <row r="1795" spans="1:10" x14ac:dyDescent="0.25">
      <c r="A1795" t="s">
        <v>3312</v>
      </c>
      <c r="B1795">
        <v>525</v>
      </c>
      <c r="C1795" t="s">
        <v>3313</v>
      </c>
      <c r="E1795" s="5" t="s">
        <v>6880</v>
      </c>
      <c r="F1795" s="1" t="str">
        <f>IF(E1795&lt;&gt;"", HYPERLINK("https://www.kegg.jp/dbget-bin/www_bget?ec:" &amp; E1795, "https://www.kegg.jp/dbget-bin/www_bget?ec:" &amp; E1795), "")</f>
        <v>https://www.kegg.jp/dbget-bin/www_bget?ec:2.3.2.2</v>
      </c>
      <c r="G1795" s="3" t="s">
        <v>7777</v>
      </c>
      <c r="H1795" s="1" t="str">
        <f>IF(G1795&lt;&gt;"", HYPERLINK("https://www.kegg.jp/entry/" &amp; G1795, "https://www.kegg.jp/entry/" &amp; G1795), "")</f>
        <v>https://www.kegg.jp/entry/R03970</v>
      </c>
      <c r="I1795" t="s">
        <v>13415</v>
      </c>
      <c r="J1795" t="s">
        <v>13416</v>
      </c>
    </row>
    <row r="1796" spans="1:10" x14ac:dyDescent="0.25">
      <c r="A1796" t="s">
        <v>3312</v>
      </c>
      <c r="B1796">
        <v>525</v>
      </c>
      <c r="C1796" t="s">
        <v>3313</v>
      </c>
      <c r="E1796" s="5" t="s">
        <v>6880</v>
      </c>
      <c r="F1796" s="1" t="str">
        <f>IF(E1796&lt;&gt;"", HYPERLINK("https://www.kegg.jp/dbget-bin/www_bget?ec:" &amp; E1796, "https://www.kegg.jp/dbget-bin/www_bget?ec:" &amp; E1796), "")</f>
        <v>https://www.kegg.jp/dbget-bin/www_bget?ec:2.3.2.2</v>
      </c>
      <c r="G1796" s="3" t="s">
        <v>7776</v>
      </c>
      <c r="H1796" s="1" t="str">
        <f>IF(G1796&lt;&gt;"", HYPERLINK("https://www.kegg.jp/entry/" &amp; G1796, "https://www.kegg.jp/entry/" &amp; G1796), "")</f>
        <v>https://www.kegg.jp/entry/R03971</v>
      </c>
      <c r="I1796" t="s">
        <v>13417</v>
      </c>
      <c r="J1796" t="s">
        <v>13418</v>
      </c>
    </row>
    <row r="1797" spans="1:10" hidden="1" x14ac:dyDescent="0.25">
      <c r="A1797" t="s">
        <v>3315</v>
      </c>
      <c r="B1797">
        <v>219</v>
      </c>
      <c r="C1797" t="s">
        <v>3316</v>
      </c>
      <c r="F1797" s="1" t="str">
        <f>IF(E1797&lt;&gt;"", HYPERLINK("https://www.kegg.jp/dbget-bin/www_bget?ec:" &amp; E1797, "https://www.kegg.jp/dbget-bin/www_bget?ec:" &amp; E1797), "")</f>
        <v/>
      </c>
      <c r="G1797" s="3"/>
      <c r="H1797" s="1" t="str">
        <f>IF(G1797&lt;&gt;"", HYPERLINK("https://www.kegg.jp/entry/" &amp; G1797, "https://www.kegg.jp/entry/" &amp; G1797), "")</f>
        <v/>
      </c>
    </row>
    <row r="1798" spans="1:10" hidden="1" x14ac:dyDescent="0.25">
      <c r="A1798" t="s">
        <v>3317</v>
      </c>
      <c r="B1798">
        <v>263</v>
      </c>
      <c r="C1798" t="s">
        <v>3318</v>
      </c>
      <c r="F1798" s="1" t="str">
        <f>IF(E1798&lt;&gt;"", HYPERLINK("https://www.kegg.jp/dbget-bin/www_bget?ec:" &amp; E1798, "https://www.kegg.jp/dbget-bin/www_bget?ec:" &amp; E1798), "")</f>
        <v/>
      </c>
      <c r="G1798" s="3"/>
      <c r="H1798" s="1" t="str">
        <f>IF(G1798&lt;&gt;"", HYPERLINK("https://www.kegg.jp/entry/" &amp; G1798, "https://www.kegg.jp/entry/" &amp; G1798), "")</f>
        <v/>
      </c>
    </row>
    <row r="1799" spans="1:10" hidden="1" x14ac:dyDescent="0.25">
      <c r="A1799" t="s">
        <v>3320</v>
      </c>
      <c r="B1799">
        <v>391</v>
      </c>
      <c r="C1799" t="s">
        <v>3321</v>
      </c>
      <c r="F1799" s="1" t="str">
        <f>IF(E1799&lt;&gt;"", HYPERLINK("https://www.kegg.jp/dbget-bin/www_bget?ec:" &amp; E1799, "https://www.kegg.jp/dbget-bin/www_bget?ec:" &amp; E1799), "")</f>
        <v/>
      </c>
      <c r="G1799" s="3"/>
      <c r="H1799" s="1" t="str">
        <f>IF(G1799&lt;&gt;"", HYPERLINK("https://www.kegg.jp/entry/" &amp; G1799, "https://www.kegg.jp/entry/" &amp; G1799), "")</f>
        <v/>
      </c>
    </row>
    <row r="1800" spans="1:10" hidden="1" x14ac:dyDescent="0.25">
      <c r="A1800" t="s">
        <v>3323</v>
      </c>
      <c r="B1800">
        <v>337</v>
      </c>
      <c r="C1800" t="s">
        <v>3324</v>
      </c>
      <c r="F1800" s="1" t="str">
        <f>IF(E1800&lt;&gt;"", HYPERLINK("https://www.kegg.jp/dbget-bin/www_bget?ec:" &amp; E1800, "https://www.kegg.jp/dbget-bin/www_bget?ec:" &amp; E1800), "")</f>
        <v/>
      </c>
      <c r="G1800" s="3"/>
      <c r="H1800" s="1" t="str">
        <f>IF(G1800&lt;&gt;"", HYPERLINK("https://www.kegg.jp/entry/" &amp; G1800, "https://www.kegg.jp/entry/" &amp; G1800), "")</f>
        <v/>
      </c>
    </row>
    <row r="1801" spans="1:10" hidden="1" x14ac:dyDescent="0.25">
      <c r="A1801" t="s">
        <v>3326</v>
      </c>
      <c r="B1801">
        <v>342</v>
      </c>
      <c r="C1801" t="s">
        <v>3327</v>
      </c>
      <c r="F1801" s="1" t="str">
        <f>IF(E1801&lt;&gt;"", HYPERLINK("https://www.kegg.jp/dbget-bin/www_bget?ec:" &amp; E1801, "https://www.kegg.jp/dbget-bin/www_bget?ec:" &amp; E1801), "")</f>
        <v/>
      </c>
      <c r="G1801" s="3"/>
      <c r="H1801" s="1" t="str">
        <f>IF(G1801&lt;&gt;"", HYPERLINK("https://www.kegg.jp/entry/" &amp; G1801, "https://www.kegg.jp/entry/" &amp; G1801), "")</f>
        <v/>
      </c>
    </row>
    <row r="1802" spans="1:10" hidden="1" x14ac:dyDescent="0.25">
      <c r="A1802" t="s">
        <v>3329</v>
      </c>
      <c r="B1802">
        <v>250</v>
      </c>
      <c r="C1802" t="s">
        <v>3330</v>
      </c>
      <c r="F1802" s="1" t="str">
        <f>IF(E1802&lt;&gt;"", HYPERLINK("https://www.kegg.jp/dbget-bin/www_bget?ec:" &amp; E1802, "https://www.kegg.jp/dbget-bin/www_bget?ec:" &amp; E1802), "")</f>
        <v/>
      </c>
      <c r="G1802" s="3"/>
      <c r="H1802" s="1" t="str">
        <f>IF(G1802&lt;&gt;"", HYPERLINK("https://www.kegg.jp/entry/" &amp; G1802, "https://www.kegg.jp/entry/" &amp; G1802), "")</f>
        <v/>
      </c>
    </row>
    <row r="1803" spans="1:10" hidden="1" x14ac:dyDescent="0.25">
      <c r="A1803" t="s">
        <v>3331</v>
      </c>
      <c r="B1803">
        <v>109</v>
      </c>
      <c r="C1803" t="s">
        <v>3332</v>
      </c>
      <c r="F1803" s="1" t="str">
        <f>IF(E1803&lt;&gt;"", HYPERLINK("https://www.kegg.jp/dbget-bin/www_bget?ec:" &amp; E1803, "https://www.kegg.jp/dbget-bin/www_bget?ec:" &amp; E1803), "")</f>
        <v/>
      </c>
      <c r="G1803" s="3"/>
      <c r="H1803" s="1" t="str">
        <f>IF(G1803&lt;&gt;"", HYPERLINK("https://www.kegg.jp/entry/" &amp; G1803, "https://www.kegg.jp/entry/" &amp; G1803), "")</f>
        <v/>
      </c>
    </row>
    <row r="1804" spans="1:10" hidden="1" x14ac:dyDescent="0.25">
      <c r="A1804" t="s">
        <v>3333</v>
      </c>
      <c r="B1804">
        <v>68</v>
      </c>
      <c r="C1804" t="s">
        <v>3334</v>
      </c>
      <c r="F1804" s="1" t="str">
        <f>IF(E1804&lt;&gt;"", HYPERLINK("https://www.kegg.jp/dbget-bin/www_bget?ec:" &amp; E1804, "https://www.kegg.jp/dbget-bin/www_bget?ec:" &amp; E1804), "")</f>
        <v/>
      </c>
      <c r="G1804" s="3"/>
      <c r="H1804" s="1" t="str">
        <f>IF(G1804&lt;&gt;"", HYPERLINK("https://www.kegg.jp/entry/" &amp; G1804, "https://www.kegg.jp/entry/" &amp; G1804), "")</f>
        <v/>
      </c>
    </row>
    <row r="1805" spans="1:10" hidden="1" x14ac:dyDescent="0.25">
      <c r="A1805" t="s">
        <v>3336</v>
      </c>
      <c r="B1805">
        <v>388</v>
      </c>
      <c r="C1805" t="s">
        <v>3337</v>
      </c>
      <c r="F1805" s="1" t="str">
        <f>IF(E1805&lt;&gt;"", HYPERLINK("https://www.kegg.jp/dbget-bin/www_bget?ec:" &amp; E1805, "https://www.kegg.jp/dbget-bin/www_bget?ec:" &amp; E1805), "")</f>
        <v/>
      </c>
      <c r="G1805" s="3"/>
      <c r="H1805" s="1" t="str">
        <f>IF(G1805&lt;&gt;"", HYPERLINK("https://www.kegg.jp/entry/" &amp; G1805, "https://www.kegg.jp/entry/" &amp; G1805), "")</f>
        <v/>
      </c>
    </row>
    <row r="1806" spans="1:10" x14ac:dyDescent="0.25">
      <c r="A1806" t="s">
        <v>3339</v>
      </c>
      <c r="B1806">
        <v>290</v>
      </c>
      <c r="C1806" t="s">
        <v>3340</v>
      </c>
      <c r="E1806" s="5" t="s">
        <v>6881</v>
      </c>
      <c r="F1806" s="1" t="str">
        <f>IF(E1806&lt;&gt;"", HYPERLINK("https://www.kegg.jp/dbget-bin/www_bget?ec:" &amp; E1806, "https://www.kegg.jp/dbget-bin/www_bget?ec:" &amp; E1806), "")</f>
        <v>https://www.kegg.jp/dbget-bin/www_bget?ec:4.1.2.48</v>
      </c>
      <c r="G1806" s="3" t="s">
        <v>7783</v>
      </c>
      <c r="H1806" s="1" t="str">
        <f>IF(G1806&lt;&gt;"", HYPERLINK("https://www.kegg.jp/entry/" &amp; G1806, "https://www.kegg.jp/entry/" &amp; G1806), "")</f>
        <v>https://www.kegg.jp/entry/R00751</v>
      </c>
      <c r="I1806" t="s">
        <v>8141</v>
      </c>
      <c r="J1806" t="s">
        <v>8564</v>
      </c>
    </row>
    <row r="1807" spans="1:10" x14ac:dyDescent="0.25">
      <c r="A1807" t="s">
        <v>3339</v>
      </c>
      <c r="B1807">
        <v>290</v>
      </c>
      <c r="C1807" t="s">
        <v>3340</v>
      </c>
      <c r="E1807" s="5" t="s">
        <v>6881</v>
      </c>
      <c r="F1807" s="1" t="str">
        <f>IF(E1807&lt;&gt;"", HYPERLINK("https://www.kegg.jp/dbget-bin/www_bget?ec:" &amp; E1807, "https://www.kegg.jp/dbget-bin/www_bget?ec:" &amp; E1807), "")</f>
        <v>https://www.kegg.jp/dbget-bin/www_bget?ec:4.1.2.48</v>
      </c>
      <c r="G1807" s="3" t="s">
        <v>7784</v>
      </c>
      <c r="H1807" s="1" t="str">
        <f>IF(G1807&lt;&gt;"", HYPERLINK("https://www.kegg.jp/entry/" &amp; G1807, "https://www.kegg.jp/entry/" &amp; G1807), "")</f>
        <v>https://www.kegg.jp/entry/R06171</v>
      </c>
      <c r="I1807" t="s">
        <v>8291</v>
      </c>
      <c r="J1807" t="s">
        <v>8564</v>
      </c>
    </row>
    <row r="1808" spans="1:10" hidden="1" x14ac:dyDescent="0.25">
      <c r="A1808" t="s">
        <v>3341</v>
      </c>
      <c r="B1808">
        <v>263</v>
      </c>
      <c r="C1808" t="s">
        <v>3342</v>
      </c>
      <c r="F1808" s="1" t="str">
        <f>IF(E1808&lt;&gt;"", HYPERLINK("https://www.kegg.jp/dbget-bin/www_bget?ec:" &amp; E1808, "https://www.kegg.jp/dbget-bin/www_bget?ec:" &amp; E1808), "")</f>
        <v/>
      </c>
      <c r="G1808" s="3"/>
      <c r="H1808" s="1" t="str">
        <f>IF(G1808&lt;&gt;"", HYPERLINK("https://www.kegg.jp/entry/" &amp; G1808, "https://www.kegg.jp/entry/" &amp; G1808), "")</f>
        <v/>
      </c>
    </row>
    <row r="1809" spans="1:10" hidden="1" x14ac:dyDescent="0.25">
      <c r="A1809" t="s">
        <v>3344</v>
      </c>
      <c r="B1809">
        <v>62</v>
      </c>
      <c r="C1809" t="s">
        <v>3345</v>
      </c>
      <c r="F1809" s="1" t="str">
        <f>IF(E1809&lt;&gt;"", HYPERLINK("https://www.kegg.jp/dbget-bin/www_bget?ec:" &amp; E1809, "https://www.kegg.jp/dbget-bin/www_bget?ec:" &amp; E1809), "")</f>
        <v/>
      </c>
      <c r="G1809" s="3"/>
      <c r="H1809" s="1" t="str">
        <f>IF(G1809&lt;&gt;"", HYPERLINK("https://www.kegg.jp/entry/" &amp; G1809, "https://www.kegg.jp/entry/" &amp; G1809), "")</f>
        <v/>
      </c>
    </row>
    <row r="1810" spans="1:10" x14ac:dyDescent="0.25">
      <c r="A1810" t="s">
        <v>3347</v>
      </c>
      <c r="B1810">
        <v>290</v>
      </c>
      <c r="C1810" t="s">
        <v>3348</v>
      </c>
      <c r="E1810" s="5" t="s">
        <v>6882</v>
      </c>
      <c r="F1810" s="1" t="str">
        <f>IF(E1810&lt;&gt;"", HYPERLINK("https://www.kegg.jp/dbget-bin/www_bget?ec:" &amp; E1810, "https://www.kegg.jp/dbget-bin/www_bget?ec:" &amp; E1810), "")</f>
        <v>https://www.kegg.jp/dbget-bin/www_bget?ec:1.6.5.5</v>
      </c>
      <c r="G1810" s="3" t="s">
        <v>7221</v>
      </c>
      <c r="H1810" s="1" t="str">
        <f>IF(G1810&lt;&gt;"", HYPERLINK("https://www.kegg.jp/entry/" &amp; G1810, "https://www.kegg.jp/entry/" &amp; G1810), "")</f>
        <v>https://www.kegg.jp/entry/R02364</v>
      </c>
      <c r="I1810" t="s">
        <v>13419</v>
      </c>
      <c r="J1810" t="s">
        <v>13420</v>
      </c>
    </row>
    <row r="1811" spans="1:10" x14ac:dyDescent="0.25">
      <c r="A1811" t="s">
        <v>3350</v>
      </c>
      <c r="B1811">
        <v>280</v>
      </c>
      <c r="C1811" t="s">
        <v>3351</v>
      </c>
      <c r="E1811" s="5" t="s">
        <v>6883</v>
      </c>
      <c r="F1811" s="1" t="str">
        <f>IF(E1811&lt;&gt;"", HYPERLINK("https://www.kegg.jp/dbget-bin/www_bget?ec:" &amp; E1811, "https://www.kegg.jp/dbget-bin/www_bget?ec:" &amp; E1811), "")</f>
        <v>https://www.kegg.jp/dbget-bin/www_bget?ec:4.3.1.12</v>
      </c>
      <c r="G1811" s="3" t="s">
        <v>7222</v>
      </c>
      <c r="H1811" s="1" t="str">
        <f>IF(G1811&lt;&gt;"", HYPERLINK("https://www.kegg.jp/entry/" &amp; G1811, "https://www.kegg.jp/entry/" &amp; G1811), "")</f>
        <v>https://www.kegg.jp/entry/R00671</v>
      </c>
      <c r="I1811" t="s">
        <v>8292</v>
      </c>
      <c r="J1811" t="s">
        <v>13421</v>
      </c>
    </row>
    <row r="1812" spans="1:10" hidden="1" x14ac:dyDescent="0.25">
      <c r="A1812" t="s">
        <v>3352</v>
      </c>
      <c r="B1812">
        <v>297</v>
      </c>
      <c r="C1812" t="s">
        <v>3353</v>
      </c>
      <c r="F1812" s="1" t="str">
        <f>IF(E1812&lt;&gt;"", HYPERLINK("https://www.kegg.jp/dbget-bin/www_bget?ec:" &amp; E1812, "https://www.kegg.jp/dbget-bin/www_bget?ec:" &amp; E1812), "")</f>
        <v/>
      </c>
      <c r="G1812" s="3"/>
      <c r="H1812" s="1" t="str">
        <f>IF(G1812&lt;&gt;"", HYPERLINK("https://www.kegg.jp/entry/" &amp; G1812, "https://www.kegg.jp/entry/" &amp; G1812), "")</f>
        <v/>
      </c>
    </row>
    <row r="1813" spans="1:10" hidden="1" x14ac:dyDescent="0.25">
      <c r="A1813" t="s">
        <v>3354</v>
      </c>
      <c r="B1813">
        <v>128</v>
      </c>
      <c r="C1813" t="s">
        <v>3355</v>
      </c>
      <c r="F1813" s="1" t="str">
        <f>IF(E1813&lt;&gt;"", HYPERLINK("https://www.kegg.jp/dbget-bin/www_bget?ec:" &amp; E1813, "https://www.kegg.jp/dbget-bin/www_bget?ec:" &amp; E1813), "")</f>
        <v/>
      </c>
      <c r="G1813" s="3"/>
      <c r="H1813" s="1" t="str">
        <f>IF(G1813&lt;&gt;"", HYPERLINK("https://www.kegg.jp/entry/" &amp; G1813, "https://www.kegg.jp/entry/" &amp; G1813), "")</f>
        <v/>
      </c>
    </row>
    <row r="1814" spans="1:10" hidden="1" x14ac:dyDescent="0.25">
      <c r="A1814" t="s">
        <v>3357</v>
      </c>
      <c r="B1814">
        <v>228</v>
      </c>
      <c r="C1814" t="s">
        <v>3358</v>
      </c>
      <c r="E1814" s="5" t="s">
        <v>6636</v>
      </c>
      <c r="F1814" s="1" t="str">
        <f>IF(E1814&lt;&gt;"", HYPERLINK("https://www.kegg.jp/dbget-bin/www_bget?ec:" &amp; E1814, "https://www.kegg.jp/dbget-bin/www_bget?ec:" &amp; E1814), "")</f>
        <v>https://www.kegg.jp/dbget-bin/www_bget?ec:2.1.1.-</v>
      </c>
      <c r="G1814" s="3"/>
      <c r="H1814" s="1" t="str">
        <f>IF(G1814&lt;&gt;"", HYPERLINK("https://www.kegg.jp/entry/" &amp; G1814, "https://www.kegg.jp/entry/" &amp; G1814), "")</f>
        <v/>
      </c>
    </row>
    <row r="1815" spans="1:10" hidden="1" x14ac:dyDescent="0.25">
      <c r="A1815" t="s">
        <v>3360</v>
      </c>
      <c r="B1815">
        <v>193</v>
      </c>
      <c r="C1815" t="s">
        <v>3361</v>
      </c>
      <c r="E1815" s="5" t="s">
        <v>6636</v>
      </c>
      <c r="F1815" s="1" t="str">
        <f>IF(E1815&lt;&gt;"", HYPERLINK("https://www.kegg.jp/dbget-bin/www_bget?ec:" &amp; E1815, "https://www.kegg.jp/dbget-bin/www_bget?ec:" &amp; E1815), "")</f>
        <v>https://www.kegg.jp/dbget-bin/www_bget?ec:2.1.1.-</v>
      </c>
      <c r="G1815" s="3"/>
      <c r="H1815" s="1" t="str">
        <f>IF(G1815&lt;&gt;"", HYPERLINK("https://www.kegg.jp/entry/" &amp; G1815, "https://www.kegg.jp/entry/" &amp; G1815), "")</f>
        <v/>
      </c>
    </row>
    <row r="1816" spans="1:10" hidden="1" x14ac:dyDescent="0.25">
      <c r="A1816" t="s">
        <v>3363</v>
      </c>
      <c r="B1816">
        <v>198</v>
      </c>
      <c r="C1816" t="s">
        <v>3364</v>
      </c>
      <c r="F1816" s="1" t="str">
        <f>IF(E1816&lt;&gt;"", HYPERLINK("https://www.kegg.jp/dbget-bin/www_bget?ec:" &amp; E1816, "https://www.kegg.jp/dbget-bin/www_bget?ec:" &amp; E1816), "")</f>
        <v/>
      </c>
      <c r="G1816" s="3"/>
      <c r="H1816" s="1" t="str">
        <f>IF(G1816&lt;&gt;"", HYPERLINK("https://www.kegg.jp/entry/" &amp; G1816, "https://www.kegg.jp/entry/" &amp; G1816), "")</f>
        <v/>
      </c>
    </row>
    <row r="1817" spans="1:10" hidden="1" x14ac:dyDescent="0.25">
      <c r="A1817" t="s">
        <v>3366</v>
      </c>
      <c r="B1817">
        <v>350</v>
      </c>
      <c r="C1817" t="s">
        <v>3367</v>
      </c>
      <c r="F1817" s="1" t="str">
        <f>IF(E1817&lt;&gt;"", HYPERLINK("https://www.kegg.jp/dbget-bin/www_bget?ec:" &amp; E1817, "https://www.kegg.jp/dbget-bin/www_bget?ec:" &amp; E1817), "")</f>
        <v/>
      </c>
      <c r="G1817" s="3"/>
      <c r="H1817" s="1" t="str">
        <f>IF(G1817&lt;&gt;"", HYPERLINK("https://www.kegg.jp/entry/" &amp; G1817, "https://www.kegg.jp/entry/" &amp; G1817), "")</f>
        <v/>
      </c>
    </row>
    <row r="1818" spans="1:10" hidden="1" x14ac:dyDescent="0.25">
      <c r="A1818" t="s">
        <v>3368</v>
      </c>
      <c r="B1818">
        <v>200</v>
      </c>
      <c r="C1818" t="s">
        <v>3369</v>
      </c>
      <c r="F1818" s="1" t="str">
        <f>IF(E1818&lt;&gt;"", HYPERLINK("https://www.kegg.jp/dbget-bin/www_bget?ec:" &amp; E1818, "https://www.kegg.jp/dbget-bin/www_bget?ec:" &amp; E1818), "")</f>
        <v/>
      </c>
      <c r="G1818" s="3"/>
      <c r="H1818" s="1" t="str">
        <f>IF(G1818&lt;&gt;"", HYPERLINK("https://www.kegg.jp/entry/" &amp; G1818, "https://www.kegg.jp/entry/" &amp; G1818), "")</f>
        <v/>
      </c>
    </row>
    <row r="1819" spans="1:10" hidden="1" x14ac:dyDescent="0.25">
      <c r="A1819" t="s">
        <v>3370</v>
      </c>
      <c r="B1819">
        <v>63</v>
      </c>
      <c r="C1819" t="s">
        <v>3371</v>
      </c>
      <c r="F1819" s="1" t="str">
        <f>IF(E1819&lt;&gt;"", HYPERLINK("https://www.kegg.jp/dbget-bin/www_bget?ec:" &amp; E1819, "https://www.kegg.jp/dbget-bin/www_bget?ec:" &amp; E1819), "")</f>
        <v/>
      </c>
      <c r="G1819" s="3"/>
      <c r="H1819" s="1" t="str">
        <f>IF(G1819&lt;&gt;"", HYPERLINK("https://www.kegg.jp/entry/" &amp; G1819, "https://www.kegg.jp/entry/" &amp; G1819), "")</f>
        <v/>
      </c>
    </row>
    <row r="1820" spans="1:10" x14ac:dyDescent="0.25">
      <c r="A1820" t="s">
        <v>3373</v>
      </c>
      <c r="B1820">
        <v>862</v>
      </c>
      <c r="C1820" t="s">
        <v>3374</v>
      </c>
      <c r="E1820" s="5" t="s">
        <v>6884</v>
      </c>
      <c r="F1820" s="1" t="str">
        <f>IF(E1820&lt;&gt;"", HYPERLINK("https://www.kegg.jp/dbget-bin/www_bget?ec:" &amp; E1820, "https://www.kegg.jp/dbget-bin/www_bget?ec:" &amp; E1820), "")</f>
        <v>https://www.kegg.jp/dbget-bin/www_bget?ec:6.1.1.9</v>
      </c>
      <c r="G1820" s="3" t="s">
        <v>7223</v>
      </c>
      <c r="H1820" s="1" t="str">
        <f>IF(G1820&lt;&gt;"", HYPERLINK("https://www.kegg.jp/entry/" &amp; G1820, "https://www.kegg.jp/entry/" &amp; G1820), "")</f>
        <v>https://www.kegg.jp/entry/R03665</v>
      </c>
      <c r="I1820" t="s">
        <v>8293</v>
      </c>
      <c r="J1820" t="s">
        <v>13422</v>
      </c>
    </row>
    <row r="1821" spans="1:10" hidden="1" x14ac:dyDescent="0.25">
      <c r="A1821" t="s">
        <v>3375</v>
      </c>
      <c r="B1821">
        <v>187</v>
      </c>
      <c r="C1821" t="s">
        <v>3376</v>
      </c>
      <c r="F1821" s="1" t="str">
        <f>IF(E1821&lt;&gt;"", HYPERLINK("https://www.kegg.jp/dbget-bin/www_bget?ec:" &amp; E1821, "https://www.kegg.jp/dbget-bin/www_bget?ec:" &amp; E1821), "")</f>
        <v/>
      </c>
      <c r="G1821" s="3"/>
      <c r="H1821" s="1" t="str">
        <f>IF(G1821&lt;&gt;"", HYPERLINK("https://www.kegg.jp/entry/" &amp; G1821, "https://www.kegg.jp/entry/" &amp; G1821), "")</f>
        <v/>
      </c>
    </row>
    <row r="1822" spans="1:10" hidden="1" x14ac:dyDescent="0.25">
      <c r="A1822" t="s">
        <v>3378</v>
      </c>
      <c r="B1822">
        <v>665</v>
      </c>
      <c r="C1822" t="s">
        <v>3379</v>
      </c>
      <c r="F1822" s="1" t="str">
        <f>IF(E1822&lt;&gt;"", HYPERLINK("https://www.kegg.jp/dbget-bin/www_bget?ec:" &amp; E1822, "https://www.kegg.jp/dbget-bin/www_bget?ec:" &amp; E1822), "")</f>
        <v/>
      </c>
      <c r="G1822" s="3"/>
      <c r="H1822" s="1" t="str">
        <f>IF(G1822&lt;&gt;"", HYPERLINK("https://www.kegg.jp/entry/" &amp; G1822, "https://www.kegg.jp/entry/" &amp; G1822), "")</f>
        <v/>
      </c>
    </row>
    <row r="1823" spans="1:10" hidden="1" x14ac:dyDescent="0.25">
      <c r="A1823" t="s">
        <v>3380</v>
      </c>
      <c r="B1823">
        <v>104</v>
      </c>
      <c r="C1823" t="s">
        <v>3381</v>
      </c>
      <c r="F1823" s="1" t="str">
        <f>IF(E1823&lt;&gt;"", HYPERLINK("https://www.kegg.jp/dbget-bin/www_bget?ec:" &amp; E1823, "https://www.kegg.jp/dbget-bin/www_bget?ec:" &amp; E1823), "")</f>
        <v/>
      </c>
      <c r="G1823" s="3"/>
      <c r="H1823" s="1" t="str">
        <f>IF(G1823&lt;&gt;"", HYPERLINK("https://www.kegg.jp/entry/" &amp; G1823, "https://www.kegg.jp/entry/" &amp; G1823), "")</f>
        <v/>
      </c>
    </row>
    <row r="1824" spans="1:10" x14ac:dyDescent="0.25">
      <c r="A1824" t="s">
        <v>3383</v>
      </c>
      <c r="B1824">
        <v>235</v>
      </c>
      <c r="C1824" t="s">
        <v>3384</v>
      </c>
      <c r="E1824" s="5" t="s">
        <v>6885</v>
      </c>
      <c r="F1824" s="1" t="str">
        <f>IF(E1824&lt;&gt;"", HYPERLINK("https://www.kegg.jp/dbget-bin/www_bget?ec:" &amp; E1824, "https://www.kegg.jp/dbget-bin/www_bget?ec:" &amp; E1824), "")</f>
        <v>https://www.kegg.jp/dbget-bin/www_bget?ec:5.3.1.16</v>
      </c>
      <c r="G1824" s="3" t="s">
        <v>7224</v>
      </c>
      <c r="H1824" s="1" t="str">
        <f>IF(G1824&lt;&gt;"", HYPERLINK("https://www.kegg.jp/entry/" &amp; G1824, "https://www.kegg.jp/entry/" &amp; G1824), "")</f>
        <v>https://www.kegg.jp/entry/R04640</v>
      </c>
      <c r="I1824" t="s">
        <v>8294</v>
      </c>
      <c r="J1824" t="s">
        <v>8565</v>
      </c>
    </row>
    <row r="1825" spans="1:10" x14ac:dyDescent="0.25">
      <c r="A1825" t="s">
        <v>3386</v>
      </c>
      <c r="B1825">
        <v>254</v>
      </c>
      <c r="C1825" t="s">
        <v>3387</v>
      </c>
      <c r="E1825" s="5" t="s">
        <v>6886</v>
      </c>
      <c r="F1825" s="1" t="str">
        <f>IF(E1825&lt;&gt;"", HYPERLINK("https://www.kegg.jp/dbget-bin/www_bget?ec:" &amp; E1825, "https://www.kegg.jp/dbget-bin/www_bget?ec:" &amp; E1825), "")</f>
        <v>https://www.kegg.jp/dbget-bin/www_bget?ec:4.1.1.48</v>
      </c>
      <c r="G1825" s="3" t="s">
        <v>7225</v>
      </c>
      <c r="H1825" s="1" t="str">
        <f>IF(G1825&lt;&gt;"", HYPERLINK("https://www.kegg.jp/entry/" &amp; G1825, "https://www.kegg.jp/entry/" &amp; G1825), "")</f>
        <v>https://www.kegg.jp/entry/R03508</v>
      </c>
      <c r="I1825" t="s">
        <v>8295</v>
      </c>
      <c r="J1825" t="s">
        <v>13423</v>
      </c>
    </row>
    <row r="1826" spans="1:10" hidden="1" x14ac:dyDescent="0.25">
      <c r="A1826" t="s">
        <v>3388</v>
      </c>
      <c r="B1826">
        <v>283</v>
      </c>
      <c r="C1826" t="s">
        <v>3389</v>
      </c>
      <c r="F1826" s="1" t="str">
        <f>IF(E1826&lt;&gt;"", HYPERLINK("https://www.kegg.jp/dbget-bin/www_bget?ec:" &amp; E1826, "https://www.kegg.jp/dbget-bin/www_bget?ec:" &amp; E1826), "")</f>
        <v/>
      </c>
      <c r="G1826" s="3"/>
      <c r="H1826" s="1" t="str">
        <f>IF(G1826&lt;&gt;"", HYPERLINK("https://www.kegg.jp/entry/" &amp; G1826, "https://www.kegg.jp/entry/" &amp; G1826), "")</f>
        <v/>
      </c>
    </row>
    <row r="1827" spans="1:10" hidden="1" x14ac:dyDescent="0.25">
      <c r="A1827" t="s">
        <v>3391</v>
      </c>
      <c r="B1827">
        <v>244</v>
      </c>
      <c r="C1827" t="s">
        <v>3392</v>
      </c>
      <c r="F1827" s="1" t="str">
        <f>IF(E1827&lt;&gt;"", HYPERLINK("https://www.kegg.jp/dbget-bin/www_bget?ec:" &amp; E1827, "https://www.kegg.jp/dbget-bin/www_bget?ec:" &amp; E1827), "")</f>
        <v/>
      </c>
      <c r="G1827" s="3"/>
      <c r="H1827" s="1" t="str">
        <f>IF(G1827&lt;&gt;"", HYPERLINK("https://www.kegg.jp/entry/" &amp; G1827, "https://www.kegg.jp/entry/" &amp; G1827), "")</f>
        <v/>
      </c>
    </row>
    <row r="1828" spans="1:10" hidden="1" x14ac:dyDescent="0.25">
      <c r="A1828" t="s">
        <v>3393</v>
      </c>
      <c r="B1828">
        <v>650</v>
      </c>
      <c r="C1828" t="s">
        <v>3394</v>
      </c>
      <c r="F1828" s="1" t="str">
        <f>IF(E1828&lt;&gt;"", HYPERLINK("https://www.kegg.jp/dbget-bin/www_bget?ec:" &amp; E1828, "https://www.kegg.jp/dbget-bin/www_bget?ec:" &amp; E1828), "")</f>
        <v/>
      </c>
      <c r="G1828" s="3"/>
      <c r="H1828" s="1" t="str">
        <f>IF(G1828&lt;&gt;"", HYPERLINK("https://www.kegg.jp/entry/" &amp; G1828, "https://www.kegg.jp/entry/" &amp; G1828), "")</f>
        <v/>
      </c>
    </row>
    <row r="1829" spans="1:10" hidden="1" x14ac:dyDescent="0.25">
      <c r="A1829" t="s">
        <v>3395</v>
      </c>
      <c r="B1829">
        <v>316</v>
      </c>
      <c r="C1829" t="s">
        <v>3396</v>
      </c>
      <c r="F1829" s="1" t="str">
        <f>IF(E1829&lt;&gt;"", HYPERLINK("https://www.kegg.jp/dbget-bin/www_bget?ec:" &amp; E1829, "https://www.kegg.jp/dbget-bin/www_bget?ec:" &amp; E1829), "")</f>
        <v/>
      </c>
      <c r="G1829" s="3"/>
      <c r="H1829" s="1" t="str">
        <f>IF(G1829&lt;&gt;"", HYPERLINK("https://www.kegg.jp/entry/" &amp; G1829, "https://www.kegg.jp/entry/" &amp; G1829), "")</f>
        <v/>
      </c>
    </row>
    <row r="1830" spans="1:10" hidden="1" x14ac:dyDescent="0.25">
      <c r="A1830" t="s">
        <v>3398</v>
      </c>
      <c r="B1830">
        <v>263</v>
      </c>
      <c r="C1830" t="s">
        <v>3399</v>
      </c>
      <c r="F1830" s="1" t="str">
        <f>IF(E1830&lt;&gt;"", HYPERLINK("https://www.kegg.jp/dbget-bin/www_bget?ec:" &amp; E1830, "https://www.kegg.jp/dbget-bin/www_bget?ec:" &amp; E1830), "")</f>
        <v/>
      </c>
      <c r="G1830" s="3"/>
      <c r="H1830" s="1" t="str">
        <f>IF(G1830&lt;&gt;"", HYPERLINK("https://www.kegg.jp/entry/" &amp; G1830, "https://www.kegg.jp/entry/" &amp; G1830), "")</f>
        <v/>
      </c>
    </row>
    <row r="1831" spans="1:10" hidden="1" x14ac:dyDescent="0.25">
      <c r="A1831" t="s">
        <v>3401</v>
      </c>
      <c r="B1831">
        <v>261</v>
      </c>
      <c r="C1831" t="s">
        <v>3402</v>
      </c>
      <c r="F1831" s="1" t="str">
        <f>IF(E1831&lt;&gt;"", HYPERLINK("https://www.kegg.jp/dbget-bin/www_bget?ec:" &amp; E1831, "https://www.kegg.jp/dbget-bin/www_bget?ec:" &amp; E1831), "")</f>
        <v/>
      </c>
      <c r="G1831" s="3"/>
      <c r="H1831" s="1" t="str">
        <f>IF(G1831&lt;&gt;"", HYPERLINK("https://www.kegg.jp/entry/" &amp; G1831, "https://www.kegg.jp/entry/" &amp; G1831), "")</f>
        <v/>
      </c>
    </row>
    <row r="1832" spans="1:10" x14ac:dyDescent="0.25">
      <c r="A1832" t="s">
        <v>3404</v>
      </c>
      <c r="B1832">
        <v>818</v>
      </c>
      <c r="C1832" t="s">
        <v>3405</v>
      </c>
      <c r="E1832" s="5" t="s">
        <v>6887</v>
      </c>
      <c r="F1832" s="1" t="str">
        <f>IF(E1832&lt;&gt;"", HYPERLINK("https://www.kegg.jp/dbget-bin/www_bget?ec:" &amp; E1832, "https://www.kegg.jp/dbget-bin/www_bget?ec:" &amp; E1832), "")</f>
        <v>https://www.kegg.jp/dbget-bin/www_bget?ec:2.4.1.1</v>
      </c>
      <c r="G1832" s="3" t="s">
        <v>7785</v>
      </c>
      <c r="H1832" s="1" t="str">
        <f>IF(G1832&lt;&gt;"", HYPERLINK("https://www.kegg.jp/entry/" &amp; G1832, "https://www.kegg.jp/entry/" &amp; G1832), "")</f>
        <v>https://www.kegg.jp/entry/R01821</v>
      </c>
      <c r="I1832" t="s">
        <v>13424</v>
      </c>
      <c r="J1832" t="s">
        <v>13425</v>
      </c>
    </row>
    <row r="1833" spans="1:10" x14ac:dyDescent="0.25">
      <c r="A1833" t="s">
        <v>3434</v>
      </c>
      <c r="B1833">
        <v>742</v>
      </c>
      <c r="C1833" t="s">
        <v>3435</v>
      </c>
      <c r="D1833" t="s">
        <v>6870</v>
      </c>
      <c r="E1833" s="5" t="s">
        <v>7750</v>
      </c>
      <c r="F1833" s="1" t="str">
        <f>IF(E1833&lt;&gt;"", HYPERLINK("https://www.kegg.jp/dbget-bin/www_bget?ec:" &amp; E1833, "https://www.kegg.jp/dbget-bin/www_bget?ec:" &amp; E1833), "")</f>
        <v>https://www.kegg.jp/dbget-bin/www_bget?ec:2.4.99.28</v>
      </c>
      <c r="G1833" s="3" t="s">
        <v>7754</v>
      </c>
      <c r="H1833" s="1" t="str">
        <f>IF(G1833&lt;&gt;"", HYPERLINK("https://www.kegg.jp/entry/" &amp; G1833, "https://www.kegg.jp/entry/" &amp; G1833), "")</f>
        <v>https://www.kegg.jp/entry/R06179</v>
      </c>
      <c r="I1833" t="s">
        <v>13386</v>
      </c>
      <c r="J1833" t="s">
        <v>13387</v>
      </c>
    </row>
    <row r="1834" spans="1:10" x14ac:dyDescent="0.25">
      <c r="A1834" t="s">
        <v>3404</v>
      </c>
      <c r="B1834">
        <v>818</v>
      </c>
      <c r="C1834" t="s">
        <v>3405</v>
      </c>
      <c r="E1834" s="5" t="s">
        <v>6887</v>
      </c>
      <c r="F1834" s="1" t="str">
        <f>IF(E1834&lt;&gt;"", HYPERLINK("https://www.kegg.jp/dbget-bin/www_bget?ec:" &amp; E1834, "https://www.kegg.jp/dbget-bin/www_bget?ec:" &amp; E1834), "")</f>
        <v>https://www.kegg.jp/dbget-bin/www_bget?ec:2.4.1.1</v>
      </c>
      <c r="G1834" s="3" t="s">
        <v>7787</v>
      </c>
      <c r="H1834" s="1" t="str">
        <f>IF(G1834&lt;&gt;"", HYPERLINK("https://www.kegg.jp/entry/" &amp; G1834, "https://www.kegg.jp/entry/" &amp; G1834), "")</f>
        <v>https://www.kegg.jp/entry/R02111</v>
      </c>
      <c r="I1834" t="s">
        <v>13428</v>
      </c>
      <c r="J1834" t="s">
        <v>13425</v>
      </c>
    </row>
    <row r="1835" spans="1:10" x14ac:dyDescent="0.25">
      <c r="A1835" t="s">
        <v>3459</v>
      </c>
      <c r="B1835">
        <v>576</v>
      </c>
      <c r="C1835" t="s">
        <v>3460</v>
      </c>
      <c r="D1835" t="s">
        <v>6870</v>
      </c>
      <c r="E1835" s="5" t="s">
        <v>7750</v>
      </c>
      <c r="F1835" s="1" t="str">
        <f>IF(E1835&lt;&gt;"", HYPERLINK("https://www.kegg.jp/dbget-bin/www_bget?ec:" &amp; E1835, "https://www.kegg.jp/dbget-bin/www_bget?ec:" &amp; E1835), "")</f>
        <v>https://www.kegg.jp/dbget-bin/www_bget?ec:2.4.99.28</v>
      </c>
      <c r="G1835" s="3" t="s">
        <v>7754</v>
      </c>
      <c r="H1835" s="1" t="str">
        <f>IF(G1835&lt;&gt;"", HYPERLINK("https://www.kegg.jp/entry/" &amp; G1835, "https://www.kegg.jp/entry/" &amp; G1835), "")</f>
        <v>https://www.kegg.jp/entry/R06179</v>
      </c>
      <c r="I1835" t="s">
        <v>13386</v>
      </c>
      <c r="J1835" t="s">
        <v>13387</v>
      </c>
    </row>
    <row r="1836" spans="1:10" hidden="1" x14ac:dyDescent="0.25">
      <c r="A1836" t="s">
        <v>3407</v>
      </c>
      <c r="B1836">
        <v>490</v>
      </c>
      <c r="C1836" t="s">
        <v>3408</v>
      </c>
      <c r="F1836" s="1" t="str">
        <f>IF(E1836&lt;&gt;"", HYPERLINK("https://www.kegg.jp/dbget-bin/www_bget?ec:" &amp; E1836, "https://www.kegg.jp/dbget-bin/www_bget?ec:" &amp; E1836), "")</f>
        <v/>
      </c>
      <c r="G1836" s="3"/>
      <c r="H1836" s="1" t="str">
        <f>IF(G1836&lt;&gt;"", HYPERLINK("https://www.kegg.jp/entry/" &amp; G1836, "https://www.kegg.jp/entry/" &amp; G1836), "")</f>
        <v/>
      </c>
    </row>
    <row r="1837" spans="1:10" hidden="1" x14ac:dyDescent="0.25">
      <c r="A1837" t="s">
        <v>3410</v>
      </c>
      <c r="B1837">
        <v>445</v>
      </c>
      <c r="C1837" t="s">
        <v>3411</v>
      </c>
      <c r="F1837" s="1" t="str">
        <f>IF(E1837&lt;&gt;"", HYPERLINK("https://www.kegg.jp/dbget-bin/www_bget?ec:" &amp; E1837, "https://www.kegg.jp/dbget-bin/www_bget?ec:" &amp; E1837), "")</f>
        <v/>
      </c>
      <c r="G1837" s="3"/>
      <c r="H1837" s="1" t="str">
        <f>IF(G1837&lt;&gt;"", HYPERLINK("https://www.kegg.jp/entry/" &amp; G1837, "https://www.kegg.jp/entry/" &amp; G1837), "")</f>
        <v/>
      </c>
    </row>
    <row r="1838" spans="1:10" hidden="1" x14ac:dyDescent="0.25">
      <c r="A1838" t="s">
        <v>3413</v>
      </c>
      <c r="B1838">
        <v>434</v>
      </c>
      <c r="C1838" t="s">
        <v>3414</v>
      </c>
      <c r="F1838" s="1" t="str">
        <f>IF(E1838&lt;&gt;"", HYPERLINK("https://www.kegg.jp/dbget-bin/www_bget?ec:" &amp; E1838, "https://www.kegg.jp/dbget-bin/www_bget?ec:" &amp; E1838), "")</f>
        <v/>
      </c>
      <c r="G1838" s="3"/>
      <c r="H1838" s="1" t="str">
        <f>IF(G1838&lt;&gt;"", HYPERLINK("https://www.kegg.jp/entry/" &amp; G1838, "https://www.kegg.jp/entry/" &amp; G1838), "")</f>
        <v/>
      </c>
    </row>
    <row r="1839" spans="1:10" hidden="1" x14ac:dyDescent="0.25">
      <c r="A1839" t="s">
        <v>3415</v>
      </c>
      <c r="B1839">
        <v>287</v>
      </c>
      <c r="C1839" t="s">
        <v>3416</v>
      </c>
      <c r="F1839" s="1" t="str">
        <f>IF(E1839&lt;&gt;"", HYPERLINK("https://www.kegg.jp/dbget-bin/www_bget?ec:" &amp; E1839, "https://www.kegg.jp/dbget-bin/www_bget?ec:" &amp; E1839), "")</f>
        <v/>
      </c>
      <c r="G1839" s="3"/>
      <c r="H1839" s="1" t="str">
        <f>IF(G1839&lt;&gt;"", HYPERLINK("https://www.kegg.jp/entry/" &amp; G1839, "https://www.kegg.jp/entry/" &amp; G1839), "")</f>
        <v/>
      </c>
    </row>
    <row r="1840" spans="1:10" hidden="1" x14ac:dyDescent="0.25">
      <c r="A1840" t="s">
        <v>3418</v>
      </c>
      <c r="B1840">
        <v>311</v>
      </c>
      <c r="C1840" t="s">
        <v>3419</v>
      </c>
      <c r="F1840" s="1" t="str">
        <f>IF(E1840&lt;&gt;"", HYPERLINK("https://www.kegg.jp/dbget-bin/www_bget?ec:" &amp; E1840, "https://www.kegg.jp/dbget-bin/www_bget?ec:" &amp; E1840), "")</f>
        <v/>
      </c>
      <c r="G1840" s="3"/>
      <c r="H1840" s="1" t="str">
        <f>IF(G1840&lt;&gt;"", HYPERLINK("https://www.kegg.jp/entry/" &amp; G1840, "https://www.kegg.jp/entry/" &amp; G1840), "")</f>
        <v/>
      </c>
    </row>
    <row r="1841" spans="1:10" hidden="1" x14ac:dyDescent="0.25">
      <c r="A1841" t="s">
        <v>3420</v>
      </c>
      <c r="B1841">
        <v>247</v>
      </c>
      <c r="C1841" t="s">
        <v>3421</v>
      </c>
      <c r="F1841" s="1" t="str">
        <f>IF(E1841&lt;&gt;"", HYPERLINK("https://www.kegg.jp/dbget-bin/www_bget?ec:" &amp; E1841, "https://www.kegg.jp/dbget-bin/www_bget?ec:" &amp; E1841), "")</f>
        <v/>
      </c>
      <c r="G1841" s="3"/>
      <c r="H1841" s="1" t="str">
        <f>IF(G1841&lt;&gt;"", HYPERLINK("https://www.kegg.jp/entry/" &amp; G1841, "https://www.kegg.jp/entry/" &amp; G1841), "")</f>
        <v/>
      </c>
    </row>
    <row r="1842" spans="1:10" hidden="1" x14ac:dyDescent="0.25">
      <c r="A1842" t="s">
        <v>3423</v>
      </c>
      <c r="B1842">
        <v>256</v>
      </c>
      <c r="C1842" t="s">
        <v>3424</v>
      </c>
      <c r="F1842" s="1" t="str">
        <f>IF(E1842&lt;&gt;"", HYPERLINK("https://www.kegg.jp/dbget-bin/www_bget?ec:" &amp; E1842, "https://www.kegg.jp/dbget-bin/www_bget?ec:" &amp; E1842), "")</f>
        <v/>
      </c>
      <c r="G1842" s="3"/>
      <c r="H1842" s="1" t="str">
        <f>IF(G1842&lt;&gt;"", HYPERLINK("https://www.kegg.jp/entry/" &amp; G1842, "https://www.kegg.jp/entry/" &amp; G1842), "")</f>
        <v/>
      </c>
    </row>
    <row r="1843" spans="1:10" x14ac:dyDescent="0.25">
      <c r="A1843" t="s">
        <v>3426</v>
      </c>
      <c r="B1843">
        <v>164</v>
      </c>
      <c r="C1843" t="s">
        <v>3427</v>
      </c>
      <c r="E1843" s="5" t="s">
        <v>6888</v>
      </c>
      <c r="F1843" s="1" t="str">
        <f>IF(E1843&lt;&gt;"", HYPERLINK("https://www.kegg.jp/dbget-bin/www_bget?ec:" &amp; E1843, "https://www.kegg.jp/dbget-bin/www_bget?ec:" &amp; E1843), "")</f>
        <v>https://www.kegg.jp/dbget-bin/www_bget?ec:3.1.3.48</v>
      </c>
      <c r="G1843" s="3" t="s">
        <v>7226</v>
      </c>
      <c r="H1843" s="1" t="str">
        <f>IF(G1843&lt;&gt;"", HYPERLINK("https://www.kegg.jp/entry/" &amp; G1843, "https://www.kegg.jp/entry/" &amp; G1843), "")</f>
        <v>https://www.kegg.jp/entry/R02585</v>
      </c>
      <c r="I1843" t="s">
        <v>13430</v>
      </c>
      <c r="J1843" t="s">
        <v>13431</v>
      </c>
    </row>
    <row r="1844" spans="1:10" hidden="1" x14ac:dyDescent="0.25">
      <c r="A1844" t="s">
        <v>3428</v>
      </c>
      <c r="B1844">
        <v>515</v>
      </c>
      <c r="C1844" t="s">
        <v>3429</v>
      </c>
      <c r="F1844" s="1" t="str">
        <f>IF(E1844&lt;&gt;"", HYPERLINK("https://www.kegg.jp/dbget-bin/www_bget?ec:" &amp; E1844, "https://www.kegg.jp/dbget-bin/www_bget?ec:" &amp; E1844), "")</f>
        <v/>
      </c>
      <c r="G1844" s="3"/>
      <c r="H1844" s="1" t="str">
        <f>IF(G1844&lt;&gt;"", HYPERLINK("https://www.kegg.jp/entry/" &amp; G1844, "https://www.kegg.jp/entry/" &amp; G1844), "")</f>
        <v/>
      </c>
    </row>
    <row r="1845" spans="1:10" hidden="1" x14ac:dyDescent="0.25">
      <c r="A1845" t="s">
        <v>3431</v>
      </c>
      <c r="B1845">
        <v>244</v>
      </c>
      <c r="C1845" t="s">
        <v>3432</v>
      </c>
      <c r="F1845" s="1" t="str">
        <f>IF(E1845&lt;&gt;"", HYPERLINK("https://www.kegg.jp/dbget-bin/www_bget?ec:" &amp; E1845, "https://www.kegg.jp/dbget-bin/www_bget?ec:" &amp; E1845), "")</f>
        <v/>
      </c>
      <c r="G1845" s="3"/>
      <c r="H1845" s="1" t="str">
        <f>IF(G1845&lt;&gt;"", HYPERLINK("https://www.kegg.jp/entry/" &amp; G1845, "https://www.kegg.jp/entry/" &amp; G1845), "")</f>
        <v/>
      </c>
    </row>
    <row r="1846" spans="1:10" x14ac:dyDescent="0.25">
      <c r="A1846" t="s">
        <v>3434</v>
      </c>
      <c r="B1846">
        <v>742</v>
      </c>
      <c r="C1846" t="s">
        <v>3435</v>
      </c>
      <c r="D1846" t="s">
        <v>6870</v>
      </c>
      <c r="E1846" s="5" t="s">
        <v>7750</v>
      </c>
      <c r="F1846" s="1" t="str">
        <f>IF(E1846&lt;&gt;"", HYPERLINK("https://www.kegg.jp/dbget-bin/www_bget?ec:" &amp; E1846, "https://www.kegg.jp/dbget-bin/www_bget?ec:" &amp; E1846), "")</f>
        <v>https://www.kegg.jp/dbget-bin/www_bget?ec:2.4.99.28</v>
      </c>
      <c r="G1846" s="3" t="s">
        <v>7751</v>
      </c>
      <c r="H1846" s="1" t="str">
        <f>IF(G1846&lt;&gt;"", HYPERLINK("https://www.kegg.jp/entry/" &amp; G1846, "https://www.kegg.jp/entry/" &amp; G1846), "")</f>
        <v>https://www.kegg.jp/entry/R06178</v>
      </c>
      <c r="I1846" t="s">
        <v>8281</v>
      </c>
      <c r="J1846" t="s">
        <v>8547</v>
      </c>
    </row>
    <row r="1847" spans="1:10" x14ac:dyDescent="0.25">
      <c r="A1847" t="s">
        <v>3207</v>
      </c>
      <c r="B1847">
        <v>439</v>
      </c>
      <c r="C1847" t="s">
        <v>3208</v>
      </c>
      <c r="D1847" t="s">
        <v>6870</v>
      </c>
      <c r="E1847" s="5" t="s">
        <v>7750</v>
      </c>
      <c r="F1847" s="1" t="str">
        <f>IF(E1847&lt;&gt;"", HYPERLINK("https://www.kegg.jp/dbget-bin/www_bget?ec:" &amp; E1847, "https://www.kegg.jp/dbget-bin/www_bget?ec:" &amp; E1847), "")</f>
        <v>https://www.kegg.jp/dbget-bin/www_bget?ec:2.4.99.28</v>
      </c>
      <c r="G1847" s="3" t="s">
        <v>7752</v>
      </c>
      <c r="H1847" s="1" t="str">
        <f>IF(G1847&lt;&gt;"", HYPERLINK("https://www.kegg.jp/entry/" &amp; G1847, "https://www.kegg.jp/entry/" &amp; G1847), "")</f>
        <v>https://www.kegg.jp/entry/R06177</v>
      </c>
      <c r="I1847" t="s">
        <v>13388</v>
      </c>
      <c r="J1847" t="s">
        <v>13389</v>
      </c>
    </row>
    <row r="1848" spans="1:10" x14ac:dyDescent="0.25">
      <c r="A1848" t="s">
        <v>3434</v>
      </c>
      <c r="B1848">
        <v>742</v>
      </c>
      <c r="C1848" t="s">
        <v>3435</v>
      </c>
      <c r="D1848" t="s">
        <v>6870</v>
      </c>
      <c r="E1848" s="5" t="s">
        <v>7750</v>
      </c>
      <c r="F1848" s="1" t="str">
        <f>IF(E1848&lt;&gt;"", HYPERLINK("https://www.kegg.jp/dbget-bin/www_bget?ec:" &amp; E1848, "https://www.kegg.jp/dbget-bin/www_bget?ec:" &amp; E1848), "")</f>
        <v>https://www.kegg.jp/dbget-bin/www_bget?ec:2.4.99.28</v>
      </c>
      <c r="G1848" s="3" t="s">
        <v>7753</v>
      </c>
      <c r="H1848" s="1" t="str">
        <f>IF(G1848&lt;&gt;"", HYPERLINK("https://www.kegg.jp/entry/" &amp; G1848, "https://www.kegg.jp/entry/" &amp; G1848), "")</f>
        <v>https://www.kegg.jp/entry/R04519</v>
      </c>
      <c r="I1848" t="s">
        <v>8282</v>
      </c>
      <c r="J1848" t="s">
        <v>8549</v>
      </c>
    </row>
    <row r="1849" spans="1:10" x14ac:dyDescent="0.25">
      <c r="A1849" t="s">
        <v>3434</v>
      </c>
      <c r="B1849">
        <v>742</v>
      </c>
      <c r="C1849" t="s">
        <v>3435</v>
      </c>
      <c r="D1849" t="s">
        <v>6870</v>
      </c>
      <c r="E1849" s="5" t="s">
        <v>7750</v>
      </c>
      <c r="F1849" s="1" t="str">
        <f>IF(E1849&lt;&gt;"", HYPERLINK("https://www.kegg.jp/dbget-bin/www_bget?ec:" &amp; E1849, "https://www.kegg.jp/dbget-bin/www_bget?ec:" &amp; E1849), "")</f>
        <v>https://www.kegg.jp/dbget-bin/www_bget?ec:2.4.99.28</v>
      </c>
      <c r="G1849" s="3" t="s">
        <v>7752</v>
      </c>
      <c r="H1849" s="1" t="str">
        <f>IF(G1849&lt;&gt;"", HYPERLINK("https://www.kegg.jp/entry/" &amp; G1849, "https://www.kegg.jp/entry/" &amp; G1849), "")</f>
        <v>https://www.kegg.jp/entry/R06177</v>
      </c>
      <c r="I1849" t="s">
        <v>13388</v>
      </c>
      <c r="J1849" t="s">
        <v>13389</v>
      </c>
    </row>
    <row r="1850" spans="1:10" hidden="1" x14ac:dyDescent="0.25">
      <c r="A1850" t="s">
        <v>3437</v>
      </c>
      <c r="B1850">
        <v>124</v>
      </c>
      <c r="C1850" t="s">
        <v>3438</v>
      </c>
      <c r="F1850" s="1" t="str">
        <f>IF(E1850&lt;&gt;"", HYPERLINK("https://www.kegg.jp/dbget-bin/www_bget?ec:" &amp; E1850, "https://www.kegg.jp/dbget-bin/www_bget?ec:" &amp; E1850), "")</f>
        <v/>
      </c>
      <c r="G1850" s="3"/>
      <c r="H1850" s="1" t="str">
        <f>IF(G1850&lt;&gt;"", HYPERLINK("https://www.kegg.jp/entry/" &amp; G1850, "https://www.kegg.jp/entry/" &amp; G1850), "")</f>
        <v/>
      </c>
    </row>
    <row r="1851" spans="1:10" hidden="1" x14ac:dyDescent="0.25">
      <c r="C1851" t="s">
        <v>3440</v>
      </c>
      <c r="F1851" s="1" t="str">
        <f>IF(E1851&lt;&gt;"", HYPERLINK("https://www.kegg.jp/dbget-bin/www_bget?ec:" &amp; E1851, "https://www.kegg.jp/dbget-bin/www_bget?ec:" &amp; E1851), "")</f>
        <v/>
      </c>
      <c r="G1851" s="3"/>
      <c r="H1851" s="1" t="str">
        <f>IF(G1851&lt;&gt;"", HYPERLINK("https://www.kegg.jp/entry/" &amp; G1851, "https://www.kegg.jp/entry/" &amp; G1851), "")</f>
        <v/>
      </c>
    </row>
    <row r="1852" spans="1:10" hidden="1" x14ac:dyDescent="0.25">
      <c r="A1852" t="s">
        <v>3442</v>
      </c>
      <c r="B1852">
        <v>368</v>
      </c>
      <c r="C1852" t="s">
        <v>3443</v>
      </c>
      <c r="F1852" s="1" t="str">
        <f>IF(E1852&lt;&gt;"", HYPERLINK("https://www.kegg.jp/dbget-bin/www_bget?ec:" &amp; E1852, "https://www.kegg.jp/dbget-bin/www_bget?ec:" &amp; E1852), "")</f>
        <v/>
      </c>
      <c r="G1852" s="3"/>
      <c r="H1852" s="1" t="str">
        <f>IF(G1852&lt;&gt;"", HYPERLINK("https://www.kegg.jp/entry/" &amp; G1852, "https://www.kegg.jp/entry/" &amp; G1852), "")</f>
        <v/>
      </c>
    </row>
    <row r="1853" spans="1:10" x14ac:dyDescent="0.25">
      <c r="A1853" t="s">
        <v>3445</v>
      </c>
      <c r="B1853">
        <v>219</v>
      </c>
      <c r="C1853" t="s">
        <v>3446</v>
      </c>
      <c r="E1853" s="5" t="s">
        <v>6889</v>
      </c>
      <c r="F1853" s="1" t="str">
        <f>IF(E1853&lt;&gt;"", HYPERLINK("https://www.kegg.jp/dbget-bin/www_bget?ec:" &amp; E1853, "https://www.kegg.jp/dbget-bin/www_bget?ec:" &amp; E1853), "")</f>
        <v>https://www.kegg.jp/dbget-bin/www_bget?ec:4.1.2.4</v>
      </c>
      <c r="G1853" s="3" t="s">
        <v>7227</v>
      </c>
      <c r="H1853" s="1" t="str">
        <f>IF(G1853&lt;&gt;"", HYPERLINK("https://www.kegg.jp/entry/" &amp; G1853, "https://www.kegg.jp/entry/" &amp; G1853), "")</f>
        <v>https://www.kegg.jp/entry/R01066</v>
      </c>
      <c r="I1853" t="s">
        <v>8297</v>
      </c>
      <c r="J1853" t="s">
        <v>13432</v>
      </c>
    </row>
    <row r="1854" spans="1:10" hidden="1" x14ac:dyDescent="0.25">
      <c r="A1854" t="s">
        <v>3447</v>
      </c>
      <c r="B1854">
        <v>379</v>
      </c>
      <c r="C1854" t="s">
        <v>3448</v>
      </c>
      <c r="F1854" s="1" t="str">
        <f>IF(E1854&lt;&gt;"", HYPERLINK("https://www.kegg.jp/dbget-bin/www_bget?ec:" &amp; E1854, "https://www.kegg.jp/dbget-bin/www_bget?ec:" &amp; E1854), "")</f>
        <v/>
      </c>
      <c r="G1854" s="3"/>
      <c r="H1854" s="1" t="str">
        <f>IF(G1854&lt;&gt;"", HYPERLINK("https://www.kegg.jp/entry/" &amp; G1854, "https://www.kegg.jp/entry/" &amp; G1854), "")</f>
        <v/>
      </c>
    </row>
    <row r="1855" spans="1:10" hidden="1" x14ac:dyDescent="0.25">
      <c r="A1855" t="s">
        <v>3450</v>
      </c>
      <c r="B1855">
        <v>186</v>
      </c>
      <c r="C1855" t="s">
        <v>3451</v>
      </c>
      <c r="F1855" s="1" t="str">
        <f>IF(E1855&lt;&gt;"", HYPERLINK("https://www.kegg.jp/dbget-bin/www_bget?ec:" &amp; E1855, "https://www.kegg.jp/dbget-bin/www_bget?ec:" &amp; E1855), "")</f>
        <v/>
      </c>
      <c r="G1855" s="3"/>
      <c r="H1855" s="1" t="str">
        <f>IF(G1855&lt;&gt;"", HYPERLINK("https://www.kegg.jp/entry/" &amp; G1855, "https://www.kegg.jp/entry/" &amp; G1855), "")</f>
        <v/>
      </c>
    </row>
    <row r="1856" spans="1:10" hidden="1" x14ac:dyDescent="0.25">
      <c r="A1856" t="s">
        <v>3453</v>
      </c>
      <c r="B1856">
        <v>262</v>
      </c>
      <c r="C1856" t="s">
        <v>3454</v>
      </c>
      <c r="F1856" s="1" t="str">
        <f>IF(E1856&lt;&gt;"", HYPERLINK("https://www.kegg.jp/dbget-bin/www_bget?ec:" &amp; E1856, "https://www.kegg.jp/dbget-bin/www_bget?ec:" &amp; E1856), "")</f>
        <v/>
      </c>
      <c r="G1856" s="3"/>
      <c r="H1856" s="1" t="str">
        <f>IF(G1856&lt;&gt;"", HYPERLINK("https://www.kegg.jp/entry/" &amp; G1856, "https://www.kegg.jp/entry/" &amp; G1856), "")</f>
        <v/>
      </c>
    </row>
    <row r="1857" spans="1:10" hidden="1" x14ac:dyDescent="0.25">
      <c r="A1857" t="s">
        <v>3456</v>
      </c>
      <c r="B1857">
        <v>148</v>
      </c>
      <c r="C1857" t="s">
        <v>3457</v>
      </c>
      <c r="F1857" s="1" t="str">
        <f>IF(E1857&lt;&gt;"", HYPERLINK("https://www.kegg.jp/dbget-bin/www_bget?ec:" &amp; E1857, "https://www.kegg.jp/dbget-bin/www_bget?ec:" &amp; E1857), "")</f>
        <v/>
      </c>
      <c r="G1857" s="3"/>
      <c r="H1857" s="1" t="str">
        <f>IF(G1857&lt;&gt;"", HYPERLINK("https://www.kegg.jp/entry/" &amp; G1857, "https://www.kegg.jp/entry/" &amp; G1857), "")</f>
        <v/>
      </c>
    </row>
    <row r="1858" spans="1:10" x14ac:dyDescent="0.25">
      <c r="A1858" t="s">
        <v>3459</v>
      </c>
      <c r="B1858">
        <v>576</v>
      </c>
      <c r="C1858" t="s">
        <v>3460</v>
      </c>
      <c r="D1858" t="s">
        <v>6870</v>
      </c>
      <c r="E1858" s="5" t="s">
        <v>7750</v>
      </c>
      <c r="F1858" s="1" t="str">
        <f>IF(E1858&lt;&gt;"", HYPERLINK("https://www.kegg.jp/dbget-bin/www_bget?ec:" &amp; E1858, "https://www.kegg.jp/dbget-bin/www_bget?ec:" &amp; E1858), "")</f>
        <v>https://www.kegg.jp/dbget-bin/www_bget?ec:2.4.99.28</v>
      </c>
      <c r="G1858" s="3" t="s">
        <v>7751</v>
      </c>
      <c r="H1858" s="1" t="str">
        <f>IF(G1858&lt;&gt;"", HYPERLINK("https://www.kegg.jp/entry/" &amp; G1858, "https://www.kegg.jp/entry/" &amp; G1858), "")</f>
        <v>https://www.kegg.jp/entry/R06178</v>
      </c>
      <c r="I1858" t="s">
        <v>8281</v>
      </c>
      <c r="J1858" t="s">
        <v>8547</v>
      </c>
    </row>
    <row r="1859" spans="1:10" x14ac:dyDescent="0.25">
      <c r="A1859" t="s">
        <v>3459</v>
      </c>
      <c r="B1859">
        <v>576</v>
      </c>
      <c r="C1859" t="s">
        <v>3460</v>
      </c>
      <c r="D1859" t="s">
        <v>6870</v>
      </c>
      <c r="E1859" s="5" t="s">
        <v>7750</v>
      </c>
      <c r="F1859" s="1" t="str">
        <f>IF(E1859&lt;&gt;"", HYPERLINK("https://www.kegg.jp/dbget-bin/www_bget?ec:" &amp; E1859, "https://www.kegg.jp/dbget-bin/www_bget?ec:" &amp; E1859), "")</f>
        <v>https://www.kegg.jp/dbget-bin/www_bget?ec:2.4.99.28</v>
      </c>
      <c r="G1859" s="3" t="s">
        <v>7752</v>
      </c>
      <c r="H1859" s="1" t="str">
        <f>IF(G1859&lt;&gt;"", HYPERLINK("https://www.kegg.jp/entry/" &amp; G1859, "https://www.kegg.jp/entry/" &amp; G1859), "")</f>
        <v>https://www.kegg.jp/entry/R06177</v>
      </c>
      <c r="I1859" t="s">
        <v>13388</v>
      </c>
      <c r="J1859" t="s">
        <v>13389</v>
      </c>
    </row>
    <row r="1860" spans="1:10" x14ac:dyDescent="0.25">
      <c r="A1860" t="s">
        <v>3459</v>
      </c>
      <c r="B1860">
        <v>576</v>
      </c>
      <c r="C1860" t="s">
        <v>3460</v>
      </c>
      <c r="D1860" t="s">
        <v>6870</v>
      </c>
      <c r="E1860" s="5" t="s">
        <v>7750</v>
      </c>
      <c r="F1860" s="1" t="str">
        <f>IF(E1860&lt;&gt;"", HYPERLINK("https://www.kegg.jp/dbget-bin/www_bget?ec:" &amp; E1860, "https://www.kegg.jp/dbget-bin/www_bget?ec:" &amp; E1860), "")</f>
        <v>https://www.kegg.jp/dbget-bin/www_bget?ec:2.4.99.28</v>
      </c>
      <c r="G1860" s="3" t="s">
        <v>7753</v>
      </c>
      <c r="H1860" s="1" t="str">
        <f>IF(G1860&lt;&gt;"", HYPERLINK("https://www.kegg.jp/entry/" &amp; G1860, "https://www.kegg.jp/entry/" &amp; G1860), "")</f>
        <v>https://www.kegg.jp/entry/R04519</v>
      </c>
      <c r="I1860" t="s">
        <v>8282</v>
      </c>
      <c r="J1860" t="s">
        <v>8549</v>
      </c>
    </row>
    <row r="1861" spans="1:10" x14ac:dyDescent="0.25">
      <c r="A1861" t="s">
        <v>3224</v>
      </c>
      <c r="B1861">
        <v>339</v>
      </c>
      <c r="C1861" t="s">
        <v>3225</v>
      </c>
      <c r="E1861" s="5" t="s">
        <v>6874</v>
      </c>
      <c r="F1861" s="1" t="str">
        <f>IF(E1861&lt;&gt;"", HYPERLINK("https://www.kegg.jp/dbget-bin/www_bget?ec:" &amp; E1861, "https://www.kegg.jp/dbget-bin/www_bget?ec:" &amp; E1861), "")</f>
        <v>https://www.kegg.jp/dbget-bin/www_bget?ec:2.4.1.227</v>
      </c>
      <c r="G1861" s="3" t="s">
        <v>7760</v>
      </c>
      <c r="H1861" s="1" t="str">
        <f>IF(G1861&lt;&gt;"", HYPERLINK("https://www.kegg.jp/entry/" &amp; G1861, "https://www.kegg.jp/entry/" &amp; G1861), "")</f>
        <v>https://www.kegg.jp/entry/R06174</v>
      </c>
      <c r="I1861" t="s">
        <v>13401</v>
      </c>
      <c r="J1861" t="s">
        <v>13402</v>
      </c>
    </row>
    <row r="1862" spans="1:10" hidden="1" x14ac:dyDescent="0.25">
      <c r="A1862" t="s">
        <v>3462</v>
      </c>
      <c r="B1862">
        <v>175</v>
      </c>
      <c r="C1862" t="s">
        <v>3463</v>
      </c>
      <c r="F1862" s="1" t="str">
        <f>IF(E1862&lt;&gt;"", HYPERLINK("https://www.kegg.jp/dbget-bin/www_bget?ec:" &amp; E1862, "https://www.kegg.jp/dbget-bin/www_bget?ec:" &amp; E1862), "")</f>
        <v/>
      </c>
      <c r="G1862" s="3"/>
      <c r="H1862" s="1" t="str">
        <f>IF(G1862&lt;&gt;"", HYPERLINK("https://www.kegg.jp/entry/" &amp; G1862, "https://www.kegg.jp/entry/" &amp; G1862), "")</f>
        <v/>
      </c>
    </row>
    <row r="1863" spans="1:10" hidden="1" x14ac:dyDescent="0.25">
      <c r="A1863" t="s">
        <v>3464</v>
      </c>
      <c r="B1863">
        <v>145</v>
      </c>
      <c r="C1863" t="s">
        <v>3465</v>
      </c>
      <c r="F1863" s="1" t="str">
        <f>IF(E1863&lt;&gt;"", HYPERLINK("https://www.kegg.jp/dbget-bin/www_bget?ec:" &amp; E1863, "https://www.kegg.jp/dbget-bin/www_bget?ec:" &amp; E1863), "")</f>
        <v/>
      </c>
      <c r="G1863" s="3"/>
      <c r="H1863" s="1" t="str">
        <f>IF(G1863&lt;&gt;"", HYPERLINK("https://www.kegg.jp/entry/" &amp; G1863, "https://www.kegg.jp/entry/" &amp; G1863), "")</f>
        <v/>
      </c>
    </row>
    <row r="1864" spans="1:10" hidden="1" x14ac:dyDescent="0.25">
      <c r="A1864" t="s">
        <v>3466</v>
      </c>
      <c r="B1864">
        <v>91</v>
      </c>
      <c r="C1864" t="s">
        <v>3467</v>
      </c>
      <c r="F1864" s="1" t="str">
        <f>IF(E1864&lt;&gt;"", HYPERLINK("https://www.kegg.jp/dbget-bin/www_bget?ec:" &amp; E1864, "https://www.kegg.jp/dbget-bin/www_bget?ec:" &amp; E1864), "")</f>
        <v/>
      </c>
      <c r="G1864" s="3"/>
      <c r="H1864" s="1" t="str">
        <f>IF(G1864&lt;&gt;"", HYPERLINK("https://www.kegg.jp/entry/" &amp; G1864, "https://www.kegg.jp/entry/" &amp; G1864), "")</f>
        <v/>
      </c>
    </row>
    <row r="1865" spans="1:10" hidden="1" x14ac:dyDescent="0.25">
      <c r="A1865" t="s">
        <v>3468</v>
      </c>
      <c r="B1865">
        <v>189</v>
      </c>
      <c r="C1865" t="s">
        <v>3469</v>
      </c>
      <c r="F1865" s="1" t="str">
        <f>IF(E1865&lt;&gt;"", HYPERLINK("https://www.kegg.jp/dbget-bin/www_bget?ec:" &amp; E1865, "https://www.kegg.jp/dbget-bin/www_bget?ec:" &amp; E1865), "")</f>
        <v/>
      </c>
      <c r="G1865" s="3"/>
      <c r="H1865" s="1" t="str">
        <f>IF(G1865&lt;&gt;"", HYPERLINK("https://www.kegg.jp/entry/" &amp; G1865, "https://www.kegg.jp/entry/" &amp; G1865), "")</f>
        <v/>
      </c>
    </row>
    <row r="1866" spans="1:10" hidden="1" x14ac:dyDescent="0.25">
      <c r="A1866" t="s">
        <v>3470</v>
      </c>
      <c r="B1866">
        <v>233</v>
      </c>
      <c r="C1866" t="s">
        <v>3471</v>
      </c>
      <c r="F1866" s="1" t="str">
        <f>IF(E1866&lt;&gt;"", HYPERLINK("https://www.kegg.jp/dbget-bin/www_bget?ec:" &amp; E1866, "https://www.kegg.jp/dbget-bin/www_bget?ec:" &amp; E1866), "")</f>
        <v/>
      </c>
      <c r="G1866" s="3"/>
      <c r="H1866" s="1" t="str">
        <f>IF(G1866&lt;&gt;"", HYPERLINK("https://www.kegg.jp/entry/" &amp; G1866, "https://www.kegg.jp/entry/" &amp; G1866), "")</f>
        <v/>
      </c>
    </row>
    <row r="1867" spans="1:10" x14ac:dyDescent="0.25">
      <c r="A1867" t="s">
        <v>3473</v>
      </c>
      <c r="B1867">
        <v>381</v>
      </c>
      <c r="C1867" t="s">
        <v>3474</v>
      </c>
      <c r="E1867" s="5" t="s">
        <v>6890</v>
      </c>
      <c r="F1867" s="1" t="str">
        <f>IF(E1867&lt;&gt;"", HYPERLINK("https://www.kegg.jp/dbget-bin/www_bget?ec:" &amp; E1867, "https://www.kegg.jp/dbget-bin/www_bget?ec:" &amp; E1867), "")</f>
        <v>https://www.kegg.jp/dbget-bin/www_bget?ec:2.3.1.35</v>
      </c>
      <c r="G1867" s="3" t="s">
        <v>7228</v>
      </c>
      <c r="H1867" s="1" t="str">
        <f>IF(G1867&lt;&gt;"", HYPERLINK("https://www.kegg.jp/entry/" &amp; G1867, "https://www.kegg.jp/entry/" &amp; G1867), "")</f>
        <v>https://www.kegg.jp/entry/R02282</v>
      </c>
      <c r="I1867" t="s">
        <v>13433</v>
      </c>
      <c r="J1867" t="s">
        <v>8566</v>
      </c>
    </row>
    <row r="1868" spans="1:10" x14ac:dyDescent="0.25">
      <c r="A1868" t="s">
        <v>3476</v>
      </c>
      <c r="B1868">
        <v>348</v>
      </c>
      <c r="C1868" t="s">
        <v>3477</v>
      </c>
      <c r="E1868" s="5" t="s">
        <v>6891</v>
      </c>
      <c r="F1868" s="1" t="str">
        <f>IF(E1868&lt;&gt;"", HYPERLINK("https://www.kegg.jp/dbget-bin/www_bget?ec:" &amp; E1868, "https://www.kegg.jp/dbget-bin/www_bget?ec:" &amp; E1868), "")</f>
        <v>https://www.kegg.jp/dbget-bin/www_bget?ec:1.2.1.38</v>
      </c>
      <c r="G1868" s="3" t="s">
        <v>7229</v>
      </c>
      <c r="H1868" s="1" t="str">
        <f>IF(G1868&lt;&gt;"", HYPERLINK("https://www.kegg.jp/entry/" &amp; G1868, "https://www.kegg.jp/entry/" &amp; G1868), "")</f>
        <v>https://www.kegg.jp/entry/R03443</v>
      </c>
      <c r="I1868" t="s">
        <v>13434</v>
      </c>
      <c r="J1868" t="s">
        <v>13435</v>
      </c>
    </row>
    <row r="1869" spans="1:10" hidden="1" x14ac:dyDescent="0.25">
      <c r="A1869" t="s">
        <v>3478</v>
      </c>
      <c r="B1869">
        <v>173</v>
      </c>
      <c r="C1869" t="s">
        <v>3479</v>
      </c>
      <c r="F1869" s="1" t="str">
        <f>IF(E1869&lt;&gt;"", HYPERLINK("https://www.kegg.jp/dbget-bin/www_bget?ec:" &amp; E1869, "https://www.kegg.jp/dbget-bin/www_bget?ec:" &amp; E1869), "")</f>
        <v/>
      </c>
      <c r="G1869" s="3"/>
      <c r="H1869" s="1" t="str">
        <f>IF(G1869&lt;&gt;"", HYPERLINK("https://www.kegg.jp/entry/" &amp; G1869, "https://www.kegg.jp/entry/" &amp; G1869), "")</f>
        <v/>
      </c>
    </row>
    <row r="1870" spans="1:10" x14ac:dyDescent="0.25">
      <c r="A1870" t="s">
        <v>3481</v>
      </c>
      <c r="B1870">
        <v>301</v>
      </c>
      <c r="C1870" t="s">
        <v>3482</v>
      </c>
      <c r="E1870" s="5" t="s">
        <v>6892</v>
      </c>
      <c r="F1870" s="1" t="str">
        <f>IF(E1870&lt;&gt;"", HYPERLINK("https://www.kegg.jp/dbget-bin/www_bget?ec:" &amp; E1870, "https://www.kegg.jp/dbget-bin/www_bget?ec:" &amp; E1870), "")</f>
        <v>https://www.kegg.jp/dbget-bin/www_bget?ec:2.1.3.3</v>
      </c>
      <c r="G1870" s="3" t="s">
        <v>7230</v>
      </c>
      <c r="H1870" s="1" t="str">
        <f>IF(G1870&lt;&gt;"", HYPERLINK("https://www.kegg.jp/entry/" &amp; G1870, "https://www.kegg.jp/entry/" &amp; G1870), "")</f>
        <v>https://www.kegg.jp/entry/R01398</v>
      </c>
      <c r="I1870" t="s">
        <v>13436</v>
      </c>
      <c r="J1870" t="s">
        <v>8567</v>
      </c>
    </row>
    <row r="1871" spans="1:10" hidden="1" x14ac:dyDescent="0.25">
      <c r="A1871" t="s">
        <v>3483</v>
      </c>
      <c r="B1871">
        <v>227</v>
      </c>
      <c r="C1871" t="s">
        <v>3484</v>
      </c>
      <c r="F1871" s="1" t="str">
        <f>IF(E1871&lt;&gt;"", HYPERLINK("https://www.kegg.jp/dbget-bin/www_bget?ec:" &amp; E1871, "https://www.kegg.jp/dbget-bin/www_bget?ec:" &amp; E1871), "")</f>
        <v/>
      </c>
      <c r="G1871" s="3"/>
      <c r="H1871" s="1" t="str">
        <f>IF(G1871&lt;&gt;"", HYPERLINK("https://www.kegg.jp/entry/" &amp; G1871, "https://www.kegg.jp/entry/" &amp; G1871), "")</f>
        <v/>
      </c>
    </row>
    <row r="1872" spans="1:10" hidden="1" x14ac:dyDescent="0.25">
      <c r="A1872" t="s">
        <v>3485</v>
      </c>
      <c r="B1872">
        <v>236</v>
      </c>
      <c r="C1872" t="s">
        <v>3486</v>
      </c>
      <c r="F1872" s="1" t="str">
        <f>IF(E1872&lt;&gt;"", HYPERLINK("https://www.kegg.jp/dbget-bin/www_bget?ec:" &amp; E1872, "https://www.kegg.jp/dbget-bin/www_bget?ec:" &amp; E1872), "")</f>
        <v/>
      </c>
      <c r="G1872" s="3"/>
      <c r="H1872" s="1" t="str">
        <f>IF(G1872&lt;&gt;"", HYPERLINK("https://www.kegg.jp/entry/" &amp; G1872, "https://www.kegg.jp/entry/" &amp; G1872), "")</f>
        <v/>
      </c>
    </row>
    <row r="1873" spans="1:10" hidden="1" x14ac:dyDescent="0.25">
      <c r="A1873" t="s">
        <v>3487</v>
      </c>
      <c r="B1873">
        <v>51</v>
      </c>
      <c r="C1873" t="s">
        <v>3488</v>
      </c>
      <c r="F1873" s="1" t="str">
        <f>IF(E1873&lt;&gt;"", HYPERLINK("https://www.kegg.jp/dbget-bin/www_bget?ec:" &amp; E1873, "https://www.kegg.jp/dbget-bin/www_bget?ec:" &amp; E1873), "")</f>
        <v/>
      </c>
      <c r="G1873" s="3"/>
      <c r="H1873" s="1" t="str">
        <f>IF(G1873&lt;&gt;"", HYPERLINK("https://www.kegg.jp/entry/" &amp; G1873, "https://www.kegg.jp/entry/" &amp; G1873), "")</f>
        <v/>
      </c>
    </row>
    <row r="1874" spans="1:10" hidden="1" x14ac:dyDescent="0.25">
      <c r="A1874" t="s">
        <v>3489</v>
      </c>
      <c r="B1874">
        <v>110</v>
      </c>
      <c r="C1874" t="s">
        <v>3490</v>
      </c>
      <c r="F1874" s="1" t="str">
        <f>IF(E1874&lt;&gt;"", HYPERLINK("https://www.kegg.jp/dbget-bin/www_bget?ec:" &amp; E1874, "https://www.kegg.jp/dbget-bin/www_bget?ec:" &amp; E1874), "")</f>
        <v/>
      </c>
      <c r="G1874" s="3"/>
      <c r="H1874" s="1" t="str">
        <f>IF(G1874&lt;&gt;"", HYPERLINK("https://www.kegg.jp/entry/" &amp; G1874, "https://www.kegg.jp/entry/" &amp; G1874), "")</f>
        <v/>
      </c>
    </row>
    <row r="1875" spans="1:10" hidden="1" x14ac:dyDescent="0.25">
      <c r="A1875" t="s">
        <v>3491</v>
      </c>
      <c r="B1875">
        <v>105</v>
      </c>
      <c r="C1875" t="s">
        <v>3492</v>
      </c>
      <c r="F1875" s="1" t="str">
        <f>IF(E1875&lt;&gt;"", HYPERLINK("https://www.kegg.jp/dbget-bin/www_bget?ec:" &amp; E1875, "https://www.kegg.jp/dbget-bin/www_bget?ec:" &amp; E1875), "")</f>
        <v/>
      </c>
      <c r="G1875" s="3"/>
      <c r="H1875" s="1" t="str">
        <f>IF(G1875&lt;&gt;"", HYPERLINK("https://www.kegg.jp/entry/" &amp; G1875, "https://www.kegg.jp/entry/" &amp; G1875), "")</f>
        <v/>
      </c>
    </row>
    <row r="1876" spans="1:10" hidden="1" x14ac:dyDescent="0.25">
      <c r="A1876" t="s">
        <v>3493</v>
      </c>
      <c r="B1876">
        <v>623</v>
      </c>
      <c r="C1876" t="s">
        <v>3494</v>
      </c>
      <c r="F1876" s="1" t="str">
        <f>IF(E1876&lt;&gt;"", HYPERLINK("https://www.kegg.jp/dbget-bin/www_bget?ec:" &amp; E1876, "https://www.kegg.jp/dbget-bin/www_bget?ec:" &amp; E1876), "")</f>
        <v/>
      </c>
      <c r="G1876" s="3"/>
      <c r="H1876" s="1" t="str">
        <f>IF(G1876&lt;&gt;"", HYPERLINK("https://www.kegg.jp/entry/" &amp; G1876, "https://www.kegg.jp/entry/" &amp; G1876), "")</f>
        <v/>
      </c>
    </row>
    <row r="1877" spans="1:10" hidden="1" x14ac:dyDescent="0.25">
      <c r="A1877" t="s">
        <v>3496</v>
      </c>
      <c r="B1877">
        <v>258</v>
      </c>
      <c r="C1877" t="s">
        <v>3497</v>
      </c>
      <c r="F1877" s="1" t="str">
        <f>IF(E1877&lt;&gt;"", HYPERLINK("https://www.kegg.jp/dbget-bin/www_bget?ec:" &amp; E1877, "https://www.kegg.jp/dbget-bin/www_bget?ec:" &amp; E1877), "")</f>
        <v/>
      </c>
      <c r="G1877" s="3"/>
      <c r="H1877" s="1" t="str">
        <f>IF(G1877&lt;&gt;"", HYPERLINK("https://www.kegg.jp/entry/" &amp; G1877, "https://www.kegg.jp/entry/" &amp; G1877), "")</f>
        <v/>
      </c>
    </row>
    <row r="1878" spans="1:10" hidden="1" x14ac:dyDescent="0.25">
      <c r="A1878" t="s">
        <v>3498</v>
      </c>
      <c r="B1878">
        <v>332</v>
      </c>
      <c r="C1878" t="s">
        <v>3499</v>
      </c>
      <c r="F1878" s="1" t="str">
        <f>IF(E1878&lt;&gt;"", HYPERLINK("https://www.kegg.jp/dbget-bin/www_bget?ec:" &amp; E1878, "https://www.kegg.jp/dbget-bin/www_bget?ec:" &amp; E1878), "")</f>
        <v/>
      </c>
      <c r="G1878" s="3"/>
      <c r="H1878" s="1" t="str">
        <f>IF(G1878&lt;&gt;"", HYPERLINK("https://www.kegg.jp/entry/" &amp; G1878, "https://www.kegg.jp/entry/" &amp; G1878), "")</f>
        <v/>
      </c>
    </row>
    <row r="1879" spans="1:10" hidden="1" x14ac:dyDescent="0.25">
      <c r="A1879" t="s">
        <v>3501</v>
      </c>
      <c r="B1879">
        <v>258</v>
      </c>
      <c r="C1879" t="s">
        <v>3502</v>
      </c>
      <c r="F1879" s="1" t="str">
        <f>IF(E1879&lt;&gt;"", HYPERLINK("https://www.kegg.jp/dbget-bin/www_bget?ec:" &amp; E1879, "https://www.kegg.jp/dbget-bin/www_bget?ec:" &amp; E1879), "")</f>
        <v/>
      </c>
      <c r="G1879" s="3"/>
      <c r="H1879" s="1" t="str">
        <f>IF(G1879&lt;&gt;"", HYPERLINK("https://www.kegg.jp/entry/" &amp; G1879, "https://www.kegg.jp/entry/" &amp; G1879), "")</f>
        <v/>
      </c>
    </row>
    <row r="1880" spans="1:10" hidden="1" x14ac:dyDescent="0.25">
      <c r="A1880" t="s">
        <v>3503</v>
      </c>
      <c r="B1880">
        <v>174</v>
      </c>
      <c r="C1880" t="s">
        <v>3504</v>
      </c>
      <c r="F1880" s="1" t="str">
        <f>IF(E1880&lt;&gt;"", HYPERLINK("https://www.kegg.jp/dbget-bin/www_bget?ec:" &amp; E1880, "https://www.kegg.jp/dbget-bin/www_bget?ec:" &amp; E1880), "")</f>
        <v/>
      </c>
      <c r="G1880" s="3"/>
      <c r="H1880" s="1" t="str">
        <f>IF(G1880&lt;&gt;"", HYPERLINK("https://www.kegg.jp/entry/" &amp; G1880, "https://www.kegg.jp/entry/" &amp; G1880), "")</f>
        <v/>
      </c>
    </row>
    <row r="1881" spans="1:10" x14ac:dyDescent="0.25">
      <c r="A1881" t="s">
        <v>3506</v>
      </c>
      <c r="B1881">
        <v>526</v>
      </c>
      <c r="C1881" t="s">
        <v>3507</v>
      </c>
      <c r="D1881" t="s">
        <v>6893</v>
      </c>
      <c r="E1881" s="5" t="s">
        <v>7789</v>
      </c>
      <c r="F1881" s="1" t="str">
        <f>IF(E1881&lt;&gt;"", HYPERLINK("https://www.kegg.jp/dbget-bin/www_bget?ec:" &amp; E1881, "https://www.kegg.jp/dbget-bin/www_bget?ec:" &amp; E1881), "")</f>
        <v>https://www.kegg.jp/dbget-bin/www_bget?ec:2.3.3.21</v>
      </c>
      <c r="G1881" s="9" t="s">
        <v>7790</v>
      </c>
      <c r="H1881" s="1" t="str">
        <f>IF(G1881&lt;&gt;"", HYPERLINK("https://www.kegg.jp/entry/" &amp; G1881, "https://www.kegg.jp/entry/" &amp; G1881), "")</f>
        <v>https://www.kegg.jp/entry/R07399</v>
      </c>
      <c r="I1881" t="s">
        <v>13437</v>
      </c>
      <c r="J1881" t="s">
        <v>13438</v>
      </c>
    </row>
    <row r="1882" spans="1:10" hidden="1" x14ac:dyDescent="0.25">
      <c r="A1882" t="s">
        <v>3509</v>
      </c>
      <c r="B1882">
        <v>173</v>
      </c>
      <c r="C1882" t="s">
        <v>3510</v>
      </c>
      <c r="F1882" s="1" t="str">
        <f>IF(E1882&lt;&gt;"", HYPERLINK("https://www.kegg.jp/dbget-bin/www_bget?ec:" &amp; E1882, "https://www.kegg.jp/dbget-bin/www_bget?ec:" &amp; E1882), "")</f>
        <v/>
      </c>
      <c r="G1882" s="3"/>
      <c r="H1882" s="1" t="str">
        <f>IF(G1882&lt;&gt;"", HYPERLINK("https://www.kegg.jp/entry/" &amp; G1882, "https://www.kegg.jp/entry/" &amp; G1882), "")</f>
        <v/>
      </c>
    </row>
    <row r="1883" spans="1:10" x14ac:dyDescent="0.25">
      <c r="A1883" t="s">
        <v>3512</v>
      </c>
      <c r="B1883">
        <v>520</v>
      </c>
      <c r="C1883" t="s">
        <v>3513</v>
      </c>
      <c r="E1883" s="5" t="s">
        <v>6894</v>
      </c>
      <c r="F1883" s="1" t="str">
        <f>IF(E1883&lt;&gt;"", HYPERLINK("https://www.kegg.jp/dbget-bin/www_bget?ec:" &amp; E1883, "https://www.kegg.jp/dbget-bin/www_bget?ec:" &amp; E1883), "")</f>
        <v>https://www.kegg.jp/dbget-bin/www_bget?ec:2.3.3.13</v>
      </c>
      <c r="G1883" s="3" t="s">
        <v>7231</v>
      </c>
      <c r="H1883" s="1" t="str">
        <f>IF(G1883&lt;&gt;"", HYPERLINK("https://www.kegg.jp/entry/" &amp; G1883, "https://www.kegg.jp/entry/" &amp; G1883), "")</f>
        <v>https://www.kegg.jp/entry/R01213</v>
      </c>
      <c r="I1883" t="s">
        <v>13439</v>
      </c>
      <c r="J1883" t="s">
        <v>13440</v>
      </c>
    </row>
    <row r="1884" spans="1:10" x14ac:dyDescent="0.25">
      <c r="A1884" t="s">
        <v>3515</v>
      </c>
      <c r="B1884">
        <v>337</v>
      </c>
      <c r="C1884" t="s">
        <v>3516</v>
      </c>
      <c r="E1884" s="5" t="s">
        <v>6895</v>
      </c>
      <c r="F1884" s="1" t="str">
        <f>IF(E1884&lt;&gt;"", HYPERLINK("https://www.kegg.jp/dbget-bin/www_bget?ec:" &amp; E1884, "https://www.kegg.jp/dbget-bin/www_bget?ec:" &amp; E1884), "")</f>
        <v>https://www.kegg.jp/dbget-bin/www_bget?ec:1.1.1.86</v>
      </c>
      <c r="G1884" s="9" t="s">
        <v>7791</v>
      </c>
      <c r="H1884" s="1" t="str">
        <f>IF(G1884&lt;&gt;"", HYPERLINK("https://www.kegg.jp/entry/" &amp; G1884, "https://www.kegg.jp/entry/" &amp; G1884), "")</f>
        <v>https://www.kegg.jp/entry/R04439</v>
      </c>
      <c r="I1884" t="s">
        <v>13441</v>
      </c>
      <c r="J1884" t="s">
        <v>13442</v>
      </c>
    </row>
    <row r="1885" spans="1:10" x14ac:dyDescent="0.25">
      <c r="A1885" t="s">
        <v>3515</v>
      </c>
      <c r="B1885">
        <v>337</v>
      </c>
      <c r="C1885" t="s">
        <v>3516</v>
      </c>
      <c r="E1885" s="5" t="s">
        <v>6895</v>
      </c>
      <c r="F1885" s="1" t="str">
        <f>IF(E1885&lt;&gt;"", HYPERLINK("https://www.kegg.jp/dbget-bin/www_bget?ec:" &amp; E1885, "https://www.kegg.jp/dbget-bin/www_bget?ec:" &amp; E1885), "")</f>
        <v>https://www.kegg.jp/dbget-bin/www_bget?ec:1.1.1.86</v>
      </c>
      <c r="G1885" s="9" t="s">
        <v>7796</v>
      </c>
      <c r="H1885" s="1" t="str">
        <f>IF(G1885&lt;&gt;"", HYPERLINK("https://www.kegg.jp/entry/" &amp; G1885, "https://www.kegg.jp/entry/" &amp; G1885), "")</f>
        <v>https://www.kegg.jp/entry/R03051</v>
      </c>
      <c r="I1885" t="s">
        <v>13443</v>
      </c>
      <c r="J1885" t="s">
        <v>13444</v>
      </c>
    </row>
    <row r="1886" spans="1:10" x14ac:dyDescent="0.25">
      <c r="A1886" t="s">
        <v>3515</v>
      </c>
      <c r="B1886">
        <v>337</v>
      </c>
      <c r="C1886" t="s">
        <v>3516</v>
      </c>
      <c r="E1886" s="5" t="s">
        <v>6895</v>
      </c>
      <c r="F1886" s="1" t="str">
        <f>IF(E1886&lt;&gt;"", HYPERLINK("https://www.kegg.jp/dbget-bin/www_bget?ec:" &amp; E1886, "https://www.kegg.jp/dbget-bin/www_bget?ec:" &amp; E1886), "")</f>
        <v>https://www.kegg.jp/dbget-bin/www_bget?ec:1.1.1.86</v>
      </c>
      <c r="G1886" s="9" t="s">
        <v>7795</v>
      </c>
      <c r="H1886" s="1" t="str">
        <f>IF(G1886&lt;&gt;"", HYPERLINK("https://www.kegg.jp/entry/" &amp; G1886, "https://www.kegg.jp/entry/" &amp; G1886), "")</f>
        <v>https://www.kegg.jp/entry/R04440</v>
      </c>
      <c r="I1886" t="s">
        <v>13441</v>
      </c>
      <c r="J1886" t="s">
        <v>13445</v>
      </c>
    </row>
    <row r="1887" spans="1:10" x14ac:dyDescent="0.25">
      <c r="A1887" t="s">
        <v>3515</v>
      </c>
      <c r="B1887">
        <v>337</v>
      </c>
      <c r="C1887" t="s">
        <v>3516</v>
      </c>
      <c r="E1887" s="5" t="s">
        <v>6895</v>
      </c>
      <c r="F1887" s="1" t="str">
        <f>IF(E1887&lt;&gt;"", HYPERLINK("https://www.kegg.jp/dbget-bin/www_bget?ec:" &amp; E1887, "https://www.kegg.jp/dbget-bin/www_bget?ec:" &amp; E1887), "")</f>
        <v>https://www.kegg.jp/dbget-bin/www_bget?ec:1.1.1.86</v>
      </c>
      <c r="G1887" s="9" t="s">
        <v>7794</v>
      </c>
      <c r="H1887" s="1" t="str">
        <f>IF(G1887&lt;&gt;"", HYPERLINK("https://www.kegg.jp/entry/" &amp; G1887, "https://www.kegg.jp/entry/" &amp; G1887), "")</f>
        <v>https://www.kegg.jp/entry/R05068</v>
      </c>
      <c r="I1887" t="s">
        <v>13446</v>
      </c>
      <c r="J1887" t="s">
        <v>13447</v>
      </c>
    </row>
    <row r="1888" spans="1:10" x14ac:dyDescent="0.25">
      <c r="A1888" t="s">
        <v>3515</v>
      </c>
      <c r="B1888">
        <v>337</v>
      </c>
      <c r="C1888" t="s">
        <v>3516</v>
      </c>
      <c r="E1888" s="5" t="s">
        <v>6895</v>
      </c>
      <c r="F1888" s="1" t="str">
        <f>IF(E1888&lt;&gt;"", HYPERLINK("https://www.kegg.jp/dbget-bin/www_bget?ec:" &amp; E1888, "https://www.kegg.jp/dbget-bin/www_bget?ec:" &amp; E1888), "")</f>
        <v>https://www.kegg.jp/dbget-bin/www_bget?ec:1.1.1.86</v>
      </c>
      <c r="G1888" s="9" t="s">
        <v>7793</v>
      </c>
      <c r="H1888" s="1" t="str">
        <f>IF(G1888&lt;&gt;"", HYPERLINK("https://www.kegg.jp/entry/" &amp; G1888, "https://www.kegg.jp/entry/" &amp; G1888), "")</f>
        <v>https://www.kegg.jp/entry/R05069</v>
      </c>
      <c r="I1888" t="s">
        <v>8298</v>
      </c>
      <c r="J1888" t="s">
        <v>8568</v>
      </c>
    </row>
    <row r="1889" spans="1:10" x14ac:dyDescent="0.25">
      <c r="A1889" t="s">
        <v>3515</v>
      </c>
      <c r="B1889">
        <v>337</v>
      </c>
      <c r="C1889" t="s">
        <v>3516</v>
      </c>
      <c r="E1889" s="5" t="s">
        <v>6895</v>
      </c>
      <c r="F1889" s="1" t="str">
        <f>IF(E1889&lt;&gt;"", HYPERLINK("https://www.kegg.jp/dbget-bin/www_bget?ec:" &amp; E1889, "https://www.kegg.jp/dbget-bin/www_bget?ec:" &amp; E1889), "")</f>
        <v>https://www.kegg.jp/dbget-bin/www_bget?ec:1.1.1.86</v>
      </c>
      <c r="G1889" s="9" t="s">
        <v>7792</v>
      </c>
      <c r="H1889" s="1" t="str">
        <f>IF(G1889&lt;&gt;"", HYPERLINK("https://www.kegg.jp/entry/" &amp; G1889, "https://www.kegg.jp/entry/" &amp; G1889), "")</f>
        <v>https://www.kegg.jp/entry/R05071</v>
      </c>
      <c r="I1889" t="s">
        <v>8299</v>
      </c>
      <c r="J1889" t="s">
        <v>8569</v>
      </c>
    </row>
    <row r="1890" spans="1:10" x14ac:dyDescent="0.25">
      <c r="A1890" t="s">
        <v>3518</v>
      </c>
      <c r="B1890">
        <v>170</v>
      </c>
      <c r="C1890" t="s">
        <v>3519</v>
      </c>
      <c r="E1890" s="5" t="s">
        <v>6896</v>
      </c>
      <c r="F1890" s="1" t="str">
        <f>IF(E1890&lt;&gt;"", HYPERLINK("https://www.kegg.jp/dbget-bin/www_bget?ec:" &amp; E1890, "https://www.kegg.jp/dbget-bin/www_bget?ec:" &amp; E1890), "")</f>
        <v>https://www.kegg.jp/dbget-bin/www_bget?ec:2.2.1.6</v>
      </c>
      <c r="G1890" s="9" t="s">
        <v>7797</v>
      </c>
      <c r="H1890" s="1" t="str">
        <f>IF(G1890&lt;&gt;"", HYPERLINK("https://www.kegg.jp/entry/" &amp; G1890, "https://www.kegg.jp/entry/" &amp; G1890), "")</f>
        <v>https://www.kegg.jp/entry/R00006</v>
      </c>
      <c r="I1890" t="s">
        <v>13448</v>
      </c>
      <c r="J1890" t="s">
        <v>8570</v>
      </c>
    </row>
    <row r="1891" spans="1:10" x14ac:dyDescent="0.25">
      <c r="A1891" t="s">
        <v>3518</v>
      </c>
      <c r="B1891">
        <v>170</v>
      </c>
      <c r="C1891" t="s">
        <v>3519</v>
      </c>
      <c r="E1891" s="5" t="s">
        <v>6896</v>
      </c>
      <c r="F1891" s="1" t="str">
        <f>IF(E1891&lt;&gt;"", HYPERLINK("https://www.kegg.jp/dbget-bin/www_bget?ec:" &amp; E1891, "https://www.kegg.jp/dbget-bin/www_bget?ec:" &amp; E1891), "")</f>
        <v>https://www.kegg.jp/dbget-bin/www_bget?ec:2.2.1.6</v>
      </c>
      <c r="G1891" s="9" t="s">
        <v>7803</v>
      </c>
      <c r="H1891" s="1" t="str">
        <f>IF(G1891&lt;&gt;"", HYPERLINK("https://www.kegg.jp/entry/" &amp; G1891, "https://www.kegg.jp/entry/" &amp; G1891), "")</f>
        <v>https://www.kegg.jp/entry/R00226</v>
      </c>
      <c r="I1891" t="s">
        <v>13449</v>
      </c>
      <c r="J1891" t="s">
        <v>8570</v>
      </c>
    </row>
    <row r="1892" spans="1:10" x14ac:dyDescent="0.25">
      <c r="A1892" t="s">
        <v>3518</v>
      </c>
      <c r="B1892">
        <v>170</v>
      </c>
      <c r="C1892" t="s">
        <v>3519</v>
      </c>
      <c r="E1892" s="5" t="s">
        <v>6896</v>
      </c>
      <c r="F1892" s="1" t="str">
        <f>IF(E1892&lt;&gt;"", HYPERLINK("https://www.kegg.jp/dbget-bin/www_bget?ec:" &amp; E1892, "https://www.kegg.jp/dbget-bin/www_bget?ec:" &amp; E1892), "")</f>
        <v>https://www.kegg.jp/dbget-bin/www_bget?ec:2.2.1.6</v>
      </c>
      <c r="G1892" s="9" t="s">
        <v>7802</v>
      </c>
      <c r="H1892" s="1" t="str">
        <f>IF(G1892&lt;&gt;"", HYPERLINK("https://www.kegg.jp/entry/" &amp; G1892, "https://www.kegg.jp/entry/" &amp; G1892), "")</f>
        <v>https://www.kegg.jp/entry/R00014</v>
      </c>
      <c r="I1892" t="s">
        <v>8300</v>
      </c>
      <c r="J1892" t="s">
        <v>13450</v>
      </c>
    </row>
    <row r="1893" spans="1:10" x14ac:dyDescent="0.25">
      <c r="A1893" t="s">
        <v>3518</v>
      </c>
      <c r="B1893">
        <v>170</v>
      </c>
      <c r="C1893" t="s">
        <v>3519</v>
      </c>
      <c r="E1893" s="5" t="s">
        <v>6896</v>
      </c>
      <c r="F1893" s="1" t="str">
        <f>IF(E1893&lt;&gt;"", HYPERLINK("https://www.kegg.jp/dbget-bin/www_bget?ec:" &amp; E1893, "https://www.kegg.jp/dbget-bin/www_bget?ec:" &amp; E1893), "")</f>
        <v>https://www.kegg.jp/dbget-bin/www_bget?ec:2.2.1.6</v>
      </c>
      <c r="G1893" s="9" t="s">
        <v>7801</v>
      </c>
      <c r="H1893" s="1" t="str">
        <f>IF(G1893&lt;&gt;"", HYPERLINK("https://www.kegg.jp/entry/" &amp; G1893, "https://www.kegg.jp/entry/" &amp; G1893), "")</f>
        <v>https://www.kegg.jp/entry/R03050</v>
      </c>
      <c r="I1893" t="s">
        <v>13451</v>
      </c>
      <c r="J1893" t="s">
        <v>13452</v>
      </c>
    </row>
    <row r="1894" spans="1:10" x14ac:dyDescent="0.25">
      <c r="A1894" t="s">
        <v>3518</v>
      </c>
      <c r="B1894">
        <v>170</v>
      </c>
      <c r="C1894" t="s">
        <v>3519</v>
      </c>
      <c r="E1894" s="5" t="s">
        <v>6896</v>
      </c>
      <c r="F1894" s="1" t="str">
        <f>IF(E1894&lt;&gt;"", HYPERLINK("https://www.kegg.jp/dbget-bin/www_bget?ec:" &amp; E1894, "https://www.kegg.jp/dbget-bin/www_bget?ec:" &amp; E1894), "")</f>
        <v>https://www.kegg.jp/dbget-bin/www_bget?ec:2.2.1.6</v>
      </c>
      <c r="G1894" s="9" t="s">
        <v>7800</v>
      </c>
      <c r="H1894" s="1" t="str">
        <f>IF(G1894&lt;&gt;"", HYPERLINK("https://www.kegg.jp/entry/" &amp; G1894, "https://www.kegg.jp/entry/" &amp; G1894), "")</f>
        <v>https://www.kegg.jp/entry/R04672</v>
      </c>
      <c r="I1894" t="s">
        <v>13453</v>
      </c>
      <c r="J1894" t="s">
        <v>13452</v>
      </c>
    </row>
    <row r="1895" spans="1:10" x14ac:dyDescent="0.25">
      <c r="A1895" t="s">
        <v>3518</v>
      </c>
      <c r="B1895">
        <v>170</v>
      </c>
      <c r="C1895" t="s">
        <v>3519</v>
      </c>
      <c r="E1895" s="5" t="s">
        <v>6896</v>
      </c>
      <c r="F1895" s="1" t="str">
        <f>IF(E1895&lt;&gt;"", HYPERLINK("https://www.kegg.jp/dbget-bin/www_bget?ec:" &amp; E1895, "https://www.kegg.jp/dbget-bin/www_bget?ec:" &amp; E1895), "")</f>
        <v>https://www.kegg.jp/dbget-bin/www_bget?ec:2.2.1.6</v>
      </c>
      <c r="G1895" s="9" t="s">
        <v>7799</v>
      </c>
      <c r="H1895" s="1" t="str">
        <f>IF(G1895&lt;&gt;"", HYPERLINK("https://www.kegg.jp/entry/" &amp; G1895, "https://www.kegg.jp/entry/" &amp; G1895), "")</f>
        <v>https://www.kegg.jp/entry/R04673</v>
      </c>
      <c r="I1895" t="s">
        <v>8301</v>
      </c>
      <c r="J1895" t="s">
        <v>13454</v>
      </c>
    </row>
    <row r="1896" spans="1:10" x14ac:dyDescent="0.25">
      <c r="A1896" t="s">
        <v>3518</v>
      </c>
      <c r="B1896">
        <v>170</v>
      </c>
      <c r="C1896" t="s">
        <v>3519</v>
      </c>
      <c r="E1896" s="5" t="s">
        <v>6896</v>
      </c>
      <c r="F1896" s="1" t="str">
        <f>IF(E1896&lt;&gt;"", HYPERLINK("https://www.kegg.jp/dbget-bin/www_bget?ec:" &amp; E1896, "https://www.kegg.jp/dbget-bin/www_bget?ec:" &amp; E1896), "")</f>
        <v>https://www.kegg.jp/dbget-bin/www_bget?ec:2.2.1.6</v>
      </c>
      <c r="G1896" s="9" t="s">
        <v>7798</v>
      </c>
      <c r="H1896" s="1" t="str">
        <f>IF(G1896&lt;&gt;"", HYPERLINK("https://www.kegg.jp/entry/" &amp; G1896, "https://www.kegg.jp/entry/" &amp; G1896), "")</f>
        <v>https://www.kegg.jp/entry/R08648</v>
      </c>
      <c r="I1896" t="s">
        <v>8302</v>
      </c>
      <c r="J1896" t="s">
        <v>13455</v>
      </c>
    </row>
    <row r="1897" spans="1:10" x14ac:dyDescent="0.25">
      <c r="A1897" t="s">
        <v>3521</v>
      </c>
      <c r="B1897">
        <v>561</v>
      </c>
      <c r="C1897" t="s">
        <v>3522</v>
      </c>
      <c r="E1897" s="5" t="s">
        <v>6896</v>
      </c>
      <c r="F1897" s="1" t="str">
        <f>IF(E1897&lt;&gt;"", HYPERLINK("https://www.kegg.jp/dbget-bin/www_bget?ec:" &amp; E1897, "https://www.kegg.jp/dbget-bin/www_bget?ec:" &amp; E1897), "")</f>
        <v>https://www.kegg.jp/dbget-bin/www_bget?ec:2.2.1.6</v>
      </c>
      <c r="G1897" s="9" t="s">
        <v>7797</v>
      </c>
      <c r="H1897" s="1" t="str">
        <f>IF(G1897&lt;&gt;"", HYPERLINK("https://www.kegg.jp/entry/" &amp; G1897, "https://www.kegg.jp/entry/" &amp; G1897), "")</f>
        <v>https://www.kegg.jp/entry/R00006</v>
      </c>
      <c r="I1897" t="s">
        <v>13448</v>
      </c>
      <c r="J1897" t="s">
        <v>8570</v>
      </c>
    </row>
    <row r="1898" spans="1:10" x14ac:dyDescent="0.25">
      <c r="A1898" t="s">
        <v>3521</v>
      </c>
      <c r="B1898">
        <v>561</v>
      </c>
      <c r="C1898" t="s">
        <v>3522</v>
      </c>
      <c r="E1898" s="5" t="s">
        <v>6896</v>
      </c>
      <c r="F1898" s="1" t="str">
        <f>IF(E1898&lt;&gt;"", HYPERLINK("https://www.kegg.jp/dbget-bin/www_bget?ec:" &amp; E1898, "https://www.kegg.jp/dbget-bin/www_bget?ec:" &amp; E1898), "")</f>
        <v>https://www.kegg.jp/dbget-bin/www_bget?ec:2.2.1.6</v>
      </c>
      <c r="G1898" s="9" t="s">
        <v>7803</v>
      </c>
      <c r="H1898" s="1" t="str">
        <f>IF(G1898&lt;&gt;"", HYPERLINK("https://www.kegg.jp/entry/" &amp; G1898, "https://www.kegg.jp/entry/" &amp; G1898), "")</f>
        <v>https://www.kegg.jp/entry/R00226</v>
      </c>
      <c r="I1898" t="s">
        <v>13449</v>
      </c>
      <c r="J1898" t="s">
        <v>8570</v>
      </c>
    </row>
    <row r="1899" spans="1:10" x14ac:dyDescent="0.25">
      <c r="A1899" t="s">
        <v>3521</v>
      </c>
      <c r="B1899">
        <v>561</v>
      </c>
      <c r="C1899" t="s">
        <v>3522</v>
      </c>
      <c r="E1899" s="5" t="s">
        <v>6896</v>
      </c>
      <c r="F1899" s="1" t="str">
        <f>IF(E1899&lt;&gt;"", HYPERLINK("https://www.kegg.jp/dbget-bin/www_bget?ec:" &amp; E1899, "https://www.kegg.jp/dbget-bin/www_bget?ec:" &amp; E1899), "")</f>
        <v>https://www.kegg.jp/dbget-bin/www_bget?ec:2.2.1.6</v>
      </c>
      <c r="G1899" s="9" t="s">
        <v>7802</v>
      </c>
      <c r="H1899" s="1" t="str">
        <f>IF(G1899&lt;&gt;"", HYPERLINK("https://www.kegg.jp/entry/" &amp; G1899, "https://www.kegg.jp/entry/" &amp; G1899), "")</f>
        <v>https://www.kegg.jp/entry/R00014</v>
      </c>
      <c r="I1899" t="s">
        <v>8300</v>
      </c>
      <c r="J1899" t="s">
        <v>13450</v>
      </c>
    </row>
    <row r="1900" spans="1:10" x14ac:dyDescent="0.25">
      <c r="A1900" t="s">
        <v>3521</v>
      </c>
      <c r="B1900">
        <v>561</v>
      </c>
      <c r="C1900" t="s">
        <v>3522</v>
      </c>
      <c r="E1900" s="5" t="s">
        <v>6896</v>
      </c>
      <c r="F1900" s="1" t="str">
        <f>IF(E1900&lt;&gt;"", HYPERLINK("https://www.kegg.jp/dbget-bin/www_bget?ec:" &amp; E1900, "https://www.kegg.jp/dbget-bin/www_bget?ec:" &amp; E1900), "")</f>
        <v>https://www.kegg.jp/dbget-bin/www_bget?ec:2.2.1.6</v>
      </c>
      <c r="G1900" s="9" t="s">
        <v>7801</v>
      </c>
      <c r="H1900" s="1" t="str">
        <f>IF(G1900&lt;&gt;"", HYPERLINK("https://www.kegg.jp/entry/" &amp; G1900, "https://www.kegg.jp/entry/" &amp; G1900), "")</f>
        <v>https://www.kegg.jp/entry/R03050</v>
      </c>
      <c r="I1900" t="s">
        <v>13451</v>
      </c>
      <c r="J1900" t="s">
        <v>13452</v>
      </c>
    </row>
    <row r="1901" spans="1:10" x14ac:dyDescent="0.25">
      <c r="A1901" t="s">
        <v>3521</v>
      </c>
      <c r="B1901">
        <v>561</v>
      </c>
      <c r="C1901" t="s">
        <v>3522</v>
      </c>
      <c r="E1901" s="5" t="s">
        <v>6896</v>
      </c>
      <c r="F1901" s="1" t="str">
        <f>IF(E1901&lt;&gt;"", HYPERLINK("https://www.kegg.jp/dbget-bin/www_bget?ec:" &amp; E1901, "https://www.kegg.jp/dbget-bin/www_bget?ec:" &amp; E1901), "")</f>
        <v>https://www.kegg.jp/dbget-bin/www_bget?ec:2.2.1.6</v>
      </c>
      <c r="G1901" s="9" t="s">
        <v>7800</v>
      </c>
      <c r="H1901" s="1" t="str">
        <f>IF(G1901&lt;&gt;"", HYPERLINK("https://www.kegg.jp/entry/" &amp; G1901, "https://www.kegg.jp/entry/" &amp; G1901), "")</f>
        <v>https://www.kegg.jp/entry/R04672</v>
      </c>
      <c r="I1901" t="s">
        <v>13453</v>
      </c>
      <c r="J1901" t="s">
        <v>13452</v>
      </c>
    </row>
    <row r="1902" spans="1:10" x14ac:dyDescent="0.25">
      <c r="A1902" t="s">
        <v>3521</v>
      </c>
      <c r="B1902">
        <v>561</v>
      </c>
      <c r="C1902" t="s">
        <v>3522</v>
      </c>
      <c r="E1902" s="5" t="s">
        <v>6896</v>
      </c>
      <c r="F1902" s="1" t="str">
        <f>IF(E1902&lt;&gt;"", HYPERLINK("https://www.kegg.jp/dbget-bin/www_bget?ec:" &amp; E1902, "https://www.kegg.jp/dbget-bin/www_bget?ec:" &amp; E1902), "")</f>
        <v>https://www.kegg.jp/dbget-bin/www_bget?ec:2.2.1.6</v>
      </c>
      <c r="G1902" s="9" t="s">
        <v>7799</v>
      </c>
      <c r="H1902" s="1" t="str">
        <f>IF(G1902&lt;&gt;"", HYPERLINK("https://www.kegg.jp/entry/" &amp; G1902, "https://www.kegg.jp/entry/" &amp; G1902), "")</f>
        <v>https://www.kegg.jp/entry/R04673</v>
      </c>
      <c r="I1902" t="s">
        <v>8301</v>
      </c>
      <c r="J1902" t="s">
        <v>13454</v>
      </c>
    </row>
    <row r="1903" spans="1:10" x14ac:dyDescent="0.25">
      <c r="A1903" t="s">
        <v>3521</v>
      </c>
      <c r="B1903">
        <v>561</v>
      </c>
      <c r="C1903" t="s">
        <v>3522</v>
      </c>
      <c r="E1903" s="5" t="s">
        <v>6896</v>
      </c>
      <c r="F1903" s="1" t="str">
        <f>IF(E1903&lt;&gt;"", HYPERLINK("https://www.kegg.jp/dbget-bin/www_bget?ec:" &amp; E1903, "https://www.kegg.jp/dbget-bin/www_bget?ec:" &amp; E1903), "")</f>
        <v>https://www.kegg.jp/dbget-bin/www_bget?ec:2.2.1.6</v>
      </c>
      <c r="G1903" s="9" t="s">
        <v>7798</v>
      </c>
      <c r="H1903" s="1" t="str">
        <f>IF(G1903&lt;&gt;"", HYPERLINK("https://www.kegg.jp/entry/" &amp; G1903, "https://www.kegg.jp/entry/" &amp; G1903), "")</f>
        <v>https://www.kegg.jp/entry/R08648</v>
      </c>
      <c r="I1903" t="s">
        <v>8302</v>
      </c>
      <c r="J1903" t="s">
        <v>13455</v>
      </c>
    </row>
    <row r="1904" spans="1:10" x14ac:dyDescent="0.25">
      <c r="A1904" t="s">
        <v>3524</v>
      </c>
      <c r="B1904">
        <v>323</v>
      </c>
      <c r="C1904" t="s">
        <v>3525</v>
      </c>
      <c r="E1904" s="5" t="s">
        <v>6897</v>
      </c>
      <c r="F1904" s="1" t="str">
        <f>IF(E1904&lt;&gt;"", HYPERLINK("https://www.kegg.jp/dbget-bin/www_bget?ec:" &amp; E1904, "https://www.kegg.jp/dbget-bin/www_bget?ec:" &amp; E1904), "")</f>
        <v>https://www.kegg.jp/dbget-bin/www_bget?ec:1.8.1.9</v>
      </c>
      <c r="G1904" s="9" t="s">
        <v>7804</v>
      </c>
      <c r="H1904" s="1" t="str">
        <f>IF(G1904&lt;&gt;"", HYPERLINK("https://www.kegg.jp/entry/" &amp; G1904, "https://www.kegg.jp/entry/" &amp; G1904), "")</f>
        <v>https://www.kegg.jp/entry/R02016</v>
      </c>
      <c r="I1904" t="s">
        <v>13456</v>
      </c>
      <c r="J1904" t="s">
        <v>13457</v>
      </c>
    </row>
    <row r="1905" spans="1:10" x14ac:dyDescent="0.25">
      <c r="A1905" t="s">
        <v>3524</v>
      </c>
      <c r="B1905">
        <v>323</v>
      </c>
      <c r="C1905" t="s">
        <v>3525</v>
      </c>
      <c r="E1905" s="5" t="s">
        <v>6897</v>
      </c>
      <c r="F1905" s="1" t="str">
        <f>IF(E1905&lt;&gt;"", HYPERLINK("https://www.kegg.jp/dbget-bin/www_bget?ec:" &amp; E1905, "https://www.kegg.jp/dbget-bin/www_bget?ec:" &amp; E1905), "")</f>
        <v>https://www.kegg.jp/dbget-bin/www_bget?ec:1.8.1.9</v>
      </c>
      <c r="G1905" s="9" t="s">
        <v>7807</v>
      </c>
      <c r="H1905" s="1" t="str">
        <f>IF(G1905&lt;&gt;"", HYPERLINK("https://www.kegg.jp/entry/" &amp; G1905, "https://www.kegg.jp/entry/" &amp; G1905), "")</f>
        <v>https://www.kegg.jp/entry/R00900</v>
      </c>
      <c r="I1905" t="s">
        <v>13458</v>
      </c>
      <c r="J1905" t="s">
        <v>13459</v>
      </c>
    </row>
    <row r="1906" spans="1:10" x14ac:dyDescent="0.25">
      <c r="A1906" t="s">
        <v>3524</v>
      </c>
      <c r="B1906">
        <v>323</v>
      </c>
      <c r="C1906" t="s">
        <v>3525</v>
      </c>
      <c r="E1906" s="5" t="s">
        <v>6897</v>
      </c>
      <c r="F1906" s="1" t="str">
        <f>IF(E1906&lt;&gt;"", HYPERLINK("https://www.kegg.jp/dbget-bin/www_bget?ec:" &amp; E1906, "https://www.kegg.jp/dbget-bin/www_bget?ec:" &amp; E1906), "")</f>
        <v>https://www.kegg.jp/dbget-bin/www_bget?ec:1.8.1.9</v>
      </c>
      <c r="G1906" s="9" t="s">
        <v>7806</v>
      </c>
      <c r="H1906" s="1" t="str">
        <f>IF(G1906&lt;&gt;"", HYPERLINK("https://www.kegg.jp/entry/" &amp; G1906, "https://www.kegg.jp/entry/" &amp; G1906), "")</f>
        <v>https://www.kegg.jp/entry/R03596</v>
      </c>
      <c r="I1906" t="s">
        <v>13460</v>
      </c>
      <c r="J1906" t="s">
        <v>13461</v>
      </c>
    </row>
    <row r="1907" spans="1:10" x14ac:dyDescent="0.25">
      <c r="A1907" t="s">
        <v>3524</v>
      </c>
      <c r="B1907">
        <v>323</v>
      </c>
      <c r="C1907" t="s">
        <v>3525</v>
      </c>
      <c r="E1907" s="5" t="s">
        <v>6897</v>
      </c>
      <c r="F1907" s="1" t="str">
        <f>IF(E1907&lt;&gt;"", HYPERLINK("https://www.kegg.jp/dbget-bin/www_bget?ec:" &amp; E1907, "https://www.kegg.jp/dbget-bin/www_bget?ec:" &amp; E1907), "")</f>
        <v>https://www.kegg.jp/dbget-bin/www_bget?ec:1.8.1.9</v>
      </c>
      <c r="G1907" s="9" t="s">
        <v>7805</v>
      </c>
      <c r="H1907" s="1" t="str">
        <f>IF(G1907&lt;&gt;"", HYPERLINK("https://www.kegg.jp/entry/" &amp; G1907, "https://www.kegg.jp/entry/" &amp; G1907), "")</f>
        <v>https://www.kegg.jp/entry/R09372</v>
      </c>
      <c r="I1907" t="s">
        <v>8303</v>
      </c>
      <c r="J1907" t="s">
        <v>13462</v>
      </c>
    </row>
    <row r="1908" spans="1:10" hidden="1" x14ac:dyDescent="0.25">
      <c r="A1908" t="s">
        <v>3527</v>
      </c>
      <c r="B1908">
        <v>156</v>
      </c>
      <c r="C1908" t="s">
        <v>3528</v>
      </c>
      <c r="F1908" s="1" t="str">
        <f>IF(E1908&lt;&gt;"", HYPERLINK("https://www.kegg.jp/dbget-bin/www_bget?ec:" &amp; E1908, "https://www.kegg.jp/dbget-bin/www_bget?ec:" &amp; E1908), "")</f>
        <v/>
      </c>
      <c r="G1908" s="3"/>
      <c r="H1908" s="1" t="str">
        <f>IF(G1908&lt;&gt;"", HYPERLINK("https://www.kegg.jp/entry/" &amp; G1908, "https://www.kegg.jp/entry/" &amp; G1908), "")</f>
        <v/>
      </c>
    </row>
    <row r="1909" spans="1:10" x14ac:dyDescent="0.25">
      <c r="A1909" t="s">
        <v>3530</v>
      </c>
      <c r="B1909">
        <v>466</v>
      </c>
      <c r="C1909" t="s">
        <v>3531</v>
      </c>
      <c r="E1909" s="5" t="s">
        <v>6898</v>
      </c>
      <c r="F1909" s="1" t="str">
        <f>IF(E1909&lt;&gt;"", HYPERLINK("https://www.kegg.jp/dbget-bin/www_bget?ec:" &amp; E1909, "https://www.kegg.jp/dbget-bin/www_bget?ec:" &amp; E1909), "")</f>
        <v>https://www.kegg.jp/dbget-bin/www_bget?ec:4.2.1.2</v>
      </c>
      <c r="G1909" s="3" t="s">
        <v>7232</v>
      </c>
      <c r="H1909" s="1" t="str">
        <f>IF(G1909&lt;&gt;"", HYPERLINK("https://www.kegg.jp/entry/" &amp; G1909, "https://www.kegg.jp/entry/" &amp; G1909), "")</f>
        <v>https://www.kegg.jp/entry/R01082</v>
      </c>
      <c r="I1909" t="s">
        <v>8304</v>
      </c>
      <c r="J1909" t="s">
        <v>13463</v>
      </c>
    </row>
    <row r="1910" spans="1:10" x14ac:dyDescent="0.25">
      <c r="A1910" t="s">
        <v>3533</v>
      </c>
      <c r="B1910">
        <v>204</v>
      </c>
      <c r="C1910" t="s">
        <v>3534</v>
      </c>
      <c r="E1910" s="5" t="s">
        <v>6899</v>
      </c>
      <c r="F1910" s="1" t="str">
        <f>IF(E1910&lt;&gt;"", HYPERLINK("https://www.kegg.jp/dbget-bin/www_bget?ec:" &amp; E1910, "https://www.kegg.jp/dbget-bin/www_bget?ec:" &amp; E1910), "")</f>
        <v>https://www.kegg.jp/dbget-bin/www_bget?ec:1.15.1.1</v>
      </c>
      <c r="G1910" s="3" t="s">
        <v>7233</v>
      </c>
      <c r="H1910" s="1" t="str">
        <f>IF(G1910&lt;&gt;"", HYPERLINK("https://www.kegg.jp/entry/" &amp; G1910, "https://www.kegg.jp/entry/" &amp; G1910), "")</f>
        <v>https://www.kegg.jp/entry/R00275</v>
      </c>
      <c r="I1910" t="s">
        <v>13464</v>
      </c>
      <c r="J1910" t="s">
        <v>13465</v>
      </c>
    </row>
    <row r="1911" spans="1:10" hidden="1" x14ac:dyDescent="0.25">
      <c r="A1911" t="s">
        <v>3536</v>
      </c>
      <c r="B1911">
        <v>221</v>
      </c>
      <c r="C1911" t="s">
        <v>3537</v>
      </c>
      <c r="F1911" s="1" t="str">
        <f>IF(E1911&lt;&gt;"", HYPERLINK("https://www.kegg.jp/dbget-bin/www_bget?ec:" &amp; E1911, "https://www.kegg.jp/dbget-bin/www_bget?ec:" &amp; E1911), "")</f>
        <v/>
      </c>
      <c r="G1911" s="3"/>
      <c r="H1911" s="1" t="str">
        <f>IF(G1911&lt;&gt;"", HYPERLINK("https://www.kegg.jp/entry/" &amp; G1911, "https://www.kegg.jp/entry/" &amp; G1911), "")</f>
        <v/>
      </c>
    </row>
    <row r="1912" spans="1:10" hidden="1" x14ac:dyDescent="0.25">
      <c r="A1912" t="s">
        <v>3538</v>
      </c>
      <c r="B1912">
        <v>552</v>
      </c>
      <c r="C1912" t="s">
        <v>3539</v>
      </c>
      <c r="F1912" s="1" t="str">
        <f>IF(E1912&lt;&gt;"", HYPERLINK("https://www.kegg.jp/dbget-bin/www_bget?ec:" &amp; E1912, "https://www.kegg.jp/dbget-bin/www_bget?ec:" &amp; E1912), "")</f>
        <v/>
      </c>
      <c r="G1912" s="3"/>
      <c r="H1912" s="1" t="str">
        <f>IF(G1912&lt;&gt;"", HYPERLINK("https://www.kegg.jp/entry/" &amp; G1912, "https://www.kegg.jp/entry/" &amp; G1912), "")</f>
        <v/>
      </c>
    </row>
    <row r="1913" spans="1:10" hidden="1" x14ac:dyDescent="0.25">
      <c r="A1913" t="s">
        <v>3541</v>
      </c>
      <c r="B1913">
        <v>156</v>
      </c>
      <c r="C1913" t="s">
        <v>3542</v>
      </c>
      <c r="F1913" s="1" t="str">
        <f>IF(E1913&lt;&gt;"", HYPERLINK("https://www.kegg.jp/dbget-bin/www_bget?ec:" &amp; E1913, "https://www.kegg.jp/dbget-bin/www_bget?ec:" &amp; E1913), "")</f>
        <v/>
      </c>
      <c r="G1913" s="3"/>
      <c r="H1913" s="1" t="str">
        <f>IF(G1913&lt;&gt;"", HYPERLINK("https://www.kegg.jp/entry/" &amp; G1913, "https://www.kegg.jp/entry/" &amp; G1913), "")</f>
        <v/>
      </c>
    </row>
    <row r="1914" spans="1:10" hidden="1" x14ac:dyDescent="0.25">
      <c r="A1914" t="s">
        <v>3544</v>
      </c>
      <c r="B1914">
        <v>118</v>
      </c>
      <c r="C1914" t="s">
        <v>3545</v>
      </c>
      <c r="F1914" s="1" t="str">
        <f>IF(E1914&lt;&gt;"", HYPERLINK("https://www.kegg.jp/dbget-bin/www_bget?ec:" &amp; E1914, "https://www.kegg.jp/dbget-bin/www_bget?ec:" &amp; E1914), "")</f>
        <v/>
      </c>
      <c r="G1914" s="3"/>
      <c r="H1914" s="1" t="str">
        <f>IF(G1914&lt;&gt;"", HYPERLINK("https://www.kegg.jp/entry/" &amp; G1914, "https://www.kegg.jp/entry/" &amp; G1914), "")</f>
        <v/>
      </c>
    </row>
    <row r="1915" spans="1:10" hidden="1" x14ac:dyDescent="0.25">
      <c r="A1915" t="s">
        <v>3547</v>
      </c>
      <c r="B1915">
        <v>64</v>
      </c>
      <c r="C1915" t="s">
        <v>3548</v>
      </c>
      <c r="F1915" s="1" t="str">
        <f>IF(E1915&lt;&gt;"", HYPERLINK("https://www.kegg.jp/dbget-bin/www_bget?ec:" &amp; E1915, "https://www.kegg.jp/dbget-bin/www_bget?ec:" &amp; E1915), "")</f>
        <v/>
      </c>
      <c r="G1915" s="3"/>
      <c r="H1915" s="1" t="str">
        <f>IF(G1915&lt;&gt;"", HYPERLINK("https://www.kegg.jp/entry/" &amp; G1915, "https://www.kegg.jp/entry/" &amp; G1915), "")</f>
        <v/>
      </c>
    </row>
    <row r="1916" spans="1:10" hidden="1" x14ac:dyDescent="0.25">
      <c r="A1916" t="s">
        <v>3550</v>
      </c>
      <c r="B1916">
        <v>157</v>
      </c>
      <c r="C1916" t="s">
        <v>3551</v>
      </c>
      <c r="F1916" s="1" t="str">
        <f>IF(E1916&lt;&gt;"", HYPERLINK("https://www.kegg.jp/dbget-bin/www_bget?ec:" &amp; E1916, "https://www.kegg.jp/dbget-bin/www_bget?ec:" &amp; E1916), "")</f>
        <v/>
      </c>
      <c r="G1916" s="3"/>
      <c r="H1916" s="1" t="str">
        <f>IF(G1916&lt;&gt;"", HYPERLINK("https://www.kegg.jp/entry/" &amp; G1916, "https://www.kegg.jp/entry/" &amp; G1916), "")</f>
        <v/>
      </c>
    </row>
    <row r="1917" spans="1:10" x14ac:dyDescent="0.25">
      <c r="A1917" t="s">
        <v>3552</v>
      </c>
      <c r="B1917">
        <v>253</v>
      </c>
      <c r="C1917" t="s">
        <v>3553</v>
      </c>
      <c r="E1917" s="5" t="s">
        <v>6647</v>
      </c>
      <c r="F1917" s="1" t="str">
        <f>IF(E1917&lt;&gt;"", HYPERLINK("https://www.kegg.jp/dbget-bin/www_bget?ec:" &amp; E1917, "https://www.kegg.jp/dbget-bin/www_bget?ec:" &amp; E1917), "")</f>
        <v>https://www.kegg.jp/dbget-bin/www_bget?ec:4.2.1.17</v>
      </c>
      <c r="G1917" s="3" t="s">
        <v>7396</v>
      </c>
      <c r="H1917" s="1" t="str">
        <f>IF(G1917&lt;&gt;"", HYPERLINK("https://www.kegg.jp/entry/" &amp; G1917, "https://www.kegg.jp/entry/" &amp; G1917), "")</f>
        <v>https://www.kegg.jp/entry/R02685</v>
      </c>
      <c r="I1917" t="s">
        <v>8116</v>
      </c>
      <c r="J1917" t="s">
        <v>12839</v>
      </c>
    </row>
    <row r="1918" spans="1:10" x14ac:dyDescent="0.25">
      <c r="A1918" t="s">
        <v>3552</v>
      </c>
      <c r="B1918">
        <v>253</v>
      </c>
      <c r="C1918" t="s">
        <v>3553</v>
      </c>
      <c r="E1918" s="5" t="s">
        <v>6647</v>
      </c>
      <c r="F1918" s="1" t="str">
        <f>IF(E1918&lt;&gt;"", HYPERLINK("https://www.kegg.jp/dbget-bin/www_bget?ec:" &amp; E1918, "https://www.kegg.jp/dbget-bin/www_bget?ec:" &amp; E1918), "")</f>
        <v>https://www.kegg.jp/dbget-bin/www_bget?ec:4.2.1.17</v>
      </c>
      <c r="G1918" s="3" t="s">
        <v>7417</v>
      </c>
      <c r="H1918" s="1" t="str">
        <f>IF(G1918&lt;&gt;"", HYPERLINK("https://www.kegg.jp/entry/" &amp; G1918, "https://www.kegg.jp/entry/" &amp; G1918), "")</f>
        <v>https://www.kegg.jp/entry/R03026</v>
      </c>
      <c r="I1918" t="s">
        <v>8117</v>
      </c>
      <c r="J1918" t="s">
        <v>12840</v>
      </c>
    </row>
    <row r="1919" spans="1:10" x14ac:dyDescent="0.25">
      <c r="A1919" t="s">
        <v>3552</v>
      </c>
      <c r="B1919">
        <v>253</v>
      </c>
      <c r="C1919" t="s">
        <v>3553</v>
      </c>
      <c r="E1919" s="5" t="s">
        <v>6647</v>
      </c>
      <c r="F1919" s="1" t="str">
        <f>IF(E1919&lt;&gt;"", HYPERLINK("https://www.kegg.jp/dbget-bin/www_bget?ec:" &amp; E1919, "https://www.kegg.jp/dbget-bin/www_bget?ec:" &amp; E1919), "")</f>
        <v>https://www.kegg.jp/dbget-bin/www_bget?ec:4.2.1.17</v>
      </c>
      <c r="G1919" s="3" t="s">
        <v>7416</v>
      </c>
      <c r="H1919" s="1" t="str">
        <f>IF(G1919&lt;&gt;"", HYPERLINK("https://www.kegg.jp/entry/" &amp; G1919, "https://www.kegg.jp/entry/" &amp; G1919), "")</f>
        <v>https://www.kegg.jp/entry/R03045</v>
      </c>
      <c r="I1919" t="s">
        <v>8118</v>
      </c>
      <c r="J1919" t="s">
        <v>12841</v>
      </c>
    </row>
    <row r="1920" spans="1:10" x14ac:dyDescent="0.25">
      <c r="A1920" t="s">
        <v>3552</v>
      </c>
      <c r="B1920">
        <v>253</v>
      </c>
      <c r="C1920" t="s">
        <v>3553</v>
      </c>
      <c r="E1920" s="5" t="s">
        <v>6647</v>
      </c>
      <c r="F1920" s="1" t="str">
        <f>IF(E1920&lt;&gt;"", HYPERLINK("https://www.kegg.jp/dbget-bin/www_bget?ec:" &amp; E1920, "https://www.kegg.jp/dbget-bin/www_bget?ec:" &amp; E1920), "")</f>
        <v>https://www.kegg.jp/dbget-bin/www_bget?ec:4.2.1.17</v>
      </c>
      <c r="G1920" s="3" t="s">
        <v>7415</v>
      </c>
      <c r="H1920" s="1" t="str">
        <f>IF(G1920&lt;&gt;"", HYPERLINK("https://www.kegg.jp/entry/" &amp; G1920, "https://www.kegg.jp/entry/" &amp; G1920), "")</f>
        <v>https://www.kegg.jp/entry/R04170</v>
      </c>
      <c r="I1920" t="s">
        <v>8119</v>
      </c>
      <c r="J1920" t="s">
        <v>12842</v>
      </c>
    </row>
    <row r="1921" spans="1:10" x14ac:dyDescent="0.25">
      <c r="A1921" t="s">
        <v>3552</v>
      </c>
      <c r="B1921">
        <v>253</v>
      </c>
      <c r="C1921" t="s">
        <v>3553</v>
      </c>
      <c r="E1921" s="5" t="s">
        <v>6647</v>
      </c>
      <c r="F1921" s="1" t="str">
        <f>IF(E1921&lt;&gt;"", HYPERLINK("https://www.kegg.jp/dbget-bin/www_bget?ec:" &amp; E1921, "https://www.kegg.jp/dbget-bin/www_bget?ec:" &amp; E1921), "")</f>
        <v>https://www.kegg.jp/dbget-bin/www_bget?ec:4.2.1.17</v>
      </c>
      <c r="G1921" s="3" t="s">
        <v>7414</v>
      </c>
      <c r="H1921" s="1" t="str">
        <f>IF(G1921&lt;&gt;"", HYPERLINK("https://www.kegg.jp/entry/" &amp; G1921, "https://www.kegg.jp/entry/" &amp; G1921), "")</f>
        <v>https://www.kegg.jp/entry/R04204</v>
      </c>
      <c r="I1921" t="s">
        <v>8120</v>
      </c>
      <c r="J1921" t="s">
        <v>12843</v>
      </c>
    </row>
    <row r="1922" spans="1:10" x14ac:dyDescent="0.25">
      <c r="A1922" t="s">
        <v>3552</v>
      </c>
      <c r="B1922">
        <v>253</v>
      </c>
      <c r="C1922" t="s">
        <v>3553</v>
      </c>
      <c r="E1922" s="5" t="s">
        <v>6647</v>
      </c>
      <c r="F1922" s="1" t="str">
        <f>IF(E1922&lt;&gt;"", HYPERLINK("https://www.kegg.jp/dbget-bin/www_bget?ec:" &amp; E1922, "https://www.kegg.jp/dbget-bin/www_bget?ec:" &amp; E1922), "")</f>
        <v>https://www.kegg.jp/dbget-bin/www_bget?ec:4.2.1.17</v>
      </c>
      <c r="G1922" s="3" t="s">
        <v>7413</v>
      </c>
      <c r="H1922" s="1" t="str">
        <f>IF(G1922&lt;&gt;"", HYPERLINK("https://www.kegg.jp/entry/" &amp; G1922, "https://www.kegg.jp/entry/" &amp; G1922), "")</f>
        <v>https://www.kegg.jp/entry/R04224</v>
      </c>
      <c r="I1922" t="s">
        <v>12844</v>
      </c>
      <c r="J1922" t="s">
        <v>8410</v>
      </c>
    </row>
    <row r="1923" spans="1:10" x14ac:dyDescent="0.25">
      <c r="A1923" t="s">
        <v>3552</v>
      </c>
      <c r="B1923">
        <v>253</v>
      </c>
      <c r="C1923" t="s">
        <v>3553</v>
      </c>
      <c r="E1923" s="5" t="s">
        <v>6647</v>
      </c>
      <c r="F1923" s="1" t="str">
        <f>IF(E1923&lt;&gt;"", HYPERLINK("https://www.kegg.jp/dbget-bin/www_bget?ec:" &amp; E1923, "https://www.kegg.jp/dbget-bin/www_bget?ec:" &amp; E1923), "")</f>
        <v>https://www.kegg.jp/dbget-bin/www_bget?ec:4.2.1.17</v>
      </c>
      <c r="G1923" s="3" t="s">
        <v>7412</v>
      </c>
      <c r="H1923" s="1" t="str">
        <f>IF(G1923&lt;&gt;"", HYPERLINK("https://www.kegg.jp/entry/" &amp; G1923, "https://www.kegg.jp/entry/" &amp; G1923), "")</f>
        <v>https://www.kegg.jp/entry/R04738</v>
      </c>
      <c r="I1923" t="s">
        <v>8121</v>
      </c>
      <c r="J1923" t="s">
        <v>12845</v>
      </c>
    </row>
    <row r="1924" spans="1:10" x14ac:dyDescent="0.25">
      <c r="A1924" t="s">
        <v>3552</v>
      </c>
      <c r="B1924">
        <v>253</v>
      </c>
      <c r="C1924" t="s">
        <v>3553</v>
      </c>
      <c r="E1924" s="5" t="s">
        <v>6647</v>
      </c>
      <c r="F1924" s="1" t="str">
        <f>IF(E1924&lt;&gt;"", HYPERLINK("https://www.kegg.jp/dbget-bin/www_bget?ec:" &amp; E1924, "https://www.kegg.jp/dbget-bin/www_bget?ec:" &amp; E1924), "")</f>
        <v>https://www.kegg.jp/dbget-bin/www_bget?ec:4.2.1.17</v>
      </c>
      <c r="G1924" s="3" t="s">
        <v>7411</v>
      </c>
      <c r="H1924" s="1" t="str">
        <f>IF(G1924&lt;&gt;"", HYPERLINK("https://www.kegg.jp/entry/" &amp; G1924, "https://www.kegg.jp/entry/" &amp; G1924), "")</f>
        <v>https://www.kegg.jp/entry/R04740</v>
      </c>
      <c r="I1924" t="s">
        <v>8122</v>
      </c>
      <c r="J1924" t="s">
        <v>12846</v>
      </c>
    </row>
    <row r="1925" spans="1:10" x14ac:dyDescent="0.25">
      <c r="A1925" t="s">
        <v>3552</v>
      </c>
      <c r="B1925">
        <v>253</v>
      </c>
      <c r="C1925" t="s">
        <v>3553</v>
      </c>
      <c r="E1925" s="5" t="s">
        <v>6647</v>
      </c>
      <c r="F1925" s="1" t="str">
        <f>IF(E1925&lt;&gt;"", HYPERLINK("https://www.kegg.jp/dbget-bin/www_bget?ec:" &amp; E1925, "https://www.kegg.jp/dbget-bin/www_bget?ec:" &amp; E1925), "")</f>
        <v>https://www.kegg.jp/dbget-bin/www_bget?ec:4.2.1.17</v>
      </c>
      <c r="G1925" s="3" t="s">
        <v>7410</v>
      </c>
      <c r="H1925" s="1" t="str">
        <f>IF(G1925&lt;&gt;"", HYPERLINK("https://www.kegg.jp/entry/" &amp; G1925, "https://www.kegg.jp/entry/" &amp; G1925), "")</f>
        <v>https://www.kegg.jp/entry/R04744</v>
      </c>
      <c r="I1925" t="s">
        <v>8123</v>
      </c>
      <c r="J1925" t="s">
        <v>12847</v>
      </c>
    </row>
    <row r="1926" spans="1:10" x14ac:dyDescent="0.25">
      <c r="A1926" t="s">
        <v>3552</v>
      </c>
      <c r="B1926">
        <v>253</v>
      </c>
      <c r="C1926" t="s">
        <v>3553</v>
      </c>
      <c r="E1926" s="5" t="s">
        <v>6647</v>
      </c>
      <c r="F1926" s="1" t="str">
        <f>IF(E1926&lt;&gt;"", HYPERLINK("https://www.kegg.jp/dbget-bin/www_bget?ec:" &amp; E1926, "https://www.kegg.jp/dbget-bin/www_bget?ec:" &amp; E1926), "")</f>
        <v>https://www.kegg.jp/dbget-bin/www_bget?ec:4.2.1.17</v>
      </c>
      <c r="G1926" s="3" t="s">
        <v>7409</v>
      </c>
      <c r="H1926" s="1" t="str">
        <f>IF(G1926&lt;&gt;"", HYPERLINK("https://www.kegg.jp/entry/" &amp; G1926, "https://www.kegg.jp/entry/" &amp; G1926), "")</f>
        <v>https://www.kegg.jp/entry/R04746</v>
      </c>
      <c r="I1926" t="s">
        <v>8124</v>
      </c>
      <c r="J1926" t="s">
        <v>12848</v>
      </c>
    </row>
    <row r="1927" spans="1:10" x14ac:dyDescent="0.25">
      <c r="A1927" t="s">
        <v>3552</v>
      </c>
      <c r="B1927">
        <v>253</v>
      </c>
      <c r="C1927" t="s">
        <v>3553</v>
      </c>
      <c r="E1927" s="5" t="s">
        <v>6647</v>
      </c>
      <c r="F1927" s="1" t="str">
        <f>IF(E1927&lt;&gt;"", HYPERLINK("https://www.kegg.jp/dbget-bin/www_bget?ec:" &amp; E1927, "https://www.kegg.jp/dbget-bin/www_bget?ec:" &amp; E1927), "")</f>
        <v>https://www.kegg.jp/dbget-bin/www_bget?ec:4.2.1.17</v>
      </c>
      <c r="G1927" s="3" t="s">
        <v>7408</v>
      </c>
      <c r="H1927" s="1" t="str">
        <f>IF(G1927&lt;&gt;"", HYPERLINK("https://www.kegg.jp/entry/" &amp; G1927, "https://www.kegg.jp/entry/" &amp; G1927), "")</f>
        <v>https://www.kegg.jp/entry/R04749</v>
      </c>
      <c r="I1927" t="s">
        <v>8125</v>
      </c>
      <c r="J1927" t="s">
        <v>12849</v>
      </c>
    </row>
    <row r="1928" spans="1:10" x14ac:dyDescent="0.25">
      <c r="A1928" t="s">
        <v>3552</v>
      </c>
      <c r="B1928">
        <v>253</v>
      </c>
      <c r="C1928" t="s">
        <v>3553</v>
      </c>
      <c r="E1928" s="5" t="s">
        <v>6647</v>
      </c>
      <c r="F1928" s="1" t="str">
        <f>IF(E1928&lt;&gt;"", HYPERLINK("https://www.kegg.jp/dbget-bin/www_bget?ec:" &amp; E1928, "https://www.kegg.jp/dbget-bin/www_bget?ec:" &amp; E1928), "")</f>
        <v>https://www.kegg.jp/dbget-bin/www_bget?ec:4.2.1.17</v>
      </c>
      <c r="G1928" s="3" t="s">
        <v>7407</v>
      </c>
      <c r="H1928" s="1" t="str">
        <f>IF(G1928&lt;&gt;"", HYPERLINK("https://www.kegg.jp/entry/" &amp; G1928, "https://www.kegg.jp/entry/" &amp; G1928), "")</f>
        <v>https://www.kegg.jp/entry/R07889</v>
      </c>
      <c r="I1928" t="s">
        <v>8126</v>
      </c>
      <c r="J1928" t="s">
        <v>12850</v>
      </c>
    </row>
    <row r="1929" spans="1:10" x14ac:dyDescent="0.25">
      <c r="A1929" t="s">
        <v>3552</v>
      </c>
      <c r="B1929">
        <v>253</v>
      </c>
      <c r="C1929" t="s">
        <v>3553</v>
      </c>
      <c r="E1929" s="5" t="s">
        <v>6647</v>
      </c>
      <c r="F1929" s="1" t="str">
        <f>IF(E1929&lt;&gt;"", HYPERLINK("https://www.kegg.jp/dbget-bin/www_bget?ec:" &amp; E1929, "https://www.kegg.jp/dbget-bin/www_bget?ec:" &amp; E1929), "")</f>
        <v>https://www.kegg.jp/dbget-bin/www_bget?ec:4.2.1.17</v>
      </c>
      <c r="G1929" s="3" t="s">
        <v>7406</v>
      </c>
      <c r="H1929" s="1" t="str">
        <f>IF(G1929&lt;&gt;"", HYPERLINK("https://www.kegg.jp/entry/" &amp; G1929, "https://www.kegg.jp/entry/" &amp; G1929), "")</f>
        <v>https://www.kegg.jp/entry/R07893</v>
      </c>
      <c r="I1929" t="s">
        <v>8127</v>
      </c>
      <c r="J1929" t="s">
        <v>12851</v>
      </c>
    </row>
    <row r="1930" spans="1:10" x14ac:dyDescent="0.25">
      <c r="A1930" t="s">
        <v>3552</v>
      </c>
      <c r="B1930">
        <v>253</v>
      </c>
      <c r="C1930" t="s">
        <v>3553</v>
      </c>
      <c r="E1930" s="5" t="s">
        <v>6647</v>
      </c>
      <c r="F1930" s="1" t="str">
        <f>IF(E1930&lt;&gt;"", HYPERLINK("https://www.kegg.jp/dbget-bin/www_bget?ec:" &amp; E1930, "https://www.kegg.jp/dbget-bin/www_bget?ec:" &amp; E1930), "")</f>
        <v>https://www.kegg.jp/dbget-bin/www_bget?ec:4.2.1.17</v>
      </c>
      <c r="G1930" s="3" t="s">
        <v>7405</v>
      </c>
      <c r="H1930" s="1" t="str">
        <f>IF(G1930&lt;&gt;"", HYPERLINK("https://www.kegg.jp/entry/" &amp; G1930, "https://www.kegg.jp/entry/" &amp; G1930), "")</f>
        <v>https://www.kegg.jp/entry/R07897</v>
      </c>
      <c r="I1930" t="s">
        <v>8128</v>
      </c>
      <c r="J1930" t="s">
        <v>12852</v>
      </c>
    </row>
    <row r="1931" spans="1:10" x14ac:dyDescent="0.25">
      <c r="A1931" t="s">
        <v>3552</v>
      </c>
      <c r="B1931">
        <v>253</v>
      </c>
      <c r="C1931" t="s">
        <v>3553</v>
      </c>
      <c r="E1931" s="5" t="s">
        <v>6647</v>
      </c>
      <c r="F1931" s="1" t="str">
        <f>IF(E1931&lt;&gt;"", HYPERLINK("https://www.kegg.jp/dbget-bin/www_bget?ec:" &amp; E1931, "https://www.kegg.jp/dbget-bin/www_bget?ec:" &amp; E1931), "")</f>
        <v>https://www.kegg.jp/dbget-bin/www_bget?ec:4.2.1.17</v>
      </c>
      <c r="G1931" s="3" t="s">
        <v>7404</v>
      </c>
      <c r="H1931" s="1" t="str">
        <f>IF(G1931&lt;&gt;"", HYPERLINK("https://www.kegg.jp/entry/" &amp; G1931, "https://www.kegg.jp/entry/" &amp; G1931), "")</f>
        <v>https://www.kegg.jp/entry/R07314</v>
      </c>
      <c r="I1931" t="s">
        <v>8116</v>
      </c>
      <c r="J1931" t="s">
        <v>12853</v>
      </c>
    </row>
    <row r="1932" spans="1:10" x14ac:dyDescent="0.25">
      <c r="A1932" t="s">
        <v>3552</v>
      </c>
      <c r="B1932">
        <v>253</v>
      </c>
      <c r="C1932" t="s">
        <v>3553</v>
      </c>
      <c r="E1932" s="5" t="s">
        <v>6647</v>
      </c>
      <c r="F1932" s="1" t="str">
        <f>IF(E1932&lt;&gt;"", HYPERLINK("https://www.kegg.jp/dbget-bin/www_bget?ec:" &amp; E1932, "https://www.kegg.jp/dbget-bin/www_bget?ec:" &amp; E1932), "")</f>
        <v>https://www.kegg.jp/dbget-bin/www_bget?ec:4.2.1.17</v>
      </c>
      <c r="G1932" s="3" t="s">
        <v>7403</v>
      </c>
      <c r="H1932" s="1" t="str">
        <f>IF(G1932&lt;&gt;"", HYPERLINK("https://www.kegg.jp/entry/" &amp; G1932, "https://www.kegg.jp/entry/" &amp; G1932), "")</f>
        <v>https://www.kegg.jp/entry/R03224</v>
      </c>
      <c r="I1932" t="s">
        <v>8129</v>
      </c>
      <c r="J1932" t="s">
        <v>12854</v>
      </c>
    </row>
    <row r="1933" spans="1:10" x14ac:dyDescent="0.25">
      <c r="A1933" t="s">
        <v>3552</v>
      </c>
      <c r="B1933">
        <v>253</v>
      </c>
      <c r="C1933" t="s">
        <v>3553</v>
      </c>
      <c r="E1933" s="5" t="s">
        <v>6647</v>
      </c>
      <c r="F1933" s="1" t="str">
        <f>IF(E1933&lt;&gt;"", HYPERLINK("https://www.kegg.jp/dbget-bin/www_bget?ec:" &amp; E1933, "https://www.kegg.jp/dbget-bin/www_bget?ec:" &amp; E1933), "")</f>
        <v>https://www.kegg.jp/dbget-bin/www_bget?ec:4.2.1.17</v>
      </c>
      <c r="G1933" s="3" t="s">
        <v>7402</v>
      </c>
      <c r="H1933" s="1" t="str">
        <f>IF(G1933&lt;&gt;"", HYPERLINK("https://www.kegg.jp/entry/" &amp; G1933, "https://www.kegg.jp/entry/" &amp; G1933), "")</f>
        <v>https://www.kegg.jp/entry/R04137</v>
      </c>
      <c r="I1933" t="s">
        <v>8130</v>
      </c>
      <c r="J1933" t="s">
        <v>12855</v>
      </c>
    </row>
    <row r="1934" spans="1:10" x14ac:dyDescent="0.25">
      <c r="A1934" t="s">
        <v>3552</v>
      </c>
      <c r="B1934">
        <v>253</v>
      </c>
      <c r="C1934" t="s">
        <v>3553</v>
      </c>
      <c r="E1934" s="5" t="s">
        <v>6647</v>
      </c>
      <c r="F1934" s="1" t="str">
        <f>IF(E1934&lt;&gt;"", HYPERLINK("https://www.kegg.jp/dbget-bin/www_bget?ec:" &amp; E1934, "https://www.kegg.jp/dbget-bin/www_bget?ec:" &amp; E1934), "")</f>
        <v>https://www.kegg.jp/dbget-bin/www_bget?ec:4.2.1.17</v>
      </c>
      <c r="G1934" s="3" t="s">
        <v>7401</v>
      </c>
      <c r="H1934" s="1" t="str">
        <f>IF(G1934&lt;&gt;"", HYPERLINK("https://www.kegg.jp/entry/" &amp; G1934, "https://www.kegg.jp/entry/" &amp; G1934), "")</f>
        <v>https://www.kegg.jp/entry/R05595</v>
      </c>
      <c r="I1934" t="s">
        <v>12840</v>
      </c>
      <c r="J1934" t="s">
        <v>8411</v>
      </c>
    </row>
    <row r="1935" spans="1:10" x14ac:dyDescent="0.25">
      <c r="A1935" t="s">
        <v>3552</v>
      </c>
      <c r="B1935">
        <v>253</v>
      </c>
      <c r="C1935" t="s">
        <v>3553</v>
      </c>
      <c r="E1935" s="5" t="s">
        <v>6647</v>
      </c>
      <c r="F1935" s="1" t="str">
        <f>IF(E1935&lt;&gt;"", HYPERLINK("https://www.kegg.jp/dbget-bin/www_bget?ec:" &amp; E1935, "https://www.kegg.jp/dbget-bin/www_bget?ec:" &amp; E1935), "")</f>
        <v>https://www.kegg.jp/dbget-bin/www_bget?ec:4.2.1.17</v>
      </c>
      <c r="G1935" s="3" t="s">
        <v>7400</v>
      </c>
      <c r="H1935" s="1" t="str">
        <f>IF(G1935&lt;&gt;"", HYPERLINK("https://www.kegg.jp/entry/" &amp; G1935, "https://www.kegg.jp/entry/" &amp; G1935), "")</f>
        <v>https://www.kegg.jp/entry/R06411</v>
      </c>
      <c r="I1935" t="s">
        <v>12856</v>
      </c>
      <c r="J1935" t="s">
        <v>8412</v>
      </c>
    </row>
    <row r="1936" spans="1:10" x14ac:dyDescent="0.25">
      <c r="A1936" t="s">
        <v>3552</v>
      </c>
      <c r="B1936">
        <v>253</v>
      </c>
      <c r="C1936" t="s">
        <v>3553</v>
      </c>
      <c r="E1936" s="5" t="s">
        <v>6647</v>
      </c>
      <c r="F1936" s="1" t="str">
        <f>IF(E1936&lt;&gt;"", HYPERLINK("https://www.kegg.jp/dbget-bin/www_bget?ec:" &amp; E1936, "https://www.kegg.jp/dbget-bin/www_bget?ec:" &amp; E1936), "")</f>
        <v>https://www.kegg.jp/dbget-bin/www_bget?ec:4.2.1.17</v>
      </c>
      <c r="G1936" s="3" t="s">
        <v>7399</v>
      </c>
      <c r="H1936" s="1" t="str">
        <f>IF(G1936&lt;&gt;"", HYPERLINK("https://www.kegg.jp/entry/" &amp; G1936, "https://www.kegg.jp/entry/" &amp; G1936), "")</f>
        <v>https://www.kegg.jp/entry/R06412</v>
      </c>
      <c r="I1936" t="s">
        <v>12857</v>
      </c>
      <c r="J1936" t="s">
        <v>8412</v>
      </c>
    </row>
    <row r="1937" spans="1:10" x14ac:dyDescent="0.25">
      <c r="A1937" t="s">
        <v>3552</v>
      </c>
      <c r="B1937">
        <v>253</v>
      </c>
      <c r="C1937" t="s">
        <v>3553</v>
      </c>
      <c r="E1937" s="5" t="s">
        <v>6647</v>
      </c>
      <c r="F1937" s="1" t="str">
        <f>IF(E1937&lt;&gt;"", HYPERLINK("https://www.kegg.jp/dbget-bin/www_bget?ec:" &amp; E1937, "https://www.kegg.jp/dbget-bin/www_bget?ec:" &amp; E1937), "")</f>
        <v>https://www.kegg.jp/dbget-bin/www_bget?ec:4.2.1.17</v>
      </c>
      <c r="G1937" s="3" t="s">
        <v>7398</v>
      </c>
      <c r="H1937" s="1" t="str">
        <f>IF(G1937&lt;&gt;"", HYPERLINK("https://www.kegg.jp/entry/" &amp; G1937, "https://www.kegg.jp/entry/" &amp; G1937), "")</f>
        <v>https://www.kegg.jp/entry/R06942</v>
      </c>
      <c r="I1937" t="s">
        <v>12858</v>
      </c>
      <c r="J1937" t="s">
        <v>8413</v>
      </c>
    </row>
    <row r="1938" spans="1:10" x14ac:dyDescent="0.25">
      <c r="A1938" t="s">
        <v>3552</v>
      </c>
      <c r="B1938">
        <v>253</v>
      </c>
      <c r="C1938" t="s">
        <v>3553</v>
      </c>
      <c r="E1938" s="5" t="s">
        <v>6647</v>
      </c>
      <c r="F1938" s="1" t="str">
        <f>IF(E1938&lt;&gt;"", HYPERLINK("https://www.kegg.jp/dbget-bin/www_bget?ec:" &amp; E1938, "https://www.kegg.jp/dbget-bin/www_bget?ec:" &amp; E1938), "")</f>
        <v>https://www.kegg.jp/dbget-bin/www_bget?ec:4.2.1.17</v>
      </c>
      <c r="G1938" s="3" t="s">
        <v>7397</v>
      </c>
      <c r="H1938" s="1" t="str">
        <f>IF(G1938&lt;&gt;"", HYPERLINK("https://www.kegg.jp/entry/" &amp; G1938, "https://www.kegg.jp/entry/" &amp; G1938), "")</f>
        <v>https://www.kegg.jp/entry/R08093</v>
      </c>
      <c r="I1938" t="s">
        <v>12859</v>
      </c>
      <c r="J1938" t="s">
        <v>8414</v>
      </c>
    </row>
    <row r="1939" spans="1:10" x14ac:dyDescent="0.25">
      <c r="A1939" t="s">
        <v>3555</v>
      </c>
      <c r="B1939">
        <v>549</v>
      </c>
      <c r="C1939" t="s">
        <v>3556</v>
      </c>
      <c r="E1939" s="5" t="s">
        <v>6900</v>
      </c>
      <c r="F1939" s="1" t="str">
        <f>IF(E1939&lt;&gt;"", HYPERLINK("https://www.kegg.jp/dbget-bin/www_bget?ec:" &amp; E1939, "https://www.kegg.jp/dbget-bin/www_bget?ec:" &amp; E1939), "")</f>
        <v>https://www.kegg.jp/dbget-bin/www_bget?ec:6.1.1.18</v>
      </c>
      <c r="G1939" s="3" t="s">
        <v>7234</v>
      </c>
      <c r="H1939" s="1" t="str">
        <f>IF(G1939&lt;&gt;"", HYPERLINK("https://www.kegg.jp/entry/" &amp; G1939, "https://www.kegg.jp/entry/" &amp; G1939), "")</f>
        <v>https://www.kegg.jp/entry/R03652</v>
      </c>
      <c r="I1939" t="s">
        <v>8305</v>
      </c>
      <c r="J1939" t="s">
        <v>13466</v>
      </c>
    </row>
    <row r="1940" spans="1:10" hidden="1" x14ac:dyDescent="0.25">
      <c r="A1940" t="s">
        <v>3557</v>
      </c>
      <c r="B1940">
        <v>142</v>
      </c>
      <c r="C1940" t="s">
        <v>3558</v>
      </c>
      <c r="F1940" s="1" t="str">
        <f>IF(E1940&lt;&gt;"", HYPERLINK("https://www.kegg.jp/dbget-bin/www_bget?ec:" &amp; E1940, "https://www.kegg.jp/dbget-bin/www_bget?ec:" &amp; E1940), "")</f>
        <v/>
      </c>
      <c r="G1940" s="3"/>
      <c r="H1940" s="1" t="str">
        <f>IF(G1940&lt;&gt;"", HYPERLINK("https://www.kegg.jp/entry/" &amp; G1940, "https://www.kegg.jp/entry/" &amp; G1940), "")</f>
        <v/>
      </c>
    </row>
    <row r="1941" spans="1:10" hidden="1" x14ac:dyDescent="0.25">
      <c r="A1941" t="s">
        <v>3559</v>
      </c>
      <c r="B1941">
        <v>103</v>
      </c>
      <c r="C1941" t="s">
        <v>3560</v>
      </c>
      <c r="F1941" s="1" t="str">
        <f>IF(E1941&lt;&gt;"", HYPERLINK("https://www.kegg.jp/dbget-bin/www_bget?ec:" &amp; E1941, "https://www.kegg.jp/dbget-bin/www_bget?ec:" &amp; E1941), "")</f>
        <v/>
      </c>
      <c r="G1941" s="3"/>
      <c r="H1941" s="1" t="str">
        <f>IF(G1941&lt;&gt;"", HYPERLINK("https://www.kegg.jp/entry/" &amp; G1941, "https://www.kegg.jp/entry/" &amp; G1941), "")</f>
        <v/>
      </c>
    </row>
    <row r="1942" spans="1:10" hidden="1" x14ac:dyDescent="0.25">
      <c r="A1942" t="s">
        <v>3562</v>
      </c>
      <c r="B1942">
        <v>235</v>
      </c>
      <c r="C1942" t="s">
        <v>3563</v>
      </c>
      <c r="F1942" s="1" t="str">
        <f>IF(E1942&lt;&gt;"", HYPERLINK("https://www.kegg.jp/dbget-bin/www_bget?ec:" &amp; E1942, "https://www.kegg.jp/dbget-bin/www_bget?ec:" &amp; E1942), "")</f>
        <v/>
      </c>
      <c r="G1942" s="3"/>
      <c r="H1942" s="1" t="str">
        <f>IF(G1942&lt;&gt;"", HYPERLINK("https://www.kegg.jp/entry/" &amp; G1942, "https://www.kegg.jp/entry/" &amp; G1942), "")</f>
        <v/>
      </c>
    </row>
    <row r="1943" spans="1:10" x14ac:dyDescent="0.25">
      <c r="A1943" t="s">
        <v>3565</v>
      </c>
      <c r="B1943">
        <v>329</v>
      </c>
      <c r="C1943" t="s">
        <v>3566</v>
      </c>
      <c r="E1943" s="5" t="s">
        <v>6901</v>
      </c>
      <c r="F1943" s="1" t="str">
        <f>IF(E1943&lt;&gt;"", HYPERLINK("https://www.kegg.jp/dbget-bin/www_bget?ec:" &amp; E1943, "https://www.kegg.jp/dbget-bin/www_bget?ec:" &amp; E1943), "")</f>
        <v>https://www.kegg.jp/dbget-bin/www_bget?ec:1.2.1.11</v>
      </c>
      <c r="G1943" s="3" t="s">
        <v>7235</v>
      </c>
      <c r="H1943" s="1" t="str">
        <f>IF(G1943&lt;&gt;"", HYPERLINK("https://www.kegg.jp/entry/" &amp; G1943, "https://www.kegg.jp/entry/" &amp; G1943), "")</f>
        <v>https://www.kegg.jp/entry/R02291</v>
      </c>
      <c r="I1943" t="s">
        <v>13467</v>
      </c>
      <c r="J1943" t="s">
        <v>13468</v>
      </c>
    </row>
    <row r="1944" spans="1:10" hidden="1" x14ac:dyDescent="0.25">
      <c r="A1944" t="s">
        <v>3567</v>
      </c>
      <c r="B1944">
        <v>82</v>
      </c>
      <c r="C1944" t="s">
        <v>3568</v>
      </c>
      <c r="F1944" s="1" t="str">
        <f>IF(E1944&lt;&gt;"", HYPERLINK("https://www.kegg.jp/dbget-bin/www_bget?ec:" &amp; E1944, "https://www.kegg.jp/dbget-bin/www_bget?ec:" &amp; E1944), "")</f>
        <v/>
      </c>
      <c r="G1944" s="3"/>
      <c r="H1944" s="1" t="str">
        <f>IF(G1944&lt;&gt;"", HYPERLINK("https://www.kegg.jp/entry/" &amp; G1944, "https://www.kegg.jp/entry/" &amp; G1944), "")</f>
        <v/>
      </c>
    </row>
    <row r="1945" spans="1:10" hidden="1" x14ac:dyDescent="0.25">
      <c r="A1945" t="s">
        <v>3569</v>
      </c>
      <c r="B1945">
        <v>63</v>
      </c>
      <c r="C1945" t="s">
        <v>3570</v>
      </c>
      <c r="F1945" s="1" t="str">
        <f>IF(E1945&lt;&gt;"", HYPERLINK("https://www.kegg.jp/dbget-bin/www_bget?ec:" &amp; E1945, "https://www.kegg.jp/dbget-bin/www_bget?ec:" &amp; E1945), "")</f>
        <v/>
      </c>
      <c r="G1945" s="3"/>
      <c r="H1945" s="1" t="str">
        <f>IF(G1945&lt;&gt;"", HYPERLINK("https://www.kegg.jp/entry/" &amp; G1945, "https://www.kegg.jp/entry/" &amp; G1945), "")</f>
        <v/>
      </c>
    </row>
    <row r="1946" spans="1:10" x14ac:dyDescent="0.25">
      <c r="A1946" t="s">
        <v>3572</v>
      </c>
      <c r="B1946">
        <v>506</v>
      </c>
      <c r="C1946" t="s">
        <v>3573</v>
      </c>
      <c r="E1946" s="5" t="s">
        <v>6902</v>
      </c>
      <c r="F1946" s="1" t="str">
        <f>IF(E1946&lt;&gt;"", HYPERLINK("https://www.kegg.jp/dbget-bin/www_bget?ec:" &amp; E1946, "https://www.kegg.jp/dbget-bin/www_bget?ec:" &amp; E1946), "")</f>
        <v>https://www.kegg.jp/dbget-bin/www_bget?ec:6.1.1.14</v>
      </c>
      <c r="G1946" s="3" t="s">
        <v>7236</v>
      </c>
      <c r="H1946" s="1" t="str">
        <f>IF(G1946&lt;&gt;"", HYPERLINK("https://www.kegg.jp/entry/" &amp; G1946, "https://www.kegg.jp/entry/" &amp; G1946), "")</f>
        <v>https://www.kegg.jp/entry/R03654</v>
      </c>
      <c r="I1946" t="s">
        <v>8306</v>
      </c>
      <c r="J1946" t="s">
        <v>13469</v>
      </c>
    </row>
    <row r="1947" spans="1:10" hidden="1" x14ac:dyDescent="0.25">
      <c r="A1947" t="s">
        <v>3575</v>
      </c>
      <c r="B1947">
        <v>734</v>
      </c>
      <c r="C1947" t="s">
        <v>3576</v>
      </c>
      <c r="F1947" s="1" t="str">
        <f>IF(E1947&lt;&gt;"", HYPERLINK("https://www.kegg.jp/dbget-bin/www_bget?ec:" &amp; E1947, "https://www.kegg.jp/dbget-bin/www_bget?ec:" &amp; E1947), "")</f>
        <v/>
      </c>
      <c r="G1947" s="3"/>
      <c r="H1947" s="1" t="str">
        <f>IF(G1947&lt;&gt;"", HYPERLINK("https://www.kegg.jp/entry/" &amp; G1947, "https://www.kegg.jp/entry/" &amp; G1947), "")</f>
        <v/>
      </c>
    </row>
    <row r="1948" spans="1:10" hidden="1" x14ac:dyDescent="0.25">
      <c r="A1948" t="s">
        <v>3578</v>
      </c>
      <c r="B1948">
        <v>423</v>
      </c>
      <c r="C1948" t="s">
        <v>3579</v>
      </c>
      <c r="F1948" s="1" t="str">
        <f>IF(E1948&lt;&gt;"", HYPERLINK("https://www.kegg.jp/dbget-bin/www_bget?ec:" &amp; E1948, "https://www.kegg.jp/dbget-bin/www_bget?ec:" &amp; E1948), "")</f>
        <v/>
      </c>
      <c r="G1948" s="3"/>
      <c r="H1948" s="1" t="str">
        <f>IF(G1948&lt;&gt;"", HYPERLINK("https://www.kegg.jp/entry/" &amp; G1948, "https://www.kegg.jp/entry/" &amp; G1948), "")</f>
        <v/>
      </c>
    </row>
    <row r="1949" spans="1:10" hidden="1" x14ac:dyDescent="0.25">
      <c r="A1949" t="s">
        <v>3581</v>
      </c>
      <c r="B1949">
        <v>332</v>
      </c>
      <c r="C1949" t="s">
        <v>3582</v>
      </c>
      <c r="F1949" s="1" t="str">
        <f>IF(E1949&lt;&gt;"", HYPERLINK("https://www.kegg.jp/dbget-bin/www_bget?ec:" &amp; E1949, "https://www.kegg.jp/dbget-bin/www_bget?ec:" &amp; E1949), "")</f>
        <v/>
      </c>
      <c r="G1949" s="3"/>
      <c r="H1949" s="1" t="str">
        <f>IF(G1949&lt;&gt;"", HYPERLINK("https://www.kegg.jp/entry/" &amp; G1949, "https://www.kegg.jp/entry/" &amp; G1949), "")</f>
        <v/>
      </c>
    </row>
    <row r="1950" spans="1:10" hidden="1" x14ac:dyDescent="0.25">
      <c r="A1950" t="s">
        <v>3583</v>
      </c>
      <c r="B1950">
        <v>184</v>
      </c>
      <c r="C1950" t="s">
        <v>3584</v>
      </c>
      <c r="F1950" s="1" t="str">
        <f>IF(E1950&lt;&gt;"", HYPERLINK("https://www.kegg.jp/dbget-bin/www_bget?ec:" &amp; E1950, "https://www.kegg.jp/dbget-bin/www_bget?ec:" &amp; E1950), "")</f>
        <v/>
      </c>
      <c r="G1950" s="3"/>
      <c r="H1950" s="1" t="str">
        <f>IF(G1950&lt;&gt;"", HYPERLINK("https://www.kegg.jp/entry/" &amp; G1950, "https://www.kegg.jp/entry/" &amp; G1950), "")</f>
        <v/>
      </c>
    </row>
    <row r="1951" spans="1:10" x14ac:dyDescent="0.25">
      <c r="A1951" t="s">
        <v>3586</v>
      </c>
      <c r="B1951">
        <v>378</v>
      </c>
      <c r="C1951" t="s">
        <v>3587</v>
      </c>
      <c r="E1951" s="5" t="s">
        <v>6903</v>
      </c>
      <c r="F1951" s="1" t="str">
        <f>IF(E1951&lt;&gt;"", HYPERLINK("https://www.kegg.jp/dbget-bin/www_bget?ec:" &amp; E1951, "https://www.kegg.jp/dbget-bin/www_bget?ec:" &amp; E1951), "")</f>
        <v>https://www.kegg.jp/dbget-bin/www_bget?ec:6.2.1.5</v>
      </c>
      <c r="G1951" s="9" t="s">
        <v>7808</v>
      </c>
      <c r="H1951" s="1" t="str">
        <f>IF(G1951&lt;&gt;"", HYPERLINK("https://www.kegg.jp/entry/" &amp; G1951, "https://www.kegg.jp/entry/" &amp; G1951), "")</f>
        <v>https://www.kegg.jp/entry/R00405</v>
      </c>
      <c r="I1951" t="s">
        <v>13470</v>
      </c>
      <c r="J1951" t="s">
        <v>8571</v>
      </c>
    </row>
    <row r="1952" spans="1:10" x14ac:dyDescent="0.25">
      <c r="A1952" t="s">
        <v>3586</v>
      </c>
      <c r="B1952">
        <v>378</v>
      </c>
      <c r="C1952" t="s">
        <v>3587</v>
      </c>
      <c r="E1952" s="5" t="s">
        <v>6903</v>
      </c>
      <c r="F1952" s="1" t="str">
        <f>IF(E1952&lt;&gt;"", HYPERLINK("https://www.kegg.jp/dbget-bin/www_bget?ec:" &amp; E1952, "https://www.kegg.jp/dbget-bin/www_bget?ec:" &amp; E1952), "")</f>
        <v>https://www.kegg.jp/dbget-bin/www_bget?ec:6.2.1.5</v>
      </c>
      <c r="G1952" s="9" t="s">
        <v>7809</v>
      </c>
      <c r="H1952" s="1" t="str">
        <f>IF(G1952&lt;&gt;"", HYPERLINK("https://www.kegg.jp/entry/" &amp; G1952, "https://www.kegg.jp/entry/" &amp; G1952), "")</f>
        <v>https://www.kegg.jp/entry/R02404</v>
      </c>
      <c r="I1952" t="s">
        <v>13471</v>
      </c>
      <c r="J1952" t="s">
        <v>8572</v>
      </c>
    </row>
    <row r="1953" spans="1:10" x14ac:dyDescent="0.25">
      <c r="A1953" t="s">
        <v>3589</v>
      </c>
      <c r="B1953">
        <v>288</v>
      </c>
      <c r="C1953" t="s">
        <v>3590</v>
      </c>
      <c r="E1953" s="5" t="s">
        <v>6903</v>
      </c>
      <c r="F1953" s="1" t="str">
        <f>IF(E1953&lt;&gt;"", HYPERLINK("https://www.kegg.jp/dbget-bin/www_bget?ec:" &amp; E1953, "https://www.kegg.jp/dbget-bin/www_bget?ec:" &amp; E1953), "")</f>
        <v>https://www.kegg.jp/dbget-bin/www_bget?ec:6.2.1.5</v>
      </c>
      <c r="G1953" s="9" t="s">
        <v>7808</v>
      </c>
      <c r="H1953" s="1" t="str">
        <f>IF(G1953&lt;&gt;"", HYPERLINK("https://www.kegg.jp/entry/" &amp; G1953, "https://www.kegg.jp/entry/" &amp; G1953), "")</f>
        <v>https://www.kegg.jp/entry/R00405</v>
      </c>
      <c r="I1953" t="s">
        <v>13470</v>
      </c>
      <c r="J1953" t="s">
        <v>8571</v>
      </c>
    </row>
    <row r="1954" spans="1:10" x14ac:dyDescent="0.25">
      <c r="A1954" t="s">
        <v>3589</v>
      </c>
      <c r="B1954">
        <v>288</v>
      </c>
      <c r="C1954" t="s">
        <v>3590</v>
      </c>
      <c r="E1954" s="5" t="s">
        <v>6903</v>
      </c>
      <c r="F1954" s="1" t="str">
        <f>IF(E1954&lt;&gt;"", HYPERLINK("https://www.kegg.jp/dbget-bin/www_bget?ec:" &amp; E1954, "https://www.kegg.jp/dbget-bin/www_bget?ec:" &amp; E1954), "")</f>
        <v>https://www.kegg.jp/dbget-bin/www_bget?ec:6.2.1.5</v>
      </c>
      <c r="G1954" s="9" t="s">
        <v>7809</v>
      </c>
      <c r="H1954" s="1" t="str">
        <f>IF(G1954&lt;&gt;"", HYPERLINK("https://www.kegg.jp/entry/" &amp; G1954, "https://www.kegg.jp/entry/" &amp; G1954), "")</f>
        <v>https://www.kegg.jp/entry/R02404</v>
      </c>
      <c r="I1954" t="s">
        <v>13471</v>
      </c>
      <c r="J1954" t="s">
        <v>8572</v>
      </c>
    </row>
    <row r="1955" spans="1:10" x14ac:dyDescent="0.25">
      <c r="A1955" t="s">
        <v>3592</v>
      </c>
      <c r="B1955">
        <v>500</v>
      </c>
      <c r="C1955" t="s">
        <v>3593</v>
      </c>
      <c r="E1955" s="5" t="s">
        <v>6904</v>
      </c>
      <c r="F1955" s="1" t="str">
        <f>IF(E1955&lt;&gt;"", HYPERLINK("https://www.kegg.jp/dbget-bin/www_bget?ec:" &amp; E1955, "https://www.kegg.jp/dbget-bin/www_bget?ec:" &amp; E1955), "")</f>
        <v>https://www.kegg.jp/dbget-bin/www_bget?ec:2.4.1.25</v>
      </c>
      <c r="G1955" s="9" t="s">
        <v>7810</v>
      </c>
      <c r="H1955" s="1" t="str">
        <f>IF(G1955&lt;&gt;"", HYPERLINK("https://www.kegg.jp/entry/" &amp; G1955, "https://www.kegg.jp/entry/" &amp; G1955), "")</f>
        <v>https://www.kegg.jp/entry/R05196</v>
      </c>
      <c r="I1955" t="s">
        <v>13472</v>
      </c>
      <c r="J1955" t="s">
        <v>8573</v>
      </c>
    </row>
    <row r="1956" spans="1:10" x14ac:dyDescent="0.25">
      <c r="A1956" t="s">
        <v>2076</v>
      </c>
      <c r="B1956">
        <v>255</v>
      </c>
      <c r="C1956" t="s">
        <v>2077</v>
      </c>
      <c r="E1956" s="5" t="s">
        <v>6774</v>
      </c>
      <c r="F1956" s="1" t="str">
        <f>IF(E1956&lt;&gt;"", HYPERLINK("https://www.kegg.jp/dbget-bin/www_bget?ec:" &amp; E1956, "https://www.kegg.jp/dbget-bin/www_bget?ec:" &amp; E1956), "")</f>
        <v>https://www.kegg.jp/dbget-bin/www_bget?ec:2.4.1.187</v>
      </c>
      <c r="G1956" s="9" t="s">
        <v>7594</v>
      </c>
      <c r="H1956" s="1" t="str">
        <f>IF(G1956&lt;&gt;"", HYPERLINK("https://www.kegg.jp/entry/" &amp; G1956, "https://www.kegg.jp/entry/" &amp; G1956), "")</f>
        <v>https://www.kegg.jp/entry/R06129</v>
      </c>
      <c r="I1956" t="s">
        <v>13113</v>
      </c>
      <c r="J1956" t="s">
        <v>13114</v>
      </c>
    </row>
    <row r="1957" spans="1:10" x14ac:dyDescent="0.25">
      <c r="A1957" t="s">
        <v>3595</v>
      </c>
      <c r="B1957">
        <v>290</v>
      </c>
      <c r="C1957" t="s">
        <v>3596</v>
      </c>
      <c r="E1957" s="5" t="s">
        <v>6905</v>
      </c>
      <c r="F1957" s="1" t="str">
        <f>IF(E1957&lt;&gt;"", HYPERLINK("https://www.kegg.jp/dbget-bin/www_bget?ec:" &amp; E1957, "https://www.kegg.jp/dbget-bin/www_bget?ec:" &amp; E1957), "")</f>
        <v>https://www.kegg.jp/dbget-bin/www_bget?ec:1.1.1.157</v>
      </c>
      <c r="G1957" s="9" t="s">
        <v>7812</v>
      </c>
      <c r="H1957" s="1" t="str">
        <f>IF(G1957&lt;&gt;"", HYPERLINK("https://www.kegg.jp/entry/" &amp; G1957, "https://www.kegg.jp/entry/" &amp; G1957), "")</f>
        <v>https://www.kegg.jp/entry/R01976</v>
      </c>
      <c r="I1957" t="s">
        <v>13475</v>
      </c>
      <c r="J1957" t="s">
        <v>13476</v>
      </c>
    </row>
    <row r="1958" spans="1:10" x14ac:dyDescent="0.25">
      <c r="A1958" t="s">
        <v>3595</v>
      </c>
      <c r="B1958">
        <v>290</v>
      </c>
      <c r="C1958" t="s">
        <v>3596</v>
      </c>
      <c r="E1958" s="5" t="s">
        <v>6905</v>
      </c>
      <c r="F1958" s="1" t="str">
        <f>IF(E1958&lt;&gt;"", HYPERLINK("https://www.kegg.jp/dbget-bin/www_bget?ec:" &amp; E1958, "https://www.kegg.jp/dbget-bin/www_bget?ec:" &amp; E1958), "")</f>
        <v>https://www.kegg.jp/dbget-bin/www_bget?ec:1.1.1.157</v>
      </c>
      <c r="G1958" s="9" t="s">
        <v>7813</v>
      </c>
      <c r="H1958" s="1" t="str">
        <f>IF(G1958&lt;&gt;"", HYPERLINK("https://www.kegg.jp/entry/" &amp; G1958, "https://www.kegg.jp/entry/" &amp; G1958), "")</f>
        <v>https://www.kegg.jp/entry/R05576</v>
      </c>
      <c r="I1958" t="s">
        <v>13477</v>
      </c>
      <c r="J1958" t="s">
        <v>13476</v>
      </c>
    </row>
    <row r="1959" spans="1:10" x14ac:dyDescent="0.25">
      <c r="A1959" t="s">
        <v>3595</v>
      </c>
      <c r="B1959">
        <v>290</v>
      </c>
      <c r="C1959" t="s">
        <v>3596</v>
      </c>
      <c r="E1959" s="5" t="s">
        <v>6905</v>
      </c>
      <c r="F1959" s="1" t="str">
        <f>IF(E1959&lt;&gt;"", HYPERLINK("https://www.kegg.jp/dbget-bin/www_bget?ec:" &amp; E1959, "https://www.kegg.jp/dbget-bin/www_bget?ec:" &amp; E1959), "")</f>
        <v>https://www.kegg.jp/dbget-bin/www_bget?ec:1.1.1.157</v>
      </c>
      <c r="G1959" s="9" t="s">
        <v>7607</v>
      </c>
      <c r="H1959" s="1" t="str">
        <f>IF(G1959&lt;&gt;"", HYPERLINK("https://www.kegg.jp/entry/" &amp; G1959, "https://www.kegg.jp/entry/" &amp; G1959), "")</f>
        <v>https://www.kegg.jp/entry/R06941</v>
      </c>
      <c r="I1959" t="s">
        <v>13140</v>
      </c>
      <c r="J1959" t="s">
        <v>13141</v>
      </c>
    </row>
    <row r="1960" spans="1:10" hidden="1" x14ac:dyDescent="0.25">
      <c r="A1960" t="s">
        <v>3597</v>
      </c>
      <c r="B1960">
        <v>285</v>
      </c>
      <c r="C1960" t="s">
        <v>3598</v>
      </c>
      <c r="F1960" s="1" t="str">
        <f>IF(E1960&lt;&gt;"", HYPERLINK("https://www.kegg.jp/dbget-bin/www_bget?ec:" &amp; E1960, "https://www.kegg.jp/dbget-bin/www_bget?ec:" &amp; E1960), "")</f>
        <v/>
      </c>
      <c r="G1960" s="3"/>
      <c r="H1960" s="1" t="str">
        <f>IF(G1960&lt;&gt;"", HYPERLINK("https://www.kegg.jp/entry/" &amp; G1960, "https://www.kegg.jp/entry/" &amp; G1960), "")</f>
        <v/>
      </c>
    </row>
    <row r="1961" spans="1:10" hidden="1" x14ac:dyDescent="0.25">
      <c r="A1961" t="s">
        <v>3600</v>
      </c>
      <c r="B1961">
        <v>406</v>
      </c>
      <c r="C1961" t="s">
        <v>3601</v>
      </c>
      <c r="F1961" s="1" t="str">
        <f>IF(E1961&lt;&gt;"", HYPERLINK("https://www.kegg.jp/dbget-bin/www_bget?ec:" &amp; E1961, "https://www.kegg.jp/dbget-bin/www_bget?ec:" &amp; E1961), "")</f>
        <v/>
      </c>
      <c r="G1961" s="3"/>
      <c r="H1961" s="1" t="str">
        <f>IF(G1961&lt;&gt;"", HYPERLINK("https://www.kegg.jp/entry/" &amp; G1961, "https://www.kegg.jp/entry/" &amp; G1961), "")</f>
        <v/>
      </c>
    </row>
    <row r="1962" spans="1:10" hidden="1" x14ac:dyDescent="0.25">
      <c r="A1962" t="s">
        <v>3602</v>
      </c>
      <c r="B1962">
        <v>391</v>
      </c>
      <c r="C1962" t="s">
        <v>3603</v>
      </c>
      <c r="E1962" s="5" t="s">
        <v>6906</v>
      </c>
      <c r="F1962" s="1" t="str">
        <f>IF(E1962&lt;&gt;"", HYPERLINK("https://www.kegg.jp/dbget-bin/www_bget?ec:" &amp; E1962, "https://www.kegg.jp/dbget-bin/www_bget?ec:" &amp; E1962), "")</f>
        <v>https://www.kegg.jp/dbget-bin/www_bget?ec:3.4.99.-</v>
      </c>
      <c r="G1962" s="3"/>
      <c r="H1962" s="1" t="str">
        <f>IF(G1962&lt;&gt;"", HYPERLINK("https://www.kegg.jp/entry/" &amp; G1962, "https://www.kegg.jp/entry/" &amp; G1962), "")</f>
        <v/>
      </c>
    </row>
    <row r="1963" spans="1:10" hidden="1" x14ac:dyDescent="0.25">
      <c r="A1963" t="s">
        <v>3605</v>
      </c>
      <c r="B1963">
        <v>767</v>
      </c>
      <c r="C1963" t="s">
        <v>3606</v>
      </c>
      <c r="F1963" s="1" t="str">
        <f>IF(E1963&lt;&gt;"", HYPERLINK("https://www.kegg.jp/dbget-bin/www_bget?ec:" &amp; E1963, "https://www.kegg.jp/dbget-bin/www_bget?ec:" &amp; E1963), "")</f>
        <v/>
      </c>
      <c r="G1963" s="3"/>
      <c r="H1963" s="1" t="str">
        <f>IF(G1963&lt;&gt;"", HYPERLINK("https://www.kegg.jp/entry/" &amp; G1963, "https://www.kegg.jp/entry/" &amp; G1963), "")</f>
        <v/>
      </c>
    </row>
    <row r="1964" spans="1:10" hidden="1" x14ac:dyDescent="0.25">
      <c r="A1964" t="s">
        <v>3607</v>
      </c>
      <c r="B1964">
        <v>250</v>
      </c>
      <c r="C1964" t="s">
        <v>3608</v>
      </c>
      <c r="F1964" s="1" t="str">
        <f>IF(E1964&lt;&gt;"", HYPERLINK("https://www.kegg.jp/dbget-bin/www_bget?ec:" &amp; E1964, "https://www.kegg.jp/dbget-bin/www_bget?ec:" &amp; E1964), "")</f>
        <v/>
      </c>
      <c r="G1964" s="3"/>
      <c r="H1964" s="1" t="str">
        <f>IF(G1964&lt;&gt;"", HYPERLINK("https://www.kegg.jp/entry/" &amp; G1964, "https://www.kegg.jp/entry/" &amp; G1964), "")</f>
        <v/>
      </c>
    </row>
    <row r="1965" spans="1:10" hidden="1" x14ac:dyDescent="0.25">
      <c r="A1965" t="s">
        <v>3610</v>
      </c>
      <c r="B1965">
        <v>329</v>
      </c>
      <c r="C1965" t="s">
        <v>3611</v>
      </c>
      <c r="F1965" s="1" t="str">
        <f>IF(E1965&lt;&gt;"", HYPERLINK("https://www.kegg.jp/dbget-bin/www_bget?ec:" &amp; E1965, "https://www.kegg.jp/dbget-bin/www_bget?ec:" &amp; E1965), "")</f>
        <v/>
      </c>
      <c r="G1965" s="3"/>
      <c r="H1965" s="1" t="str">
        <f>IF(G1965&lt;&gt;"", HYPERLINK("https://www.kegg.jp/entry/" &amp; G1965, "https://www.kegg.jp/entry/" &amp; G1965), "")</f>
        <v/>
      </c>
    </row>
    <row r="1966" spans="1:10" hidden="1" x14ac:dyDescent="0.25">
      <c r="A1966" t="s">
        <v>3613</v>
      </c>
      <c r="B1966">
        <v>805</v>
      </c>
      <c r="C1966" t="s">
        <v>3614</v>
      </c>
      <c r="F1966" s="1" t="str">
        <f>IF(E1966&lt;&gt;"", HYPERLINK("https://www.kegg.jp/dbget-bin/www_bget?ec:" &amp; E1966, "https://www.kegg.jp/dbget-bin/www_bget?ec:" &amp; E1966), "")</f>
        <v/>
      </c>
      <c r="G1966" s="3"/>
      <c r="H1966" s="1" t="str">
        <f>IF(G1966&lt;&gt;"", HYPERLINK("https://www.kegg.jp/entry/" &amp; G1966, "https://www.kegg.jp/entry/" &amp; G1966), "")</f>
        <v/>
      </c>
    </row>
    <row r="1967" spans="1:10" hidden="1" x14ac:dyDescent="0.25">
      <c r="A1967" t="s">
        <v>3616</v>
      </c>
      <c r="B1967">
        <v>134</v>
      </c>
      <c r="C1967" t="s">
        <v>3617</v>
      </c>
      <c r="F1967" s="1" t="str">
        <f>IF(E1967&lt;&gt;"", HYPERLINK("https://www.kegg.jp/dbget-bin/www_bget?ec:" &amp; E1967, "https://www.kegg.jp/dbget-bin/www_bget?ec:" &amp; E1967), "")</f>
        <v/>
      </c>
      <c r="G1967" s="3"/>
      <c r="H1967" s="1" t="str">
        <f>IF(G1967&lt;&gt;"", HYPERLINK("https://www.kegg.jp/entry/" &amp; G1967, "https://www.kegg.jp/entry/" &amp; G1967), "")</f>
        <v/>
      </c>
    </row>
    <row r="1968" spans="1:10" hidden="1" x14ac:dyDescent="0.25">
      <c r="A1968" t="s">
        <v>3619</v>
      </c>
      <c r="B1968">
        <v>243</v>
      </c>
      <c r="C1968" t="s">
        <v>3620</v>
      </c>
      <c r="F1968" s="1" t="str">
        <f>IF(E1968&lt;&gt;"", HYPERLINK("https://www.kegg.jp/dbget-bin/www_bget?ec:" &amp; E1968, "https://www.kegg.jp/dbget-bin/www_bget?ec:" &amp; E1968), "")</f>
        <v/>
      </c>
      <c r="G1968" s="3"/>
      <c r="H1968" s="1" t="str">
        <f>IF(G1968&lt;&gt;"", HYPERLINK("https://www.kegg.jp/entry/" &amp; G1968, "https://www.kegg.jp/entry/" &amp; G1968), "")</f>
        <v/>
      </c>
    </row>
    <row r="1969" spans="1:10" hidden="1" x14ac:dyDescent="0.25">
      <c r="A1969" t="s">
        <v>3622</v>
      </c>
      <c r="B1969">
        <v>288</v>
      </c>
      <c r="C1969" t="s">
        <v>3623</v>
      </c>
      <c r="F1969" s="1" t="str">
        <f>IF(E1969&lt;&gt;"", HYPERLINK("https://www.kegg.jp/dbget-bin/www_bget?ec:" &amp; E1969, "https://www.kegg.jp/dbget-bin/www_bget?ec:" &amp; E1969), "")</f>
        <v/>
      </c>
      <c r="G1969" s="3"/>
      <c r="H1969" s="1" t="str">
        <f>IF(G1969&lt;&gt;"", HYPERLINK("https://www.kegg.jp/entry/" &amp; G1969, "https://www.kegg.jp/entry/" &amp; G1969), "")</f>
        <v/>
      </c>
    </row>
    <row r="1970" spans="1:10" hidden="1" x14ac:dyDescent="0.25">
      <c r="A1970" t="s">
        <v>3625</v>
      </c>
      <c r="B1970">
        <v>375</v>
      </c>
      <c r="C1970" t="s">
        <v>3626</v>
      </c>
      <c r="F1970" s="1" t="str">
        <f>IF(E1970&lt;&gt;"", HYPERLINK("https://www.kegg.jp/dbget-bin/www_bget?ec:" &amp; E1970, "https://www.kegg.jp/dbget-bin/www_bget?ec:" &amp; E1970), "")</f>
        <v/>
      </c>
      <c r="G1970" s="3"/>
      <c r="H1970" s="1" t="str">
        <f>IF(G1970&lt;&gt;"", HYPERLINK("https://www.kegg.jp/entry/" &amp; G1970, "https://www.kegg.jp/entry/" &amp; G1970), "")</f>
        <v/>
      </c>
    </row>
    <row r="1971" spans="1:10" hidden="1" x14ac:dyDescent="0.25">
      <c r="A1971" t="s">
        <v>3627</v>
      </c>
      <c r="B1971">
        <v>94</v>
      </c>
      <c r="C1971" t="s">
        <v>3628</v>
      </c>
      <c r="F1971" s="1" t="str">
        <f>IF(E1971&lt;&gt;"", HYPERLINK("https://www.kegg.jp/dbget-bin/www_bget?ec:" &amp; E1971, "https://www.kegg.jp/dbget-bin/www_bget?ec:" &amp; E1971), "")</f>
        <v/>
      </c>
      <c r="G1971" s="3"/>
      <c r="H1971" s="1" t="str">
        <f>IF(G1971&lt;&gt;"", HYPERLINK("https://www.kegg.jp/entry/" &amp; G1971, "https://www.kegg.jp/entry/" &amp; G1971), "")</f>
        <v/>
      </c>
    </row>
    <row r="1972" spans="1:10" hidden="1" x14ac:dyDescent="0.25">
      <c r="A1972" t="s">
        <v>3629</v>
      </c>
      <c r="B1972">
        <v>316</v>
      </c>
      <c r="C1972" t="s">
        <v>3630</v>
      </c>
      <c r="F1972" s="1" t="str">
        <f>IF(E1972&lt;&gt;"", HYPERLINK("https://www.kegg.jp/dbget-bin/www_bget?ec:" &amp; E1972, "https://www.kegg.jp/dbget-bin/www_bget?ec:" &amp; E1972), "")</f>
        <v/>
      </c>
      <c r="G1972" s="3"/>
      <c r="H1972" s="1" t="str">
        <f>IF(G1972&lt;&gt;"", HYPERLINK("https://www.kegg.jp/entry/" &amp; G1972, "https://www.kegg.jp/entry/" &amp; G1972), "")</f>
        <v/>
      </c>
    </row>
    <row r="1973" spans="1:10" hidden="1" x14ac:dyDescent="0.25">
      <c r="A1973" t="s">
        <v>3631</v>
      </c>
      <c r="B1973">
        <v>237</v>
      </c>
      <c r="C1973" t="s">
        <v>3632</v>
      </c>
      <c r="F1973" s="1" t="str">
        <f>IF(E1973&lt;&gt;"", HYPERLINK("https://www.kegg.jp/dbget-bin/www_bget?ec:" &amp; E1973, "https://www.kegg.jp/dbget-bin/www_bget?ec:" &amp; E1973), "")</f>
        <v/>
      </c>
      <c r="G1973" s="3"/>
      <c r="H1973" s="1" t="str">
        <f>IF(G1973&lt;&gt;"", HYPERLINK("https://www.kegg.jp/entry/" &amp; G1973, "https://www.kegg.jp/entry/" &amp; G1973), "")</f>
        <v/>
      </c>
    </row>
    <row r="1974" spans="1:10" hidden="1" x14ac:dyDescent="0.25">
      <c r="A1974" t="s">
        <v>3633</v>
      </c>
      <c r="B1974">
        <v>87</v>
      </c>
      <c r="C1974" t="s">
        <v>3634</v>
      </c>
      <c r="F1974" s="1" t="str">
        <f>IF(E1974&lt;&gt;"", HYPERLINK("https://www.kegg.jp/dbget-bin/www_bget?ec:" &amp; E1974, "https://www.kegg.jp/dbget-bin/www_bget?ec:" &amp; E1974), "")</f>
        <v/>
      </c>
      <c r="G1974" s="3"/>
      <c r="H1974" s="1" t="str">
        <f>IF(G1974&lt;&gt;"", HYPERLINK("https://www.kegg.jp/entry/" &amp; G1974, "https://www.kegg.jp/entry/" &amp; G1974), "")</f>
        <v/>
      </c>
    </row>
    <row r="1975" spans="1:10" hidden="1" x14ac:dyDescent="0.25">
      <c r="A1975" t="s">
        <v>3635</v>
      </c>
      <c r="B1975">
        <v>461</v>
      </c>
      <c r="C1975" t="s">
        <v>3636</v>
      </c>
      <c r="F1975" s="1" t="str">
        <f>IF(E1975&lt;&gt;"", HYPERLINK("https://www.kegg.jp/dbget-bin/www_bget?ec:" &amp; E1975, "https://www.kegg.jp/dbget-bin/www_bget?ec:" &amp; E1975), "")</f>
        <v/>
      </c>
      <c r="G1975" s="3"/>
      <c r="H1975" s="1" t="str">
        <f>IF(G1975&lt;&gt;"", HYPERLINK("https://www.kegg.jp/entry/" &amp; G1975, "https://www.kegg.jp/entry/" &amp; G1975), "")</f>
        <v/>
      </c>
    </row>
    <row r="1976" spans="1:10" hidden="1" x14ac:dyDescent="0.25">
      <c r="A1976" t="s">
        <v>3637</v>
      </c>
      <c r="B1976">
        <v>247</v>
      </c>
      <c r="C1976" t="s">
        <v>3638</v>
      </c>
      <c r="F1976" s="1" t="str">
        <f>IF(E1976&lt;&gt;"", HYPERLINK("https://www.kegg.jp/dbget-bin/www_bget?ec:" &amp; E1976, "https://www.kegg.jp/dbget-bin/www_bget?ec:" &amp; E1976), "")</f>
        <v/>
      </c>
      <c r="G1976" s="3"/>
      <c r="H1976" s="1" t="str">
        <f>IF(G1976&lt;&gt;"", HYPERLINK("https://www.kegg.jp/entry/" &amp; G1976, "https://www.kegg.jp/entry/" &amp; G1976), "")</f>
        <v/>
      </c>
    </row>
    <row r="1977" spans="1:10" hidden="1" x14ac:dyDescent="0.25">
      <c r="A1977" t="s">
        <v>3639</v>
      </c>
      <c r="B1977">
        <v>962</v>
      </c>
      <c r="C1977" t="s">
        <v>3640</v>
      </c>
      <c r="F1977" s="1" t="str">
        <f>IF(E1977&lt;&gt;"", HYPERLINK("https://www.kegg.jp/dbget-bin/www_bget?ec:" &amp; E1977, "https://www.kegg.jp/dbget-bin/www_bget?ec:" &amp; E1977), "")</f>
        <v/>
      </c>
      <c r="G1977" s="3"/>
      <c r="H1977" s="1" t="str">
        <f>IF(G1977&lt;&gt;"", HYPERLINK("https://www.kegg.jp/entry/" &amp; G1977, "https://www.kegg.jp/entry/" &amp; G1977), "")</f>
        <v/>
      </c>
    </row>
    <row r="1978" spans="1:10" hidden="1" x14ac:dyDescent="0.25">
      <c r="A1978" t="s">
        <v>3642</v>
      </c>
      <c r="B1978">
        <v>371</v>
      </c>
      <c r="C1978" t="s">
        <v>3643</v>
      </c>
      <c r="F1978" s="1" t="str">
        <f>IF(E1978&lt;&gt;"", HYPERLINK("https://www.kegg.jp/dbget-bin/www_bget?ec:" &amp; E1978, "https://www.kegg.jp/dbget-bin/www_bget?ec:" &amp; E1978), "")</f>
        <v/>
      </c>
      <c r="G1978" s="3"/>
      <c r="H1978" s="1" t="str">
        <f>IF(G1978&lt;&gt;"", HYPERLINK("https://www.kegg.jp/entry/" &amp; G1978, "https://www.kegg.jp/entry/" &amp; G1978), "")</f>
        <v/>
      </c>
    </row>
    <row r="1979" spans="1:10" hidden="1" x14ac:dyDescent="0.25">
      <c r="A1979" t="s">
        <v>3645</v>
      </c>
      <c r="B1979">
        <v>336</v>
      </c>
      <c r="C1979" t="s">
        <v>3646</v>
      </c>
      <c r="F1979" s="1" t="str">
        <f>IF(E1979&lt;&gt;"", HYPERLINK("https://www.kegg.jp/dbget-bin/www_bget?ec:" &amp; E1979, "https://www.kegg.jp/dbget-bin/www_bget?ec:" &amp; E1979), "")</f>
        <v/>
      </c>
      <c r="G1979" s="3"/>
      <c r="H1979" s="1" t="str">
        <f>IF(G1979&lt;&gt;"", HYPERLINK("https://www.kegg.jp/entry/" &amp; G1979, "https://www.kegg.jp/entry/" &amp; G1979), "")</f>
        <v/>
      </c>
    </row>
    <row r="1980" spans="1:10" hidden="1" x14ac:dyDescent="0.25">
      <c r="A1980" t="s">
        <v>3648</v>
      </c>
      <c r="B1980">
        <v>137</v>
      </c>
      <c r="C1980" t="s">
        <v>3649</v>
      </c>
      <c r="F1980" s="1" t="str">
        <f>IF(E1980&lt;&gt;"", HYPERLINK("https://www.kegg.jp/dbget-bin/www_bget?ec:" &amp; E1980, "https://www.kegg.jp/dbget-bin/www_bget?ec:" &amp; E1980), "")</f>
        <v/>
      </c>
      <c r="G1980" s="3"/>
      <c r="H1980" s="1" t="str">
        <f>IF(G1980&lt;&gt;"", HYPERLINK("https://www.kegg.jp/entry/" &amp; G1980, "https://www.kegg.jp/entry/" &amp; G1980), "")</f>
        <v/>
      </c>
    </row>
    <row r="1981" spans="1:10" hidden="1" x14ac:dyDescent="0.25">
      <c r="A1981" t="s">
        <v>3650</v>
      </c>
      <c r="B1981">
        <v>132</v>
      </c>
      <c r="C1981" t="s">
        <v>3651</v>
      </c>
      <c r="F1981" s="1" t="str">
        <f>IF(E1981&lt;&gt;"", HYPERLINK("https://www.kegg.jp/dbget-bin/www_bget?ec:" &amp; E1981, "https://www.kegg.jp/dbget-bin/www_bget?ec:" &amp; E1981), "")</f>
        <v/>
      </c>
      <c r="G1981" s="3"/>
      <c r="H1981" s="1" t="str">
        <f>IF(G1981&lt;&gt;"", HYPERLINK("https://www.kegg.jp/entry/" &amp; G1981, "https://www.kegg.jp/entry/" &amp; G1981), "")</f>
        <v/>
      </c>
    </row>
    <row r="1982" spans="1:10" hidden="1" x14ac:dyDescent="0.25">
      <c r="A1982" t="s">
        <v>3652</v>
      </c>
      <c r="B1982">
        <v>881</v>
      </c>
      <c r="C1982" t="s">
        <v>3653</v>
      </c>
      <c r="F1982" s="1" t="str">
        <f>IF(E1982&lt;&gt;"", HYPERLINK("https://www.kegg.jp/dbget-bin/www_bget?ec:" &amp; E1982, "https://www.kegg.jp/dbget-bin/www_bget?ec:" &amp; E1982), "")</f>
        <v/>
      </c>
      <c r="G1982" s="3"/>
      <c r="H1982" s="1" t="str">
        <f>IF(G1982&lt;&gt;"", HYPERLINK("https://www.kegg.jp/entry/" &amp; G1982, "https://www.kegg.jp/entry/" &amp; G1982), "")</f>
        <v/>
      </c>
    </row>
    <row r="1983" spans="1:10" hidden="1" x14ac:dyDescent="0.25">
      <c r="A1983" t="s">
        <v>3655</v>
      </c>
      <c r="B1983">
        <v>204</v>
      </c>
      <c r="C1983" t="s">
        <v>3656</v>
      </c>
      <c r="F1983" s="1" t="str">
        <f>IF(E1983&lt;&gt;"", HYPERLINK("https://www.kegg.jp/dbget-bin/www_bget?ec:" &amp; E1983, "https://www.kegg.jp/dbget-bin/www_bget?ec:" &amp; E1983), "")</f>
        <v/>
      </c>
      <c r="G1983" s="3"/>
      <c r="H1983" s="1" t="str">
        <f>IF(G1983&lt;&gt;"", HYPERLINK("https://www.kegg.jp/entry/" &amp; G1983, "https://www.kegg.jp/entry/" &amp; G1983), "")</f>
        <v/>
      </c>
    </row>
    <row r="1984" spans="1:10" x14ac:dyDescent="0.25">
      <c r="A1984" t="s">
        <v>3658</v>
      </c>
      <c r="B1984">
        <v>330</v>
      </c>
      <c r="C1984" t="s">
        <v>3659</v>
      </c>
      <c r="E1984" s="5" t="s">
        <v>6907</v>
      </c>
      <c r="F1984" s="1" t="str">
        <f>IF(E1984&lt;&gt;"", HYPERLINK("https://www.kegg.jp/dbget-bin/www_bget?ec:" &amp; E1984, "https://www.kegg.jp/dbget-bin/www_bget?ec:" &amp; E1984), "")</f>
        <v>https://www.kegg.jp/dbget-bin/www_bget?ec:5.3.1.23</v>
      </c>
      <c r="G1984" s="3" t="s">
        <v>7237</v>
      </c>
      <c r="H1984" s="1" t="str">
        <f>IF(G1984&lt;&gt;"", HYPERLINK("https://www.kegg.jp/entry/" &amp; G1984, "https://www.kegg.jp/entry/" &amp; G1984), "")</f>
        <v>https://www.kegg.jp/entry/R04420</v>
      </c>
      <c r="I1984" t="s">
        <v>8308</v>
      </c>
      <c r="J1984" t="s">
        <v>8574</v>
      </c>
    </row>
    <row r="1985" spans="1:10" hidden="1" x14ac:dyDescent="0.25">
      <c r="A1985" t="s">
        <v>3660</v>
      </c>
      <c r="B1985">
        <v>373</v>
      </c>
      <c r="C1985" t="s">
        <v>3661</v>
      </c>
      <c r="F1985" s="1" t="str">
        <f>IF(E1985&lt;&gt;"", HYPERLINK("https://www.kegg.jp/dbget-bin/www_bget?ec:" &amp; E1985, "https://www.kegg.jp/dbget-bin/www_bget?ec:" &amp; E1985), "")</f>
        <v/>
      </c>
      <c r="G1985" s="3"/>
      <c r="H1985" s="1" t="str">
        <f>IF(G1985&lt;&gt;"", HYPERLINK("https://www.kegg.jp/entry/" &amp; G1985, "https://www.kegg.jp/entry/" &amp; G1985), "")</f>
        <v/>
      </c>
    </row>
    <row r="1986" spans="1:10" hidden="1" x14ac:dyDescent="0.25">
      <c r="A1986" t="s">
        <v>3662</v>
      </c>
      <c r="B1986">
        <v>188</v>
      </c>
      <c r="C1986" t="s">
        <v>3663</v>
      </c>
      <c r="F1986" s="1" t="str">
        <f>IF(E1986&lt;&gt;"", HYPERLINK("https://www.kegg.jp/dbget-bin/www_bget?ec:" &amp; E1986, "https://www.kegg.jp/dbget-bin/www_bget?ec:" &amp; E1986), "")</f>
        <v/>
      </c>
      <c r="G1986" s="3"/>
      <c r="H1986" s="1" t="str">
        <f>IF(G1986&lt;&gt;"", HYPERLINK("https://www.kegg.jp/entry/" &amp; G1986, "https://www.kegg.jp/entry/" &amp; G1986), "")</f>
        <v/>
      </c>
    </row>
    <row r="1987" spans="1:10" x14ac:dyDescent="0.25">
      <c r="A1987" t="s">
        <v>3665</v>
      </c>
      <c r="B1987">
        <v>343</v>
      </c>
      <c r="C1987" t="s">
        <v>3666</v>
      </c>
      <c r="E1987" s="5" t="s">
        <v>6908</v>
      </c>
      <c r="F1987" s="1" t="str">
        <f>IF(E1987&lt;&gt;"", HYPERLINK("https://www.kegg.jp/dbget-bin/www_bget?ec:" &amp; E1987, "https://www.kegg.jp/dbget-bin/www_bget?ec:" &amp; E1987), "")</f>
        <v>https://www.kegg.jp/dbget-bin/www_bget?ec:1.1.1.103</v>
      </c>
      <c r="G1987" s="3" t="s">
        <v>7238</v>
      </c>
      <c r="H1987" s="1" t="str">
        <f>IF(G1987&lt;&gt;"", HYPERLINK("https://www.kegg.jp/entry/" &amp; G1987, "https://www.kegg.jp/entry/" &amp; G1987), "")</f>
        <v>https://www.kegg.jp/entry/R01465</v>
      </c>
      <c r="I1987" t="s">
        <v>13478</v>
      </c>
      <c r="J1987" t="s">
        <v>13479</v>
      </c>
    </row>
    <row r="1988" spans="1:10" hidden="1" x14ac:dyDescent="0.25">
      <c r="A1988" t="s">
        <v>3667</v>
      </c>
      <c r="B1988">
        <v>2664</v>
      </c>
      <c r="C1988" t="s">
        <v>3668</v>
      </c>
      <c r="F1988" s="1" t="str">
        <f>IF(E1988&lt;&gt;"", HYPERLINK("https://www.kegg.jp/dbget-bin/www_bget?ec:" &amp; E1988, "https://www.kegg.jp/dbget-bin/www_bget?ec:" &amp; E1988), "")</f>
        <v/>
      </c>
      <c r="G1988" s="3"/>
      <c r="H1988" s="1" t="str">
        <f>IF(G1988&lt;&gt;"", HYPERLINK("https://www.kegg.jp/entry/" &amp; G1988, "https://www.kegg.jp/entry/" &amp; G1988), "")</f>
        <v/>
      </c>
    </row>
    <row r="1989" spans="1:10" x14ac:dyDescent="0.25">
      <c r="C1989" t="s">
        <v>3671</v>
      </c>
      <c r="E1989" s="5" t="s">
        <v>6909</v>
      </c>
      <c r="F1989" s="1" t="str">
        <f>IF(E1989&lt;&gt;"", HYPERLINK("https://www.kegg.jp/dbget-bin/www_bget?ec:" &amp; E1989, "https://www.kegg.jp/dbget-bin/www_bget?ec:" &amp; E1989), "")</f>
        <v>https://www.kegg.jp/dbget-bin/www_bget?ec:3.6.1.7</v>
      </c>
      <c r="G1989" s="9" t="s">
        <v>7814</v>
      </c>
      <c r="H1989" s="1" t="str">
        <f>IF(G1989&lt;&gt;"", HYPERLINK("https://www.kegg.jp/entry/" &amp; G1989, "https://www.kegg.jp/entry/" &amp; G1989), "")</f>
        <v>https://www.kegg.jp/entry/R00539</v>
      </c>
      <c r="I1989" t="s">
        <v>13480</v>
      </c>
      <c r="J1989" t="s">
        <v>13481</v>
      </c>
    </row>
    <row r="1990" spans="1:10" x14ac:dyDescent="0.25">
      <c r="C1990" t="s">
        <v>3671</v>
      </c>
      <c r="E1990" s="5" t="s">
        <v>6909</v>
      </c>
      <c r="F1990" s="1" t="str">
        <f>IF(E1990&lt;&gt;"", HYPERLINK("https://www.kegg.jp/dbget-bin/www_bget?ec:" &amp; E1990, "https://www.kegg.jp/dbget-bin/www_bget?ec:" &amp; E1990), "")</f>
        <v>https://www.kegg.jp/dbget-bin/www_bget?ec:3.6.1.7</v>
      </c>
      <c r="G1990" s="9" t="s">
        <v>7817</v>
      </c>
      <c r="H1990" s="1" t="str">
        <f>IF(G1990&lt;&gt;"", HYPERLINK("https://www.kegg.jp/entry/" &amp; G1990, "https://www.kegg.jp/entry/" &amp; G1990), "")</f>
        <v>https://www.kegg.jp/entry/R00317</v>
      </c>
      <c r="I1990" t="s">
        <v>13482</v>
      </c>
      <c r="J1990" t="s">
        <v>13483</v>
      </c>
    </row>
    <row r="1991" spans="1:10" x14ac:dyDescent="0.25">
      <c r="C1991" t="s">
        <v>3671</v>
      </c>
      <c r="E1991" s="5" t="s">
        <v>6909</v>
      </c>
      <c r="F1991" s="1" t="str">
        <f>IF(E1991&lt;&gt;"", HYPERLINK("https://www.kegg.jp/dbget-bin/www_bget?ec:" &amp; E1991, "https://www.kegg.jp/dbget-bin/www_bget?ec:" &amp; E1991), "")</f>
        <v>https://www.kegg.jp/dbget-bin/www_bget?ec:3.6.1.7</v>
      </c>
      <c r="G1991" s="9" t="s">
        <v>7816</v>
      </c>
      <c r="H1991" s="1" t="str">
        <f>IF(G1991&lt;&gt;"", HYPERLINK("https://www.kegg.jp/entry/" &amp; G1991, "https://www.kegg.jp/entry/" &amp; G1991), "")</f>
        <v>https://www.kegg.jp/entry/R01421</v>
      </c>
      <c r="I1991" t="s">
        <v>13484</v>
      </c>
      <c r="J1991" t="s">
        <v>13485</v>
      </c>
    </row>
    <row r="1992" spans="1:10" x14ac:dyDescent="0.25">
      <c r="A1992" t="s">
        <v>3670</v>
      </c>
      <c r="B1992">
        <v>88</v>
      </c>
      <c r="C1992" t="s">
        <v>3671</v>
      </c>
      <c r="E1992" s="5" t="s">
        <v>6909</v>
      </c>
      <c r="F1992" s="1" t="str">
        <f>IF(E1992&lt;&gt;"", HYPERLINK("https://www.kegg.jp/dbget-bin/www_bget?ec:" &amp; E1992, "https://www.kegg.jp/dbget-bin/www_bget?ec:" &amp; E1992), "")</f>
        <v>https://www.kegg.jp/dbget-bin/www_bget?ec:3.6.1.7</v>
      </c>
      <c r="G1992" s="9" t="s">
        <v>7815</v>
      </c>
      <c r="H1992" s="1" t="str">
        <f>IF(G1992&lt;&gt;"", HYPERLINK("https://www.kegg.jp/entry/" &amp; G1992, "https://www.kegg.jp/entry/" &amp; G1992), "")</f>
        <v>https://www.kegg.jp/entry/R01515</v>
      </c>
      <c r="I1992" t="s">
        <v>13486</v>
      </c>
      <c r="J1992" t="s">
        <v>13487</v>
      </c>
    </row>
    <row r="1993" spans="1:10" hidden="1" x14ac:dyDescent="0.25">
      <c r="A1993" t="s">
        <v>3673</v>
      </c>
      <c r="B1993">
        <v>548</v>
      </c>
      <c r="C1993" t="s">
        <v>3674</v>
      </c>
      <c r="F1993" s="1" t="str">
        <f>IF(E1993&lt;&gt;"", HYPERLINK("https://www.kegg.jp/dbget-bin/www_bget?ec:" &amp; E1993, "https://www.kegg.jp/dbget-bin/www_bget?ec:" &amp; E1993), "")</f>
        <v/>
      </c>
      <c r="G1993" s="3"/>
      <c r="H1993" s="1" t="str">
        <f>IF(G1993&lt;&gt;"", HYPERLINK("https://www.kegg.jp/entry/" &amp; G1993, "https://www.kegg.jp/entry/" &amp; G1993), "")</f>
        <v/>
      </c>
    </row>
    <row r="1994" spans="1:10" hidden="1" x14ac:dyDescent="0.25">
      <c r="A1994" t="s">
        <v>3675</v>
      </c>
      <c r="B1994">
        <v>211</v>
      </c>
      <c r="C1994" t="s">
        <v>3676</v>
      </c>
      <c r="F1994" s="1" t="str">
        <f>IF(E1994&lt;&gt;"", HYPERLINK("https://www.kegg.jp/dbget-bin/www_bget?ec:" &amp; E1994, "https://www.kegg.jp/dbget-bin/www_bget?ec:" &amp; E1994), "")</f>
        <v/>
      </c>
      <c r="G1994" s="3"/>
      <c r="H1994" s="1" t="str">
        <f>IF(G1994&lt;&gt;"", HYPERLINK("https://www.kegg.jp/entry/" &amp; G1994, "https://www.kegg.jp/entry/" &amp; G1994), "")</f>
        <v/>
      </c>
    </row>
    <row r="1995" spans="1:10" hidden="1" x14ac:dyDescent="0.25">
      <c r="A1995" t="s">
        <v>3678</v>
      </c>
      <c r="B1995">
        <v>149</v>
      </c>
      <c r="C1995" t="s">
        <v>3679</v>
      </c>
      <c r="F1995" s="1" t="str">
        <f>IF(E1995&lt;&gt;"", HYPERLINK("https://www.kegg.jp/dbget-bin/www_bget?ec:" &amp; E1995, "https://www.kegg.jp/dbget-bin/www_bget?ec:" &amp; E1995), "")</f>
        <v/>
      </c>
      <c r="G1995" s="3"/>
      <c r="H1995" s="1" t="str">
        <f>IF(G1995&lt;&gt;"", HYPERLINK("https://www.kegg.jp/entry/" &amp; G1995, "https://www.kegg.jp/entry/" &amp; G1995), "")</f>
        <v/>
      </c>
    </row>
    <row r="1996" spans="1:10" hidden="1" x14ac:dyDescent="0.25">
      <c r="A1996" t="s">
        <v>3680</v>
      </c>
      <c r="B1996">
        <v>211</v>
      </c>
      <c r="C1996" t="s">
        <v>3681</v>
      </c>
      <c r="F1996" s="1" t="str">
        <f>IF(E1996&lt;&gt;"", HYPERLINK("https://www.kegg.jp/dbget-bin/www_bget?ec:" &amp; E1996, "https://www.kegg.jp/dbget-bin/www_bget?ec:" &amp; E1996), "")</f>
        <v/>
      </c>
      <c r="G1996" s="3"/>
      <c r="H1996" s="1" t="str">
        <f>IF(G1996&lt;&gt;"", HYPERLINK("https://www.kegg.jp/entry/" &amp; G1996, "https://www.kegg.jp/entry/" &amp; G1996), "")</f>
        <v/>
      </c>
    </row>
    <row r="1997" spans="1:10" x14ac:dyDescent="0.25">
      <c r="C1997" t="s">
        <v>3683</v>
      </c>
      <c r="E1997" s="5" t="s">
        <v>6745</v>
      </c>
      <c r="F1997" s="1" t="str">
        <f>IF(E1997&lt;&gt;"", HYPERLINK("https://www.kegg.jp/dbget-bin/www_bget?ec:" &amp; E1997, "https://www.kegg.jp/dbget-bin/www_bget?ec:" &amp; E1997), "")</f>
        <v>https://www.kegg.jp/dbget-bin/www_bget?ec:2.4.2.1</v>
      </c>
      <c r="G1997" s="9" t="s">
        <v>7547</v>
      </c>
      <c r="H1997" s="1" t="str">
        <f>IF(G1997&lt;&gt;"", HYPERLINK("https://www.kegg.jp/entry/" &amp; G1997, "https://www.kegg.jp/entry/" &amp; G1997), "")</f>
        <v>https://www.kegg.jp/entry/R08368</v>
      </c>
      <c r="I1997" t="s">
        <v>13037</v>
      </c>
      <c r="J1997" t="s">
        <v>13038</v>
      </c>
    </row>
    <row r="1998" spans="1:10" x14ac:dyDescent="0.25">
      <c r="C1998" t="s">
        <v>3683</v>
      </c>
      <c r="E1998" s="5" t="s">
        <v>6745</v>
      </c>
      <c r="F1998" s="1" t="str">
        <f>IF(E1998&lt;&gt;"", HYPERLINK("https://www.kegg.jp/dbget-bin/www_bget?ec:" &amp; E1998, "https://www.kegg.jp/dbget-bin/www_bget?ec:" &amp; E1998), "")</f>
        <v>https://www.kegg.jp/dbget-bin/www_bget?ec:2.4.2.1</v>
      </c>
      <c r="G1998" s="9" t="s">
        <v>7548</v>
      </c>
      <c r="H1998" s="1" t="str">
        <f>IF(G1998&lt;&gt;"", HYPERLINK("https://www.kegg.jp/entry/" &amp; G1998, "https://www.kegg.jp/entry/" &amp; G1998), "")</f>
        <v>https://www.kegg.jp/entry/R01561</v>
      </c>
      <c r="I1998" t="s">
        <v>12735</v>
      </c>
      <c r="J1998" t="s">
        <v>8479</v>
      </c>
    </row>
    <row r="1999" spans="1:10" x14ac:dyDescent="0.25">
      <c r="C1999" t="s">
        <v>3683</v>
      </c>
      <c r="E1999" s="5" t="s">
        <v>6745</v>
      </c>
      <c r="F1999" s="1" t="str">
        <f>IF(E1999&lt;&gt;"", HYPERLINK("https://www.kegg.jp/dbget-bin/www_bget?ec:" &amp; E1999, "https://www.kegg.jp/dbget-bin/www_bget?ec:" &amp; E1999), "")</f>
        <v>https://www.kegg.jp/dbget-bin/www_bget?ec:2.4.2.1</v>
      </c>
      <c r="G1999" s="9" t="s">
        <v>7549</v>
      </c>
      <c r="H1999" s="1" t="str">
        <f>IF(G1999&lt;&gt;"", HYPERLINK("https://www.kegg.jp/entry/" &amp; G1999, "https://www.kegg.jp/entry/" &amp; G1999), "")</f>
        <v>https://www.kegg.jp/entry/R01863</v>
      </c>
      <c r="I1999" t="s">
        <v>12741</v>
      </c>
      <c r="J1999" t="s">
        <v>8480</v>
      </c>
    </row>
    <row r="2000" spans="1:10" x14ac:dyDescent="0.25">
      <c r="C2000" t="s">
        <v>3683</v>
      </c>
      <c r="E2000" s="5" t="s">
        <v>6745</v>
      </c>
      <c r="F2000" s="1" t="str">
        <f>IF(E2000&lt;&gt;"", HYPERLINK("https://www.kegg.jp/dbget-bin/www_bget?ec:" &amp; E2000, "https://www.kegg.jp/dbget-bin/www_bget?ec:" &amp; E2000), "")</f>
        <v>https://www.kegg.jp/dbget-bin/www_bget?ec:2.4.2.1</v>
      </c>
      <c r="G2000" s="9" t="s">
        <v>7557</v>
      </c>
      <c r="H2000" s="1" t="str">
        <f>IF(G2000&lt;&gt;"", HYPERLINK("https://www.kegg.jp/entry/" &amp; G2000, "https://www.kegg.jp/entry/" &amp; G2000), "")</f>
        <v>https://www.kegg.jp/entry/R02147</v>
      </c>
      <c r="I2000" t="s">
        <v>12743</v>
      </c>
      <c r="J2000" t="s">
        <v>8481</v>
      </c>
    </row>
    <row r="2001" spans="1:10" x14ac:dyDescent="0.25">
      <c r="C2001" t="s">
        <v>3683</v>
      </c>
      <c r="E2001" s="5" t="s">
        <v>6745</v>
      </c>
      <c r="F2001" s="1" t="str">
        <f>IF(E2001&lt;&gt;"", HYPERLINK("https://www.kegg.jp/dbget-bin/www_bget?ec:" &amp; E2001, "https://www.kegg.jp/dbget-bin/www_bget?ec:" &amp; E2001), "")</f>
        <v>https://www.kegg.jp/dbget-bin/www_bget?ec:2.4.2.1</v>
      </c>
      <c r="G2001" s="9" t="s">
        <v>7556</v>
      </c>
      <c r="H2001" s="1" t="str">
        <f>IF(G2001&lt;&gt;"", HYPERLINK("https://www.kegg.jp/entry/" &amp; G2001, "https://www.kegg.jp/entry/" &amp; G2001), "")</f>
        <v>https://www.kegg.jp/entry/R02297</v>
      </c>
      <c r="I2001" t="s">
        <v>12747</v>
      </c>
      <c r="J2001" t="s">
        <v>8482</v>
      </c>
    </row>
    <row r="2002" spans="1:10" x14ac:dyDescent="0.25">
      <c r="C2002" t="s">
        <v>3683</v>
      </c>
      <c r="E2002" s="5" t="s">
        <v>6745</v>
      </c>
      <c r="F2002" s="1" t="str">
        <f>IF(E2002&lt;&gt;"", HYPERLINK("https://www.kegg.jp/dbget-bin/www_bget?ec:" &amp; E2002, "https://www.kegg.jp/dbget-bin/www_bget?ec:" &amp; E2002), "")</f>
        <v>https://www.kegg.jp/dbget-bin/www_bget?ec:2.4.2.1</v>
      </c>
      <c r="G2002" s="9" t="s">
        <v>7555</v>
      </c>
      <c r="H2002" s="1" t="str">
        <f>IF(G2002&lt;&gt;"", HYPERLINK("https://www.kegg.jp/entry/" &amp; G2002, "https://www.kegg.jp/entry/" &amp; G2002), "")</f>
        <v>https://www.kegg.jp/entry/R10244</v>
      </c>
      <c r="I2002" t="s">
        <v>13039</v>
      </c>
      <c r="J2002" t="s">
        <v>13040</v>
      </c>
    </row>
    <row r="2003" spans="1:10" x14ac:dyDescent="0.25">
      <c r="C2003" t="s">
        <v>3683</v>
      </c>
      <c r="E2003" s="5" t="s">
        <v>6745</v>
      </c>
      <c r="F2003" s="1" t="str">
        <f>IF(E2003&lt;&gt;"", HYPERLINK("https://www.kegg.jp/dbget-bin/www_bget?ec:" &amp; E2003, "https://www.kegg.jp/dbget-bin/www_bget?ec:" &amp; E2003), "")</f>
        <v>https://www.kegg.jp/dbget-bin/www_bget?ec:2.4.2.1</v>
      </c>
      <c r="G2003" s="9" t="s">
        <v>7554</v>
      </c>
      <c r="H2003" s="1" t="str">
        <f>IF(G2003&lt;&gt;"", HYPERLINK("https://www.kegg.jp/entry/" &amp; G2003, "https://www.kegg.jp/entry/" &amp; G2003), "")</f>
        <v>https://www.kegg.jp/entry/R01969</v>
      </c>
      <c r="I2003" t="s">
        <v>12755</v>
      </c>
      <c r="J2003" t="s">
        <v>8483</v>
      </c>
    </row>
    <row r="2004" spans="1:10" x14ac:dyDescent="0.25">
      <c r="C2004" t="s">
        <v>3683</v>
      </c>
      <c r="E2004" s="5" t="s">
        <v>6745</v>
      </c>
      <c r="F2004" s="1" t="str">
        <f>IF(E2004&lt;&gt;"", HYPERLINK("https://www.kegg.jp/dbget-bin/www_bget?ec:" &amp; E2004, "https://www.kegg.jp/dbget-bin/www_bget?ec:" &amp; E2004), "")</f>
        <v>https://www.kegg.jp/dbget-bin/www_bget?ec:2.4.2.1</v>
      </c>
      <c r="G2004" s="9" t="s">
        <v>7553</v>
      </c>
      <c r="H2004" s="1" t="str">
        <f>IF(G2004&lt;&gt;"", HYPERLINK("https://www.kegg.jp/entry/" &amp; G2004, "https://www.kegg.jp/entry/" &amp; G2004), "")</f>
        <v>https://www.kegg.jp/entry/R02557</v>
      </c>
      <c r="I2004" t="s">
        <v>12757</v>
      </c>
      <c r="J2004" t="s">
        <v>8484</v>
      </c>
    </row>
    <row r="2005" spans="1:10" x14ac:dyDescent="0.25">
      <c r="C2005" t="s">
        <v>3683</v>
      </c>
      <c r="E2005" s="5" t="s">
        <v>6745</v>
      </c>
      <c r="F2005" s="1" t="str">
        <f>IF(E2005&lt;&gt;"", HYPERLINK("https://www.kegg.jp/dbget-bin/www_bget?ec:" &amp; E2005, "https://www.kegg.jp/dbget-bin/www_bget?ec:" &amp; E2005), "")</f>
        <v>https://www.kegg.jp/dbget-bin/www_bget?ec:2.4.2.1</v>
      </c>
      <c r="G2005" s="9" t="s">
        <v>7552</v>
      </c>
      <c r="H2005" s="1" t="str">
        <f>IF(G2005&lt;&gt;"", HYPERLINK("https://www.kegg.jp/entry/" &amp; G2005, "https://www.kegg.jp/entry/" &amp; G2005), "")</f>
        <v>https://www.kegg.jp/entry/R02748</v>
      </c>
      <c r="I2005" t="s">
        <v>12761</v>
      </c>
      <c r="J2005" t="s">
        <v>8485</v>
      </c>
    </row>
    <row r="2006" spans="1:10" x14ac:dyDescent="0.25">
      <c r="C2006" t="s">
        <v>3683</v>
      </c>
      <c r="E2006" s="5" t="s">
        <v>6745</v>
      </c>
      <c r="F2006" s="1" t="str">
        <f>IF(E2006&lt;&gt;"", HYPERLINK("https://www.kegg.jp/dbget-bin/www_bget?ec:" &amp; E2006, "https://www.kegg.jp/dbget-bin/www_bget?ec:" &amp; E2006), "")</f>
        <v>https://www.kegg.jp/dbget-bin/www_bget?ec:2.4.2.1</v>
      </c>
      <c r="G2006" s="9" t="s">
        <v>7551</v>
      </c>
      <c r="H2006" s="1" t="str">
        <f>IF(G2006&lt;&gt;"", HYPERLINK("https://www.kegg.jp/entry/" &amp; G2006, "https://www.kegg.jp/entry/" &amp; G2006), "")</f>
        <v>https://www.kegg.jp/entry/R02294</v>
      </c>
      <c r="I2006" t="s">
        <v>12745</v>
      </c>
      <c r="J2006" t="s">
        <v>8486</v>
      </c>
    </row>
    <row r="2007" spans="1:10" x14ac:dyDescent="0.25">
      <c r="A2007" t="s">
        <v>3682</v>
      </c>
      <c r="B2007">
        <v>276</v>
      </c>
      <c r="C2007" t="s">
        <v>3683</v>
      </c>
      <c r="E2007" s="5" t="s">
        <v>6745</v>
      </c>
      <c r="F2007" s="1" t="str">
        <f>IF(E2007&lt;&gt;"", HYPERLINK("https://www.kegg.jp/dbget-bin/www_bget?ec:" &amp; E2007, "https://www.kegg.jp/dbget-bin/www_bget?ec:" &amp; E2007), "")</f>
        <v>https://www.kegg.jp/dbget-bin/www_bget?ec:2.4.2.1</v>
      </c>
      <c r="G2007" s="9" t="s">
        <v>7550</v>
      </c>
      <c r="H2007" s="1" t="str">
        <f>IF(G2007&lt;&gt;"", HYPERLINK("https://www.kegg.jp/entry/" &amp; G2007, "https://www.kegg.jp/entry/" &amp; G2007), "")</f>
        <v>https://www.kegg.jp/entry/R02295</v>
      </c>
      <c r="I2007" t="s">
        <v>12749</v>
      </c>
      <c r="J2007" t="s">
        <v>13041</v>
      </c>
    </row>
    <row r="2008" spans="1:10" hidden="1" x14ac:dyDescent="0.25">
      <c r="A2008" t="s">
        <v>3685</v>
      </c>
      <c r="B2008">
        <v>825</v>
      </c>
      <c r="C2008" t="s">
        <v>3686</v>
      </c>
      <c r="F2008" s="1" t="str">
        <f>IF(E2008&lt;&gt;"", HYPERLINK("https://www.kegg.jp/dbget-bin/www_bget?ec:" &amp; E2008, "https://www.kegg.jp/dbget-bin/www_bget?ec:" &amp; E2008), "")</f>
        <v/>
      </c>
      <c r="G2008" s="3"/>
      <c r="H2008" s="1" t="str">
        <f>IF(G2008&lt;&gt;"", HYPERLINK("https://www.kegg.jp/entry/" &amp; G2008, "https://www.kegg.jp/entry/" &amp; G2008), "")</f>
        <v/>
      </c>
    </row>
    <row r="2009" spans="1:10" hidden="1" x14ac:dyDescent="0.25">
      <c r="A2009" t="s">
        <v>3688</v>
      </c>
      <c r="B2009">
        <v>102</v>
      </c>
      <c r="C2009" t="s">
        <v>3689</v>
      </c>
      <c r="F2009" s="1" t="str">
        <f>IF(E2009&lt;&gt;"", HYPERLINK("https://www.kegg.jp/dbget-bin/www_bget?ec:" &amp; E2009, "https://www.kegg.jp/dbget-bin/www_bget?ec:" &amp; E2009), "")</f>
        <v/>
      </c>
      <c r="G2009" s="3"/>
      <c r="H2009" s="1" t="str">
        <f>IF(G2009&lt;&gt;"", HYPERLINK("https://www.kegg.jp/entry/" &amp; G2009, "https://www.kegg.jp/entry/" &amp; G2009), "")</f>
        <v/>
      </c>
    </row>
    <row r="2010" spans="1:10" hidden="1" x14ac:dyDescent="0.25">
      <c r="A2010" t="s">
        <v>3690</v>
      </c>
      <c r="B2010">
        <v>87</v>
      </c>
      <c r="C2010" t="s">
        <v>3691</v>
      </c>
      <c r="F2010" s="1" t="str">
        <f>IF(E2010&lt;&gt;"", HYPERLINK("https://www.kegg.jp/dbget-bin/www_bget?ec:" &amp; E2010, "https://www.kegg.jp/dbget-bin/www_bget?ec:" &amp; E2010), "")</f>
        <v/>
      </c>
      <c r="G2010" s="3"/>
      <c r="H2010" s="1" t="str">
        <f>IF(G2010&lt;&gt;"", HYPERLINK("https://www.kegg.jp/entry/" &amp; G2010, "https://www.kegg.jp/entry/" &amp; G2010), "")</f>
        <v/>
      </c>
    </row>
    <row r="2011" spans="1:10" hidden="1" x14ac:dyDescent="0.25">
      <c r="A2011" t="s">
        <v>3693</v>
      </c>
      <c r="B2011">
        <v>86</v>
      </c>
      <c r="C2011" t="s">
        <v>3694</v>
      </c>
      <c r="F2011" s="1" t="str">
        <f>IF(E2011&lt;&gt;"", HYPERLINK("https://www.kegg.jp/dbget-bin/www_bget?ec:" &amp; E2011, "https://www.kegg.jp/dbget-bin/www_bget?ec:" &amp; E2011), "")</f>
        <v/>
      </c>
      <c r="G2011" s="3"/>
      <c r="H2011" s="1" t="str">
        <f>IF(G2011&lt;&gt;"", HYPERLINK("https://www.kegg.jp/entry/" &amp; G2011, "https://www.kegg.jp/entry/" &amp; G2011), "")</f>
        <v/>
      </c>
    </row>
    <row r="2012" spans="1:10" x14ac:dyDescent="0.25">
      <c r="A2012" t="s">
        <v>3695</v>
      </c>
      <c r="B2012">
        <v>403</v>
      </c>
      <c r="C2012" t="s">
        <v>3696</v>
      </c>
      <c r="E2012" s="5" t="s">
        <v>6783</v>
      </c>
      <c r="F2012" s="1" t="str">
        <f>IF(E2012&lt;&gt;"", HYPERLINK("https://www.kegg.jp/dbget-bin/www_bget?ec:" &amp; E2012, "https://www.kegg.jp/dbget-bin/www_bget?ec:" &amp; E2012), "")</f>
        <v>https://www.kegg.jp/dbget-bin/www_bget?ec:2.3.1.9</v>
      </c>
      <c r="G2012" s="9" t="s">
        <v>7598</v>
      </c>
      <c r="H2012" s="1" t="str">
        <f>IF(G2012&lt;&gt;"", HYPERLINK("https://www.kegg.jp/entry/" &amp; G2012, "https://www.kegg.jp/entry/" &amp; G2012), "")</f>
        <v>https://www.kegg.jp/entry/R00238</v>
      </c>
      <c r="I2012" t="s">
        <v>8227</v>
      </c>
      <c r="J2012" t="s">
        <v>8503</v>
      </c>
    </row>
    <row r="2013" spans="1:10" x14ac:dyDescent="0.25">
      <c r="A2013" t="s">
        <v>3695</v>
      </c>
      <c r="B2013">
        <v>403</v>
      </c>
      <c r="C2013" t="s">
        <v>3696</v>
      </c>
      <c r="E2013" s="5" t="s">
        <v>6783</v>
      </c>
      <c r="F2013" s="1" t="str">
        <f>IF(E2013&lt;&gt;"", HYPERLINK("https://www.kegg.jp/dbget-bin/www_bget?ec:" &amp; E2013, "https://www.kegg.jp/dbget-bin/www_bget?ec:" &amp; E2013), "")</f>
        <v>https://www.kegg.jp/dbget-bin/www_bget?ec:2.3.1.9</v>
      </c>
      <c r="G2013" s="9" t="s">
        <v>7599</v>
      </c>
      <c r="H2013" s="1" t="str">
        <f>IF(G2013&lt;&gt;"", HYPERLINK("https://www.kegg.jp/entry/" &amp; G2013, "https://www.kegg.jp/entry/" &amp; G2013), "")</f>
        <v>https://www.kegg.jp/entry/R00927</v>
      </c>
      <c r="I2013" t="s">
        <v>13121</v>
      </c>
      <c r="J2013" t="s">
        <v>8504</v>
      </c>
    </row>
    <row r="2014" spans="1:10" x14ac:dyDescent="0.25">
      <c r="A2014" t="s">
        <v>3695</v>
      </c>
      <c r="B2014">
        <v>403</v>
      </c>
      <c r="C2014" t="s">
        <v>3696</v>
      </c>
      <c r="E2014" s="5" t="s">
        <v>6783</v>
      </c>
      <c r="F2014" s="1" t="str">
        <f>IF(E2014&lt;&gt;"", HYPERLINK("https://www.kegg.jp/dbget-bin/www_bget?ec:" &amp; E2014, "https://www.kegg.jp/dbget-bin/www_bget?ec:" &amp; E2014), "")</f>
        <v>https://www.kegg.jp/dbget-bin/www_bget?ec:2.3.1.9</v>
      </c>
      <c r="G2014" s="9" t="s">
        <v>7600</v>
      </c>
      <c r="H2014" s="1" t="str">
        <f>IF(G2014&lt;&gt;"", HYPERLINK("https://www.kegg.jp/entry/" &amp; G2014, "https://www.kegg.jp/entry/" &amp; G2014), "")</f>
        <v>https://www.kegg.jp/entry/R01177</v>
      </c>
      <c r="I2014" t="s">
        <v>8228</v>
      </c>
      <c r="J2014" t="s">
        <v>8505</v>
      </c>
    </row>
    <row r="2015" spans="1:10" hidden="1" x14ac:dyDescent="0.25">
      <c r="A2015" t="s">
        <v>3697</v>
      </c>
      <c r="B2015">
        <v>503</v>
      </c>
      <c r="C2015" t="s">
        <v>3698</v>
      </c>
      <c r="F2015" s="1" t="str">
        <f>IF(E2015&lt;&gt;"", HYPERLINK("https://www.kegg.jp/dbget-bin/www_bget?ec:" &amp; E2015, "https://www.kegg.jp/dbget-bin/www_bget?ec:" &amp; E2015), "")</f>
        <v/>
      </c>
      <c r="G2015" s="3"/>
      <c r="H2015" s="1" t="str">
        <f>IF(G2015&lt;&gt;"", HYPERLINK("https://www.kegg.jp/entry/" &amp; G2015, "https://www.kegg.jp/entry/" &amp; G2015), "")</f>
        <v/>
      </c>
    </row>
    <row r="2016" spans="1:10" hidden="1" x14ac:dyDescent="0.25">
      <c r="A2016" t="s">
        <v>3700</v>
      </c>
      <c r="B2016">
        <v>147</v>
      </c>
      <c r="C2016" t="s">
        <v>3701</v>
      </c>
      <c r="F2016" s="1" t="str">
        <f>IF(E2016&lt;&gt;"", HYPERLINK("https://www.kegg.jp/dbget-bin/www_bget?ec:" &amp; E2016, "https://www.kegg.jp/dbget-bin/www_bget?ec:" &amp; E2016), "")</f>
        <v/>
      </c>
      <c r="G2016" s="3"/>
      <c r="H2016" s="1" t="str">
        <f>IF(G2016&lt;&gt;"", HYPERLINK("https://www.kegg.jp/entry/" &amp; G2016, "https://www.kegg.jp/entry/" &amp; G2016), "")</f>
        <v/>
      </c>
    </row>
    <row r="2017" spans="1:10" hidden="1" x14ac:dyDescent="0.25">
      <c r="A2017" t="s">
        <v>3702</v>
      </c>
      <c r="B2017">
        <v>145</v>
      </c>
      <c r="C2017" t="s">
        <v>3703</v>
      </c>
      <c r="F2017" s="1" t="str">
        <f>IF(E2017&lt;&gt;"", HYPERLINK("https://www.kegg.jp/dbget-bin/www_bget?ec:" &amp; E2017, "https://www.kegg.jp/dbget-bin/www_bget?ec:" &amp; E2017), "")</f>
        <v/>
      </c>
      <c r="G2017" s="3"/>
      <c r="H2017" s="1" t="str">
        <f>IF(G2017&lt;&gt;"", HYPERLINK("https://www.kegg.jp/entry/" &amp; G2017, "https://www.kegg.jp/entry/" &amp; G2017), "")</f>
        <v/>
      </c>
    </row>
    <row r="2018" spans="1:10" hidden="1" x14ac:dyDescent="0.25">
      <c r="A2018" t="s">
        <v>3704</v>
      </c>
      <c r="B2018">
        <v>202</v>
      </c>
      <c r="C2018" t="s">
        <v>3705</v>
      </c>
      <c r="F2018" s="1" t="str">
        <f>IF(E2018&lt;&gt;"", HYPERLINK("https://www.kegg.jp/dbget-bin/www_bget?ec:" &amp; E2018, "https://www.kegg.jp/dbget-bin/www_bget?ec:" &amp; E2018), "")</f>
        <v/>
      </c>
      <c r="G2018" s="3"/>
      <c r="H2018" s="1" t="str">
        <f>IF(G2018&lt;&gt;"", HYPERLINK("https://www.kegg.jp/entry/" &amp; G2018, "https://www.kegg.jp/entry/" &amp; G2018), "")</f>
        <v/>
      </c>
    </row>
    <row r="2019" spans="1:10" hidden="1" x14ac:dyDescent="0.25">
      <c r="A2019" t="s">
        <v>3706</v>
      </c>
      <c r="B2019">
        <v>134</v>
      </c>
      <c r="C2019" t="s">
        <v>3707</v>
      </c>
      <c r="F2019" s="1" t="str">
        <f>IF(E2019&lt;&gt;"", HYPERLINK("https://www.kegg.jp/dbget-bin/www_bget?ec:" &amp; E2019, "https://www.kegg.jp/dbget-bin/www_bget?ec:" &amp; E2019), "")</f>
        <v/>
      </c>
      <c r="G2019" s="3"/>
      <c r="H2019" s="1" t="str">
        <f>IF(G2019&lt;&gt;"", HYPERLINK("https://www.kegg.jp/entry/" &amp; G2019, "https://www.kegg.jp/entry/" &amp; G2019), "")</f>
        <v/>
      </c>
    </row>
    <row r="2020" spans="1:10" hidden="1" x14ac:dyDescent="0.25">
      <c r="A2020" t="s">
        <v>3708</v>
      </c>
      <c r="B2020">
        <v>54</v>
      </c>
      <c r="C2020" t="s">
        <v>3709</v>
      </c>
      <c r="F2020" s="1" t="str">
        <f>IF(E2020&lt;&gt;"", HYPERLINK("https://www.kegg.jp/dbget-bin/www_bget?ec:" &amp; E2020, "https://www.kegg.jp/dbget-bin/www_bget?ec:" &amp; E2020), "")</f>
        <v/>
      </c>
      <c r="G2020" s="3"/>
      <c r="H2020" s="1" t="str">
        <f>IF(G2020&lt;&gt;"", HYPERLINK("https://www.kegg.jp/entry/" &amp; G2020, "https://www.kegg.jp/entry/" &amp; G2020), "")</f>
        <v/>
      </c>
    </row>
    <row r="2021" spans="1:10" hidden="1" x14ac:dyDescent="0.25">
      <c r="A2021" t="s">
        <v>3710</v>
      </c>
      <c r="B2021">
        <v>63</v>
      </c>
      <c r="C2021" t="s">
        <v>3711</v>
      </c>
      <c r="F2021" s="1" t="str">
        <f>IF(E2021&lt;&gt;"", HYPERLINK("https://www.kegg.jp/dbget-bin/www_bget?ec:" &amp; E2021, "https://www.kegg.jp/dbget-bin/www_bget?ec:" &amp; E2021), "")</f>
        <v/>
      </c>
      <c r="G2021" s="3"/>
      <c r="H2021" s="1" t="str">
        <f>IF(G2021&lt;&gt;"", HYPERLINK("https://www.kegg.jp/entry/" &amp; G2021, "https://www.kegg.jp/entry/" &amp; G2021), "")</f>
        <v/>
      </c>
    </row>
    <row r="2022" spans="1:10" hidden="1" x14ac:dyDescent="0.25">
      <c r="A2022" t="s">
        <v>3712</v>
      </c>
      <c r="B2022">
        <v>542</v>
      </c>
      <c r="C2022" t="s">
        <v>3713</v>
      </c>
      <c r="F2022" s="1" t="str">
        <f>IF(E2022&lt;&gt;"", HYPERLINK("https://www.kegg.jp/dbget-bin/www_bget?ec:" &amp; E2022, "https://www.kegg.jp/dbget-bin/www_bget?ec:" &amp; E2022), "")</f>
        <v/>
      </c>
      <c r="G2022" s="3"/>
      <c r="H2022" s="1" t="str">
        <f>IF(G2022&lt;&gt;"", HYPERLINK("https://www.kegg.jp/entry/" &amp; G2022, "https://www.kegg.jp/entry/" &amp; G2022), "")</f>
        <v/>
      </c>
    </row>
    <row r="2023" spans="1:10" hidden="1" x14ac:dyDescent="0.25">
      <c r="A2023" t="s">
        <v>3714</v>
      </c>
      <c r="B2023">
        <v>180</v>
      </c>
      <c r="C2023" t="s">
        <v>3715</v>
      </c>
      <c r="F2023" s="1" t="str">
        <f>IF(E2023&lt;&gt;"", HYPERLINK("https://www.kegg.jp/dbget-bin/www_bget?ec:" &amp; E2023, "https://www.kegg.jp/dbget-bin/www_bget?ec:" &amp; E2023), "")</f>
        <v/>
      </c>
      <c r="G2023" s="3"/>
      <c r="H2023" s="1" t="str">
        <f>IF(G2023&lt;&gt;"", HYPERLINK("https://www.kegg.jp/entry/" &amp; G2023, "https://www.kegg.jp/entry/" &amp; G2023), "")</f>
        <v/>
      </c>
    </row>
    <row r="2024" spans="1:10" hidden="1" x14ac:dyDescent="0.25">
      <c r="A2024" t="s">
        <v>3716</v>
      </c>
      <c r="B2024">
        <v>66</v>
      </c>
      <c r="C2024" t="s">
        <v>3717</v>
      </c>
      <c r="F2024" s="1" t="str">
        <f>IF(E2024&lt;&gt;"", HYPERLINK("https://www.kegg.jp/dbget-bin/www_bget?ec:" &amp; E2024, "https://www.kegg.jp/dbget-bin/www_bget?ec:" &amp; E2024), "")</f>
        <v/>
      </c>
      <c r="G2024" s="3"/>
      <c r="H2024" s="1" t="str">
        <f>IF(G2024&lt;&gt;"", HYPERLINK("https://www.kegg.jp/entry/" &amp; G2024, "https://www.kegg.jp/entry/" &amp; G2024), "")</f>
        <v/>
      </c>
    </row>
    <row r="2025" spans="1:10" hidden="1" x14ac:dyDescent="0.25">
      <c r="A2025" t="s">
        <v>3718</v>
      </c>
      <c r="B2025">
        <v>185</v>
      </c>
      <c r="C2025" t="s">
        <v>3719</v>
      </c>
      <c r="F2025" s="1" t="str">
        <f>IF(E2025&lt;&gt;"", HYPERLINK("https://www.kegg.jp/dbget-bin/www_bget?ec:" &amp; E2025, "https://www.kegg.jp/dbget-bin/www_bget?ec:" &amp; E2025), "")</f>
        <v/>
      </c>
      <c r="G2025" s="3"/>
      <c r="H2025" s="1" t="str">
        <f>IF(G2025&lt;&gt;"", HYPERLINK("https://www.kegg.jp/entry/" &amp; G2025, "https://www.kegg.jp/entry/" &amp; G2025), "")</f>
        <v/>
      </c>
    </row>
    <row r="2026" spans="1:10" hidden="1" x14ac:dyDescent="0.25">
      <c r="A2026" t="s">
        <v>3720</v>
      </c>
      <c r="B2026">
        <v>225</v>
      </c>
      <c r="C2026" t="s">
        <v>3721</v>
      </c>
      <c r="F2026" s="1" t="str">
        <f>IF(E2026&lt;&gt;"", HYPERLINK("https://www.kegg.jp/dbget-bin/www_bget?ec:" &amp; E2026, "https://www.kegg.jp/dbget-bin/www_bget?ec:" &amp; E2026), "")</f>
        <v/>
      </c>
      <c r="G2026" s="3"/>
      <c r="H2026" s="1" t="str">
        <f>IF(G2026&lt;&gt;"", HYPERLINK("https://www.kegg.jp/entry/" &amp; G2026, "https://www.kegg.jp/entry/" &amp; G2026), "")</f>
        <v/>
      </c>
    </row>
    <row r="2027" spans="1:10" hidden="1" x14ac:dyDescent="0.25">
      <c r="A2027" t="s">
        <v>3722</v>
      </c>
      <c r="B2027">
        <v>214</v>
      </c>
      <c r="C2027" t="s">
        <v>3723</v>
      </c>
      <c r="F2027" s="1" t="str">
        <f>IF(E2027&lt;&gt;"", HYPERLINK("https://www.kegg.jp/dbget-bin/www_bget?ec:" &amp; E2027, "https://www.kegg.jp/dbget-bin/www_bget?ec:" &amp; E2027), "")</f>
        <v/>
      </c>
      <c r="G2027" s="3"/>
      <c r="H2027" s="1" t="str">
        <f>IF(G2027&lt;&gt;"", HYPERLINK("https://www.kegg.jp/entry/" &amp; G2027, "https://www.kegg.jp/entry/" &amp; G2027), "")</f>
        <v/>
      </c>
    </row>
    <row r="2028" spans="1:10" hidden="1" x14ac:dyDescent="0.25">
      <c r="A2028" t="s">
        <v>3725</v>
      </c>
      <c r="B2028">
        <v>337</v>
      </c>
      <c r="C2028" t="s">
        <v>3726</v>
      </c>
      <c r="F2028" s="1" t="str">
        <f>IF(E2028&lt;&gt;"", HYPERLINK("https://www.kegg.jp/dbget-bin/www_bget?ec:" &amp; E2028, "https://www.kegg.jp/dbget-bin/www_bget?ec:" &amp; E2028), "")</f>
        <v/>
      </c>
      <c r="G2028" s="3"/>
      <c r="H2028" s="1" t="str">
        <f>IF(G2028&lt;&gt;"", HYPERLINK("https://www.kegg.jp/entry/" &amp; G2028, "https://www.kegg.jp/entry/" &amp; G2028), "")</f>
        <v/>
      </c>
    </row>
    <row r="2029" spans="1:10" hidden="1" x14ac:dyDescent="0.25">
      <c r="C2029" t="s">
        <v>3727</v>
      </c>
      <c r="F2029" s="1" t="str">
        <f>IF(E2029&lt;&gt;"", HYPERLINK("https://www.kegg.jp/dbget-bin/www_bget?ec:" &amp; E2029, "https://www.kegg.jp/dbget-bin/www_bget?ec:" &amp; E2029), "")</f>
        <v/>
      </c>
      <c r="G2029" s="3"/>
      <c r="H2029" s="1" t="str">
        <f>IF(G2029&lt;&gt;"", HYPERLINK("https://www.kegg.jp/entry/" &amp; G2029, "https://www.kegg.jp/entry/" &amp; G2029), "")</f>
        <v/>
      </c>
    </row>
    <row r="2030" spans="1:10" x14ac:dyDescent="0.25">
      <c r="A2030" t="s">
        <v>3729</v>
      </c>
      <c r="B2030">
        <v>470</v>
      </c>
      <c r="C2030" t="s">
        <v>3730</v>
      </c>
      <c r="E2030" s="5" t="s">
        <v>6910</v>
      </c>
      <c r="F2030" s="1" t="str">
        <f>IF(E2030&lt;&gt;"", HYPERLINK("https://www.kegg.jp/dbget-bin/www_bget?ec:" &amp; E2030, "https://www.kegg.jp/dbget-bin/www_bget?ec:" &amp; E2030), "")</f>
        <v>https://www.kegg.jp/dbget-bin/www_bget?ec:4.2.1.33</v>
      </c>
      <c r="G2030" s="9" t="s">
        <v>7818</v>
      </c>
      <c r="H2030" s="1" t="str">
        <f>IF(G2030&lt;&gt;"", HYPERLINK("https://www.kegg.jp/entry/" &amp; G2030, "https://www.kegg.jp/entry/" &amp; G2030), "")</f>
        <v>https://www.kegg.jp/entry/R03968</v>
      </c>
      <c r="I2030" t="s">
        <v>8309</v>
      </c>
      <c r="J2030" t="s">
        <v>13488</v>
      </c>
    </row>
    <row r="2031" spans="1:10" x14ac:dyDescent="0.25">
      <c r="A2031" t="s">
        <v>3729</v>
      </c>
      <c r="B2031">
        <v>470</v>
      </c>
      <c r="C2031" t="s">
        <v>3730</v>
      </c>
      <c r="E2031" s="5" t="s">
        <v>6910</v>
      </c>
      <c r="F2031" s="1" t="str">
        <f>IF(E2031&lt;&gt;"", HYPERLINK("https://www.kegg.jp/dbget-bin/www_bget?ec:" &amp; E2031, "https://www.kegg.jp/dbget-bin/www_bget?ec:" &amp; E2031), "")</f>
        <v>https://www.kegg.jp/dbget-bin/www_bget?ec:4.2.1.33</v>
      </c>
      <c r="G2031" s="9" t="s">
        <v>7820</v>
      </c>
      <c r="H2031" s="1" t="str">
        <f>IF(G2031&lt;&gt;"", HYPERLINK("https://www.kegg.jp/entry/" &amp; G2031, "https://www.kegg.jp/entry/" &amp; G2031), "")</f>
        <v>https://www.kegg.jp/entry/R04001</v>
      </c>
      <c r="I2031" t="s">
        <v>8310</v>
      </c>
      <c r="J2031" t="s">
        <v>13488</v>
      </c>
    </row>
    <row r="2032" spans="1:10" x14ac:dyDescent="0.25">
      <c r="A2032" t="s">
        <v>3729</v>
      </c>
      <c r="B2032">
        <v>470</v>
      </c>
      <c r="C2032" t="s">
        <v>3730</v>
      </c>
      <c r="E2032" s="5" t="s">
        <v>6910</v>
      </c>
      <c r="F2032" s="1" t="str">
        <f>IF(E2032&lt;&gt;"", HYPERLINK("https://www.kegg.jp/dbget-bin/www_bget?ec:" &amp; E2032, "https://www.kegg.jp/dbget-bin/www_bget?ec:" &amp; E2032), "")</f>
        <v>https://www.kegg.jp/dbget-bin/www_bget?ec:4.2.1.33</v>
      </c>
      <c r="G2032" s="9" t="s">
        <v>7819</v>
      </c>
      <c r="H2032" s="1" t="str">
        <f>IF(G2032&lt;&gt;"", HYPERLINK("https://www.kegg.jp/entry/" &amp; G2032, "https://www.kegg.jp/entry/" &amp; G2032), "")</f>
        <v>https://www.kegg.jp/entry/R10170</v>
      </c>
      <c r="I2032" t="s">
        <v>8310</v>
      </c>
      <c r="J2032" t="s">
        <v>8309</v>
      </c>
    </row>
    <row r="2033" spans="1:10" x14ac:dyDescent="0.25">
      <c r="A2033" t="s">
        <v>3732</v>
      </c>
      <c r="B2033">
        <v>201</v>
      </c>
      <c r="C2033" t="s">
        <v>3733</v>
      </c>
      <c r="E2033" s="5" t="s">
        <v>6910</v>
      </c>
      <c r="F2033" s="1" t="str">
        <f>IF(E2033&lt;&gt;"", HYPERLINK("https://www.kegg.jp/dbget-bin/www_bget?ec:" &amp; E2033, "https://www.kegg.jp/dbget-bin/www_bget?ec:" &amp; E2033), "")</f>
        <v>https://www.kegg.jp/dbget-bin/www_bget?ec:4.2.1.33</v>
      </c>
      <c r="G2033" s="9" t="s">
        <v>7818</v>
      </c>
      <c r="H2033" s="1" t="str">
        <f>IF(G2033&lt;&gt;"", HYPERLINK("https://www.kegg.jp/entry/" &amp; G2033, "https://www.kegg.jp/entry/" &amp; G2033), "")</f>
        <v>https://www.kegg.jp/entry/R03968</v>
      </c>
      <c r="I2033" t="s">
        <v>8309</v>
      </c>
      <c r="J2033" t="s">
        <v>13488</v>
      </c>
    </row>
    <row r="2034" spans="1:10" x14ac:dyDescent="0.25">
      <c r="A2034" t="s">
        <v>3732</v>
      </c>
      <c r="B2034">
        <v>201</v>
      </c>
      <c r="C2034" t="s">
        <v>3733</v>
      </c>
      <c r="E2034" s="5" t="s">
        <v>6910</v>
      </c>
      <c r="F2034" s="1" t="str">
        <f>IF(E2034&lt;&gt;"", HYPERLINK("https://www.kegg.jp/dbget-bin/www_bget?ec:" &amp; E2034, "https://www.kegg.jp/dbget-bin/www_bget?ec:" &amp; E2034), "")</f>
        <v>https://www.kegg.jp/dbget-bin/www_bget?ec:4.2.1.33</v>
      </c>
      <c r="G2034" s="9" t="s">
        <v>7820</v>
      </c>
      <c r="H2034" s="1" t="str">
        <f>IF(G2034&lt;&gt;"", HYPERLINK("https://www.kegg.jp/entry/" &amp; G2034, "https://www.kegg.jp/entry/" &amp; G2034), "")</f>
        <v>https://www.kegg.jp/entry/R04001</v>
      </c>
      <c r="I2034" t="s">
        <v>8310</v>
      </c>
      <c r="J2034" t="s">
        <v>13488</v>
      </c>
    </row>
    <row r="2035" spans="1:10" x14ac:dyDescent="0.25">
      <c r="A2035" t="s">
        <v>3732</v>
      </c>
      <c r="B2035">
        <v>201</v>
      </c>
      <c r="C2035" t="s">
        <v>3733</v>
      </c>
      <c r="E2035" s="5" t="s">
        <v>6910</v>
      </c>
      <c r="F2035" s="1" t="str">
        <f>IF(E2035&lt;&gt;"", HYPERLINK("https://www.kegg.jp/dbget-bin/www_bget?ec:" &amp; E2035, "https://www.kegg.jp/dbget-bin/www_bget?ec:" &amp; E2035), "")</f>
        <v>https://www.kegg.jp/dbget-bin/www_bget?ec:4.2.1.33</v>
      </c>
      <c r="G2035" s="9" t="s">
        <v>7819</v>
      </c>
      <c r="H2035" s="1" t="str">
        <f>IF(G2035&lt;&gt;"", HYPERLINK("https://www.kegg.jp/entry/" &amp; G2035, "https://www.kegg.jp/entry/" &amp; G2035), "")</f>
        <v>https://www.kegg.jp/entry/R10170</v>
      </c>
      <c r="I2035" t="s">
        <v>8310</v>
      </c>
      <c r="J2035" t="s">
        <v>8309</v>
      </c>
    </row>
    <row r="2036" spans="1:10" x14ac:dyDescent="0.25">
      <c r="A2036" t="s">
        <v>3735</v>
      </c>
      <c r="B2036">
        <v>345</v>
      </c>
      <c r="C2036" t="s">
        <v>3736</v>
      </c>
      <c r="E2036" s="5" t="s">
        <v>6911</v>
      </c>
      <c r="F2036" s="1" t="str">
        <f>IF(E2036&lt;&gt;"", HYPERLINK("https://www.kegg.jp/dbget-bin/www_bget?ec:" &amp; E2036, "https://www.kegg.jp/dbget-bin/www_bget?ec:" &amp; E2036), "")</f>
        <v>https://www.kegg.jp/dbget-bin/www_bget?ec:1.1.1.85</v>
      </c>
      <c r="G2036" s="9" t="s">
        <v>7821</v>
      </c>
      <c r="H2036" s="1" t="str">
        <f>IF(G2036&lt;&gt;"", HYPERLINK("https://www.kegg.jp/entry/" &amp; G2036, "https://www.kegg.jp/entry/" &amp; G2036), "")</f>
        <v>https://www.kegg.jp/entry/R01652</v>
      </c>
      <c r="I2036" t="s">
        <v>13489</v>
      </c>
      <c r="J2036" t="s">
        <v>8575</v>
      </c>
    </row>
    <row r="2037" spans="1:10" x14ac:dyDescent="0.25">
      <c r="A2037" t="s">
        <v>3735</v>
      </c>
      <c r="B2037">
        <v>345</v>
      </c>
      <c r="C2037" t="s">
        <v>3736</v>
      </c>
      <c r="E2037" s="5" t="s">
        <v>6911</v>
      </c>
      <c r="F2037" s="1" t="str">
        <f>IF(E2037&lt;&gt;"", HYPERLINK("https://www.kegg.jp/dbget-bin/www_bget?ec:" &amp; E2037, "https://www.kegg.jp/dbget-bin/www_bget?ec:" &amp; E2037), "")</f>
        <v>https://www.kegg.jp/dbget-bin/www_bget?ec:1.1.1.85</v>
      </c>
      <c r="G2037" s="9" t="s">
        <v>7824</v>
      </c>
      <c r="H2037" s="1" t="str">
        <f>IF(G2037&lt;&gt;"", HYPERLINK("https://www.kegg.jp/entry/" &amp; G2037, "https://www.kegg.jp/entry/" &amp; G2037), "")</f>
        <v>https://www.kegg.jp/entry/R04426</v>
      </c>
      <c r="I2037" t="s">
        <v>13490</v>
      </c>
      <c r="J2037" t="s">
        <v>13491</v>
      </c>
    </row>
    <row r="2038" spans="1:10" x14ac:dyDescent="0.25">
      <c r="A2038" t="s">
        <v>3735</v>
      </c>
      <c r="B2038">
        <v>345</v>
      </c>
      <c r="C2038" t="s">
        <v>3736</v>
      </c>
      <c r="E2038" s="5" t="s">
        <v>6911</v>
      </c>
      <c r="F2038" s="1" t="str">
        <f>IF(E2038&lt;&gt;"", HYPERLINK("https://www.kegg.jp/dbget-bin/www_bget?ec:" &amp; E2038, "https://www.kegg.jp/dbget-bin/www_bget?ec:" &amp; E2038), "")</f>
        <v>https://www.kegg.jp/dbget-bin/www_bget?ec:1.1.1.85</v>
      </c>
      <c r="G2038" s="9" t="s">
        <v>7823</v>
      </c>
      <c r="H2038" s="1" t="str">
        <f>IF(G2038&lt;&gt;"", HYPERLINK("https://www.kegg.jp/entry/" &amp; G2038, "https://www.kegg.jp/entry/" &amp; G2038), "")</f>
        <v>https://www.kegg.jp/entry/R10052</v>
      </c>
      <c r="I2038" t="s">
        <v>13490</v>
      </c>
      <c r="J2038" t="s">
        <v>13492</v>
      </c>
    </row>
    <row r="2039" spans="1:10" x14ac:dyDescent="0.25">
      <c r="A2039" t="s">
        <v>3735</v>
      </c>
      <c r="B2039">
        <v>345</v>
      </c>
      <c r="C2039" t="s">
        <v>3736</v>
      </c>
      <c r="E2039" s="5" t="s">
        <v>6911</v>
      </c>
      <c r="F2039" s="1" t="str">
        <f>IF(E2039&lt;&gt;"", HYPERLINK("https://www.kegg.jp/dbget-bin/www_bget?ec:" &amp; E2039, "https://www.kegg.jp/dbget-bin/www_bget?ec:" &amp; E2039), "")</f>
        <v>https://www.kegg.jp/dbget-bin/www_bget?ec:1.1.1.85</v>
      </c>
      <c r="G2039" s="9" t="s">
        <v>7822</v>
      </c>
      <c r="H2039" s="1" t="str">
        <f>IF(G2039&lt;&gt;"", HYPERLINK("https://www.kegg.jp/entry/" &amp; G2039, "https://www.kegg.jp/entry/" &amp; G2039), "")</f>
        <v>https://www.kegg.jp/entry/R00994</v>
      </c>
      <c r="I2039" t="s">
        <v>13493</v>
      </c>
      <c r="J2039" t="s">
        <v>13494</v>
      </c>
    </row>
    <row r="2040" spans="1:10" hidden="1" x14ac:dyDescent="0.25">
      <c r="A2040" t="s">
        <v>3737</v>
      </c>
      <c r="B2040">
        <v>177</v>
      </c>
      <c r="C2040" t="s">
        <v>3738</v>
      </c>
      <c r="F2040" s="1" t="str">
        <f>IF(E2040&lt;&gt;"", HYPERLINK("https://www.kegg.jp/dbget-bin/www_bget?ec:" &amp; E2040, "https://www.kegg.jp/dbget-bin/www_bget?ec:" &amp; E2040), "")</f>
        <v/>
      </c>
      <c r="G2040" s="3"/>
      <c r="H2040" s="1" t="str">
        <f>IF(G2040&lt;&gt;"", HYPERLINK("https://www.kegg.jp/entry/" &amp; G2040, "https://www.kegg.jp/entry/" &amp; G2040), "")</f>
        <v/>
      </c>
    </row>
    <row r="2041" spans="1:10" hidden="1" x14ac:dyDescent="0.25">
      <c r="A2041" t="s">
        <v>3739</v>
      </c>
      <c r="B2041">
        <v>178</v>
      </c>
      <c r="C2041" t="s">
        <v>3740</v>
      </c>
      <c r="F2041" s="1" t="str">
        <f>IF(E2041&lt;&gt;"", HYPERLINK("https://www.kegg.jp/dbget-bin/www_bget?ec:" &amp; E2041, "https://www.kegg.jp/dbget-bin/www_bget?ec:" &amp; E2041), "")</f>
        <v/>
      </c>
      <c r="G2041" s="3"/>
      <c r="H2041" s="1" t="str">
        <f>IF(G2041&lt;&gt;"", HYPERLINK("https://www.kegg.jp/entry/" &amp; G2041, "https://www.kegg.jp/entry/" &amp; G2041), "")</f>
        <v/>
      </c>
    </row>
    <row r="2042" spans="1:10" hidden="1" x14ac:dyDescent="0.25">
      <c r="A2042" t="s">
        <v>3742</v>
      </c>
      <c r="B2042">
        <v>244</v>
      </c>
      <c r="C2042" t="s">
        <v>3743</v>
      </c>
      <c r="F2042" s="1" t="str">
        <f>IF(E2042&lt;&gt;"", HYPERLINK("https://www.kegg.jp/dbget-bin/www_bget?ec:" &amp; E2042, "https://www.kegg.jp/dbget-bin/www_bget?ec:" &amp; E2042), "")</f>
        <v/>
      </c>
      <c r="G2042" s="3"/>
      <c r="H2042" s="1" t="str">
        <f>IF(G2042&lt;&gt;"", HYPERLINK("https://www.kegg.jp/entry/" &amp; G2042, "https://www.kegg.jp/entry/" &amp; G2042), "")</f>
        <v/>
      </c>
    </row>
    <row r="2043" spans="1:10" x14ac:dyDescent="0.25">
      <c r="A2043" t="s">
        <v>3745</v>
      </c>
      <c r="B2043">
        <v>550</v>
      </c>
      <c r="C2043" t="s">
        <v>3746</v>
      </c>
      <c r="E2043" s="5" t="s">
        <v>6912</v>
      </c>
      <c r="F2043" s="1" t="str">
        <f>IF(E2043&lt;&gt;"", HYPERLINK("https://www.kegg.jp/dbget-bin/www_bget?ec:" &amp; E2043, "https://www.kegg.jp/dbget-bin/www_bget?ec:" &amp; E2043), "")</f>
        <v>https://www.kegg.jp/dbget-bin/www_bget?ec:4.2.1.9</v>
      </c>
      <c r="G2043" s="9" t="s">
        <v>7825</v>
      </c>
      <c r="H2043" s="1" t="str">
        <f>IF(G2043&lt;&gt;"", HYPERLINK("https://www.kegg.jp/entry/" &amp; G2043, "https://www.kegg.jp/entry/" &amp; G2043), "")</f>
        <v>https://www.kegg.jp/entry/R01209</v>
      </c>
      <c r="I2043" t="s">
        <v>8311</v>
      </c>
      <c r="J2043" t="s">
        <v>13495</v>
      </c>
    </row>
    <row r="2044" spans="1:10" x14ac:dyDescent="0.25">
      <c r="A2044" t="s">
        <v>3745</v>
      </c>
      <c r="B2044">
        <v>550</v>
      </c>
      <c r="C2044" t="s">
        <v>3746</v>
      </c>
      <c r="E2044" s="5" t="s">
        <v>6912</v>
      </c>
      <c r="F2044" s="1" t="str">
        <f>IF(E2044&lt;&gt;"", HYPERLINK("https://www.kegg.jp/dbget-bin/www_bget?ec:" &amp; E2044, "https://www.kegg.jp/dbget-bin/www_bget?ec:" &amp; E2044), "")</f>
        <v>https://www.kegg.jp/dbget-bin/www_bget?ec:4.2.1.9</v>
      </c>
      <c r="G2044" s="9" t="s">
        <v>7827</v>
      </c>
      <c r="H2044" s="1" t="str">
        <f>IF(G2044&lt;&gt;"", HYPERLINK("https://www.kegg.jp/entry/" &amp; G2044, "https://www.kegg.jp/entry/" &amp; G2044), "")</f>
        <v>https://www.kegg.jp/entry/R04441</v>
      </c>
      <c r="I2044" t="s">
        <v>8312</v>
      </c>
      <c r="J2044" t="s">
        <v>13495</v>
      </c>
    </row>
    <row r="2045" spans="1:10" x14ac:dyDescent="0.25">
      <c r="A2045" t="s">
        <v>3745</v>
      </c>
      <c r="B2045">
        <v>550</v>
      </c>
      <c r="C2045" t="s">
        <v>3746</v>
      </c>
      <c r="E2045" s="5" t="s">
        <v>6912</v>
      </c>
      <c r="F2045" s="1" t="str">
        <f>IF(E2045&lt;&gt;"", HYPERLINK("https://www.kegg.jp/dbget-bin/www_bget?ec:" &amp; E2045, "https://www.kegg.jp/dbget-bin/www_bget?ec:" &amp; E2045), "")</f>
        <v>https://www.kegg.jp/dbget-bin/www_bget?ec:4.2.1.9</v>
      </c>
      <c r="G2045" s="9" t="s">
        <v>7826</v>
      </c>
      <c r="H2045" s="1" t="str">
        <f>IF(G2045&lt;&gt;"", HYPERLINK("https://www.kegg.jp/entry/" &amp; G2045, "https://www.kegg.jp/entry/" &amp; G2045), "")</f>
        <v>https://www.kegg.jp/entry/R05070</v>
      </c>
      <c r="I2045" t="s">
        <v>8313</v>
      </c>
      <c r="J2045" t="s">
        <v>13496</v>
      </c>
    </row>
    <row r="2046" spans="1:10" hidden="1" x14ac:dyDescent="0.25">
      <c r="A2046" t="s">
        <v>3747</v>
      </c>
      <c r="B2046">
        <v>126</v>
      </c>
      <c r="C2046" t="s">
        <v>3748</v>
      </c>
      <c r="F2046" s="1" t="str">
        <f>IF(E2046&lt;&gt;"", HYPERLINK("https://www.kegg.jp/dbget-bin/www_bget?ec:" &amp; E2046, "https://www.kegg.jp/dbget-bin/www_bget?ec:" &amp; E2046), "")</f>
        <v/>
      </c>
      <c r="G2046" s="3"/>
      <c r="H2046" s="1" t="str">
        <f>IF(G2046&lt;&gt;"", HYPERLINK("https://www.kegg.jp/entry/" &amp; G2046, "https://www.kegg.jp/entry/" &amp; G2046), "")</f>
        <v/>
      </c>
    </row>
    <row r="2047" spans="1:10" hidden="1" x14ac:dyDescent="0.25">
      <c r="A2047" t="s">
        <v>3750</v>
      </c>
      <c r="B2047">
        <v>345</v>
      </c>
      <c r="C2047" t="s">
        <v>3751</v>
      </c>
      <c r="F2047" s="1" t="str">
        <f>IF(E2047&lt;&gt;"", HYPERLINK("https://www.kegg.jp/dbget-bin/www_bget?ec:" &amp; E2047, "https://www.kegg.jp/dbget-bin/www_bget?ec:" &amp; E2047), "")</f>
        <v/>
      </c>
      <c r="G2047" s="3"/>
      <c r="H2047" s="1" t="str">
        <f>IF(G2047&lt;&gt;"", HYPERLINK("https://www.kegg.jp/entry/" &amp; G2047, "https://www.kegg.jp/entry/" &amp; G2047), "")</f>
        <v/>
      </c>
    </row>
    <row r="2048" spans="1:10" hidden="1" x14ac:dyDescent="0.25">
      <c r="A2048" t="s">
        <v>3753</v>
      </c>
      <c r="B2048">
        <v>259</v>
      </c>
      <c r="C2048" t="s">
        <v>3754</v>
      </c>
      <c r="F2048" s="1" t="str">
        <f>IF(E2048&lt;&gt;"", HYPERLINK("https://www.kegg.jp/dbget-bin/www_bget?ec:" &amp; E2048, "https://www.kegg.jp/dbget-bin/www_bget?ec:" &amp; E2048), "")</f>
        <v/>
      </c>
      <c r="G2048" s="3"/>
      <c r="H2048" s="1" t="str">
        <f>IF(G2048&lt;&gt;"", HYPERLINK("https://www.kegg.jp/entry/" &amp; G2048, "https://www.kegg.jp/entry/" &amp; G2048), "")</f>
        <v/>
      </c>
    </row>
    <row r="2049" spans="1:10" hidden="1" x14ac:dyDescent="0.25">
      <c r="A2049" t="s">
        <v>3756</v>
      </c>
      <c r="B2049">
        <v>286</v>
      </c>
      <c r="C2049" t="s">
        <v>3757</v>
      </c>
      <c r="F2049" s="1" t="str">
        <f>IF(E2049&lt;&gt;"", HYPERLINK("https://www.kegg.jp/dbget-bin/www_bget?ec:" &amp; E2049, "https://www.kegg.jp/dbget-bin/www_bget?ec:" &amp; E2049), "")</f>
        <v/>
      </c>
      <c r="G2049" s="3"/>
      <c r="H2049" s="1" t="str">
        <f>IF(G2049&lt;&gt;"", HYPERLINK("https://www.kegg.jp/entry/" &amp; G2049, "https://www.kegg.jp/entry/" &amp; G2049), "")</f>
        <v/>
      </c>
    </row>
    <row r="2050" spans="1:10" hidden="1" x14ac:dyDescent="0.25">
      <c r="A2050" t="s">
        <v>3759</v>
      </c>
      <c r="B2050">
        <v>355</v>
      </c>
      <c r="C2050" t="s">
        <v>3760</v>
      </c>
      <c r="F2050" s="1" t="str">
        <f>IF(E2050&lt;&gt;"", HYPERLINK("https://www.kegg.jp/dbget-bin/www_bget?ec:" &amp; E2050, "https://www.kegg.jp/dbget-bin/www_bget?ec:" &amp; E2050), "")</f>
        <v/>
      </c>
      <c r="G2050" s="3"/>
      <c r="H2050" s="1" t="str">
        <f>IF(G2050&lt;&gt;"", HYPERLINK("https://www.kegg.jp/entry/" &amp; G2050, "https://www.kegg.jp/entry/" &amp; G2050), "")</f>
        <v/>
      </c>
    </row>
    <row r="2051" spans="1:10" hidden="1" x14ac:dyDescent="0.25">
      <c r="A2051" t="s">
        <v>3762</v>
      </c>
      <c r="B2051">
        <v>359</v>
      </c>
      <c r="C2051" t="s">
        <v>3763</v>
      </c>
      <c r="F2051" s="1" t="str">
        <f>IF(E2051&lt;&gt;"", HYPERLINK("https://www.kegg.jp/dbget-bin/www_bget?ec:" &amp; E2051, "https://www.kegg.jp/dbget-bin/www_bget?ec:" &amp; E2051), "")</f>
        <v/>
      </c>
      <c r="G2051" s="3"/>
      <c r="H2051" s="1" t="str">
        <f>IF(G2051&lt;&gt;"", HYPERLINK("https://www.kegg.jp/entry/" &amp; G2051, "https://www.kegg.jp/entry/" &amp; G2051), "")</f>
        <v/>
      </c>
    </row>
    <row r="2052" spans="1:10" hidden="1" x14ac:dyDescent="0.25">
      <c r="A2052" t="s">
        <v>3765</v>
      </c>
      <c r="B2052">
        <v>73</v>
      </c>
      <c r="C2052" t="s">
        <v>3766</v>
      </c>
      <c r="F2052" s="1" t="str">
        <f>IF(E2052&lt;&gt;"", HYPERLINK("https://www.kegg.jp/dbget-bin/www_bget?ec:" &amp; E2052, "https://www.kegg.jp/dbget-bin/www_bget?ec:" &amp; E2052), "")</f>
        <v/>
      </c>
      <c r="G2052" s="3"/>
      <c r="H2052" s="1" t="str">
        <f>IF(G2052&lt;&gt;"", HYPERLINK("https://www.kegg.jp/entry/" &amp; G2052, "https://www.kegg.jp/entry/" &amp; G2052), "")</f>
        <v/>
      </c>
    </row>
    <row r="2053" spans="1:10" hidden="1" x14ac:dyDescent="0.25">
      <c r="A2053" t="s">
        <v>3768</v>
      </c>
      <c r="B2053">
        <v>267</v>
      </c>
      <c r="C2053" t="s">
        <v>3769</v>
      </c>
      <c r="F2053" s="1" t="str">
        <f>IF(E2053&lt;&gt;"", HYPERLINK("https://www.kegg.jp/dbget-bin/www_bget?ec:" &amp; E2053, "https://www.kegg.jp/dbget-bin/www_bget?ec:" &amp; E2053), "")</f>
        <v/>
      </c>
      <c r="G2053" s="3"/>
      <c r="H2053" s="1" t="str">
        <f>IF(G2053&lt;&gt;"", HYPERLINK("https://www.kegg.jp/entry/" &amp; G2053, "https://www.kegg.jp/entry/" &amp; G2053), "")</f>
        <v/>
      </c>
    </row>
    <row r="2054" spans="1:10" hidden="1" x14ac:dyDescent="0.25">
      <c r="A2054" t="s">
        <v>3770</v>
      </c>
      <c r="B2054">
        <v>101</v>
      </c>
      <c r="C2054" t="s">
        <v>3771</v>
      </c>
      <c r="F2054" s="1" t="str">
        <f>IF(E2054&lt;&gt;"", HYPERLINK("https://www.kegg.jp/dbget-bin/www_bget?ec:" &amp; E2054, "https://www.kegg.jp/dbget-bin/www_bget?ec:" &amp; E2054), "")</f>
        <v/>
      </c>
      <c r="G2054" s="3"/>
      <c r="H2054" s="1" t="str">
        <f>IF(G2054&lt;&gt;"", HYPERLINK("https://www.kegg.jp/entry/" &amp; G2054, "https://www.kegg.jp/entry/" &amp; G2054), "")</f>
        <v/>
      </c>
    </row>
    <row r="2055" spans="1:10" hidden="1" x14ac:dyDescent="0.25">
      <c r="A2055" t="s">
        <v>3772</v>
      </c>
      <c r="B2055">
        <v>43</v>
      </c>
      <c r="C2055" t="s">
        <v>3773</v>
      </c>
      <c r="F2055" s="1" t="str">
        <f>IF(E2055&lt;&gt;"", HYPERLINK("https://www.kegg.jp/dbget-bin/www_bget?ec:" &amp; E2055, "https://www.kegg.jp/dbget-bin/www_bget?ec:" &amp; E2055), "")</f>
        <v/>
      </c>
      <c r="G2055" s="3"/>
      <c r="H2055" s="1" t="str">
        <f>IF(G2055&lt;&gt;"", HYPERLINK("https://www.kegg.jp/entry/" &amp; G2055, "https://www.kegg.jp/entry/" &amp; G2055), "")</f>
        <v/>
      </c>
    </row>
    <row r="2056" spans="1:10" x14ac:dyDescent="0.25">
      <c r="A2056" t="s">
        <v>3774</v>
      </c>
      <c r="B2056">
        <v>514</v>
      </c>
      <c r="C2056" t="s">
        <v>3775</v>
      </c>
      <c r="E2056" s="5" t="s">
        <v>6759</v>
      </c>
      <c r="F2056" s="1" t="str">
        <f>IF(E2056&lt;&gt;"", HYPERLINK("https://www.kegg.jp/dbget-bin/www_bget?ec:" &amp; E2056, "https://www.kegg.jp/dbget-bin/www_bget?ec:" &amp; E2056), "")</f>
        <v>https://www.kegg.jp/dbget-bin/www_bget?ec:5.4.99.2</v>
      </c>
      <c r="G2056" s="3" t="s">
        <v>7161</v>
      </c>
      <c r="H2056" s="1" t="str">
        <f>IF(G2056&lt;&gt;"", HYPERLINK("https://www.kegg.jp/entry/" &amp; G2056, "https://www.kegg.jp/entry/" &amp; G2056), "")</f>
        <v>https://www.kegg.jp/entry/R00833</v>
      </c>
      <c r="I2056" t="s">
        <v>8215</v>
      </c>
      <c r="J2056" t="s">
        <v>8492</v>
      </c>
    </row>
    <row r="2057" spans="1:10" hidden="1" x14ac:dyDescent="0.25">
      <c r="A2057" t="s">
        <v>3777</v>
      </c>
      <c r="B2057">
        <v>126</v>
      </c>
      <c r="C2057" t="s">
        <v>3778</v>
      </c>
      <c r="F2057" s="1" t="str">
        <f>IF(E2057&lt;&gt;"", HYPERLINK("https://www.kegg.jp/dbget-bin/www_bget?ec:" &amp; E2057, "https://www.kegg.jp/dbget-bin/www_bget?ec:" &amp; E2057), "")</f>
        <v/>
      </c>
      <c r="G2057" s="3"/>
      <c r="H2057" s="1" t="str">
        <f>IF(G2057&lt;&gt;"", HYPERLINK("https://www.kegg.jp/entry/" &amp; G2057, "https://www.kegg.jp/entry/" &amp; G2057), "")</f>
        <v/>
      </c>
    </row>
    <row r="2058" spans="1:10" x14ac:dyDescent="0.25">
      <c r="A2058" t="s">
        <v>3780</v>
      </c>
      <c r="B2058">
        <v>648</v>
      </c>
      <c r="C2058" t="s">
        <v>3781</v>
      </c>
      <c r="E2058" s="5" t="s">
        <v>6913</v>
      </c>
      <c r="F2058" s="1" t="str">
        <f>IF(E2058&lt;&gt;"", HYPERLINK("https://www.kegg.jp/dbget-bin/www_bget?ec:" &amp; E2058, "https://www.kegg.jp/dbget-bin/www_bget?ec:" &amp; E2058), "")</f>
        <v>https://www.kegg.jp/dbget-bin/www_bget?ec:6.2.1.1</v>
      </c>
      <c r="G2058" s="9" t="s">
        <v>7828</v>
      </c>
      <c r="H2058" s="1" t="str">
        <f>IF(G2058&lt;&gt;"", HYPERLINK("https://www.kegg.jp/entry/" &amp; G2058, "https://www.kegg.jp/entry/" &amp; G2058), "")</f>
        <v>https://www.kegg.jp/entry/R00235</v>
      </c>
      <c r="I2058" t="s">
        <v>13497</v>
      </c>
      <c r="J2058" t="s">
        <v>13498</v>
      </c>
    </row>
    <row r="2059" spans="1:10" x14ac:dyDescent="0.25">
      <c r="A2059" t="s">
        <v>3780</v>
      </c>
      <c r="B2059">
        <v>648</v>
      </c>
      <c r="C2059" t="s">
        <v>3781</v>
      </c>
      <c r="E2059" s="5" t="s">
        <v>6913</v>
      </c>
      <c r="F2059" s="1" t="str">
        <f>IF(E2059&lt;&gt;"", HYPERLINK("https://www.kegg.jp/dbget-bin/www_bget?ec:" &amp; E2059, "https://www.kegg.jp/dbget-bin/www_bget?ec:" &amp; E2059), "")</f>
        <v>https://www.kegg.jp/dbget-bin/www_bget?ec:6.2.1.1</v>
      </c>
      <c r="G2059" s="9" t="s">
        <v>7833</v>
      </c>
      <c r="H2059" s="1" t="str">
        <f>IF(G2059&lt;&gt;"", HYPERLINK("https://www.kegg.jp/entry/" &amp; G2059, "https://www.kegg.jp/entry/" &amp; G2059), "")</f>
        <v>https://www.kegg.jp/entry/R00236</v>
      </c>
      <c r="I2059" t="s">
        <v>13499</v>
      </c>
      <c r="J2059" t="s">
        <v>8576</v>
      </c>
    </row>
    <row r="2060" spans="1:10" x14ac:dyDescent="0.25">
      <c r="A2060" t="s">
        <v>3780</v>
      </c>
      <c r="B2060">
        <v>648</v>
      </c>
      <c r="C2060" t="s">
        <v>3781</v>
      </c>
      <c r="E2060" s="5" t="s">
        <v>6913</v>
      </c>
      <c r="F2060" s="1" t="str">
        <f>IF(E2060&lt;&gt;"", HYPERLINK("https://www.kegg.jp/dbget-bin/www_bget?ec:" &amp; E2060, "https://www.kegg.jp/dbget-bin/www_bget?ec:" &amp; E2060), "")</f>
        <v>https://www.kegg.jp/dbget-bin/www_bget?ec:6.2.1.1</v>
      </c>
      <c r="G2060" s="9" t="s">
        <v>7832</v>
      </c>
      <c r="H2060" s="1" t="str">
        <f>IF(G2060&lt;&gt;"", HYPERLINK("https://www.kegg.jp/entry/" &amp; G2060, "https://www.kegg.jp/entry/" &amp; G2060), "")</f>
        <v>https://www.kegg.jp/entry/R00316</v>
      </c>
      <c r="I2060" t="s">
        <v>8314</v>
      </c>
      <c r="J2060" t="s">
        <v>8577</v>
      </c>
    </row>
    <row r="2061" spans="1:10" x14ac:dyDescent="0.25">
      <c r="A2061" t="s">
        <v>3780</v>
      </c>
      <c r="B2061">
        <v>648</v>
      </c>
      <c r="C2061" t="s">
        <v>3781</v>
      </c>
      <c r="E2061" s="5" t="s">
        <v>6913</v>
      </c>
      <c r="F2061" s="1" t="str">
        <f>IF(E2061&lt;&gt;"", HYPERLINK("https://www.kegg.jp/dbget-bin/www_bget?ec:" &amp; E2061, "https://www.kegg.jp/dbget-bin/www_bget?ec:" &amp; E2061), "")</f>
        <v>https://www.kegg.jp/dbget-bin/www_bget?ec:6.2.1.1</v>
      </c>
      <c r="G2061" s="9" t="s">
        <v>7831</v>
      </c>
      <c r="H2061" s="1" t="str">
        <f>IF(G2061&lt;&gt;"", HYPERLINK("https://www.kegg.jp/entry/" &amp; G2061, "https://www.kegg.jp/entry/" &amp; G2061), "")</f>
        <v>https://www.kegg.jp/entry/R00925</v>
      </c>
      <c r="I2061" t="s">
        <v>13500</v>
      </c>
      <c r="J2061" t="s">
        <v>13501</v>
      </c>
    </row>
    <row r="2062" spans="1:10" x14ac:dyDescent="0.25">
      <c r="A2062" t="s">
        <v>3780</v>
      </c>
      <c r="B2062">
        <v>648</v>
      </c>
      <c r="C2062" t="s">
        <v>3781</v>
      </c>
      <c r="E2062" s="5" t="s">
        <v>6913</v>
      </c>
      <c r="F2062" s="1" t="str">
        <f>IF(E2062&lt;&gt;"", HYPERLINK("https://www.kegg.jp/dbget-bin/www_bget?ec:" &amp; E2062, "https://www.kegg.jp/dbget-bin/www_bget?ec:" &amp; E2062), "")</f>
        <v>https://www.kegg.jp/dbget-bin/www_bget?ec:6.2.1.1</v>
      </c>
      <c r="G2062" s="9" t="s">
        <v>7830</v>
      </c>
      <c r="H2062" s="1" t="str">
        <f>IF(G2062&lt;&gt;"", HYPERLINK("https://www.kegg.jp/entry/" &amp; G2062, "https://www.kegg.jp/entry/" &amp; G2062), "")</f>
        <v>https://www.kegg.jp/entry/R00926</v>
      </c>
      <c r="I2062" t="s">
        <v>13502</v>
      </c>
      <c r="J2062" t="s">
        <v>8578</v>
      </c>
    </row>
    <row r="2063" spans="1:10" x14ac:dyDescent="0.25">
      <c r="A2063" t="s">
        <v>3780</v>
      </c>
      <c r="B2063">
        <v>648</v>
      </c>
      <c r="C2063" t="s">
        <v>3781</v>
      </c>
      <c r="E2063" s="5" t="s">
        <v>6913</v>
      </c>
      <c r="F2063" s="1" t="str">
        <f>IF(E2063&lt;&gt;"", HYPERLINK("https://www.kegg.jp/dbget-bin/www_bget?ec:" &amp; E2063, "https://www.kegg.jp/dbget-bin/www_bget?ec:" &amp; E2063), "")</f>
        <v>https://www.kegg.jp/dbget-bin/www_bget?ec:6.2.1.1</v>
      </c>
      <c r="G2063" s="9" t="s">
        <v>7829</v>
      </c>
      <c r="H2063" s="1" t="str">
        <f>IF(G2063&lt;&gt;"", HYPERLINK("https://www.kegg.jp/entry/" &amp; G2063, "https://www.kegg.jp/entry/" &amp; G2063), "")</f>
        <v>https://www.kegg.jp/entry/R01354</v>
      </c>
      <c r="I2063" t="s">
        <v>8315</v>
      </c>
      <c r="J2063" t="s">
        <v>8579</v>
      </c>
    </row>
    <row r="2064" spans="1:10" x14ac:dyDescent="0.25">
      <c r="A2064" t="s">
        <v>3782</v>
      </c>
      <c r="B2064">
        <v>844</v>
      </c>
      <c r="C2064" t="s">
        <v>3783</v>
      </c>
      <c r="E2064" s="5" t="s">
        <v>6913</v>
      </c>
      <c r="F2064" s="1" t="str">
        <f>IF(E2064&lt;&gt;"", HYPERLINK("https://www.kegg.jp/dbget-bin/www_bget?ec:" &amp; E2064, "https://www.kegg.jp/dbget-bin/www_bget?ec:" &amp; E2064), "")</f>
        <v>https://www.kegg.jp/dbget-bin/www_bget?ec:6.2.1.1</v>
      </c>
      <c r="G2064" s="9" t="s">
        <v>7828</v>
      </c>
      <c r="H2064" s="1" t="str">
        <f>IF(G2064&lt;&gt;"", HYPERLINK("https://www.kegg.jp/entry/" &amp; G2064, "https://www.kegg.jp/entry/" &amp; G2064), "")</f>
        <v>https://www.kegg.jp/entry/R00235</v>
      </c>
      <c r="I2064" t="s">
        <v>13497</v>
      </c>
      <c r="J2064" t="s">
        <v>13498</v>
      </c>
    </row>
    <row r="2065" spans="1:10" x14ac:dyDescent="0.25">
      <c r="A2065" t="s">
        <v>3782</v>
      </c>
      <c r="B2065">
        <v>844</v>
      </c>
      <c r="C2065" t="s">
        <v>3783</v>
      </c>
      <c r="E2065" s="5" t="s">
        <v>6913</v>
      </c>
      <c r="F2065" s="1" t="str">
        <f>IF(E2065&lt;&gt;"", HYPERLINK("https://www.kegg.jp/dbget-bin/www_bget?ec:" &amp; E2065, "https://www.kegg.jp/dbget-bin/www_bget?ec:" &amp; E2065), "")</f>
        <v>https://www.kegg.jp/dbget-bin/www_bget?ec:6.2.1.1</v>
      </c>
      <c r="G2065" s="9" t="s">
        <v>7833</v>
      </c>
      <c r="H2065" s="1" t="str">
        <f>IF(G2065&lt;&gt;"", HYPERLINK("https://www.kegg.jp/entry/" &amp; G2065, "https://www.kegg.jp/entry/" &amp; G2065), "")</f>
        <v>https://www.kegg.jp/entry/R00236</v>
      </c>
      <c r="I2065" t="s">
        <v>13499</v>
      </c>
      <c r="J2065" t="s">
        <v>8576</v>
      </c>
    </row>
    <row r="2066" spans="1:10" x14ac:dyDescent="0.25">
      <c r="A2066" t="s">
        <v>3782</v>
      </c>
      <c r="B2066">
        <v>844</v>
      </c>
      <c r="C2066" t="s">
        <v>3783</v>
      </c>
      <c r="E2066" s="5" t="s">
        <v>6913</v>
      </c>
      <c r="F2066" s="1" t="str">
        <f>IF(E2066&lt;&gt;"", HYPERLINK("https://www.kegg.jp/dbget-bin/www_bget?ec:" &amp; E2066, "https://www.kegg.jp/dbget-bin/www_bget?ec:" &amp; E2066), "")</f>
        <v>https://www.kegg.jp/dbget-bin/www_bget?ec:6.2.1.1</v>
      </c>
      <c r="G2066" s="9" t="s">
        <v>7832</v>
      </c>
      <c r="H2066" s="1" t="str">
        <f>IF(G2066&lt;&gt;"", HYPERLINK("https://www.kegg.jp/entry/" &amp; G2066, "https://www.kegg.jp/entry/" &amp; G2066), "")</f>
        <v>https://www.kegg.jp/entry/R00316</v>
      </c>
      <c r="I2066" t="s">
        <v>8314</v>
      </c>
      <c r="J2066" t="s">
        <v>8577</v>
      </c>
    </row>
    <row r="2067" spans="1:10" x14ac:dyDescent="0.25">
      <c r="A2067" t="s">
        <v>3782</v>
      </c>
      <c r="B2067">
        <v>844</v>
      </c>
      <c r="C2067" t="s">
        <v>3783</v>
      </c>
      <c r="E2067" s="5" t="s">
        <v>6913</v>
      </c>
      <c r="F2067" s="1" t="str">
        <f>IF(E2067&lt;&gt;"", HYPERLINK("https://www.kegg.jp/dbget-bin/www_bget?ec:" &amp; E2067, "https://www.kegg.jp/dbget-bin/www_bget?ec:" &amp; E2067), "")</f>
        <v>https://www.kegg.jp/dbget-bin/www_bget?ec:6.2.1.1</v>
      </c>
      <c r="G2067" s="9" t="s">
        <v>7831</v>
      </c>
      <c r="H2067" s="1" t="str">
        <f>IF(G2067&lt;&gt;"", HYPERLINK("https://www.kegg.jp/entry/" &amp; G2067, "https://www.kegg.jp/entry/" &amp; G2067), "")</f>
        <v>https://www.kegg.jp/entry/R00925</v>
      </c>
      <c r="I2067" t="s">
        <v>13500</v>
      </c>
      <c r="J2067" t="s">
        <v>13501</v>
      </c>
    </row>
    <row r="2068" spans="1:10" x14ac:dyDescent="0.25">
      <c r="A2068" t="s">
        <v>3782</v>
      </c>
      <c r="B2068">
        <v>844</v>
      </c>
      <c r="C2068" t="s">
        <v>3783</v>
      </c>
      <c r="E2068" s="5" t="s">
        <v>6913</v>
      </c>
      <c r="F2068" s="1" t="str">
        <f>IF(E2068&lt;&gt;"", HYPERLINK("https://www.kegg.jp/dbget-bin/www_bget?ec:" &amp; E2068, "https://www.kegg.jp/dbget-bin/www_bget?ec:" &amp; E2068), "")</f>
        <v>https://www.kegg.jp/dbget-bin/www_bget?ec:6.2.1.1</v>
      </c>
      <c r="G2068" s="9" t="s">
        <v>7830</v>
      </c>
      <c r="H2068" s="1" t="str">
        <f>IF(G2068&lt;&gt;"", HYPERLINK("https://www.kegg.jp/entry/" &amp; G2068, "https://www.kegg.jp/entry/" &amp; G2068), "")</f>
        <v>https://www.kegg.jp/entry/R00926</v>
      </c>
      <c r="I2068" t="s">
        <v>13502</v>
      </c>
      <c r="J2068" t="s">
        <v>8578</v>
      </c>
    </row>
    <row r="2069" spans="1:10" x14ac:dyDescent="0.25">
      <c r="A2069" t="s">
        <v>3782</v>
      </c>
      <c r="B2069">
        <v>844</v>
      </c>
      <c r="C2069" t="s">
        <v>3783</v>
      </c>
      <c r="E2069" s="5" t="s">
        <v>6913</v>
      </c>
      <c r="F2069" s="1" t="str">
        <f>IF(E2069&lt;&gt;"", HYPERLINK("https://www.kegg.jp/dbget-bin/www_bget?ec:" &amp; E2069, "https://www.kegg.jp/dbget-bin/www_bget?ec:" &amp; E2069), "")</f>
        <v>https://www.kegg.jp/dbget-bin/www_bget?ec:6.2.1.1</v>
      </c>
      <c r="G2069" s="9" t="s">
        <v>7829</v>
      </c>
      <c r="H2069" s="1" t="str">
        <f>IF(G2069&lt;&gt;"", HYPERLINK("https://www.kegg.jp/entry/" &amp; G2069, "https://www.kegg.jp/entry/" &amp; G2069), "")</f>
        <v>https://www.kegg.jp/entry/R01354</v>
      </c>
      <c r="I2069" t="s">
        <v>8315</v>
      </c>
      <c r="J2069" t="s">
        <v>8579</v>
      </c>
    </row>
    <row r="2070" spans="1:10" x14ac:dyDescent="0.25">
      <c r="A2070" t="s">
        <v>3784</v>
      </c>
      <c r="B2070">
        <v>627</v>
      </c>
      <c r="C2070" t="s">
        <v>3785</v>
      </c>
      <c r="E2070" s="5" t="s">
        <v>6913</v>
      </c>
      <c r="F2070" s="1" t="str">
        <f>IF(E2070&lt;&gt;"", HYPERLINK("https://www.kegg.jp/dbget-bin/www_bget?ec:" &amp; E2070, "https://www.kegg.jp/dbget-bin/www_bget?ec:" &amp; E2070), "")</f>
        <v>https://www.kegg.jp/dbget-bin/www_bget?ec:6.2.1.1</v>
      </c>
      <c r="G2070" s="9" t="s">
        <v>7828</v>
      </c>
      <c r="H2070" s="1" t="str">
        <f>IF(G2070&lt;&gt;"", HYPERLINK("https://www.kegg.jp/entry/" &amp; G2070, "https://www.kegg.jp/entry/" &amp; G2070), "")</f>
        <v>https://www.kegg.jp/entry/R00235</v>
      </c>
      <c r="I2070" t="s">
        <v>13497</v>
      </c>
      <c r="J2070" t="s">
        <v>13498</v>
      </c>
    </row>
    <row r="2071" spans="1:10" x14ac:dyDescent="0.25">
      <c r="A2071" t="s">
        <v>3784</v>
      </c>
      <c r="B2071">
        <v>627</v>
      </c>
      <c r="C2071" t="s">
        <v>3785</v>
      </c>
      <c r="E2071" s="5" t="s">
        <v>6913</v>
      </c>
      <c r="F2071" s="1" t="str">
        <f>IF(E2071&lt;&gt;"", HYPERLINK("https://www.kegg.jp/dbget-bin/www_bget?ec:" &amp; E2071, "https://www.kegg.jp/dbget-bin/www_bget?ec:" &amp; E2071), "")</f>
        <v>https://www.kegg.jp/dbget-bin/www_bget?ec:6.2.1.1</v>
      </c>
      <c r="G2071" s="9" t="s">
        <v>7833</v>
      </c>
      <c r="H2071" s="1" t="str">
        <f>IF(G2071&lt;&gt;"", HYPERLINK("https://www.kegg.jp/entry/" &amp; G2071, "https://www.kegg.jp/entry/" &amp; G2071), "")</f>
        <v>https://www.kegg.jp/entry/R00236</v>
      </c>
      <c r="I2071" t="s">
        <v>13499</v>
      </c>
      <c r="J2071" t="s">
        <v>8576</v>
      </c>
    </row>
    <row r="2072" spans="1:10" x14ac:dyDescent="0.25">
      <c r="A2072" t="s">
        <v>3784</v>
      </c>
      <c r="B2072">
        <v>627</v>
      </c>
      <c r="C2072" t="s">
        <v>3785</v>
      </c>
      <c r="E2072" s="5" t="s">
        <v>6913</v>
      </c>
      <c r="F2072" s="1" t="str">
        <f>IF(E2072&lt;&gt;"", HYPERLINK("https://www.kegg.jp/dbget-bin/www_bget?ec:" &amp; E2072, "https://www.kegg.jp/dbget-bin/www_bget?ec:" &amp; E2072), "")</f>
        <v>https://www.kegg.jp/dbget-bin/www_bget?ec:6.2.1.1</v>
      </c>
      <c r="G2072" s="9" t="s">
        <v>7832</v>
      </c>
      <c r="H2072" s="1" t="str">
        <f>IF(G2072&lt;&gt;"", HYPERLINK("https://www.kegg.jp/entry/" &amp; G2072, "https://www.kegg.jp/entry/" &amp; G2072), "")</f>
        <v>https://www.kegg.jp/entry/R00316</v>
      </c>
      <c r="I2072" t="s">
        <v>8314</v>
      </c>
      <c r="J2072" t="s">
        <v>8577</v>
      </c>
    </row>
    <row r="2073" spans="1:10" x14ac:dyDescent="0.25">
      <c r="A2073" t="s">
        <v>3784</v>
      </c>
      <c r="B2073">
        <v>627</v>
      </c>
      <c r="C2073" t="s">
        <v>3785</v>
      </c>
      <c r="E2073" s="5" t="s">
        <v>6913</v>
      </c>
      <c r="F2073" s="1" t="str">
        <f>IF(E2073&lt;&gt;"", HYPERLINK("https://www.kegg.jp/dbget-bin/www_bget?ec:" &amp; E2073, "https://www.kegg.jp/dbget-bin/www_bget?ec:" &amp; E2073), "")</f>
        <v>https://www.kegg.jp/dbget-bin/www_bget?ec:6.2.1.1</v>
      </c>
      <c r="G2073" s="9" t="s">
        <v>7831</v>
      </c>
      <c r="H2073" s="1" t="str">
        <f>IF(G2073&lt;&gt;"", HYPERLINK("https://www.kegg.jp/entry/" &amp; G2073, "https://www.kegg.jp/entry/" &amp; G2073), "")</f>
        <v>https://www.kegg.jp/entry/R00925</v>
      </c>
      <c r="I2073" t="s">
        <v>13500</v>
      </c>
      <c r="J2073" t="s">
        <v>13501</v>
      </c>
    </row>
    <row r="2074" spans="1:10" x14ac:dyDescent="0.25">
      <c r="A2074" t="s">
        <v>3784</v>
      </c>
      <c r="B2074">
        <v>627</v>
      </c>
      <c r="C2074" t="s">
        <v>3785</v>
      </c>
      <c r="E2074" s="5" t="s">
        <v>6913</v>
      </c>
      <c r="F2074" s="1" t="str">
        <f>IF(E2074&lt;&gt;"", HYPERLINK("https://www.kegg.jp/dbget-bin/www_bget?ec:" &amp; E2074, "https://www.kegg.jp/dbget-bin/www_bget?ec:" &amp; E2074), "")</f>
        <v>https://www.kegg.jp/dbget-bin/www_bget?ec:6.2.1.1</v>
      </c>
      <c r="G2074" s="9" t="s">
        <v>7830</v>
      </c>
      <c r="H2074" s="1" t="str">
        <f>IF(G2074&lt;&gt;"", HYPERLINK("https://www.kegg.jp/entry/" &amp; G2074, "https://www.kegg.jp/entry/" &amp; G2074), "")</f>
        <v>https://www.kegg.jp/entry/R00926</v>
      </c>
      <c r="I2074" t="s">
        <v>13502</v>
      </c>
      <c r="J2074" t="s">
        <v>8578</v>
      </c>
    </row>
    <row r="2075" spans="1:10" x14ac:dyDescent="0.25">
      <c r="A2075" t="s">
        <v>3784</v>
      </c>
      <c r="B2075">
        <v>627</v>
      </c>
      <c r="C2075" t="s">
        <v>3785</v>
      </c>
      <c r="E2075" s="5" t="s">
        <v>6913</v>
      </c>
      <c r="F2075" s="1" t="str">
        <f>IF(E2075&lt;&gt;"", HYPERLINK("https://www.kegg.jp/dbget-bin/www_bget?ec:" &amp; E2075, "https://www.kegg.jp/dbget-bin/www_bget?ec:" &amp; E2075), "")</f>
        <v>https://www.kegg.jp/dbget-bin/www_bget?ec:6.2.1.1</v>
      </c>
      <c r="G2075" s="9" t="s">
        <v>7829</v>
      </c>
      <c r="H2075" s="1" t="str">
        <f>IF(G2075&lt;&gt;"", HYPERLINK("https://www.kegg.jp/entry/" &amp; G2075, "https://www.kegg.jp/entry/" &amp; G2075), "")</f>
        <v>https://www.kegg.jp/entry/R01354</v>
      </c>
      <c r="I2075" t="s">
        <v>8315</v>
      </c>
      <c r="J2075" t="s">
        <v>8579</v>
      </c>
    </row>
    <row r="2076" spans="1:10" hidden="1" x14ac:dyDescent="0.25">
      <c r="A2076" t="s">
        <v>3787</v>
      </c>
      <c r="B2076">
        <v>85</v>
      </c>
      <c r="C2076" t="s">
        <v>3788</v>
      </c>
      <c r="F2076" s="1" t="str">
        <f>IF(E2076&lt;&gt;"", HYPERLINK("https://www.kegg.jp/dbget-bin/www_bget?ec:" &amp; E2076, "https://www.kegg.jp/dbget-bin/www_bget?ec:" &amp; E2076), "")</f>
        <v/>
      </c>
      <c r="G2076" s="3"/>
      <c r="H2076" s="1" t="str">
        <f>IF(G2076&lt;&gt;"", HYPERLINK("https://www.kegg.jp/entry/" &amp; G2076, "https://www.kegg.jp/entry/" &amp; G2076), "")</f>
        <v/>
      </c>
    </row>
    <row r="2077" spans="1:10" hidden="1" x14ac:dyDescent="0.25">
      <c r="A2077" t="s">
        <v>3790</v>
      </c>
      <c r="B2077">
        <v>556</v>
      </c>
      <c r="C2077" t="s">
        <v>3791</v>
      </c>
      <c r="F2077" s="1" t="str">
        <f>IF(E2077&lt;&gt;"", HYPERLINK("https://www.kegg.jp/dbget-bin/www_bget?ec:" &amp; E2077, "https://www.kegg.jp/dbget-bin/www_bget?ec:" &amp; E2077), "")</f>
        <v/>
      </c>
      <c r="G2077" s="3"/>
      <c r="H2077" s="1" t="str">
        <f>IF(G2077&lt;&gt;"", HYPERLINK("https://www.kegg.jp/entry/" &amp; G2077, "https://www.kegg.jp/entry/" &amp; G2077), "")</f>
        <v/>
      </c>
    </row>
    <row r="2078" spans="1:10" hidden="1" x14ac:dyDescent="0.25">
      <c r="A2078" t="s">
        <v>3792</v>
      </c>
      <c r="B2078">
        <v>119</v>
      </c>
      <c r="C2078" t="s">
        <v>3793</v>
      </c>
      <c r="F2078" s="1" t="str">
        <f>IF(E2078&lt;&gt;"", HYPERLINK("https://www.kegg.jp/dbget-bin/www_bget?ec:" &amp; E2078, "https://www.kegg.jp/dbget-bin/www_bget?ec:" &amp; E2078), "")</f>
        <v/>
      </c>
      <c r="G2078" s="3"/>
      <c r="H2078" s="1" t="str">
        <f>IF(G2078&lt;&gt;"", HYPERLINK("https://www.kegg.jp/entry/" &amp; G2078, "https://www.kegg.jp/entry/" &amp; G2078), "")</f>
        <v/>
      </c>
    </row>
    <row r="2079" spans="1:10" hidden="1" x14ac:dyDescent="0.25">
      <c r="A2079" t="s">
        <v>3795</v>
      </c>
      <c r="B2079">
        <v>580</v>
      </c>
      <c r="C2079" t="s">
        <v>3796</v>
      </c>
      <c r="F2079" s="1" t="str">
        <f>IF(E2079&lt;&gt;"", HYPERLINK("https://www.kegg.jp/dbget-bin/www_bget?ec:" &amp; E2079, "https://www.kegg.jp/dbget-bin/www_bget?ec:" &amp; E2079), "")</f>
        <v/>
      </c>
      <c r="G2079" s="3"/>
      <c r="H2079" s="1" t="str">
        <f>IF(G2079&lt;&gt;"", HYPERLINK("https://www.kegg.jp/entry/" &amp; G2079, "https://www.kegg.jp/entry/" &amp; G2079), "")</f>
        <v/>
      </c>
    </row>
    <row r="2080" spans="1:10" hidden="1" x14ac:dyDescent="0.25">
      <c r="A2080" t="s">
        <v>3797</v>
      </c>
      <c r="B2080">
        <v>58</v>
      </c>
      <c r="C2080" t="s">
        <v>3798</v>
      </c>
      <c r="F2080" s="1" t="str">
        <f>IF(E2080&lt;&gt;"", HYPERLINK("https://www.kegg.jp/dbget-bin/www_bget?ec:" &amp; E2080, "https://www.kegg.jp/dbget-bin/www_bget?ec:" &amp; E2080), "")</f>
        <v/>
      </c>
      <c r="G2080" s="3"/>
      <c r="H2080" s="1" t="str">
        <f>IF(G2080&lt;&gt;"", HYPERLINK("https://www.kegg.jp/entry/" &amp; G2080, "https://www.kegg.jp/entry/" &amp; G2080), "")</f>
        <v/>
      </c>
    </row>
    <row r="2081" spans="1:10" hidden="1" x14ac:dyDescent="0.25">
      <c r="A2081" t="s">
        <v>3800</v>
      </c>
      <c r="B2081">
        <v>830</v>
      </c>
      <c r="C2081" t="s">
        <v>3801</v>
      </c>
      <c r="F2081" s="1" t="str">
        <f>IF(E2081&lt;&gt;"", HYPERLINK("https://www.kegg.jp/dbget-bin/www_bget?ec:" &amp; E2081, "https://www.kegg.jp/dbget-bin/www_bget?ec:" &amp; E2081), "")</f>
        <v/>
      </c>
      <c r="G2081" s="3"/>
      <c r="H2081" s="1" t="str">
        <f>IF(G2081&lt;&gt;"", HYPERLINK("https://www.kegg.jp/entry/" &amp; G2081, "https://www.kegg.jp/entry/" &amp; G2081), "")</f>
        <v/>
      </c>
    </row>
    <row r="2082" spans="1:10" hidden="1" x14ac:dyDescent="0.25">
      <c r="A2082" t="s">
        <v>3803</v>
      </c>
      <c r="B2082">
        <v>118</v>
      </c>
      <c r="C2082" t="s">
        <v>3804</v>
      </c>
      <c r="F2082" s="1" t="str">
        <f>IF(E2082&lt;&gt;"", HYPERLINK("https://www.kegg.jp/dbget-bin/www_bget?ec:" &amp; E2082, "https://www.kegg.jp/dbget-bin/www_bget?ec:" &amp; E2082), "")</f>
        <v/>
      </c>
      <c r="G2082" s="3"/>
      <c r="H2082" s="1" t="str">
        <f>IF(G2082&lt;&gt;"", HYPERLINK("https://www.kegg.jp/entry/" &amp; G2082, "https://www.kegg.jp/entry/" &amp; G2082), "")</f>
        <v/>
      </c>
    </row>
    <row r="2083" spans="1:10" x14ac:dyDescent="0.25">
      <c r="A2083" t="s">
        <v>3806</v>
      </c>
      <c r="B2083">
        <v>627</v>
      </c>
      <c r="C2083" t="s">
        <v>3807</v>
      </c>
      <c r="E2083" s="5" t="s">
        <v>6611</v>
      </c>
      <c r="F2083" s="1" t="str">
        <f>IF(E2083&lt;&gt;"", HYPERLINK("https://www.kegg.jp/dbget-bin/www_bget?ec:" &amp; E2083, "https://www.kegg.jp/dbget-bin/www_bget?ec:" &amp; E2083), "")</f>
        <v>https://www.kegg.jp/dbget-bin/www_bget?ec:2.7.7.7</v>
      </c>
      <c r="G2083" s="3" t="s">
        <v>7218</v>
      </c>
      <c r="H2083" s="1" t="str">
        <f>IF(G2083&lt;&gt;"", HYPERLINK("https://www.kegg.jp/entry/" &amp; G2083, "https://www.kegg.jp/entry/" &amp; G2083), "")</f>
        <v>https://www.kegg.jp/entry/R00379</v>
      </c>
      <c r="I2083" t="s">
        <v>12705</v>
      </c>
      <c r="J2083" t="s">
        <v>7080</v>
      </c>
    </row>
    <row r="2084" spans="1:10" x14ac:dyDescent="0.25">
      <c r="A2084" t="s">
        <v>3806</v>
      </c>
      <c r="B2084">
        <v>627</v>
      </c>
      <c r="C2084" t="s">
        <v>3807</v>
      </c>
      <c r="E2084" s="5" t="s">
        <v>6611</v>
      </c>
      <c r="F2084" s="1" t="str">
        <f>IF(E2084&lt;&gt;"", HYPERLINK("https://www.kegg.jp/dbget-bin/www_bget?ec:" &amp; E2084, "https://www.kegg.jp/dbget-bin/www_bget?ec:" &amp; E2084), "")</f>
        <v>https://www.kegg.jp/dbget-bin/www_bget?ec:2.7.7.7</v>
      </c>
      <c r="G2084" s="3" t="s">
        <v>7315</v>
      </c>
      <c r="H2084" s="1" t="str">
        <f>IF(G2084&lt;&gt;"", HYPERLINK("https://www.kegg.jp/entry/" &amp; G2084, "https://www.kegg.jp/entry/" &amp; G2084), "")</f>
        <v>https://www.kegg.jp/entry/R00375</v>
      </c>
      <c r="I2084" t="s">
        <v>12706</v>
      </c>
      <c r="J2084" t="s">
        <v>7080</v>
      </c>
    </row>
    <row r="2085" spans="1:10" x14ac:dyDescent="0.25">
      <c r="A2085" t="s">
        <v>3806</v>
      </c>
      <c r="B2085">
        <v>627</v>
      </c>
      <c r="C2085" t="s">
        <v>3807</v>
      </c>
      <c r="E2085" s="5" t="s">
        <v>6611</v>
      </c>
      <c r="F2085" s="1" t="str">
        <f>IF(E2085&lt;&gt;"", HYPERLINK("https://www.kegg.jp/dbget-bin/www_bget?ec:" &amp; E2085, "https://www.kegg.jp/dbget-bin/www_bget?ec:" &amp; E2085), "")</f>
        <v>https://www.kegg.jp/dbget-bin/www_bget?ec:2.7.7.7</v>
      </c>
      <c r="G2085" s="3" t="s">
        <v>7316</v>
      </c>
      <c r="H2085" s="1" t="str">
        <f>IF(G2085&lt;&gt;"", HYPERLINK("https://www.kegg.jp/entry/" &amp; G2085, "https://www.kegg.jp/entry/" &amp; G2085), "")</f>
        <v>https://www.kegg.jp/entry/R00376</v>
      </c>
      <c r="I2085" t="s">
        <v>12707</v>
      </c>
      <c r="J2085" t="s">
        <v>7080</v>
      </c>
    </row>
    <row r="2086" spans="1:10" x14ac:dyDescent="0.25">
      <c r="A2086" t="s">
        <v>3806</v>
      </c>
      <c r="B2086">
        <v>627</v>
      </c>
      <c r="C2086" t="s">
        <v>3807</v>
      </c>
      <c r="E2086" s="5" t="s">
        <v>6611</v>
      </c>
      <c r="F2086" s="1" t="str">
        <f>IF(E2086&lt;&gt;"", HYPERLINK("https://www.kegg.jp/dbget-bin/www_bget?ec:" &amp; E2086, "https://www.kegg.jp/dbget-bin/www_bget?ec:" &amp; E2086), "")</f>
        <v>https://www.kegg.jp/dbget-bin/www_bget?ec:2.7.7.7</v>
      </c>
      <c r="G2086" s="3" t="s">
        <v>7317</v>
      </c>
      <c r="H2086" s="1" t="str">
        <f>IF(G2086&lt;&gt;"", HYPERLINK("https://www.kegg.jp/entry/" &amp; G2086, "https://www.kegg.jp/entry/" &amp; G2086), "")</f>
        <v>https://www.kegg.jp/entry/R00377</v>
      </c>
      <c r="I2086" t="s">
        <v>12708</v>
      </c>
      <c r="J2086" t="s">
        <v>7080</v>
      </c>
    </row>
    <row r="2087" spans="1:10" x14ac:dyDescent="0.25">
      <c r="A2087" t="s">
        <v>3806</v>
      </c>
      <c r="B2087">
        <v>627</v>
      </c>
      <c r="C2087" t="s">
        <v>3807</v>
      </c>
      <c r="E2087" s="5" t="s">
        <v>6611</v>
      </c>
      <c r="F2087" s="1" t="str">
        <f>IF(E2087&lt;&gt;"", HYPERLINK("https://www.kegg.jp/dbget-bin/www_bget?ec:" &amp; E2087, "https://www.kegg.jp/dbget-bin/www_bget?ec:" &amp; E2087), "")</f>
        <v>https://www.kegg.jp/dbget-bin/www_bget?ec:2.7.7.7</v>
      </c>
      <c r="G2087" s="3" t="s">
        <v>7318</v>
      </c>
      <c r="H2087" s="1" t="str">
        <f>IF(G2087&lt;&gt;"", HYPERLINK("https://www.kegg.jp/entry/" &amp; G2087, "https://www.kegg.jp/entry/" &amp; G2087), "")</f>
        <v>https://www.kegg.jp/entry/R00378</v>
      </c>
      <c r="I2087" t="s">
        <v>12709</v>
      </c>
      <c r="J2087" t="s">
        <v>7080</v>
      </c>
    </row>
    <row r="2088" spans="1:10" x14ac:dyDescent="0.25">
      <c r="A2088" t="s">
        <v>3806</v>
      </c>
      <c r="B2088">
        <v>627</v>
      </c>
      <c r="C2088" t="s">
        <v>3807</v>
      </c>
      <c r="E2088" s="5" t="s">
        <v>6611</v>
      </c>
      <c r="F2088" s="1" t="str">
        <f>IF(E2088&lt;&gt;"", HYPERLINK("https://www.kegg.jp/dbget-bin/www_bget?ec:" &amp; E2088, "https://www.kegg.jp/dbget-bin/www_bget?ec:" &amp; E2088), "")</f>
        <v>https://www.kegg.jp/dbget-bin/www_bget?ec:2.7.7.7</v>
      </c>
      <c r="G2088" s="3" t="s">
        <v>7319</v>
      </c>
      <c r="H2088" s="1" t="str">
        <f>IF(G2088&lt;&gt;"", HYPERLINK("https://www.kegg.jp/entry/" &amp; G2088, "https://www.kegg.jp/entry/" &amp; G2088), "")</f>
        <v>https://www.kegg.jp/entry/R11029</v>
      </c>
      <c r="I2088" t="s">
        <v>8088</v>
      </c>
      <c r="J2088" t="s">
        <v>8391</v>
      </c>
    </row>
    <row r="2089" spans="1:10" x14ac:dyDescent="0.25">
      <c r="A2089" t="s">
        <v>3809</v>
      </c>
      <c r="B2089">
        <v>417</v>
      </c>
      <c r="C2089" t="s">
        <v>3810</v>
      </c>
      <c r="E2089" s="5" t="s">
        <v>6914</v>
      </c>
      <c r="F2089" s="1" t="str">
        <f>IF(E2089&lt;&gt;"", HYPERLINK("https://www.kegg.jp/dbget-bin/www_bget?ec:" &amp; E2089, "https://www.kegg.jp/dbget-bin/www_bget?ec:" &amp; E2089), "")</f>
        <v>https://www.kegg.jp/dbget-bin/www_bget?ec:6.3.4.13</v>
      </c>
      <c r="G2089" s="3" t="s">
        <v>7239</v>
      </c>
      <c r="H2089" s="1" t="str">
        <f>IF(G2089&lt;&gt;"", HYPERLINK("https://www.kegg.jp/entry/" &amp; G2089, "https://www.kegg.jp/entry/" &amp; G2089), "")</f>
        <v>https://www.kegg.jp/entry/R04144</v>
      </c>
      <c r="I2089" t="s">
        <v>13503</v>
      </c>
      <c r="J2089" t="s">
        <v>8580</v>
      </c>
    </row>
    <row r="2090" spans="1:10" x14ac:dyDescent="0.25">
      <c r="A2090" t="s">
        <v>3812</v>
      </c>
      <c r="B2090">
        <v>296</v>
      </c>
      <c r="C2090" t="s">
        <v>3813</v>
      </c>
      <c r="E2090" s="5" t="s">
        <v>6915</v>
      </c>
      <c r="F2090" s="1" t="str">
        <f>IF(E2090&lt;&gt;"", HYPERLINK("https://www.kegg.jp/dbget-bin/www_bget?ec:" &amp; E2090, "https://www.kegg.jp/dbget-bin/www_bget?ec:" &amp; E2090), "")</f>
        <v>https://www.kegg.jp/dbget-bin/www_bget?ec:2.1.2.2</v>
      </c>
      <c r="G2090" s="9" t="s">
        <v>7834</v>
      </c>
      <c r="H2090" s="1" t="str">
        <f>IF(G2090&lt;&gt;"", HYPERLINK("https://www.kegg.jp/entry/" &amp; G2090, "https://www.kegg.jp/entry/" &amp; G2090), "")</f>
        <v>https://www.kegg.jp/entry/R04325</v>
      </c>
      <c r="I2090" t="s">
        <v>8316</v>
      </c>
      <c r="J2090" t="s">
        <v>8581</v>
      </c>
    </row>
    <row r="2091" spans="1:10" x14ac:dyDescent="0.25">
      <c r="A2091" t="s">
        <v>3812</v>
      </c>
      <c r="B2091">
        <v>296</v>
      </c>
      <c r="C2091" t="s">
        <v>3813</v>
      </c>
      <c r="E2091" s="5" t="s">
        <v>6915</v>
      </c>
      <c r="F2091" s="1" t="str">
        <f>IF(E2091&lt;&gt;"", HYPERLINK("https://www.kegg.jp/dbget-bin/www_bget?ec:" &amp; E2091, "https://www.kegg.jp/dbget-bin/www_bget?ec:" &amp; E2091), "")</f>
        <v>https://www.kegg.jp/dbget-bin/www_bget?ec:2.1.2.2</v>
      </c>
      <c r="G2091" s="9" t="s">
        <v>7835</v>
      </c>
      <c r="H2091" s="1" t="str">
        <f>IF(G2091&lt;&gt;"", HYPERLINK("https://www.kegg.jp/entry/" &amp; G2091, "https://www.kegg.jp/entry/" &amp; G2091), "")</f>
        <v>https://www.kegg.jp/entry/R04326</v>
      </c>
      <c r="I2091" t="s">
        <v>13504</v>
      </c>
      <c r="J2091" t="s">
        <v>8581</v>
      </c>
    </row>
    <row r="2092" spans="1:10" hidden="1" x14ac:dyDescent="0.25">
      <c r="A2092" t="s">
        <v>3815</v>
      </c>
      <c r="B2092">
        <v>298</v>
      </c>
      <c r="C2092" t="s">
        <v>3816</v>
      </c>
      <c r="F2092" s="1" t="str">
        <f>IF(E2092&lt;&gt;"", HYPERLINK("https://www.kegg.jp/dbget-bin/www_bget?ec:" &amp; E2092, "https://www.kegg.jp/dbget-bin/www_bget?ec:" &amp; E2092), "")</f>
        <v/>
      </c>
      <c r="G2092" s="3"/>
      <c r="H2092" s="1" t="str">
        <f>IF(G2092&lt;&gt;"", HYPERLINK("https://www.kegg.jp/entry/" &amp; G2092, "https://www.kegg.jp/entry/" &amp; G2092), "")</f>
        <v/>
      </c>
    </row>
    <row r="2093" spans="1:10" x14ac:dyDescent="0.25">
      <c r="A2093" t="s">
        <v>3818</v>
      </c>
      <c r="B2093">
        <v>264</v>
      </c>
      <c r="C2093" t="s">
        <v>3819</v>
      </c>
      <c r="E2093" s="5" t="s">
        <v>6916</v>
      </c>
      <c r="F2093" s="1" t="str">
        <f>IF(E2093&lt;&gt;"", HYPERLINK("https://www.kegg.jp/dbget-bin/www_bget?ec:" &amp; E2093, "https://www.kegg.jp/dbget-bin/www_bget?ec:" &amp; E2093), "")</f>
        <v>https://www.kegg.jp/dbget-bin/www_bget?ec:5.3.3.10</v>
      </c>
      <c r="G2093" s="9" t="s">
        <v>7836</v>
      </c>
      <c r="H2093" s="1" t="str">
        <f>IF(G2093&lt;&gt;"", HYPERLINK("https://www.kegg.jp/entry/" &amp; G2093, "https://www.kegg.jp/entry/" &amp; G2093), "")</f>
        <v>https://www.kegg.jp/entry/R04379</v>
      </c>
      <c r="I2093" t="s">
        <v>8317</v>
      </c>
      <c r="J2093" t="s">
        <v>8255</v>
      </c>
    </row>
    <row r="2094" spans="1:10" x14ac:dyDescent="0.25">
      <c r="A2094" t="s">
        <v>3818</v>
      </c>
      <c r="B2094">
        <v>264</v>
      </c>
      <c r="C2094" t="s">
        <v>3819</v>
      </c>
      <c r="E2094" s="5" t="s">
        <v>6916</v>
      </c>
      <c r="F2094" s="1" t="str">
        <f>IF(E2094&lt;&gt;"", HYPERLINK("https://www.kegg.jp/dbget-bin/www_bget?ec:" &amp; E2094, "https://www.kegg.jp/dbget-bin/www_bget?ec:" &amp; E2094), "")</f>
        <v>https://www.kegg.jp/dbget-bin/www_bget?ec:5.3.3.10</v>
      </c>
      <c r="G2094" s="9" t="s">
        <v>7837</v>
      </c>
      <c r="H2094" s="1" t="str">
        <f>IF(G2094&lt;&gt;"", HYPERLINK("https://www.kegg.jp/entry/" &amp; G2094, "https://www.kegg.jp/entry/" &amp; G2094), "")</f>
        <v>https://www.kegg.jp/entry/R04482</v>
      </c>
      <c r="I2094" t="s">
        <v>8318</v>
      </c>
      <c r="J2094" t="s">
        <v>8582</v>
      </c>
    </row>
    <row r="2095" spans="1:10" hidden="1" x14ac:dyDescent="0.25">
      <c r="A2095" t="s">
        <v>3821</v>
      </c>
      <c r="B2095">
        <v>177</v>
      </c>
      <c r="C2095" t="s">
        <v>3822</v>
      </c>
      <c r="F2095" s="1" t="str">
        <f>IF(E2095&lt;&gt;"", HYPERLINK("https://www.kegg.jp/dbget-bin/www_bget?ec:" &amp; E2095, "https://www.kegg.jp/dbget-bin/www_bget?ec:" &amp; E2095), "")</f>
        <v/>
      </c>
      <c r="G2095" s="3"/>
      <c r="H2095" s="1" t="str">
        <f>IF(G2095&lt;&gt;"", HYPERLINK("https://www.kegg.jp/entry/" &amp; G2095, "https://www.kegg.jp/entry/" &amp; G2095), "")</f>
        <v/>
      </c>
    </row>
    <row r="2096" spans="1:10" hidden="1" x14ac:dyDescent="0.25">
      <c r="A2096" t="s">
        <v>3824</v>
      </c>
      <c r="B2096">
        <v>359</v>
      </c>
      <c r="C2096" t="s">
        <v>3825</v>
      </c>
      <c r="F2096" s="1" t="str">
        <f>IF(E2096&lt;&gt;"", HYPERLINK("https://www.kegg.jp/dbget-bin/www_bget?ec:" &amp; E2096, "https://www.kegg.jp/dbget-bin/www_bget?ec:" &amp; E2096), "")</f>
        <v/>
      </c>
      <c r="G2096" s="3"/>
      <c r="H2096" s="1" t="str">
        <f>IF(G2096&lt;&gt;"", HYPERLINK("https://www.kegg.jp/entry/" &amp; G2096, "https://www.kegg.jp/entry/" &amp; G2096), "")</f>
        <v/>
      </c>
    </row>
    <row r="2097" spans="1:10" hidden="1" x14ac:dyDescent="0.25">
      <c r="A2097" t="s">
        <v>3826</v>
      </c>
      <c r="B2097">
        <v>147</v>
      </c>
      <c r="C2097" t="s">
        <v>3827</v>
      </c>
      <c r="F2097" s="1" t="str">
        <f>IF(E2097&lt;&gt;"", HYPERLINK("https://www.kegg.jp/dbget-bin/www_bget?ec:" &amp; E2097, "https://www.kegg.jp/dbget-bin/www_bget?ec:" &amp; E2097), "")</f>
        <v/>
      </c>
      <c r="G2097" s="3"/>
      <c r="H2097" s="1" t="str">
        <f>IF(G2097&lt;&gt;"", HYPERLINK("https://www.kegg.jp/entry/" &amp; G2097, "https://www.kegg.jp/entry/" &amp; G2097), "")</f>
        <v/>
      </c>
    </row>
    <row r="2098" spans="1:10" hidden="1" x14ac:dyDescent="0.25">
      <c r="A2098" t="s">
        <v>3828</v>
      </c>
      <c r="B2098">
        <v>153</v>
      </c>
      <c r="C2098" t="s">
        <v>3829</v>
      </c>
      <c r="F2098" s="1" t="str">
        <f>IF(E2098&lt;&gt;"", HYPERLINK("https://www.kegg.jp/dbget-bin/www_bget?ec:" &amp; E2098, "https://www.kegg.jp/dbget-bin/www_bget?ec:" &amp; E2098), "")</f>
        <v/>
      </c>
      <c r="G2098" s="3"/>
      <c r="H2098" s="1" t="str">
        <f>IF(G2098&lt;&gt;"", HYPERLINK("https://www.kegg.jp/entry/" &amp; G2098, "https://www.kegg.jp/entry/" &amp; G2098), "")</f>
        <v/>
      </c>
    </row>
    <row r="2099" spans="1:10" hidden="1" x14ac:dyDescent="0.25">
      <c r="A2099" t="s">
        <v>3831</v>
      </c>
      <c r="B2099">
        <v>372</v>
      </c>
      <c r="C2099" t="s">
        <v>3832</v>
      </c>
      <c r="F2099" s="1" t="str">
        <f>IF(E2099&lt;&gt;"", HYPERLINK("https://www.kegg.jp/dbget-bin/www_bget?ec:" &amp; E2099, "https://www.kegg.jp/dbget-bin/www_bget?ec:" &amp; E2099), "")</f>
        <v/>
      </c>
      <c r="G2099" s="3"/>
      <c r="H2099" s="1" t="str">
        <f>IF(G2099&lt;&gt;"", HYPERLINK("https://www.kegg.jp/entry/" &amp; G2099, "https://www.kegg.jp/entry/" &amp; G2099), "")</f>
        <v/>
      </c>
    </row>
    <row r="2100" spans="1:10" hidden="1" x14ac:dyDescent="0.25">
      <c r="A2100" t="s">
        <v>3834</v>
      </c>
      <c r="B2100">
        <v>270</v>
      </c>
      <c r="C2100" t="s">
        <v>3835</v>
      </c>
      <c r="F2100" s="1" t="str">
        <f>IF(E2100&lt;&gt;"", HYPERLINK("https://www.kegg.jp/dbget-bin/www_bget?ec:" &amp; E2100, "https://www.kegg.jp/dbget-bin/www_bget?ec:" &amp; E2100), "")</f>
        <v/>
      </c>
      <c r="G2100" s="3"/>
      <c r="H2100" s="1" t="str">
        <f>IF(G2100&lt;&gt;"", HYPERLINK("https://www.kegg.jp/entry/" &amp; G2100, "https://www.kegg.jp/entry/" &amp; G2100), "")</f>
        <v/>
      </c>
    </row>
    <row r="2101" spans="1:10" hidden="1" x14ac:dyDescent="0.25">
      <c r="A2101" t="s">
        <v>3837</v>
      </c>
      <c r="B2101">
        <v>178</v>
      </c>
      <c r="C2101" t="s">
        <v>3838</v>
      </c>
      <c r="F2101" s="1" t="str">
        <f>IF(E2101&lt;&gt;"", HYPERLINK("https://www.kegg.jp/dbget-bin/www_bget?ec:" &amp; E2101, "https://www.kegg.jp/dbget-bin/www_bget?ec:" &amp; E2101), "")</f>
        <v/>
      </c>
      <c r="G2101" s="3"/>
      <c r="H2101" s="1" t="str">
        <f>IF(G2101&lt;&gt;"", HYPERLINK("https://www.kegg.jp/entry/" &amp; G2101, "https://www.kegg.jp/entry/" &amp; G2101), "")</f>
        <v/>
      </c>
    </row>
    <row r="2102" spans="1:10" hidden="1" x14ac:dyDescent="0.25">
      <c r="A2102" t="s">
        <v>3839</v>
      </c>
      <c r="B2102">
        <v>130</v>
      </c>
      <c r="C2102" t="s">
        <v>3840</v>
      </c>
      <c r="F2102" s="1" t="str">
        <f>IF(E2102&lt;&gt;"", HYPERLINK("https://www.kegg.jp/dbget-bin/www_bget?ec:" &amp; E2102, "https://www.kegg.jp/dbget-bin/www_bget?ec:" &amp; E2102), "")</f>
        <v/>
      </c>
      <c r="G2102" s="3"/>
      <c r="H2102" s="1" t="str">
        <f>IF(G2102&lt;&gt;"", HYPERLINK("https://www.kegg.jp/entry/" &amp; G2102, "https://www.kegg.jp/entry/" &amp; G2102), "")</f>
        <v/>
      </c>
    </row>
    <row r="2103" spans="1:10" hidden="1" x14ac:dyDescent="0.25">
      <c r="A2103" t="s">
        <v>3842</v>
      </c>
      <c r="B2103">
        <v>247</v>
      </c>
      <c r="C2103" t="s">
        <v>3843</v>
      </c>
      <c r="F2103" s="1" t="str">
        <f>IF(E2103&lt;&gt;"", HYPERLINK("https://www.kegg.jp/dbget-bin/www_bget?ec:" &amp; E2103, "https://www.kegg.jp/dbget-bin/www_bget?ec:" &amp; E2103), "")</f>
        <v/>
      </c>
      <c r="G2103" s="3"/>
      <c r="H2103" s="1" t="str">
        <f>IF(G2103&lt;&gt;"", HYPERLINK("https://www.kegg.jp/entry/" &amp; G2103, "https://www.kegg.jp/entry/" &amp; G2103), "")</f>
        <v/>
      </c>
    </row>
    <row r="2104" spans="1:10" x14ac:dyDescent="0.25">
      <c r="A2104" t="s">
        <v>3845</v>
      </c>
      <c r="B2104">
        <v>344</v>
      </c>
      <c r="C2104" t="s">
        <v>3846</v>
      </c>
      <c r="E2104" s="5" t="s">
        <v>6917</v>
      </c>
      <c r="F2104" s="1" t="str">
        <f>IF(E2104&lt;&gt;"", HYPERLINK("https://www.kegg.jp/dbget-bin/www_bget?ec:" &amp; E2104, "https://www.kegg.jp/dbget-bin/www_bget?ec:" &amp; E2104), "")</f>
        <v>https://www.kegg.jp/dbget-bin/www_bget?ec:2.5.1.54</v>
      </c>
      <c r="G2104" s="3" t="s">
        <v>7240</v>
      </c>
      <c r="H2104" s="1" t="str">
        <f>IF(G2104&lt;&gt;"", HYPERLINK("https://www.kegg.jp/entry/" &amp; G2104, "https://www.kegg.jp/entry/" &amp; G2104), "")</f>
        <v>https://www.kegg.jp/entry/R01826</v>
      </c>
      <c r="I2104" t="s">
        <v>13505</v>
      </c>
      <c r="J2104" t="s">
        <v>13506</v>
      </c>
    </row>
    <row r="2105" spans="1:10" x14ac:dyDescent="0.25">
      <c r="A2105" t="s">
        <v>3848</v>
      </c>
      <c r="B2105">
        <v>359</v>
      </c>
      <c r="C2105" t="s">
        <v>3849</v>
      </c>
      <c r="E2105" s="5" t="s">
        <v>6918</v>
      </c>
      <c r="F2105" s="1" t="str">
        <f>IF(E2105&lt;&gt;"", HYPERLINK("https://www.kegg.jp/dbget-bin/www_bget?ec:" &amp; E2105, "https://www.kegg.jp/dbget-bin/www_bget?ec:" &amp; E2105), "")</f>
        <v>https://www.kegg.jp/dbget-bin/www_bget?ec:1.3.1.43</v>
      </c>
      <c r="G2105" s="3" t="s">
        <v>7241</v>
      </c>
      <c r="H2105" s="1" t="str">
        <f>IF(G2105&lt;&gt;"", HYPERLINK("https://www.kegg.jp/entry/" &amp; G2105, "https://www.kegg.jp/entry/" &amp; G2105), "")</f>
        <v>https://www.kegg.jp/entry/R00732</v>
      </c>
      <c r="I2105" t="s">
        <v>13507</v>
      </c>
      <c r="J2105" t="s">
        <v>13508</v>
      </c>
    </row>
    <row r="2106" spans="1:10" hidden="1" x14ac:dyDescent="0.25">
      <c r="A2106" t="s">
        <v>3850</v>
      </c>
      <c r="B2106">
        <v>318</v>
      </c>
      <c r="C2106" t="s">
        <v>3851</v>
      </c>
      <c r="F2106" s="1" t="str">
        <f>IF(E2106&lt;&gt;"", HYPERLINK("https://www.kegg.jp/dbget-bin/www_bget?ec:" &amp; E2106, "https://www.kegg.jp/dbget-bin/www_bget?ec:" &amp; E2106), "")</f>
        <v/>
      </c>
      <c r="G2106" s="3"/>
      <c r="H2106" s="1" t="str">
        <f>IF(G2106&lt;&gt;"", HYPERLINK("https://www.kegg.jp/entry/" &amp; G2106, "https://www.kegg.jp/entry/" &amp; G2106), "")</f>
        <v/>
      </c>
    </row>
    <row r="2107" spans="1:10" x14ac:dyDescent="0.25">
      <c r="A2107" t="s">
        <v>3853</v>
      </c>
      <c r="B2107">
        <v>447</v>
      </c>
      <c r="C2107" t="s">
        <v>3854</v>
      </c>
      <c r="E2107" s="5" t="s">
        <v>6919</v>
      </c>
      <c r="F2107" s="1" t="str">
        <f>IF(E2107&lt;&gt;"", HYPERLINK("https://www.kegg.jp/dbget-bin/www_bget?ec:" &amp; E2107, "https://www.kegg.jp/dbget-bin/www_bget?ec:" &amp; E2107), "")</f>
        <v>https://www.kegg.jp/dbget-bin/www_bget?ec:1.1.99.14</v>
      </c>
      <c r="G2107" s="9" t="s">
        <v>7242</v>
      </c>
      <c r="H2107" s="1" t="str">
        <f>IF(G2107&lt;&gt;"", HYPERLINK("https://www.kegg.jp/entry/" &amp; G2107, "https://www.kegg.jp/entry/" &amp; G2107), "")</f>
        <v>https://www.kegg.jp/entry/R00476</v>
      </c>
      <c r="I2107" t="s">
        <v>13509</v>
      </c>
      <c r="J2107" t="s">
        <v>13510</v>
      </c>
    </row>
    <row r="2108" spans="1:10" hidden="1" x14ac:dyDescent="0.25">
      <c r="A2108" t="s">
        <v>3855</v>
      </c>
      <c r="B2108">
        <v>161</v>
      </c>
      <c r="C2108" t="s">
        <v>3856</v>
      </c>
      <c r="F2108" s="1" t="str">
        <f>IF(E2108&lt;&gt;"", HYPERLINK("https://www.kegg.jp/dbget-bin/www_bget?ec:" &amp; E2108, "https://www.kegg.jp/dbget-bin/www_bget?ec:" &amp; E2108), "")</f>
        <v/>
      </c>
      <c r="G2108" s="3"/>
      <c r="H2108" s="1" t="str">
        <f>IF(G2108&lt;&gt;"", HYPERLINK("https://www.kegg.jp/entry/" &amp; G2108, "https://www.kegg.jp/entry/" &amp; G2108), "")</f>
        <v/>
      </c>
    </row>
    <row r="2109" spans="1:10" x14ac:dyDescent="0.25">
      <c r="A2109" t="s">
        <v>3857</v>
      </c>
      <c r="B2109">
        <v>159</v>
      </c>
      <c r="C2109" t="s">
        <v>3858</v>
      </c>
      <c r="E2109" s="5" t="s">
        <v>6819</v>
      </c>
      <c r="F2109" s="1" t="str">
        <f>IF(E2109&lt;&gt;"", HYPERLINK("https://www.kegg.jp/dbget-bin/www_bget?ec:" &amp; E2109, "https://www.kegg.jp/dbget-bin/www_bget?ec:" &amp; E2109), "")</f>
        <v>https://www.kegg.jp/dbget-bin/www_bget?ec:2.7.1.4</v>
      </c>
      <c r="G2109" s="9" t="s">
        <v>7679</v>
      </c>
      <c r="H2109" s="1" t="str">
        <f>IF(G2109&lt;&gt;"", HYPERLINK("https://www.kegg.jp/entry/" &amp; G2109, "https://www.kegg.jp/entry/" &amp; G2109), "")</f>
        <v>https://www.kegg.jp/entry/R00760</v>
      </c>
      <c r="I2109" t="s">
        <v>8253</v>
      </c>
      <c r="J2109" t="s">
        <v>8526</v>
      </c>
    </row>
    <row r="2110" spans="1:10" x14ac:dyDescent="0.25">
      <c r="A2110" t="s">
        <v>3857</v>
      </c>
      <c r="B2110">
        <v>159</v>
      </c>
      <c r="C2110" t="s">
        <v>3858</v>
      </c>
      <c r="E2110" s="5" t="s">
        <v>6819</v>
      </c>
      <c r="F2110" s="1" t="str">
        <f>IF(E2110&lt;&gt;"", HYPERLINK("https://www.kegg.jp/dbget-bin/www_bget?ec:" &amp; E2110, "https://www.kegg.jp/dbget-bin/www_bget?ec:" &amp; E2110), "")</f>
        <v>https://www.kegg.jp/dbget-bin/www_bget?ec:2.7.1.4</v>
      </c>
      <c r="G2110" s="9" t="s">
        <v>7680</v>
      </c>
      <c r="H2110" s="1" t="str">
        <f>IF(G2110&lt;&gt;"", HYPERLINK("https://www.kegg.jp/entry/" &amp; G2110, "https://www.kegg.jp/entry/" &amp; G2110), "")</f>
        <v>https://www.kegg.jp/entry/R00867</v>
      </c>
      <c r="I2110" t="s">
        <v>8253</v>
      </c>
      <c r="J2110" t="s">
        <v>8527</v>
      </c>
    </row>
    <row r="2111" spans="1:10" x14ac:dyDescent="0.25">
      <c r="A2111" t="s">
        <v>3857</v>
      </c>
      <c r="B2111">
        <v>159</v>
      </c>
      <c r="C2111" t="s">
        <v>3858</v>
      </c>
      <c r="E2111" s="5" t="s">
        <v>6819</v>
      </c>
      <c r="F2111" s="1" t="str">
        <f>IF(E2111&lt;&gt;"", HYPERLINK("https://www.kegg.jp/dbget-bin/www_bget?ec:" &amp; E2111, "https://www.kegg.jp/dbget-bin/www_bget?ec:" &amp; E2111), "")</f>
        <v>https://www.kegg.jp/dbget-bin/www_bget?ec:2.7.1.4</v>
      </c>
      <c r="G2111" s="9" t="s">
        <v>7681</v>
      </c>
      <c r="H2111" s="1" t="str">
        <f>IF(G2111&lt;&gt;"", HYPERLINK("https://www.kegg.jp/entry/" &amp; G2111, "https://www.kegg.jp/entry/" &amp; G2111), "")</f>
        <v>https://www.kegg.jp/entry/R03920</v>
      </c>
      <c r="I2111" t="s">
        <v>8254</v>
      </c>
      <c r="J2111" t="s">
        <v>8527</v>
      </c>
    </row>
    <row r="2112" spans="1:10" hidden="1" x14ac:dyDescent="0.25">
      <c r="A2112" t="s">
        <v>3859</v>
      </c>
      <c r="B2112">
        <v>120</v>
      </c>
      <c r="C2112" t="s">
        <v>3860</v>
      </c>
      <c r="F2112" s="1" t="str">
        <f>IF(E2112&lt;&gt;"", HYPERLINK("https://www.kegg.jp/dbget-bin/www_bget?ec:" &amp; E2112, "https://www.kegg.jp/dbget-bin/www_bget?ec:" &amp; E2112), "")</f>
        <v/>
      </c>
      <c r="G2112" s="3"/>
      <c r="H2112" s="1" t="str">
        <f>IF(G2112&lt;&gt;"", HYPERLINK("https://www.kegg.jp/entry/" &amp; G2112, "https://www.kegg.jp/entry/" &amp; G2112), "")</f>
        <v/>
      </c>
    </row>
    <row r="2113" spans="1:10" hidden="1" x14ac:dyDescent="0.25">
      <c r="A2113" t="s">
        <v>3861</v>
      </c>
      <c r="B2113">
        <v>162</v>
      </c>
      <c r="C2113" t="s">
        <v>3862</v>
      </c>
      <c r="F2113" s="1" t="str">
        <f>IF(E2113&lt;&gt;"", HYPERLINK("https://www.kegg.jp/dbget-bin/www_bget?ec:" &amp; E2113, "https://www.kegg.jp/dbget-bin/www_bget?ec:" &amp; E2113), "")</f>
        <v/>
      </c>
      <c r="G2113" s="3"/>
      <c r="H2113" s="1" t="str">
        <f>IF(G2113&lt;&gt;"", HYPERLINK("https://www.kegg.jp/entry/" &amp; G2113, "https://www.kegg.jp/entry/" &amp; G2113), "")</f>
        <v/>
      </c>
    </row>
    <row r="2114" spans="1:10" hidden="1" x14ac:dyDescent="0.25">
      <c r="A2114" t="s">
        <v>3864</v>
      </c>
      <c r="B2114">
        <v>406</v>
      </c>
      <c r="C2114" t="s">
        <v>3865</v>
      </c>
      <c r="F2114" s="1" t="str">
        <f>IF(E2114&lt;&gt;"", HYPERLINK("https://www.kegg.jp/dbget-bin/www_bget?ec:" &amp; E2114, "https://www.kegg.jp/dbget-bin/www_bget?ec:" &amp; E2114), "")</f>
        <v/>
      </c>
      <c r="G2114" s="3"/>
      <c r="H2114" s="1" t="str">
        <f>IF(G2114&lt;&gt;"", HYPERLINK("https://www.kegg.jp/entry/" &amp; G2114, "https://www.kegg.jp/entry/" &amp; G2114), "")</f>
        <v/>
      </c>
    </row>
    <row r="2115" spans="1:10" hidden="1" x14ac:dyDescent="0.25">
      <c r="A2115" t="s">
        <v>3867</v>
      </c>
      <c r="B2115">
        <v>196</v>
      </c>
      <c r="C2115" t="s">
        <v>3868</v>
      </c>
      <c r="F2115" s="1" t="str">
        <f>IF(E2115&lt;&gt;"", HYPERLINK("https://www.kegg.jp/dbget-bin/www_bget?ec:" &amp; E2115, "https://www.kegg.jp/dbget-bin/www_bget?ec:" &amp; E2115), "")</f>
        <v/>
      </c>
      <c r="G2115" s="3"/>
      <c r="H2115" s="1" t="str">
        <f>IF(G2115&lt;&gt;"", HYPERLINK("https://www.kegg.jp/entry/" &amp; G2115, "https://www.kegg.jp/entry/" &amp; G2115), "")</f>
        <v/>
      </c>
    </row>
    <row r="2116" spans="1:10" hidden="1" x14ac:dyDescent="0.25">
      <c r="A2116" t="s">
        <v>3870</v>
      </c>
      <c r="B2116">
        <v>173</v>
      </c>
      <c r="C2116" t="s">
        <v>3871</v>
      </c>
      <c r="F2116" s="1" t="str">
        <f>IF(E2116&lt;&gt;"", HYPERLINK("https://www.kegg.jp/dbget-bin/www_bget?ec:" &amp; E2116, "https://www.kegg.jp/dbget-bin/www_bget?ec:" &amp; E2116), "")</f>
        <v/>
      </c>
      <c r="G2116" s="3"/>
      <c r="H2116" s="1" t="str">
        <f>IF(G2116&lt;&gt;"", HYPERLINK("https://www.kegg.jp/entry/" &amp; G2116, "https://www.kegg.jp/entry/" &amp; G2116), "")</f>
        <v/>
      </c>
    </row>
    <row r="2117" spans="1:10" hidden="1" x14ac:dyDescent="0.25">
      <c r="A2117" t="s">
        <v>3872</v>
      </c>
      <c r="B2117">
        <v>357</v>
      </c>
      <c r="C2117" t="s">
        <v>3873</v>
      </c>
      <c r="F2117" s="1" t="str">
        <f>IF(E2117&lt;&gt;"", HYPERLINK("https://www.kegg.jp/dbget-bin/www_bget?ec:" &amp; E2117, "https://www.kegg.jp/dbget-bin/www_bget?ec:" &amp; E2117), "")</f>
        <v/>
      </c>
      <c r="G2117" s="3"/>
      <c r="H2117" s="1" t="str">
        <f>IF(G2117&lt;&gt;"", HYPERLINK("https://www.kegg.jp/entry/" &amp; G2117, "https://www.kegg.jp/entry/" &amp; G2117), "")</f>
        <v/>
      </c>
    </row>
    <row r="2118" spans="1:10" x14ac:dyDescent="0.25">
      <c r="A2118" t="s">
        <v>3874</v>
      </c>
      <c r="B2118">
        <v>208</v>
      </c>
      <c r="C2118" t="s">
        <v>3875</v>
      </c>
      <c r="E2118" s="5" t="s">
        <v>6652</v>
      </c>
      <c r="F2118" s="1" t="str">
        <f>IF(E2118&lt;&gt;"", HYPERLINK("https://www.kegg.jp/dbget-bin/www_bget?ec:" &amp; E2118, "https://www.kegg.jp/dbget-bin/www_bget?ec:" &amp; E2118), "")</f>
        <v>https://www.kegg.jp/dbget-bin/www_bget?ec:2.3.1.1</v>
      </c>
      <c r="G2118" s="3" t="s">
        <v>7105</v>
      </c>
      <c r="H2118" s="1" t="str">
        <f>IF(G2118&lt;&gt;"", HYPERLINK("https://www.kegg.jp/entry/" &amp; G2118, "https://www.kegg.jp/entry/" &amp; G2118), "")</f>
        <v>https://www.kegg.jp/entry/R00259</v>
      </c>
      <c r="I2118" t="s">
        <v>8137</v>
      </c>
      <c r="J2118" t="s">
        <v>8417</v>
      </c>
    </row>
    <row r="2119" spans="1:10" x14ac:dyDescent="0.25">
      <c r="A2119" t="s">
        <v>3877</v>
      </c>
      <c r="B2119">
        <v>385</v>
      </c>
      <c r="C2119" t="s">
        <v>3878</v>
      </c>
      <c r="E2119" s="5" t="s">
        <v>6920</v>
      </c>
      <c r="F2119" s="1" t="str">
        <f>IF(E2119&lt;&gt;"", HYPERLINK("https://www.kegg.jp/dbget-bin/www_bget?ec:" &amp; E2119, "https://www.kegg.jp/dbget-bin/www_bget?ec:" &amp; E2119), "")</f>
        <v>https://www.kegg.jp/dbget-bin/www_bget?ec:1.3.8.6</v>
      </c>
      <c r="G2119" s="9" t="s">
        <v>7838</v>
      </c>
      <c r="H2119" s="1" t="str">
        <f>IF(G2119&lt;&gt;"", HYPERLINK("https://www.kegg.jp/entry/" &amp; G2119, "https://www.kegg.jp/entry/" &amp; G2119), "")</f>
        <v>https://www.kegg.jp/entry/R02488</v>
      </c>
      <c r="I2119" t="s">
        <v>8319</v>
      </c>
      <c r="J2119" t="s">
        <v>13511</v>
      </c>
    </row>
    <row r="2120" spans="1:10" x14ac:dyDescent="0.25">
      <c r="A2120" t="s">
        <v>3877</v>
      </c>
      <c r="B2120">
        <v>385</v>
      </c>
      <c r="C2120" t="s">
        <v>3878</v>
      </c>
      <c r="E2120" s="5" t="s">
        <v>6920</v>
      </c>
      <c r="F2120" s="1" t="str">
        <f>IF(E2120&lt;&gt;"", HYPERLINK("https://www.kegg.jp/dbget-bin/www_bget?ec:" &amp; E2120, "https://www.kegg.jp/dbget-bin/www_bget?ec:" &amp; E2120), "")</f>
        <v>https://www.kegg.jp/dbget-bin/www_bget?ec:1.3.8.6</v>
      </c>
      <c r="G2120" s="9" t="s">
        <v>7841</v>
      </c>
      <c r="H2120" s="1" t="str">
        <f>IF(G2120&lt;&gt;"", HYPERLINK("https://www.kegg.jp/entry/" &amp; G2120, "https://www.kegg.jp/entry/" &amp; G2120), "")</f>
        <v>https://www.kegg.jp/entry/R02487</v>
      </c>
      <c r="I2120" t="s">
        <v>13512</v>
      </c>
      <c r="J2120" t="s">
        <v>13513</v>
      </c>
    </row>
    <row r="2121" spans="1:10" x14ac:dyDescent="0.25">
      <c r="A2121" t="s">
        <v>3877</v>
      </c>
      <c r="B2121">
        <v>385</v>
      </c>
      <c r="C2121" t="s">
        <v>3878</v>
      </c>
      <c r="E2121" s="5" t="s">
        <v>6920</v>
      </c>
      <c r="F2121" s="1" t="str">
        <f>IF(E2121&lt;&gt;"", HYPERLINK("https://www.kegg.jp/dbget-bin/www_bget?ec:" &amp; E2121, "https://www.kegg.jp/dbget-bin/www_bget?ec:" &amp; E2121), "")</f>
        <v>https://www.kegg.jp/dbget-bin/www_bget?ec:1.3.8.6</v>
      </c>
      <c r="G2121" s="9" t="s">
        <v>7840</v>
      </c>
      <c r="H2121" s="1" t="str">
        <f>IF(G2121&lt;&gt;"", HYPERLINK("https://www.kegg.jp/entry/" &amp; G2121, "https://www.kegg.jp/entry/" &amp; G2121), "")</f>
        <v>https://www.kegg.jp/entry/R03028</v>
      </c>
      <c r="I2121" t="s">
        <v>8320</v>
      </c>
      <c r="J2121" t="s">
        <v>13514</v>
      </c>
    </row>
    <row r="2122" spans="1:10" x14ac:dyDescent="0.25">
      <c r="A2122" t="s">
        <v>3877</v>
      </c>
      <c r="B2122">
        <v>385</v>
      </c>
      <c r="C2122" t="s">
        <v>3878</v>
      </c>
      <c r="E2122" s="5" t="s">
        <v>6920</v>
      </c>
      <c r="F2122" s="1" t="str">
        <f>IF(E2122&lt;&gt;"", HYPERLINK("https://www.kegg.jp/dbget-bin/www_bget?ec:" &amp; E2122, "https://www.kegg.jp/dbget-bin/www_bget?ec:" &amp; E2122), "")</f>
        <v>https://www.kegg.jp/dbget-bin/www_bget?ec:1.3.8.6</v>
      </c>
      <c r="G2122" s="9" t="s">
        <v>7839</v>
      </c>
      <c r="H2122" s="1" t="str">
        <f>IF(G2122&lt;&gt;"", HYPERLINK("https://www.kegg.jp/entry/" &amp; G2122, "https://www.kegg.jp/entry/" &amp; G2122), "")</f>
        <v>https://www.kegg.jp/entry/R10074</v>
      </c>
      <c r="I2122" t="s">
        <v>8319</v>
      </c>
      <c r="J2122" t="s">
        <v>8583</v>
      </c>
    </row>
    <row r="2123" spans="1:10" x14ac:dyDescent="0.25">
      <c r="A2123" t="s">
        <v>3880</v>
      </c>
      <c r="B2123">
        <v>299</v>
      </c>
      <c r="C2123" t="s">
        <v>3881</v>
      </c>
      <c r="E2123" s="5" t="s">
        <v>6611</v>
      </c>
      <c r="F2123" s="1" t="str">
        <f>IF(E2123&lt;&gt;"", HYPERLINK("https://www.kegg.jp/dbget-bin/www_bget?ec:" &amp; E2123, "https://www.kegg.jp/dbget-bin/www_bget?ec:" &amp; E2123), "")</f>
        <v>https://www.kegg.jp/dbget-bin/www_bget?ec:2.7.7.7</v>
      </c>
      <c r="G2123" s="3" t="s">
        <v>7218</v>
      </c>
      <c r="H2123" s="1" t="str">
        <f>IF(G2123&lt;&gt;"", HYPERLINK("https://www.kegg.jp/entry/" &amp; G2123, "https://www.kegg.jp/entry/" &amp; G2123), "")</f>
        <v>https://www.kegg.jp/entry/R00379</v>
      </c>
      <c r="I2123" t="s">
        <v>12705</v>
      </c>
      <c r="J2123" t="s">
        <v>7080</v>
      </c>
    </row>
    <row r="2124" spans="1:10" x14ac:dyDescent="0.25">
      <c r="A2124" t="s">
        <v>3880</v>
      </c>
      <c r="B2124">
        <v>299</v>
      </c>
      <c r="C2124" t="s">
        <v>3881</v>
      </c>
      <c r="E2124" s="5" t="s">
        <v>6611</v>
      </c>
      <c r="F2124" s="1" t="str">
        <f>IF(E2124&lt;&gt;"", HYPERLINK("https://www.kegg.jp/dbget-bin/www_bget?ec:" &amp; E2124, "https://www.kegg.jp/dbget-bin/www_bget?ec:" &amp; E2124), "")</f>
        <v>https://www.kegg.jp/dbget-bin/www_bget?ec:2.7.7.7</v>
      </c>
      <c r="G2124" s="3" t="s">
        <v>7315</v>
      </c>
      <c r="H2124" s="1" t="str">
        <f>IF(G2124&lt;&gt;"", HYPERLINK("https://www.kegg.jp/entry/" &amp; G2124, "https://www.kegg.jp/entry/" &amp; G2124), "")</f>
        <v>https://www.kegg.jp/entry/R00375</v>
      </c>
      <c r="I2124" t="s">
        <v>12706</v>
      </c>
      <c r="J2124" t="s">
        <v>7080</v>
      </c>
    </row>
    <row r="2125" spans="1:10" x14ac:dyDescent="0.25">
      <c r="A2125" t="s">
        <v>3880</v>
      </c>
      <c r="B2125">
        <v>299</v>
      </c>
      <c r="C2125" t="s">
        <v>3881</v>
      </c>
      <c r="E2125" s="5" t="s">
        <v>6611</v>
      </c>
      <c r="F2125" s="1" t="str">
        <f>IF(E2125&lt;&gt;"", HYPERLINK("https://www.kegg.jp/dbget-bin/www_bget?ec:" &amp; E2125, "https://www.kegg.jp/dbget-bin/www_bget?ec:" &amp; E2125), "")</f>
        <v>https://www.kegg.jp/dbget-bin/www_bget?ec:2.7.7.7</v>
      </c>
      <c r="G2125" s="3" t="s">
        <v>7316</v>
      </c>
      <c r="H2125" s="1" t="str">
        <f>IF(G2125&lt;&gt;"", HYPERLINK("https://www.kegg.jp/entry/" &amp; G2125, "https://www.kegg.jp/entry/" &amp; G2125), "")</f>
        <v>https://www.kegg.jp/entry/R00376</v>
      </c>
      <c r="I2125" t="s">
        <v>12707</v>
      </c>
      <c r="J2125" t="s">
        <v>7080</v>
      </c>
    </row>
    <row r="2126" spans="1:10" x14ac:dyDescent="0.25">
      <c r="A2126" t="s">
        <v>3880</v>
      </c>
      <c r="B2126">
        <v>299</v>
      </c>
      <c r="C2126" t="s">
        <v>3881</v>
      </c>
      <c r="E2126" s="5" t="s">
        <v>6611</v>
      </c>
      <c r="F2126" s="1" t="str">
        <f>IF(E2126&lt;&gt;"", HYPERLINK("https://www.kegg.jp/dbget-bin/www_bget?ec:" &amp; E2126, "https://www.kegg.jp/dbget-bin/www_bget?ec:" &amp; E2126), "")</f>
        <v>https://www.kegg.jp/dbget-bin/www_bget?ec:2.7.7.7</v>
      </c>
      <c r="G2126" s="3" t="s">
        <v>7317</v>
      </c>
      <c r="H2126" s="1" t="str">
        <f>IF(G2126&lt;&gt;"", HYPERLINK("https://www.kegg.jp/entry/" &amp; G2126, "https://www.kegg.jp/entry/" &amp; G2126), "")</f>
        <v>https://www.kegg.jp/entry/R00377</v>
      </c>
      <c r="I2126" t="s">
        <v>12708</v>
      </c>
      <c r="J2126" t="s">
        <v>7080</v>
      </c>
    </row>
    <row r="2127" spans="1:10" x14ac:dyDescent="0.25">
      <c r="A2127" t="s">
        <v>3880</v>
      </c>
      <c r="B2127">
        <v>299</v>
      </c>
      <c r="C2127" t="s">
        <v>3881</v>
      </c>
      <c r="E2127" s="5" t="s">
        <v>6611</v>
      </c>
      <c r="F2127" s="1" t="str">
        <f>IF(E2127&lt;&gt;"", HYPERLINK("https://www.kegg.jp/dbget-bin/www_bget?ec:" &amp; E2127, "https://www.kegg.jp/dbget-bin/www_bget?ec:" &amp; E2127), "")</f>
        <v>https://www.kegg.jp/dbget-bin/www_bget?ec:2.7.7.7</v>
      </c>
      <c r="G2127" s="3" t="s">
        <v>7318</v>
      </c>
      <c r="H2127" s="1" t="str">
        <f>IF(G2127&lt;&gt;"", HYPERLINK("https://www.kegg.jp/entry/" &amp; G2127, "https://www.kegg.jp/entry/" &amp; G2127), "")</f>
        <v>https://www.kegg.jp/entry/R00378</v>
      </c>
      <c r="I2127" t="s">
        <v>12709</v>
      </c>
      <c r="J2127" t="s">
        <v>7080</v>
      </c>
    </row>
    <row r="2128" spans="1:10" x14ac:dyDescent="0.25">
      <c r="A2128" t="s">
        <v>3880</v>
      </c>
      <c r="B2128">
        <v>299</v>
      </c>
      <c r="C2128" t="s">
        <v>3881</v>
      </c>
      <c r="E2128" s="5" t="s">
        <v>6611</v>
      </c>
      <c r="F2128" s="1" t="str">
        <f>IF(E2128&lt;&gt;"", HYPERLINK("https://www.kegg.jp/dbget-bin/www_bget?ec:" &amp; E2128, "https://www.kegg.jp/dbget-bin/www_bget?ec:" &amp; E2128), "")</f>
        <v>https://www.kegg.jp/dbget-bin/www_bget?ec:2.7.7.7</v>
      </c>
      <c r="G2128" s="3" t="s">
        <v>7319</v>
      </c>
      <c r="H2128" s="1" t="str">
        <f>IF(G2128&lt;&gt;"", HYPERLINK("https://www.kegg.jp/entry/" &amp; G2128, "https://www.kegg.jp/entry/" &amp; G2128), "")</f>
        <v>https://www.kegg.jp/entry/R11029</v>
      </c>
      <c r="I2128" t="s">
        <v>8088</v>
      </c>
      <c r="J2128" t="s">
        <v>8391</v>
      </c>
    </row>
    <row r="2129" spans="1:10" hidden="1" x14ac:dyDescent="0.25">
      <c r="A2129" t="s">
        <v>3883</v>
      </c>
      <c r="B2129">
        <v>464</v>
      </c>
      <c r="C2129" t="s">
        <v>3884</v>
      </c>
      <c r="F2129" s="1" t="str">
        <f>IF(E2129&lt;&gt;"", HYPERLINK("https://www.kegg.jp/dbget-bin/www_bget?ec:" &amp; E2129, "https://www.kegg.jp/dbget-bin/www_bget?ec:" &amp; E2129), "")</f>
        <v/>
      </c>
      <c r="G2129" s="3"/>
      <c r="H2129" s="1" t="str">
        <f>IF(G2129&lt;&gt;"", HYPERLINK("https://www.kegg.jp/entry/" &amp; G2129, "https://www.kegg.jp/entry/" &amp; G2129), "")</f>
        <v/>
      </c>
    </row>
    <row r="2130" spans="1:10" hidden="1" x14ac:dyDescent="0.25">
      <c r="A2130" t="s">
        <v>3886</v>
      </c>
      <c r="B2130">
        <v>436</v>
      </c>
      <c r="C2130" t="s">
        <v>3887</v>
      </c>
      <c r="F2130" s="1" t="str">
        <f>IF(E2130&lt;&gt;"", HYPERLINK("https://www.kegg.jp/dbget-bin/www_bget?ec:" &amp; E2130, "https://www.kegg.jp/dbget-bin/www_bget?ec:" &amp; E2130), "")</f>
        <v/>
      </c>
      <c r="G2130" s="3"/>
      <c r="H2130" s="1" t="str">
        <f>IF(G2130&lt;&gt;"", HYPERLINK("https://www.kegg.jp/entry/" &amp; G2130, "https://www.kegg.jp/entry/" &amp; G2130), "")</f>
        <v/>
      </c>
    </row>
    <row r="2131" spans="1:10" x14ac:dyDescent="0.25">
      <c r="A2131" t="s">
        <v>3889</v>
      </c>
      <c r="B2131">
        <v>312</v>
      </c>
      <c r="C2131" t="s">
        <v>3890</v>
      </c>
      <c r="E2131" s="5" t="s">
        <v>6921</v>
      </c>
      <c r="F2131" s="1" t="str">
        <f>IF(E2131&lt;&gt;"", HYPERLINK("https://www.kegg.jp/dbget-bin/www_bget?ec:" &amp; E2131, "https://www.kegg.jp/dbget-bin/www_bget?ec:" &amp; E2131), "")</f>
        <v>https://www.kegg.jp/dbget-bin/www_bget?ec:1.1.1.79</v>
      </c>
      <c r="G2131" s="9" t="s">
        <v>7842</v>
      </c>
      <c r="H2131" s="1" t="str">
        <f>IF(G2131&lt;&gt;"", HYPERLINK("https://www.kegg.jp/entry/" &amp; G2131, "https://www.kegg.jp/entry/" &amp; G2131), "")</f>
        <v>https://www.kegg.jp/entry/R00465</v>
      </c>
      <c r="I2131" t="s">
        <v>13515</v>
      </c>
      <c r="J2131" t="s">
        <v>13516</v>
      </c>
    </row>
    <row r="2132" spans="1:10" x14ac:dyDescent="0.25">
      <c r="A2132" t="s">
        <v>3889</v>
      </c>
      <c r="B2132">
        <v>312</v>
      </c>
      <c r="C2132" t="s">
        <v>3890</v>
      </c>
      <c r="E2132" s="5" t="s">
        <v>6921</v>
      </c>
      <c r="F2132" s="1" t="str">
        <f>IF(E2132&lt;&gt;"", HYPERLINK("https://www.kegg.jp/dbget-bin/www_bget?ec:" &amp; E2132, "https://www.kegg.jp/dbget-bin/www_bget?ec:" &amp; E2132), "")</f>
        <v>https://www.kegg.jp/dbget-bin/www_bget?ec:1.1.1.79</v>
      </c>
      <c r="G2132" s="9" t="s">
        <v>7844</v>
      </c>
      <c r="H2132" s="1" t="str">
        <f>IF(G2132&lt;&gt;"", HYPERLINK("https://www.kegg.jp/entry/" &amp; G2132, "https://www.kegg.jp/entry/" &amp; G2132), "")</f>
        <v>https://www.kegg.jp/entry/R01392</v>
      </c>
      <c r="I2132" t="s">
        <v>13517</v>
      </c>
      <c r="J2132" t="s">
        <v>13518</v>
      </c>
    </row>
    <row r="2133" spans="1:10" x14ac:dyDescent="0.25">
      <c r="A2133" t="s">
        <v>3889</v>
      </c>
      <c r="B2133">
        <v>312</v>
      </c>
      <c r="C2133" t="s">
        <v>3890</v>
      </c>
      <c r="E2133" s="5" t="s">
        <v>6921</v>
      </c>
      <c r="F2133" s="1" t="str">
        <f>IF(E2133&lt;&gt;"", HYPERLINK("https://www.kegg.jp/dbget-bin/www_bget?ec:" &amp; E2133, "https://www.kegg.jp/dbget-bin/www_bget?ec:" &amp; E2133), "")</f>
        <v>https://www.kegg.jp/dbget-bin/www_bget?ec:1.1.1.79</v>
      </c>
      <c r="G2133" s="9" t="s">
        <v>7843</v>
      </c>
      <c r="H2133" s="1" t="str">
        <f>IF(G2133&lt;&gt;"", HYPERLINK("https://www.kegg.jp/entry/" &amp; G2133, "https://www.kegg.jp/entry/" &amp; G2133), "")</f>
        <v>https://www.kegg.jp/entry/R02527</v>
      </c>
      <c r="I2133" t="s">
        <v>13519</v>
      </c>
      <c r="J2133" t="s">
        <v>13520</v>
      </c>
    </row>
    <row r="2134" spans="1:10" hidden="1" x14ac:dyDescent="0.25">
      <c r="A2134" t="s">
        <v>3892</v>
      </c>
      <c r="B2134">
        <v>246</v>
      </c>
      <c r="C2134" t="s">
        <v>3893</v>
      </c>
      <c r="F2134" s="1" t="str">
        <f>IF(E2134&lt;&gt;"", HYPERLINK("https://www.kegg.jp/dbget-bin/www_bget?ec:" &amp; E2134, "https://www.kegg.jp/dbget-bin/www_bget?ec:" &amp; E2134), "")</f>
        <v/>
      </c>
      <c r="G2134" s="3"/>
      <c r="H2134" s="1" t="str">
        <f>IF(G2134&lt;&gt;"", HYPERLINK("https://www.kegg.jp/entry/" &amp; G2134, "https://www.kegg.jp/entry/" &amp; G2134), "")</f>
        <v/>
      </c>
    </row>
    <row r="2135" spans="1:10" hidden="1" x14ac:dyDescent="0.25">
      <c r="A2135" t="s">
        <v>3894</v>
      </c>
      <c r="B2135">
        <v>43</v>
      </c>
      <c r="C2135" t="s">
        <v>3895</v>
      </c>
      <c r="F2135" s="1" t="str">
        <f>IF(E2135&lt;&gt;"", HYPERLINK("https://www.kegg.jp/dbget-bin/www_bget?ec:" &amp; E2135, "https://www.kegg.jp/dbget-bin/www_bget?ec:" &amp; E2135), "")</f>
        <v/>
      </c>
      <c r="G2135" s="3"/>
      <c r="H2135" s="1" t="str">
        <f>IF(G2135&lt;&gt;"", HYPERLINK("https://www.kegg.jp/entry/" &amp; G2135, "https://www.kegg.jp/entry/" &amp; G2135), "")</f>
        <v/>
      </c>
    </row>
    <row r="2136" spans="1:10" x14ac:dyDescent="0.25">
      <c r="A2136" t="s">
        <v>3897</v>
      </c>
      <c r="B2136">
        <v>181</v>
      </c>
      <c r="C2136" t="s">
        <v>3898</v>
      </c>
      <c r="E2136" s="5" t="s">
        <v>6742</v>
      </c>
      <c r="F2136" s="1" t="str">
        <f>IF(E2136&lt;&gt;"", HYPERLINK("https://www.kegg.jp/dbget-bin/www_bget?ec:" &amp; E2136, "https://www.kegg.jp/dbget-bin/www_bget?ec:" &amp; E2136), "")</f>
        <v>https://www.kegg.jp/dbget-bin/www_bget?ec:2.4.2.9</v>
      </c>
      <c r="G2136" s="3" t="s">
        <v>7150</v>
      </c>
      <c r="H2136" s="1" t="str">
        <f>IF(G2136&lt;&gt;"", HYPERLINK("https://www.kegg.jp/entry/" &amp; G2136, "https://www.kegg.jp/entry/" &amp; G2136), "")</f>
        <v>https://www.kegg.jp/entry/R00966</v>
      </c>
      <c r="I2136" t="s">
        <v>13032</v>
      </c>
      <c r="J2136" t="s">
        <v>8478</v>
      </c>
    </row>
    <row r="2137" spans="1:10" x14ac:dyDescent="0.25">
      <c r="A2137" t="s">
        <v>3900</v>
      </c>
      <c r="B2137">
        <v>301</v>
      </c>
      <c r="C2137" t="s">
        <v>3901</v>
      </c>
      <c r="E2137" s="5" t="s">
        <v>6922</v>
      </c>
      <c r="F2137" s="1" t="str">
        <f>IF(E2137&lt;&gt;"", HYPERLINK("https://www.kegg.jp/dbget-bin/www_bget?ec:" &amp; E2137, "https://www.kegg.jp/dbget-bin/www_bget?ec:" &amp; E2137), "")</f>
        <v>https://www.kegg.jp/dbget-bin/www_bget?ec:2.1.3.2</v>
      </c>
      <c r="G2137" s="3" t="s">
        <v>7243</v>
      </c>
      <c r="H2137" s="1" t="str">
        <f>IF(G2137&lt;&gt;"", HYPERLINK("https://www.kegg.jp/entry/" &amp; G2137, "https://www.kegg.jp/entry/" &amp; G2137), "")</f>
        <v>https://www.kegg.jp/entry/R01397</v>
      </c>
      <c r="I2137" t="s">
        <v>13521</v>
      </c>
      <c r="J2137" t="s">
        <v>8584</v>
      </c>
    </row>
    <row r="2138" spans="1:10" x14ac:dyDescent="0.25">
      <c r="A2138" t="s">
        <v>3903</v>
      </c>
      <c r="B2138">
        <v>425</v>
      </c>
      <c r="C2138" t="s">
        <v>3904</v>
      </c>
      <c r="E2138" s="5" t="s">
        <v>6923</v>
      </c>
      <c r="F2138" s="1" t="str">
        <f>IF(E2138&lt;&gt;"", HYPERLINK("https://www.kegg.jp/dbget-bin/www_bget?ec:" &amp; E2138, "https://www.kegg.jp/dbget-bin/www_bget?ec:" &amp; E2138), "")</f>
        <v>https://www.kegg.jp/dbget-bin/www_bget?ec:3.5.2.3</v>
      </c>
      <c r="G2138" s="3" t="s">
        <v>7244</v>
      </c>
      <c r="H2138" s="1" t="str">
        <f>IF(G2138&lt;&gt;"", HYPERLINK("https://www.kegg.jp/entry/" &amp; G2138, "https://www.kegg.jp/entry/" &amp; G2138), "")</f>
        <v>https://www.kegg.jp/entry/R01993</v>
      </c>
      <c r="I2138" t="s">
        <v>13522</v>
      </c>
      <c r="J2138" t="s">
        <v>8585</v>
      </c>
    </row>
    <row r="2139" spans="1:10" hidden="1" x14ac:dyDescent="0.25">
      <c r="A2139" t="s">
        <v>3905</v>
      </c>
      <c r="B2139">
        <v>158</v>
      </c>
      <c r="C2139" t="s">
        <v>3906</v>
      </c>
      <c r="F2139" s="1" t="str">
        <f>IF(E2139&lt;&gt;"", HYPERLINK("https://www.kegg.jp/dbget-bin/www_bget?ec:" &amp; E2139, "https://www.kegg.jp/dbget-bin/www_bget?ec:" &amp; E2139), "")</f>
        <v/>
      </c>
      <c r="G2139" s="3"/>
      <c r="H2139" s="1" t="str">
        <f>IF(G2139&lt;&gt;"", HYPERLINK("https://www.kegg.jp/entry/" &amp; G2139, "https://www.kegg.jp/entry/" &amp; G2139), "")</f>
        <v/>
      </c>
    </row>
    <row r="2140" spans="1:10" x14ac:dyDescent="0.25">
      <c r="A2140" t="s">
        <v>3908</v>
      </c>
      <c r="B2140">
        <v>345</v>
      </c>
      <c r="C2140" t="s">
        <v>3909</v>
      </c>
      <c r="E2140" s="5" t="s">
        <v>6924</v>
      </c>
      <c r="F2140" s="1" t="str">
        <f>IF(E2140&lt;&gt;"", HYPERLINK("https://www.kegg.jp/dbget-bin/www_bget?ec:" &amp; E2140, "https://www.kegg.jp/dbget-bin/www_bget?ec:" &amp; E2140), "")</f>
        <v>https://www.kegg.jp/dbget-bin/www_bget?ec:1.3.98.1</v>
      </c>
      <c r="G2140" s="3" t="s">
        <v>7245</v>
      </c>
      <c r="H2140" s="1" t="str">
        <f>IF(G2140&lt;&gt;"", HYPERLINK("https://www.kegg.jp/entry/" &amp; G2140, "https://www.kegg.jp/entry/" &amp; G2140), "")</f>
        <v>https://www.kegg.jp/entry/R01867</v>
      </c>
      <c r="I2140" t="s">
        <v>13523</v>
      </c>
      <c r="J2140" t="s">
        <v>13524</v>
      </c>
    </row>
    <row r="2141" spans="1:10" hidden="1" x14ac:dyDescent="0.25">
      <c r="A2141" t="s">
        <v>3910</v>
      </c>
      <c r="B2141">
        <v>142</v>
      </c>
      <c r="C2141" t="s">
        <v>3911</v>
      </c>
      <c r="F2141" s="1" t="str">
        <f>IF(E2141&lt;&gt;"", HYPERLINK("https://www.kegg.jp/dbget-bin/www_bget?ec:" &amp; E2141, "https://www.kegg.jp/dbget-bin/www_bget?ec:" &amp; E2141), "")</f>
        <v/>
      </c>
      <c r="G2141" s="3"/>
      <c r="H2141" s="1" t="str">
        <f>IF(G2141&lt;&gt;"", HYPERLINK("https://www.kegg.jp/entry/" &amp; G2141, "https://www.kegg.jp/entry/" &amp; G2141), "")</f>
        <v/>
      </c>
    </row>
    <row r="2142" spans="1:10" hidden="1" x14ac:dyDescent="0.25">
      <c r="A2142" t="s">
        <v>3912</v>
      </c>
      <c r="B2142">
        <v>794</v>
      </c>
      <c r="C2142" t="s">
        <v>3913</v>
      </c>
      <c r="E2142" s="5" t="s">
        <v>6691</v>
      </c>
      <c r="F2142" s="1" t="str">
        <f>IF(E2142&lt;&gt;"", HYPERLINK("https://www.kegg.jp/dbget-bin/www_bget?ec:" &amp; E2142, "https://www.kegg.jp/dbget-bin/www_bget?ec:" &amp; E2142), "")</f>
        <v>https://www.kegg.jp/dbget-bin/www_bget?ec:3.4.21.53</v>
      </c>
      <c r="G2142" s="3"/>
      <c r="H2142" s="1" t="str">
        <f>IF(G2142&lt;&gt;"", HYPERLINK("https://www.kegg.jp/entry/" &amp; G2142, "https://www.kegg.jp/entry/" &amp; G2142), "")</f>
        <v/>
      </c>
    </row>
    <row r="2143" spans="1:10" hidden="1" x14ac:dyDescent="0.25">
      <c r="A2143" t="s">
        <v>3915</v>
      </c>
      <c r="B2143">
        <v>186</v>
      </c>
      <c r="C2143" t="s">
        <v>3916</v>
      </c>
      <c r="F2143" s="1" t="str">
        <f>IF(E2143&lt;&gt;"", HYPERLINK("https://www.kegg.jp/dbget-bin/www_bget?ec:" &amp; E2143, "https://www.kegg.jp/dbget-bin/www_bget?ec:" &amp; E2143), "")</f>
        <v/>
      </c>
      <c r="G2143" s="3"/>
      <c r="H2143" s="1" t="str">
        <f>IF(G2143&lt;&gt;"", HYPERLINK("https://www.kegg.jp/entry/" &amp; G2143, "https://www.kegg.jp/entry/" &amp; G2143), "")</f>
        <v/>
      </c>
    </row>
    <row r="2144" spans="1:10" hidden="1" x14ac:dyDescent="0.25">
      <c r="A2144" t="s">
        <v>3918</v>
      </c>
      <c r="B2144">
        <v>292</v>
      </c>
      <c r="C2144" t="s">
        <v>3919</v>
      </c>
      <c r="F2144" s="1" t="str">
        <f>IF(E2144&lt;&gt;"", HYPERLINK("https://www.kegg.jp/dbget-bin/www_bget?ec:" &amp; E2144, "https://www.kegg.jp/dbget-bin/www_bget?ec:" &amp; E2144), "")</f>
        <v/>
      </c>
      <c r="G2144" s="3"/>
      <c r="H2144" s="1" t="str">
        <f>IF(G2144&lt;&gt;"", HYPERLINK("https://www.kegg.jp/entry/" &amp; G2144, "https://www.kegg.jp/entry/" &amp; G2144), "")</f>
        <v/>
      </c>
    </row>
    <row r="2145" spans="1:10" hidden="1" x14ac:dyDescent="0.25">
      <c r="A2145" t="s">
        <v>3920</v>
      </c>
      <c r="B2145">
        <v>110</v>
      </c>
      <c r="C2145" t="s">
        <v>3921</v>
      </c>
      <c r="F2145" s="1" t="str">
        <f>IF(E2145&lt;&gt;"", HYPERLINK("https://www.kegg.jp/dbget-bin/www_bget?ec:" &amp; E2145, "https://www.kegg.jp/dbget-bin/www_bget?ec:" &amp; E2145), "")</f>
        <v/>
      </c>
      <c r="G2145" s="3"/>
      <c r="H2145" s="1" t="str">
        <f>IF(G2145&lt;&gt;"", HYPERLINK("https://www.kegg.jp/entry/" &amp; G2145, "https://www.kegg.jp/entry/" &amp; G2145), "")</f>
        <v/>
      </c>
    </row>
    <row r="2146" spans="1:10" hidden="1" x14ac:dyDescent="0.25">
      <c r="A2146" t="s">
        <v>3923</v>
      </c>
      <c r="B2146">
        <v>440</v>
      </c>
      <c r="C2146" t="s">
        <v>3924</v>
      </c>
      <c r="F2146" s="1" t="str">
        <f>IF(E2146&lt;&gt;"", HYPERLINK("https://www.kegg.jp/dbget-bin/www_bget?ec:" &amp; E2146, "https://www.kegg.jp/dbget-bin/www_bget?ec:" &amp; E2146), "")</f>
        <v/>
      </c>
      <c r="G2146" s="3"/>
      <c r="H2146" s="1" t="str">
        <f>IF(G2146&lt;&gt;"", HYPERLINK("https://www.kegg.jp/entry/" &amp; G2146, "https://www.kegg.jp/entry/" &amp; G2146), "")</f>
        <v/>
      </c>
    </row>
    <row r="2147" spans="1:10" hidden="1" x14ac:dyDescent="0.25">
      <c r="C2147" t="s">
        <v>3925</v>
      </c>
      <c r="F2147" s="1" t="str">
        <f>IF(E2147&lt;&gt;"", HYPERLINK("https://www.kegg.jp/dbget-bin/www_bget?ec:" &amp; E2147, "https://www.kegg.jp/dbget-bin/www_bget?ec:" &amp; E2147), "")</f>
        <v/>
      </c>
      <c r="G2147" s="3"/>
      <c r="H2147" s="1" t="str">
        <f>IF(G2147&lt;&gt;"", HYPERLINK("https://www.kegg.jp/entry/" &amp; G2147, "https://www.kegg.jp/entry/" &amp; G2147), "")</f>
        <v/>
      </c>
    </row>
    <row r="2148" spans="1:10" hidden="1" x14ac:dyDescent="0.25">
      <c r="A2148" t="s">
        <v>3926</v>
      </c>
      <c r="B2148">
        <v>93</v>
      </c>
      <c r="C2148" t="s">
        <v>3927</v>
      </c>
      <c r="F2148" s="1" t="str">
        <f>IF(E2148&lt;&gt;"", HYPERLINK("https://www.kegg.jp/dbget-bin/www_bget?ec:" &amp; E2148, "https://www.kegg.jp/dbget-bin/www_bget?ec:" &amp; E2148), "")</f>
        <v/>
      </c>
      <c r="G2148" s="3"/>
      <c r="H2148" s="1" t="str">
        <f>IF(G2148&lt;&gt;"", HYPERLINK("https://www.kegg.jp/entry/" &amp; G2148, "https://www.kegg.jp/entry/" &amp; G2148), "")</f>
        <v/>
      </c>
    </row>
    <row r="2149" spans="1:10" hidden="1" x14ac:dyDescent="0.25">
      <c r="A2149" t="s">
        <v>3929</v>
      </c>
      <c r="B2149">
        <v>370</v>
      </c>
      <c r="C2149" t="s">
        <v>3930</v>
      </c>
      <c r="F2149" s="1" t="str">
        <f>IF(E2149&lt;&gt;"", HYPERLINK("https://www.kegg.jp/dbget-bin/www_bget?ec:" &amp; E2149, "https://www.kegg.jp/dbget-bin/www_bget?ec:" &amp; E2149), "")</f>
        <v/>
      </c>
      <c r="G2149" s="3"/>
      <c r="H2149" s="1" t="str">
        <f>IF(G2149&lt;&gt;"", HYPERLINK("https://www.kegg.jp/entry/" &amp; G2149, "https://www.kegg.jp/entry/" &amp; G2149), "")</f>
        <v/>
      </c>
    </row>
    <row r="2150" spans="1:10" x14ac:dyDescent="0.25">
      <c r="A2150" t="s">
        <v>3932</v>
      </c>
      <c r="B2150">
        <v>496</v>
      </c>
      <c r="C2150" t="s">
        <v>3933</v>
      </c>
      <c r="E2150" s="5" t="s">
        <v>6925</v>
      </c>
      <c r="F2150" s="1" t="str">
        <f>IF(E2150&lt;&gt;"", HYPERLINK("https://www.kegg.jp/dbget-bin/www_bget?ec:" &amp; E2150, "https://www.kegg.jp/dbget-bin/www_bget?ec:" &amp; E2150), "")</f>
        <v>https://www.kegg.jp/dbget-bin/www_bget?ec:1.1.1.42</v>
      </c>
      <c r="G2150" s="9" t="s">
        <v>7845</v>
      </c>
      <c r="H2150" s="1" t="str">
        <f>IF(G2150&lt;&gt;"", HYPERLINK("https://www.kegg.jp/entry/" &amp; G2150, "https://www.kegg.jp/entry/" &amp; G2150), "")</f>
        <v>https://www.kegg.jp/entry/R00267</v>
      </c>
      <c r="I2150" t="s">
        <v>13525</v>
      </c>
      <c r="J2150" t="s">
        <v>13526</v>
      </c>
    </row>
    <row r="2151" spans="1:10" x14ac:dyDescent="0.25">
      <c r="A2151" t="s">
        <v>3932</v>
      </c>
      <c r="B2151">
        <v>496</v>
      </c>
      <c r="C2151" t="s">
        <v>3933</v>
      </c>
      <c r="E2151" s="5" t="s">
        <v>6925</v>
      </c>
      <c r="F2151" s="1" t="str">
        <f>IF(E2151&lt;&gt;"", HYPERLINK("https://www.kegg.jp/dbget-bin/www_bget?ec:" &amp; E2151, "https://www.kegg.jp/dbget-bin/www_bget?ec:" &amp; E2151), "")</f>
        <v>https://www.kegg.jp/dbget-bin/www_bget?ec:1.1.1.42</v>
      </c>
      <c r="G2151" s="9" t="s">
        <v>7847</v>
      </c>
      <c r="H2151" s="1" t="str">
        <f>IF(G2151&lt;&gt;"", HYPERLINK("https://www.kegg.jp/entry/" &amp; G2151, "https://www.kegg.jp/entry/" &amp; G2151), "")</f>
        <v>https://www.kegg.jp/entry/R00268</v>
      </c>
      <c r="I2151" t="s">
        <v>8321</v>
      </c>
      <c r="J2151" t="s">
        <v>13527</v>
      </c>
    </row>
    <row r="2152" spans="1:10" x14ac:dyDescent="0.25">
      <c r="A2152" t="s">
        <v>3932</v>
      </c>
      <c r="B2152">
        <v>496</v>
      </c>
      <c r="C2152" t="s">
        <v>3933</v>
      </c>
      <c r="E2152" s="5" t="s">
        <v>6925</v>
      </c>
      <c r="F2152" s="1" t="str">
        <f>IF(E2152&lt;&gt;"", HYPERLINK("https://www.kegg.jp/dbget-bin/www_bget?ec:" &amp; E2152, "https://www.kegg.jp/dbget-bin/www_bget?ec:" &amp; E2152), "")</f>
        <v>https://www.kegg.jp/dbget-bin/www_bget?ec:1.1.1.42</v>
      </c>
      <c r="G2152" s="9" t="s">
        <v>7846</v>
      </c>
      <c r="H2152" s="1" t="str">
        <f>IF(G2152&lt;&gt;"", HYPERLINK("https://www.kegg.jp/entry/" &amp; G2152, "https://www.kegg.jp/entry/" &amp; G2152), "")</f>
        <v>https://www.kegg.jp/entry/R01899</v>
      </c>
      <c r="I2152" t="s">
        <v>13525</v>
      </c>
      <c r="J2152" t="s">
        <v>13528</v>
      </c>
    </row>
    <row r="2153" spans="1:10" hidden="1" x14ac:dyDescent="0.25">
      <c r="A2153" t="s">
        <v>3935</v>
      </c>
      <c r="B2153">
        <v>598</v>
      </c>
      <c r="C2153" t="s">
        <v>3936</v>
      </c>
      <c r="E2153" s="5" t="s">
        <v>6926</v>
      </c>
      <c r="F2153" s="1" t="str">
        <f>IF(E2153&lt;&gt;"", HYPERLINK("https://www.kegg.jp/dbget-bin/www_bget?ec:" &amp; E2153, "https://www.kegg.jp/dbget-bin/www_bget?ec:" &amp; E2153), "")</f>
        <v>https://www.kegg.jp/dbget-bin/www_bget?ec:3.1.13.1</v>
      </c>
      <c r="G2153" s="3"/>
      <c r="H2153" s="1" t="str">
        <f>IF(G2153&lt;&gt;"", HYPERLINK("https://www.kegg.jp/entry/" &amp; G2153, "https://www.kegg.jp/entry/" &amp; G2153), "")</f>
        <v/>
      </c>
    </row>
    <row r="2154" spans="1:10" hidden="1" x14ac:dyDescent="0.25">
      <c r="A2154" t="s">
        <v>3937</v>
      </c>
      <c r="B2154">
        <v>236</v>
      </c>
      <c r="C2154" t="s">
        <v>3938</v>
      </c>
      <c r="F2154" s="1" t="str">
        <f>IF(E2154&lt;&gt;"", HYPERLINK("https://www.kegg.jp/dbget-bin/www_bget?ec:" &amp; E2154, "https://www.kegg.jp/dbget-bin/www_bget?ec:" &amp; E2154), "")</f>
        <v/>
      </c>
      <c r="G2154" s="3"/>
      <c r="H2154" s="1" t="str">
        <f>IF(G2154&lt;&gt;"", HYPERLINK("https://www.kegg.jp/entry/" &amp; G2154, "https://www.kegg.jp/entry/" &amp; G2154), "")</f>
        <v/>
      </c>
    </row>
    <row r="2155" spans="1:10" hidden="1" x14ac:dyDescent="0.25">
      <c r="A2155" t="s">
        <v>3940</v>
      </c>
      <c r="B2155">
        <v>570</v>
      </c>
      <c r="C2155" t="s">
        <v>3941</v>
      </c>
      <c r="E2155" s="5" t="s">
        <v>6739</v>
      </c>
      <c r="F2155" s="1" t="str">
        <f>IF(E2155&lt;&gt;"", HYPERLINK("https://www.kegg.jp/dbget-bin/www_bget?ec:" &amp; E2155, "https://www.kegg.jp/dbget-bin/www_bget?ec:" &amp; E2155), "")</f>
        <v>https://www.kegg.jp/dbget-bin/www_bget?ec:3.4.24.-</v>
      </c>
      <c r="G2155" s="3"/>
      <c r="H2155" s="1" t="str">
        <f>IF(G2155&lt;&gt;"", HYPERLINK("https://www.kegg.jp/entry/" &amp; G2155, "https://www.kegg.jp/entry/" &amp; G2155), "")</f>
        <v/>
      </c>
    </row>
    <row r="2156" spans="1:10" hidden="1" x14ac:dyDescent="0.25">
      <c r="A2156" t="s">
        <v>3943</v>
      </c>
      <c r="B2156">
        <v>348</v>
      </c>
      <c r="C2156" t="s">
        <v>3944</v>
      </c>
      <c r="E2156" s="5" t="s">
        <v>6927</v>
      </c>
      <c r="F2156" s="1" t="str">
        <f>IF(E2156&lt;&gt;"", HYPERLINK("https://www.kegg.jp/dbget-bin/www_bget?ec:" &amp; E2156, "https://www.kegg.jp/dbget-bin/www_bget?ec:" &amp; E2156), "")</f>
        <v>https://www.kegg.jp/dbget-bin/www_bget?ec:4.2.1.-</v>
      </c>
      <c r="G2156" s="3"/>
      <c r="H2156" s="1" t="str">
        <f>IF(G2156&lt;&gt;"", HYPERLINK("https://www.kegg.jp/entry/" &amp; G2156, "https://www.kegg.jp/entry/" &amp; G2156), "")</f>
        <v/>
      </c>
    </row>
    <row r="2157" spans="1:10" hidden="1" x14ac:dyDescent="0.25">
      <c r="A2157" t="s">
        <v>3945</v>
      </c>
      <c r="B2157">
        <v>210</v>
      </c>
      <c r="C2157" t="s">
        <v>3946</v>
      </c>
      <c r="F2157" s="1" t="str">
        <f>IF(E2157&lt;&gt;"", HYPERLINK("https://www.kegg.jp/dbget-bin/www_bget?ec:" &amp; E2157, "https://www.kegg.jp/dbget-bin/www_bget?ec:" &amp; E2157), "")</f>
        <v/>
      </c>
      <c r="G2157" s="3"/>
      <c r="H2157" s="1" t="str">
        <f>IF(G2157&lt;&gt;"", HYPERLINK("https://www.kegg.jp/entry/" &amp; G2157, "https://www.kegg.jp/entry/" &amp; G2157), "")</f>
        <v/>
      </c>
    </row>
    <row r="2158" spans="1:10" hidden="1" x14ac:dyDescent="0.25">
      <c r="A2158" t="s">
        <v>3948</v>
      </c>
      <c r="B2158">
        <v>134</v>
      </c>
      <c r="C2158" t="s">
        <v>3949</v>
      </c>
      <c r="F2158" s="1" t="str">
        <f>IF(E2158&lt;&gt;"", HYPERLINK("https://www.kegg.jp/dbget-bin/www_bget?ec:" &amp; E2158, "https://www.kegg.jp/dbget-bin/www_bget?ec:" &amp; E2158), "")</f>
        <v/>
      </c>
      <c r="G2158" s="3"/>
      <c r="H2158" s="1" t="str">
        <f>IF(G2158&lt;&gt;"", HYPERLINK("https://www.kegg.jp/entry/" &amp; G2158, "https://www.kegg.jp/entry/" &amp; G2158), "")</f>
        <v/>
      </c>
    </row>
    <row r="2159" spans="1:10" hidden="1" x14ac:dyDescent="0.25">
      <c r="A2159" t="s">
        <v>3951</v>
      </c>
      <c r="B2159">
        <v>320</v>
      </c>
      <c r="C2159" t="s">
        <v>3952</v>
      </c>
      <c r="E2159" s="5" t="s">
        <v>6928</v>
      </c>
      <c r="F2159" s="1" t="str">
        <f>IF(E2159&lt;&gt;"", HYPERLINK("https://www.kegg.jp/dbget-bin/www_bget?ec:" &amp; E2159, "https://www.kegg.jp/dbget-bin/www_bget?ec:" &amp; E2159), "")</f>
        <v>https://www.kegg.jp/dbget-bin/www_bget?ec:3.4.13.19</v>
      </c>
      <c r="G2159" s="3"/>
      <c r="H2159" s="1" t="str">
        <f>IF(G2159&lt;&gt;"", HYPERLINK("https://www.kegg.jp/entry/" &amp; G2159, "https://www.kegg.jp/entry/" &amp; G2159), "")</f>
        <v/>
      </c>
    </row>
    <row r="2160" spans="1:10" hidden="1" x14ac:dyDescent="0.25">
      <c r="A2160" t="s">
        <v>3954</v>
      </c>
      <c r="B2160">
        <v>595</v>
      </c>
      <c r="C2160" t="s">
        <v>3955</v>
      </c>
      <c r="F2160" s="1" t="str">
        <f>IF(E2160&lt;&gt;"", HYPERLINK("https://www.kegg.jp/dbget-bin/www_bget?ec:" &amp; E2160, "https://www.kegg.jp/dbget-bin/www_bget?ec:" &amp; E2160), "")</f>
        <v/>
      </c>
      <c r="G2160" s="3"/>
      <c r="H2160" s="1" t="str">
        <f>IF(G2160&lt;&gt;"", HYPERLINK("https://www.kegg.jp/entry/" &amp; G2160, "https://www.kegg.jp/entry/" &amp; G2160), "")</f>
        <v/>
      </c>
    </row>
    <row r="2161" spans="1:10" hidden="1" x14ac:dyDescent="0.25">
      <c r="A2161" t="s">
        <v>3956</v>
      </c>
      <c r="B2161">
        <v>345</v>
      </c>
      <c r="C2161" t="s">
        <v>3957</v>
      </c>
      <c r="F2161" s="1" t="str">
        <f>IF(E2161&lt;&gt;"", HYPERLINK("https://www.kegg.jp/dbget-bin/www_bget?ec:" &amp; E2161, "https://www.kegg.jp/dbget-bin/www_bget?ec:" &amp; E2161), "")</f>
        <v/>
      </c>
      <c r="G2161" s="3"/>
      <c r="H2161" s="1" t="str">
        <f>IF(G2161&lt;&gt;"", HYPERLINK("https://www.kegg.jp/entry/" &amp; G2161, "https://www.kegg.jp/entry/" &amp; G2161), "")</f>
        <v/>
      </c>
    </row>
    <row r="2162" spans="1:10" x14ac:dyDescent="0.25">
      <c r="A2162" t="s">
        <v>3959</v>
      </c>
      <c r="B2162">
        <v>592</v>
      </c>
      <c r="C2162" t="s">
        <v>3960</v>
      </c>
      <c r="E2162" s="5" t="s">
        <v>6929</v>
      </c>
      <c r="F2162" s="1" t="str">
        <f>IF(E2162&lt;&gt;"", HYPERLINK("https://www.kegg.jp/dbget-bin/www_bget?ec:" &amp; E2162, "https://www.kegg.jp/dbget-bin/www_bget?ec:" &amp; E2162), "")</f>
        <v>https://www.kegg.jp/dbget-bin/www_bget?ec:6.1.1.19</v>
      </c>
      <c r="G2162" s="3" t="s">
        <v>7246</v>
      </c>
      <c r="H2162" s="1" t="str">
        <f>IF(G2162&lt;&gt;"", HYPERLINK("https://www.kegg.jp/entry/" &amp; G2162, "https://www.kegg.jp/entry/" &amp; G2162), "")</f>
        <v>https://www.kegg.jp/entry/R03646</v>
      </c>
      <c r="I2162" t="s">
        <v>8322</v>
      </c>
      <c r="J2162" t="s">
        <v>13529</v>
      </c>
    </row>
    <row r="2163" spans="1:10" hidden="1" x14ac:dyDescent="0.25">
      <c r="A2163" t="s">
        <v>3962</v>
      </c>
      <c r="B2163">
        <v>349</v>
      </c>
      <c r="C2163" t="s">
        <v>3963</v>
      </c>
      <c r="F2163" s="1" t="str">
        <f>IF(E2163&lt;&gt;"", HYPERLINK("https://www.kegg.jp/dbget-bin/www_bget?ec:" &amp; E2163, "https://www.kegg.jp/dbget-bin/www_bget?ec:" &amp; E2163), "")</f>
        <v/>
      </c>
      <c r="G2163" s="3"/>
      <c r="H2163" s="1" t="str">
        <f>IF(G2163&lt;&gt;"", HYPERLINK("https://www.kegg.jp/entry/" &amp; G2163, "https://www.kegg.jp/entry/" &amp; G2163), "")</f>
        <v/>
      </c>
    </row>
    <row r="2164" spans="1:10" x14ac:dyDescent="0.25">
      <c r="A2164" t="s">
        <v>3965</v>
      </c>
      <c r="B2164">
        <v>200</v>
      </c>
      <c r="C2164" t="s">
        <v>3966</v>
      </c>
      <c r="E2164" s="5" t="s">
        <v>6930</v>
      </c>
      <c r="F2164" s="1" t="str">
        <f>IF(E2164&lt;&gt;"", HYPERLINK("https://www.kegg.jp/dbget-bin/www_bget?ec:" &amp; E2164, "https://www.kegg.jp/dbget-bin/www_bget?ec:" &amp; E2164), "")</f>
        <v>https://www.kegg.jp/dbget-bin/www_bget?ec:2.7.1.76</v>
      </c>
      <c r="G2164" s="3" t="s">
        <v>7247</v>
      </c>
      <c r="H2164" s="1" t="str">
        <f>IF(G2164&lt;&gt;"", HYPERLINK("https://www.kegg.jp/entry/" &amp; G2164, "https://www.kegg.jp/entry/" &amp; G2164), "")</f>
        <v>https://www.kegg.jp/entry/R02089</v>
      </c>
      <c r="I2164" t="s">
        <v>8323</v>
      </c>
      <c r="J2164" t="s">
        <v>8586</v>
      </c>
    </row>
    <row r="2165" spans="1:10" x14ac:dyDescent="0.25">
      <c r="A2165" t="s">
        <v>3967</v>
      </c>
      <c r="B2165">
        <v>202</v>
      </c>
      <c r="C2165" t="s">
        <v>3968</v>
      </c>
      <c r="E2165" s="5" t="s">
        <v>6930</v>
      </c>
      <c r="F2165" s="1" t="str">
        <f>IF(E2165&lt;&gt;"", HYPERLINK("https://www.kegg.jp/dbget-bin/www_bget?ec:" &amp; E2165, "https://www.kegg.jp/dbget-bin/www_bget?ec:" &amp; E2165), "")</f>
        <v>https://www.kegg.jp/dbget-bin/www_bget?ec:2.7.1.76</v>
      </c>
      <c r="G2165" s="3" t="s">
        <v>7247</v>
      </c>
      <c r="H2165" s="1" t="str">
        <f>IF(G2165&lt;&gt;"", HYPERLINK("https://www.kegg.jp/entry/" &amp; G2165, "https://www.kegg.jp/entry/" &amp; G2165), "")</f>
        <v>https://www.kegg.jp/entry/R02089</v>
      </c>
      <c r="I2165" t="s">
        <v>8323</v>
      </c>
      <c r="J2165" t="s">
        <v>8586</v>
      </c>
    </row>
    <row r="2166" spans="1:10" hidden="1" x14ac:dyDescent="0.25">
      <c r="A2166" t="s">
        <v>3970</v>
      </c>
      <c r="B2166">
        <v>486</v>
      </c>
      <c r="C2166" t="s">
        <v>3971</v>
      </c>
      <c r="F2166" s="1" t="str">
        <f>IF(E2166&lt;&gt;"", HYPERLINK("https://www.kegg.jp/dbget-bin/www_bget?ec:" &amp; E2166, "https://www.kegg.jp/dbget-bin/www_bget?ec:" &amp; E2166), "")</f>
        <v/>
      </c>
      <c r="G2166" s="3"/>
      <c r="H2166" s="1" t="str">
        <f>IF(G2166&lt;&gt;"", HYPERLINK("https://www.kegg.jp/entry/" &amp; G2166, "https://www.kegg.jp/entry/" &amp; G2166), "")</f>
        <v/>
      </c>
    </row>
    <row r="2167" spans="1:10" hidden="1" x14ac:dyDescent="0.25">
      <c r="A2167" t="s">
        <v>3973</v>
      </c>
      <c r="B2167">
        <v>441</v>
      </c>
      <c r="C2167" t="s">
        <v>3974</v>
      </c>
      <c r="F2167" s="1" t="str">
        <f>IF(E2167&lt;&gt;"", HYPERLINK("https://www.kegg.jp/dbget-bin/www_bget?ec:" &amp; E2167, "https://www.kegg.jp/dbget-bin/www_bget?ec:" &amp; E2167), "")</f>
        <v/>
      </c>
      <c r="G2167" s="3"/>
      <c r="H2167" s="1" t="str">
        <f>IF(G2167&lt;&gt;"", HYPERLINK("https://www.kegg.jp/entry/" &amp; G2167, "https://www.kegg.jp/entry/" &amp; G2167), "")</f>
        <v/>
      </c>
    </row>
    <row r="2168" spans="1:10" hidden="1" x14ac:dyDescent="0.25">
      <c r="A2168" t="s">
        <v>3975</v>
      </c>
      <c r="B2168">
        <v>176</v>
      </c>
      <c r="C2168" t="s">
        <v>3976</v>
      </c>
      <c r="F2168" s="1" t="str">
        <f>IF(E2168&lt;&gt;"", HYPERLINK("https://www.kegg.jp/dbget-bin/www_bget?ec:" &amp; E2168, "https://www.kegg.jp/dbget-bin/www_bget?ec:" &amp; E2168), "")</f>
        <v/>
      </c>
      <c r="G2168" s="3"/>
      <c r="H2168" s="1" t="str">
        <f>IF(G2168&lt;&gt;"", HYPERLINK("https://www.kegg.jp/entry/" &amp; G2168, "https://www.kegg.jp/entry/" &amp; G2168), "")</f>
        <v/>
      </c>
    </row>
    <row r="2169" spans="1:10" hidden="1" x14ac:dyDescent="0.25">
      <c r="A2169" t="s">
        <v>3978</v>
      </c>
      <c r="B2169">
        <v>252</v>
      </c>
      <c r="C2169" t="s">
        <v>3979</v>
      </c>
      <c r="E2169" s="5" t="s">
        <v>6931</v>
      </c>
      <c r="F2169" s="1" t="str">
        <f>IF(E2169&lt;&gt;"", HYPERLINK("https://www.kegg.jp/dbget-bin/www_bget?ec:" &amp; E2169, "https://www.kegg.jp/dbget-bin/www_bget?ec:" &amp; E2169), "")</f>
        <v>https://www.kegg.jp/dbget-bin/www_bget?ec:4.1.3.-</v>
      </c>
      <c r="G2169" s="3"/>
      <c r="H2169" s="1" t="str">
        <f>IF(G2169&lt;&gt;"", HYPERLINK("https://www.kegg.jp/entry/" &amp; G2169, "https://www.kegg.jp/entry/" &amp; G2169), "")</f>
        <v/>
      </c>
    </row>
    <row r="2170" spans="1:10" x14ac:dyDescent="0.25">
      <c r="A2170" t="s">
        <v>3981</v>
      </c>
      <c r="B2170">
        <v>209</v>
      </c>
      <c r="C2170" t="s">
        <v>3982</v>
      </c>
      <c r="E2170" s="5" t="s">
        <v>6932</v>
      </c>
      <c r="F2170" s="1" t="str">
        <f>IF(E2170&lt;&gt;"", HYPERLINK("https://www.kegg.jp/dbget-bin/www_bget?ec:" &amp; E2170, "https://www.kegg.jp/dbget-bin/www_bget?ec:" &amp; E2170), "")</f>
        <v>https://www.kegg.jp/dbget-bin/www_bget?ec:3.6.1.31</v>
      </c>
      <c r="G2170" s="3" t="s">
        <v>7248</v>
      </c>
      <c r="H2170" s="1" t="str">
        <f>IF(G2170&lt;&gt;"", HYPERLINK("https://www.kegg.jp/entry/" &amp; G2170, "https://www.kegg.jp/entry/" &amp; G2170), "")</f>
        <v>https://www.kegg.jp/entry/R04035</v>
      </c>
      <c r="I2170" t="s">
        <v>13530</v>
      </c>
      <c r="J2170" t="s">
        <v>13531</v>
      </c>
    </row>
    <row r="2171" spans="1:10" hidden="1" x14ac:dyDescent="0.25">
      <c r="A2171" t="s">
        <v>3983</v>
      </c>
      <c r="B2171">
        <v>54</v>
      </c>
      <c r="C2171" t="s">
        <v>3984</v>
      </c>
      <c r="F2171" s="1" t="str">
        <f>IF(E2171&lt;&gt;"", HYPERLINK("https://www.kegg.jp/dbget-bin/www_bget?ec:" &amp; E2171, "https://www.kegg.jp/dbget-bin/www_bget?ec:" &amp; E2171), "")</f>
        <v/>
      </c>
      <c r="G2171" s="3"/>
      <c r="H2171" s="1" t="str">
        <f>IF(G2171&lt;&gt;"", HYPERLINK("https://www.kegg.jp/entry/" &amp; G2171, "https://www.kegg.jp/entry/" &amp; G2171), "")</f>
        <v/>
      </c>
    </row>
    <row r="2172" spans="1:10" x14ac:dyDescent="0.25">
      <c r="A2172" t="s">
        <v>3986</v>
      </c>
      <c r="B2172">
        <v>322</v>
      </c>
      <c r="C2172" t="s">
        <v>3987</v>
      </c>
      <c r="E2172" s="5" t="s">
        <v>6797</v>
      </c>
      <c r="F2172" s="1" t="str">
        <f>IF(E2172&lt;&gt;"", HYPERLINK("https://www.kegg.jp/dbget-bin/www_bget?ec:" &amp; E2172, "https://www.kegg.jp/dbget-bin/www_bget?ec:" &amp; E2172), "")</f>
        <v>https://www.kegg.jp/dbget-bin/www_bget?ec:3.1.3.11</v>
      </c>
      <c r="G2172" s="9" t="s">
        <v>7636</v>
      </c>
      <c r="H2172" s="1" t="str">
        <f>IF(G2172&lt;&gt;"", HYPERLINK("https://www.kegg.jp/entry/" &amp; G2172, "https://www.kegg.jp/entry/" &amp; G2172), "")</f>
        <v>https://www.kegg.jp/entry/R00762</v>
      </c>
      <c r="I2172" t="s">
        <v>13179</v>
      </c>
      <c r="J2172" t="s">
        <v>13180</v>
      </c>
    </row>
    <row r="2173" spans="1:10" x14ac:dyDescent="0.25">
      <c r="A2173" t="s">
        <v>3986</v>
      </c>
      <c r="B2173">
        <v>322</v>
      </c>
      <c r="C2173" t="s">
        <v>3987</v>
      </c>
      <c r="E2173" s="5" t="s">
        <v>6797</v>
      </c>
      <c r="F2173" s="1" t="str">
        <f>IF(E2173&lt;&gt;"", HYPERLINK("https://www.kegg.jp/dbget-bin/www_bget?ec:" &amp; E2173, "https://www.kegg.jp/dbget-bin/www_bget?ec:" &amp; E2173), "")</f>
        <v>https://www.kegg.jp/dbget-bin/www_bget?ec:3.1.3.11</v>
      </c>
      <c r="G2173" s="9" t="s">
        <v>7638</v>
      </c>
      <c r="H2173" s="1" t="str">
        <f>IF(G2173&lt;&gt;"", HYPERLINK("https://www.kegg.jp/entry/" &amp; G2173, "https://www.kegg.jp/entry/" &amp; G2173), "")</f>
        <v>https://www.kegg.jp/entry/R04780</v>
      </c>
      <c r="I2173" t="s">
        <v>13181</v>
      </c>
      <c r="J2173" t="s">
        <v>13182</v>
      </c>
    </row>
    <row r="2174" spans="1:10" x14ac:dyDescent="0.25">
      <c r="A2174" t="s">
        <v>3986</v>
      </c>
      <c r="B2174">
        <v>322</v>
      </c>
      <c r="C2174" t="s">
        <v>3987</v>
      </c>
      <c r="E2174" s="5" t="s">
        <v>6797</v>
      </c>
      <c r="F2174" s="1" t="str">
        <f>IF(E2174&lt;&gt;"", HYPERLINK("https://www.kegg.jp/dbget-bin/www_bget?ec:" &amp; E2174, "https://www.kegg.jp/dbget-bin/www_bget?ec:" &amp; E2174), "")</f>
        <v>https://www.kegg.jp/dbget-bin/www_bget?ec:3.1.3.11</v>
      </c>
      <c r="G2174" s="9" t="s">
        <v>7637</v>
      </c>
      <c r="H2174" s="1" t="str">
        <f>IF(G2174&lt;&gt;"", HYPERLINK("https://www.kegg.jp/entry/" &amp; G2174, "https://www.kegg.jp/entry/" &amp; G2174), "")</f>
        <v>https://www.kegg.jp/entry/R01845</v>
      </c>
      <c r="I2174" t="s">
        <v>13183</v>
      </c>
      <c r="J2174" t="s">
        <v>13184</v>
      </c>
    </row>
    <row r="2175" spans="1:10" hidden="1" x14ac:dyDescent="0.25">
      <c r="A2175" t="s">
        <v>3988</v>
      </c>
      <c r="B2175">
        <v>49</v>
      </c>
      <c r="C2175" t="s">
        <v>3989</v>
      </c>
      <c r="F2175" s="1" t="str">
        <f>IF(E2175&lt;&gt;"", HYPERLINK("https://www.kegg.jp/dbget-bin/www_bget?ec:" &amp; E2175, "https://www.kegg.jp/dbget-bin/www_bget?ec:" &amp; E2175), "")</f>
        <v/>
      </c>
      <c r="G2175" s="3"/>
      <c r="H2175" s="1" t="str">
        <f>IF(G2175&lt;&gt;"", HYPERLINK("https://www.kegg.jp/entry/" &amp; G2175, "https://www.kegg.jp/entry/" &amp; G2175), "")</f>
        <v/>
      </c>
    </row>
    <row r="2176" spans="1:10" hidden="1" x14ac:dyDescent="0.25">
      <c r="A2176" t="s">
        <v>3990</v>
      </c>
      <c r="B2176">
        <v>224</v>
      </c>
      <c r="C2176" t="s">
        <v>3991</v>
      </c>
      <c r="F2176" s="1" t="str">
        <f>IF(E2176&lt;&gt;"", HYPERLINK("https://www.kegg.jp/dbget-bin/www_bget?ec:" &amp; E2176, "https://www.kegg.jp/dbget-bin/www_bget?ec:" &amp; E2176), "")</f>
        <v/>
      </c>
      <c r="G2176" s="3"/>
      <c r="H2176" s="1" t="str">
        <f>IF(G2176&lt;&gt;"", HYPERLINK("https://www.kegg.jp/entry/" &amp; G2176, "https://www.kegg.jp/entry/" &amp; G2176), "")</f>
        <v/>
      </c>
    </row>
    <row r="2177" spans="1:10" x14ac:dyDescent="0.25">
      <c r="A2177" t="s">
        <v>3993</v>
      </c>
      <c r="B2177">
        <v>620</v>
      </c>
      <c r="C2177" t="s">
        <v>3994</v>
      </c>
      <c r="E2177" s="5" t="s">
        <v>6836</v>
      </c>
      <c r="F2177" s="1" t="str">
        <f>IF(E2177&lt;&gt;"", HYPERLINK("https://www.kegg.jp/dbget-bin/www_bget?ec:" &amp; E2177, "https://www.kegg.jp/dbget-bin/www_bget?ec:" &amp; E2177), "")</f>
        <v>https://www.kegg.jp/dbget-bin/www_bget?ec:1.2.7.5</v>
      </c>
      <c r="G2177" s="9" t="s">
        <v>7717</v>
      </c>
      <c r="H2177" s="1" t="str">
        <f>IF(G2177&lt;&gt;"", HYPERLINK("https://www.kegg.jp/entry/" &amp; G2177, "https://www.kegg.jp/entry/" &amp; G2177), "")</f>
        <v>https://www.kegg.jp/entry/R07158</v>
      </c>
      <c r="I2177" t="s">
        <v>13324</v>
      </c>
      <c r="J2177" t="s">
        <v>13325</v>
      </c>
    </row>
    <row r="2178" spans="1:10" x14ac:dyDescent="0.25">
      <c r="A2178" t="s">
        <v>3993</v>
      </c>
      <c r="B2178">
        <v>620</v>
      </c>
      <c r="C2178" t="s">
        <v>3994</v>
      </c>
      <c r="E2178" s="5" t="s">
        <v>6836</v>
      </c>
      <c r="F2178" s="1" t="str">
        <f>IF(E2178&lt;&gt;"", HYPERLINK("https://www.kegg.jp/dbget-bin/www_bget?ec:" &amp; E2178, "https://www.kegg.jp/dbget-bin/www_bget?ec:" &amp; E2178), "")</f>
        <v>https://www.kegg.jp/dbget-bin/www_bget?ec:1.2.7.5</v>
      </c>
      <c r="G2178" s="9" t="s">
        <v>7718</v>
      </c>
      <c r="H2178" s="1" t="str">
        <f>IF(G2178&lt;&gt;"", HYPERLINK("https://www.kegg.jp/entry/" &amp; G2178, "https://www.kegg.jp/entry/" &amp; G2178), "")</f>
        <v>https://www.kegg.jp/entry/R08571</v>
      </c>
      <c r="I2178" t="s">
        <v>13326</v>
      </c>
      <c r="J2178" t="s">
        <v>13327</v>
      </c>
    </row>
    <row r="2179" spans="1:10" hidden="1" x14ac:dyDescent="0.25">
      <c r="A2179" t="s">
        <v>3996</v>
      </c>
      <c r="B2179">
        <v>181</v>
      </c>
      <c r="C2179" t="s">
        <v>3997</v>
      </c>
      <c r="F2179" s="1" t="str">
        <f>IF(E2179&lt;&gt;"", HYPERLINK("https://www.kegg.jp/dbget-bin/www_bget?ec:" &amp; E2179, "https://www.kegg.jp/dbget-bin/www_bget?ec:" &amp; E2179), "")</f>
        <v/>
      </c>
      <c r="G2179" s="3"/>
      <c r="H2179" s="1" t="str">
        <f>IF(G2179&lt;&gt;"", HYPERLINK("https://www.kegg.jp/entry/" &amp; G2179, "https://www.kegg.jp/entry/" &amp; G2179), "")</f>
        <v/>
      </c>
    </row>
    <row r="2180" spans="1:10" hidden="1" x14ac:dyDescent="0.25">
      <c r="A2180" t="s">
        <v>3998</v>
      </c>
      <c r="B2180">
        <v>213</v>
      </c>
      <c r="C2180" t="s">
        <v>3999</v>
      </c>
      <c r="F2180" s="1" t="str">
        <f>IF(E2180&lt;&gt;"", HYPERLINK("https://www.kegg.jp/dbget-bin/www_bget?ec:" &amp; E2180, "https://www.kegg.jp/dbget-bin/www_bget?ec:" &amp; E2180), "")</f>
        <v/>
      </c>
      <c r="G2180" s="3"/>
      <c r="H2180" s="1" t="str">
        <f>IF(G2180&lt;&gt;"", HYPERLINK("https://www.kegg.jp/entry/" &amp; G2180, "https://www.kegg.jp/entry/" &amp; G2180), "")</f>
        <v/>
      </c>
    </row>
    <row r="2181" spans="1:10" hidden="1" x14ac:dyDescent="0.25">
      <c r="A2181" t="s">
        <v>4001</v>
      </c>
      <c r="B2181">
        <v>328</v>
      </c>
      <c r="C2181" t="s">
        <v>4002</v>
      </c>
      <c r="F2181" s="1" t="str">
        <f>IF(E2181&lt;&gt;"", HYPERLINK("https://www.kegg.jp/dbget-bin/www_bget?ec:" &amp; E2181, "https://www.kegg.jp/dbget-bin/www_bget?ec:" &amp; E2181), "")</f>
        <v/>
      </c>
      <c r="G2181" s="3"/>
      <c r="H2181" s="1" t="str">
        <f>IF(G2181&lt;&gt;"", HYPERLINK("https://www.kegg.jp/entry/" &amp; G2181, "https://www.kegg.jp/entry/" &amp; G2181), "")</f>
        <v/>
      </c>
    </row>
    <row r="2182" spans="1:10" hidden="1" x14ac:dyDescent="0.25">
      <c r="A2182" t="s">
        <v>4004</v>
      </c>
      <c r="B2182">
        <v>250</v>
      </c>
      <c r="C2182" t="s">
        <v>4005</v>
      </c>
      <c r="F2182" s="1" t="str">
        <f>IF(E2182&lt;&gt;"", HYPERLINK("https://www.kegg.jp/dbget-bin/www_bget?ec:" &amp; E2182, "https://www.kegg.jp/dbget-bin/www_bget?ec:" &amp; E2182), "")</f>
        <v/>
      </c>
      <c r="G2182" s="3"/>
      <c r="H2182" s="1" t="str">
        <f>IF(G2182&lt;&gt;"", HYPERLINK("https://www.kegg.jp/entry/" &amp; G2182, "https://www.kegg.jp/entry/" &amp; G2182), "")</f>
        <v/>
      </c>
    </row>
    <row r="2183" spans="1:10" hidden="1" x14ac:dyDescent="0.25">
      <c r="A2183" t="s">
        <v>4007</v>
      </c>
      <c r="B2183">
        <v>118</v>
      </c>
      <c r="C2183" t="s">
        <v>4008</v>
      </c>
      <c r="E2183" s="5" t="s">
        <v>6741</v>
      </c>
      <c r="F2183" s="1" t="str">
        <f>IF(E2183&lt;&gt;"", HYPERLINK("https://www.kegg.jp/dbget-bin/www_bget?ec:" &amp; E2183, "https://www.kegg.jp/dbget-bin/www_bget?ec:" &amp; E2183), "")</f>
        <v>https://www.kegg.jp/dbget-bin/www_bget?ec:2.7.8.-</v>
      </c>
      <c r="G2183" s="3"/>
      <c r="H2183" s="1" t="str">
        <f>IF(G2183&lt;&gt;"", HYPERLINK("https://www.kegg.jp/entry/" &amp; G2183, "https://www.kegg.jp/entry/" &amp; G2183), "")</f>
        <v/>
      </c>
    </row>
    <row r="2184" spans="1:10" hidden="1" x14ac:dyDescent="0.25">
      <c r="A2184" t="s">
        <v>4009</v>
      </c>
      <c r="B2184">
        <v>99</v>
      </c>
      <c r="C2184" t="s">
        <v>4010</v>
      </c>
      <c r="F2184" s="1" t="str">
        <f>IF(E2184&lt;&gt;"", HYPERLINK("https://www.kegg.jp/dbget-bin/www_bget?ec:" &amp; E2184, "https://www.kegg.jp/dbget-bin/www_bget?ec:" &amp; E2184), "")</f>
        <v/>
      </c>
      <c r="G2184" s="3"/>
      <c r="H2184" s="1" t="str">
        <f>IF(G2184&lt;&gt;"", HYPERLINK("https://www.kegg.jp/entry/" &amp; G2184, "https://www.kegg.jp/entry/" &amp; G2184), "")</f>
        <v/>
      </c>
    </row>
    <row r="2185" spans="1:10" hidden="1" x14ac:dyDescent="0.25">
      <c r="A2185" t="s">
        <v>4011</v>
      </c>
      <c r="B2185">
        <v>188</v>
      </c>
      <c r="C2185" t="s">
        <v>4012</v>
      </c>
      <c r="F2185" s="1" t="str">
        <f>IF(E2185&lt;&gt;"", HYPERLINK("https://www.kegg.jp/dbget-bin/www_bget?ec:" &amp; E2185, "https://www.kegg.jp/dbget-bin/www_bget?ec:" &amp; E2185), "")</f>
        <v/>
      </c>
      <c r="G2185" s="3"/>
      <c r="H2185" s="1" t="str">
        <f>IF(G2185&lt;&gt;"", HYPERLINK("https://www.kegg.jp/entry/" &amp; G2185, "https://www.kegg.jp/entry/" &amp; G2185), "")</f>
        <v/>
      </c>
    </row>
    <row r="2186" spans="1:10" x14ac:dyDescent="0.25">
      <c r="A2186" t="s">
        <v>4014</v>
      </c>
      <c r="B2186">
        <v>422</v>
      </c>
      <c r="C2186" t="s">
        <v>4015</v>
      </c>
      <c r="E2186" s="5" t="s">
        <v>6933</v>
      </c>
      <c r="F2186" s="1" t="str">
        <f>IF(E2186&lt;&gt;"", HYPERLINK("https://www.kegg.jp/dbget-bin/www_bget?ec:" &amp; E2186, "https://www.kegg.jp/dbget-bin/www_bget?ec:" &amp; E2186), "")</f>
        <v>https://www.kegg.jp/dbget-bin/www_bget?ec:6.1.1.23</v>
      </c>
      <c r="G2186" s="9" t="s">
        <v>7848</v>
      </c>
      <c r="H2186" s="1" t="str">
        <f>IF(G2186&lt;&gt;"", HYPERLINK("https://www.kegg.jp/entry/" &amp; G2186, "https://www.kegg.jp/entry/" &amp; G2186), "")</f>
        <v>https://www.kegg.jp/entry/R03647</v>
      </c>
      <c r="I2186" t="s">
        <v>8324</v>
      </c>
      <c r="J2186" t="s">
        <v>13532</v>
      </c>
    </row>
    <row r="2187" spans="1:10" x14ac:dyDescent="0.25">
      <c r="A2187" t="s">
        <v>4014</v>
      </c>
      <c r="B2187">
        <v>422</v>
      </c>
      <c r="C2187" t="s">
        <v>4015</v>
      </c>
      <c r="E2187" s="5" t="s">
        <v>6933</v>
      </c>
      <c r="F2187" s="1" t="str">
        <f>IF(E2187&lt;&gt;"", HYPERLINK("https://www.kegg.jp/dbget-bin/www_bget?ec:" &amp; E2187, "https://www.kegg.jp/dbget-bin/www_bget?ec:" &amp; E2187), "")</f>
        <v>https://www.kegg.jp/dbget-bin/www_bget?ec:6.1.1.23</v>
      </c>
      <c r="G2187" s="9" t="s">
        <v>7256</v>
      </c>
      <c r="H2187" s="1" t="str">
        <f>IF(G2187&lt;&gt;"", HYPERLINK("https://www.kegg.jp/entry/" &amp; G2187, "https://www.kegg.jp/entry/" &amp; G2187), "")</f>
        <v>https://www.kegg.jp/entry/R05577</v>
      </c>
      <c r="I2187" t="s">
        <v>13533</v>
      </c>
      <c r="J2187" t="s">
        <v>13534</v>
      </c>
    </row>
    <row r="2188" spans="1:10" x14ac:dyDescent="0.25">
      <c r="A2188" t="s">
        <v>4017</v>
      </c>
      <c r="B2188">
        <v>232</v>
      </c>
      <c r="C2188" t="s">
        <v>4018</v>
      </c>
      <c r="E2188" s="5" t="s">
        <v>6934</v>
      </c>
      <c r="F2188" s="1" t="str">
        <f>IF(E2188&lt;&gt;"", HYPERLINK("https://www.kegg.jp/dbget-bin/www_bget?ec:" &amp; E2188, "https://www.kegg.jp/dbget-bin/www_bget?ec:" &amp; E2188), "")</f>
        <v>https://www.kegg.jp/dbget-bin/www_bget?ec:1.3.5.1</v>
      </c>
      <c r="G2188" s="9" t="s">
        <v>7849</v>
      </c>
      <c r="H2188" s="1" t="str">
        <f>IF(G2188&lt;&gt;"", HYPERLINK("https://www.kegg.jp/entry/" &amp; G2188, "https://www.kegg.jp/entry/" &amp; G2188), "")</f>
        <v>https://www.kegg.jp/entry/R02164</v>
      </c>
      <c r="I2188" t="s">
        <v>13535</v>
      </c>
      <c r="J2188" t="s">
        <v>13536</v>
      </c>
    </row>
    <row r="2189" spans="1:10" x14ac:dyDescent="0.25">
      <c r="A2189" t="s">
        <v>4017</v>
      </c>
      <c r="B2189">
        <v>232</v>
      </c>
      <c r="C2189" t="s">
        <v>4018</v>
      </c>
      <c r="E2189" s="5" t="s">
        <v>6934</v>
      </c>
      <c r="F2189" s="1" t="str">
        <f>IF(E2189&lt;&gt;"", HYPERLINK("https://www.kegg.jp/dbget-bin/www_bget?ec:" &amp; E2189, "https://www.kegg.jp/dbget-bin/www_bget?ec:" &amp; E2189), "")</f>
        <v>https://www.kegg.jp/dbget-bin/www_bget?ec:1.3.5.1</v>
      </c>
      <c r="G2189" s="9" t="s">
        <v>7850</v>
      </c>
      <c r="H2189" s="1" t="str">
        <f>IF(G2189&lt;&gt;"", HYPERLINK("https://www.kegg.jp/entry/" &amp; G2189, "https://www.kegg.jp/entry/" &amp; G2189), "")</f>
        <v>https://www.kegg.jp/entry/R13223</v>
      </c>
      <c r="I2189" t="s">
        <v>13537</v>
      </c>
      <c r="J2189" t="s">
        <v>13538</v>
      </c>
    </row>
    <row r="2190" spans="1:10" x14ac:dyDescent="0.25">
      <c r="A2190" t="s">
        <v>4020</v>
      </c>
      <c r="B2190">
        <v>569</v>
      </c>
      <c r="C2190" t="s">
        <v>4021</v>
      </c>
      <c r="E2190" s="5" t="s">
        <v>6934</v>
      </c>
      <c r="F2190" s="1" t="str">
        <f>IF(E2190&lt;&gt;"", HYPERLINK("https://www.kegg.jp/dbget-bin/www_bget?ec:" &amp; E2190, "https://www.kegg.jp/dbget-bin/www_bget?ec:" &amp; E2190), "")</f>
        <v>https://www.kegg.jp/dbget-bin/www_bget?ec:1.3.5.1</v>
      </c>
      <c r="G2190" s="9" t="s">
        <v>7849</v>
      </c>
      <c r="H2190" s="1" t="str">
        <f>IF(G2190&lt;&gt;"", HYPERLINK("https://www.kegg.jp/entry/" &amp; G2190, "https://www.kegg.jp/entry/" &amp; G2190), "")</f>
        <v>https://www.kegg.jp/entry/R02164</v>
      </c>
      <c r="I2190" t="s">
        <v>13535</v>
      </c>
      <c r="J2190" t="s">
        <v>13536</v>
      </c>
    </row>
    <row r="2191" spans="1:10" x14ac:dyDescent="0.25">
      <c r="A2191" t="s">
        <v>4020</v>
      </c>
      <c r="B2191">
        <v>569</v>
      </c>
      <c r="C2191" t="s">
        <v>4021</v>
      </c>
      <c r="E2191" s="5" t="s">
        <v>6934</v>
      </c>
      <c r="F2191" s="1" t="str">
        <f>IF(E2191&lt;&gt;"", HYPERLINK("https://www.kegg.jp/dbget-bin/www_bget?ec:" &amp; E2191, "https://www.kegg.jp/dbget-bin/www_bget?ec:" &amp; E2191), "")</f>
        <v>https://www.kegg.jp/dbget-bin/www_bget?ec:1.3.5.1</v>
      </c>
      <c r="G2191" s="9" t="s">
        <v>7850</v>
      </c>
      <c r="H2191" s="1" t="str">
        <f>IF(G2191&lt;&gt;"", HYPERLINK("https://www.kegg.jp/entry/" &amp; G2191, "https://www.kegg.jp/entry/" &amp; G2191), "")</f>
        <v>https://www.kegg.jp/entry/R13223</v>
      </c>
      <c r="I2191" t="s">
        <v>13537</v>
      </c>
      <c r="J2191" t="s">
        <v>13538</v>
      </c>
    </row>
    <row r="2192" spans="1:10" hidden="1" x14ac:dyDescent="0.25">
      <c r="A2192" t="s">
        <v>4023</v>
      </c>
      <c r="B2192">
        <v>131</v>
      </c>
      <c r="C2192" t="s">
        <v>4024</v>
      </c>
      <c r="F2192" s="1" t="str">
        <f>IF(E2192&lt;&gt;"", HYPERLINK("https://www.kegg.jp/dbget-bin/www_bget?ec:" &amp; E2192, "https://www.kegg.jp/dbget-bin/www_bget?ec:" &amp; E2192), "")</f>
        <v/>
      </c>
      <c r="G2192" s="3"/>
      <c r="H2192" s="1" t="str">
        <f>IF(G2192&lt;&gt;"", HYPERLINK("https://www.kegg.jp/entry/" &amp; G2192, "https://www.kegg.jp/entry/" &amp; G2192), "")</f>
        <v/>
      </c>
    </row>
    <row r="2193" spans="1:10" hidden="1" x14ac:dyDescent="0.25">
      <c r="A2193" t="s">
        <v>4026</v>
      </c>
      <c r="B2193">
        <v>121</v>
      </c>
      <c r="C2193" t="s">
        <v>4027</v>
      </c>
      <c r="F2193" s="1" t="str">
        <f>IF(E2193&lt;&gt;"", HYPERLINK("https://www.kegg.jp/dbget-bin/www_bget?ec:" &amp; E2193, "https://www.kegg.jp/dbget-bin/www_bget?ec:" &amp; E2193), "")</f>
        <v/>
      </c>
      <c r="G2193" s="3"/>
      <c r="H2193" s="1" t="str">
        <f>IF(G2193&lt;&gt;"", HYPERLINK("https://www.kegg.jp/entry/" &amp; G2193, "https://www.kegg.jp/entry/" &amp; G2193), "")</f>
        <v/>
      </c>
    </row>
    <row r="2194" spans="1:10" x14ac:dyDescent="0.25">
      <c r="A2194" t="s">
        <v>4029</v>
      </c>
      <c r="B2194">
        <v>144</v>
      </c>
      <c r="C2194" t="s">
        <v>4030</v>
      </c>
      <c r="E2194" s="5" t="s">
        <v>6935</v>
      </c>
      <c r="F2194" s="1" t="str">
        <f>IF(E2194&lt;&gt;"", HYPERLINK("https://www.kegg.jp/dbget-bin/www_bget?ec:" &amp; E2194, "https://www.kegg.jp/dbget-bin/www_bget?ec:" &amp; E2194), "")</f>
        <v>https://www.kegg.jp/dbget-bin/www_bget?ec:4.1.1.50</v>
      </c>
      <c r="G2194" s="3" t="s">
        <v>7249</v>
      </c>
      <c r="H2194" s="1" t="str">
        <f>IF(G2194&lt;&gt;"", HYPERLINK("https://www.kegg.jp/entry/" &amp; G2194, "https://www.kegg.jp/entry/" &amp; G2194), "")</f>
        <v>https://www.kegg.jp/entry/R00178</v>
      </c>
      <c r="I2194" t="s">
        <v>8325</v>
      </c>
      <c r="J2194" t="s">
        <v>13539</v>
      </c>
    </row>
    <row r="2195" spans="1:10" hidden="1" x14ac:dyDescent="0.25">
      <c r="A2195" t="s">
        <v>4031</v>
      </c>
      <c r="B2195">
        <v>381</v>
      </c>
      <c r="C2195" t="s">
        <v>4032</v>
      </c>
      <c r="F2195" s="1" t="str">
        <f>IF(E2195&lt;&gt;"", HYPERLINK("https://www.kegg.jp/dbget-bin/www_bget?ec:" &amp; E2195, "https://www.kegg.jp/dbget-bin/www_bget?ec:" &amp; E2195), "")</f>
        <v/>
      </c>
      <c r="G2195" s="3"/>
      <c r="H2195" s="1" t="str">
        <f>IF(G2195&lt;&gt;"", HYPERLINK("https://www.kegg.jp/entry/" &amp; G2195, "https://www.kegg.jp/entry/" &amp; G2195), "")</f>
        <v/>
      </c>
    </row>
    <row r="2196" spans="1:10" hidden="1" x14ac:dyDescent="0.25">
      <c r="A2196" t="s">
        <v>4033</v>
      </c>
      <c r="B2196">
        <v>307</v>
      </c>
      <c r="C2196" t="s">
        <v>4034</v>
      </c>
      <c r="F2196" s="1" t="str">
        <f>IF(E2196&lt;&gt;"", HYPERLINK("https://www.kegg.jp/dbget-bin/www_bget?ec:" &amp; E2196, "https://www.kegg.jp/dbget-bin/www_bget?ec:" &amp; E2196), "")</f>
        <v/>
      </c>
      <c r="G2196" s="3"/>
      <c r="H2196" s="1" t="str">
        <f>IF(G2196&lt;&gt;"", HYPERLINK("https://www.kegg.jp/entry/" &amp; G2196, "https://www.kegg.jp/entry/" &amp; G2196), "")</f>
        <v/>
      </c>
    </row>
    <row r="2197" spans="1:10" hidden="1" x14ac:dyDescent="0.25">
      <c r="A2197" t="s">
        <v>4036</v>
      </c>
      <c r="B2197">
        <v>318</v>
      </c>
      <c r="C2197" t="s">
        <v>4037</v>
      </c>
      <c r="F2197" s="1" t="str">
        <f>IF(E2197&lt;&gt;"", HYPERLINK("https://www.kegg.jp/dbget-bin/www_bget?ec:" &amp; E2197, "https://www.kegg.jp/dbget-bin/www_bget?ec:" &amp; E2197), "")</f>
        <v/>
      </c>
      <c r="G2197" s="3"/>
      <c r="H2197" s="1" t="str">
        <f>IF(G2197&lt;&gt;"", HYPERLINK("https://www.kegg.jp/entry/" &amp; G2197, "https://www.kegg.jp/entry/" &amp; G2197), "")</f>
        <v/>
      </c>
    </row>
    <row r="2198" spans="1:10" hidden="1" x14ac:dyDescent="0.25">
      <c r="A2198" t="s">
        <v>4039</v>
      </c>
      <c r="B2198">
        <v>125</v>
      </c>
      <c r="C2198" t="s">
        <v>4040</v>
      </c>
      <c r="F2198" s="1" t="str">
        <f>IF(E2198&lt;&gt;"", HYPERLINK("https://www.kegg.jp/dbget-bin/www_bget?ec:" &amp; E2198, "https://www.kegg.jp/dbget-bin/www_bget?ec:" &amp; E2198), "")</f>
        <v/>
      </c>
      <c r="G2198" s="3"/>
      <c r="H2198" s="1" t="str">
        <f>IF(G2198&lt;&gt;"", HYPERLINK("https://www.kegg.jp/entry/" &amp; G2198, "https://www.kegg.jp/entry/" &amp; G2198), "")</f>
        <v/>
      </c>
    </row>
    <row r="2199" spans="1:10" hidden="1" x14ac:dyDescent="0.25">
      <c r="A2199" t="s">
        <v>4042</v>
      </c>
      <c r="B2199">
        <v>208</v>
      </c>
      <c r="C2199" t="s">
        <v>4043</v>
      </c>
      <c r="F2199" s="1" t="str">
        <f>IF(E2199&lt;&gt;"", HYPERLINK("https://www.kegg.jp/dbget-bin/www_bget?ec:" &amp; E2199, "https://www.kegg.jp/dbget-bin/www_bget?ec:" &amp; E2199), "")</f>
        <v/>
      </c>
      <c r="G2199" s="3"/>
      <c r="H2199" s="1" t="str">
        <f>IF(G2199&lt;&gt;"", HYPERLINK("https://www.kegg.jp/entry/" &amp; G2199, "https://www.kegg.jp/entry/" &amp; G2199), "")</f>
        <v/>
      </c>
    </row>
    <row r="2200" spans="1:10" x14ac:dyDescent="0.25">
      <c r="A2200" t="s">
        <v>4044</v>
      </c>
      <c r="B2200">
        <v>557</v>
      </c>
      <c r="C2200" t="s">
        <v>4045</v>
      </c>
      <c r="E2200" s="5" t="s">
        <v>6749</v>
      </c>
      <c r="F2200" s="1" t="str">
        <f>IF(E2200&lt;&gt;"", HYPERLINK("https://www.kegg.jp/dbget-bin/www_bget?ec:" &amp; E2200, "https://www.kegg.jp/dbget-bin/www_bget?ec:" &amp; E2200), "")</f>
        <v>https://www.kegg.jp/dbget-bin/www_bget?ec:6.2.1.3</v>
      </c>
      <c r="G2200" s="9" t="s">
        <v>7558</v>
      </c>
      <c r="H2200" s="1" t="str">
        <f>IF(G2200&lt;&gt;"", HYPERLINK("https://www.kegg.jp/entry/" &amp; G2200, "https://www.kegg.jp/entry/" &amp; G2200), "")</f>
        <v>https://www.kegg.jp/entry/R00390</v>
      </c>
      <c r="I2200" t="s">
        <v>13044</v>
      </c>
      <c r="J2200" t="s">
        <v>13045</v>
      </c>
    </row>
    <row r="2201" spans="1:10" x14ac:dyDescent="0.25">
      <c r="A2201" t="s">
        <v>4044</v>
      </c>
      <c r="B2201">
        <v>557</v>
      </c>
      <c r="C2201" t="s">
        <v>4045</v>
      </c>
      <c r="E2201" s="5" t="s">
        <v>6749</v>
      </c>
      <c r="F2201" s="1" t="str">
        <f>IF(E2201&lt;&gt;"", HYPERLINK("https://www.kegg.jp/dbget-bin/www_bget?ec:" &amp; E2201, "https://www.kegg.jp/dbget-bin/www_bget?ec:" &amp; E2201), "")</f>
        <v>https://www.kegg.jp/dbget-bin/www_bget?ec:6.2.1.3</v>
      </c>
      <c r="G2201" s="9" t="s">
        <v>7559</v>
      </c>
      <c r="H2201" s="1" t="str">
        <f>IF(G2201&lt;&gt;"", HYPERLINK("https://www.kegg.jp/entry/" &amp; G2201, "https://www.kegg.jp/entry/" &amp; G2201), "")</f>
        <v>https://www.kegg.jp/entry/R01280</v>
      </c>
      <c r="I2201" t="s">
        <v>13046</v>
      </c>
      <c r="J2201" t="s">
        <v>13047</v>
      </c>
    </row>
    <row r="2202" spans="1:10" x14ac:dyDescent="0.25">
      <c r="A2202" t="s">
        <v>4047</v>
      </c>
      <c r="B2202">
        <v>372</v>
      </c>
      <c r="C2202" t="s">
        <v>4048</v>
      </c>
      <c r="E2202" s="5" t="s">
        <v>6679</v>
      </c>
      <c r="F2202" s="1" t="str">
        <f>IF(E2202&lt;&gt;"", HYPERLINK("https://www.kegg.jp/dbget-bin/www_bget?ec:" &amp; E2202, "https://www.kegg.jp/dbget-bin/www_bget?ec:" &amp; E2202), "")</f>
        <v>https://www.kegg.jp/dbget-bin/www_bget?ec:2.8.1.7</v>
      </c>
      <c r="G2202" s="9" t="s">
        <v>7456</v>
      </c>
      <c r="H2202" s="1" t="str">
        <f>IF(G2202&lt;&gt;"", HYPERLINK("https://www.kegg.jp/entry/" &amp; G2202, "https://www.kegg.jp/entry/" &amp; G2202), "")</f>
        <v>https://www.kegg.jp/entry/R07460</v>
      </c>
      <c r="I2202" t="s">
        <v>12908</v>
      </c>
      <c r="J2202" t="s">
        <v>12909</v>
      </c>
    </row>
    <row r="2203" spans="1:10" x14ac:dyDescent="0.25">
      <c r="A2203" t="s">
        <v>4047</v>
      </c>
      <c r="B2203">
        <v>372</v>
      </c>
      <c r="C2203" t="s">
        <v>4048</v>
      </c>
      <c r="E2203" s="5" t="s">
        <v>6679</v>
      </c>
      <c r="F2203" s="1" t="str">
        <f>IF(E2203&lt;&gt;"", HYPERLINK("https://www.kegg.jp/dbget-bin/www_bget?ec:" &amp; E2203, "https://www.kegg.jp/dbget-bin/www_bget?ec:" &amp; E2203), "")</f>
        <v>https://www.kegg.jp/dbget-bin/www_bget?ec:2.8.1.7</v>
      </c>
      <c r="G2203" s="9" t="s">
        <v>7458</v>
      </c>
      <c r="H2203" s="1" t="str">
        <f>IF(G2203&lt;&gt;"", HYPERLINK("https://www.kegg.jp/entry/" &amp; G2203, "https://www.kegg.jp/entry/" &amp; G2203), "")</f>
        <v>https://www.kegg.jp/entry/R11528</v>
      </c>
      <c r="I2203" t="s">
        <v>8155</v>
      </c>
      <c r="J2203" t="s">
        <v>8439</v>
      </c>
    </row>
    <row r="2204" spans="1:10" x14ac:dyDescent="0.25">
      <c r="A2204" t="s">
        <v>4047</v>
      </c>
      <c r="B2204">
        <v>372</v>
      </c>
      <c r="C2204" t="s">
        <v>4048</v>
      </c>
      <c r="E2204" s="5" t="s">
        <v>6679</v>
      </c>
      <c r="F2204" s="1" t="str">
        <f>IF(E2204&lt;&gt;"", HYPERLINK("https://www.kegg.jp/dbget-bin/www_bget?ec:" &amp; E2204, "https://www.kegg.jp/dbget-bin/www_bget?ec:" &amp; E2204), "")</f>
        <v>https://www.kegg.jp/dbget-bin/www_bget?ec:2.8.1.7</v>
      </c>
      <c r="G2204" s="9" t="s">
        <v>7457</v>
      </c>
      <c r="H2204" s="1" t="str">
        <f>IF(G2204&lt;&gt;"", HYPERLINK("https://www.kegg.jp/entry/" &amp; G2204, "https://www.kegg.jp/entry/" &amp; G2204), "")</f>
        <v>https://www.kegg.jp/entry/R11529</v>
      </c>
      <c r="I2204" t="s">
        <v>12910</v>
      </c>
      <c r="J2204" t="s">
        <v>8440</v>
      </c>
    </row>
    <row r="2205" spans="1:10" hidden="1" x14ac:dyDescent="0.25">
      <c r="A2205" t="s">
        <v>4050</v>
      </c>
      <c r="B2205">
        <v>148</v>
      </c>
      <c r="C2205" t="s">
        <v>4051</v>
      </c>
      <c r="F2205" s="1" t="str">
        <f>IF(E2205&lt;&gt;"", HYPERLINK("https://www.kegg.jp/dbget-bin/www_bget?ec:" &amp; E2205, "https://www.kegg.jp/dbget-bin/www_bget?ec:" &amp; E2205), "")</f>
        <v/>
      </c>
      <c r="G2205" s="3"/>
      <c r="H2205" s="1" t="str">
        <f>IF(G2205&lt;&gt;"", HYPERLINK("https://www.kegg.jp/entry/" &amp; G2205, "https://www.kegg.jp/entry/" &amp; G2205), "")</f>
        <v/>
      </c>
    </row>
    <row r="2206" spans="1:10" hidden="1" x14ac:dyDescent="0.25">
      <c r="A2206" t="s">
        <v>4053</v>
      </c>
      <c r="B2206">
        <v>268</v>
      </c>
      <c r="C2206" t="s">
        <v>4054</v>
      </c>
      <c r="F2206" s="1" t="str">
        <f>IF(E2206&lt;&gt;"", HYPERLINK("https://www.kegg.jp/dbget-bin/www_bget?ec:" &amp; E2206, "https://www.kegg.jp/dbget-bin/www_bget?ec:" &amp; E2206), "")</f>
        <v/>
      </c>
      <c r="G2206" s="3"/>
      <c r="H2206" s="1" t="str">
        <f>IF(G2206&lt;&gt;"", HYPERLINK("https://www.kegg.jp/entry/" &amp; G2206, "https://www.kegg.jp/entry/" &amp; G2206), "")</f>
        <v/>
      </c>
    </row>
    <row r="2207" spans="1:10" hidden="1" x14ac:dyDescent="0.25">
      <c r="A2207" t="s">
        <v>4056</v>
      </c>
      <c r="B2207">
        <v>246</v>
      </c>
      <c r="C2207" t="s">
        <v>4057</v>
      </c>
      <c r="F2207" s="1" t="str">
        <f>IF(E2207&lt;&gt;"", HYPERLINK("https://www.kegg.jp/dbget-bin/www_bget?ec:" &amp; E2207, "https://www.kegg.jp/dbget-bin/www_bget?ec:" &amp; E2207), "")</f>
        <v/>
      </c>
      <c r="G2207" s="3"/>
      <c r="H2207" s="1" t="str">
        <f>IF(G2207&lt;&gt;"", HYPERLINK("https://www.kegg.jp/entry/" &amp; G2207, "https://www.kegg.jp/entry/" &amp; G2207), "")</f>
        <v/>
      </c>
    </row>
    <row r="2208" spans="1:10" hidden="1" x14ac:dyDescent="0.25">
      <c r="A2208" t="s">
        <v>4059</v>
      </c>
      <c r="B2208">
        <v>80</v>
      </c>
      <c r="C2208" t="s">
        <v>4060</v>
      </c>
      <c r="F2208" s="1" t="str">
        <f>IF(E2208&lt;&gt;"", HYPERLINK("https://www.kegg.jp/dbget-bin/www_bget?ec:" &amp; E2208, "https://www.kegg.jp/dbget-bin/www_bget?ec:" &amp; E2208), "")</f>
        <v/>
      </c>
      <c r="G2208" s="3"/>
      <c r="H2208" s="1" t="str">
        <f>IF(G2208&lt;&gt;"", HYPERLINK("https://www.kegg.jp/entry/" &amp; G2208, "https://www.kegg.jp/entry/" &amp; G2208), "")</f>
        <v/>
      </c>
    </row>
    <row r="2209" spans="1:10" x14ac:dyDescent="0.25">
      <c r="A2209" t="s">
        <v>4062</v>
      </c>
      <c r="B2209">
        <v>408</v>
      </c>
      <c r="C2209" t="s">
        <v>4063</v>
      </c>
      <c r="E2209" s="5" t="s">
        <v>6936</v>
      </c>
      <c r="F2209" s="1" t="str">
        <f>IF(E2209&lt;&gt;"", HYPERLINK("https://www.kegg.jp/dbget-bin/www_bget?ec:" &amp; E2209, "https://www.kegg.jp/dbget-bin/www_bget?ec:" &amp; E2209), "")</f>
        <v>https://www.kegg.jp/dbget-bin/www_bget?ec:2.3.1.179</v>
      </c>
      <c r="G2209" s="9" t="s">
        <v>7851</v>
      </c>
      <c r="H2209" s="1" t="str">
        <f>IF(G2209&lt;&gt;"", HYPERLINK("https://www.kegg.jp/entry/" &amp; G2209, "https://www.kegg.jp/entry/" &amp; G2209), "")</f>
        <v>https://www.kegg.jp/entry/R02768</v>
      </c>
      <c r="I2209" t="s">
        <v>8326</v>
      </c>
      <c r="J2209" t="s">
        <v>13540</v>
      </c>
    </row>
    <row r="2210" spans="1:10" x14ac:dyDescent="0.25">
      <c r="A2210" t="s">
        <v>4062</v>
      </c>
      <c r="B2210">
        <v>408</v>
      </c>
      <c r="C2210" t="s">
        <v>4063</v>
      </c>
      <c r="E2210" s="5" t="s">
        <v>6936</v>
      </c>
      <c r="F2210" s="1" t="str">
        <f>IF(E2210&lt;&gt;"", HYPERLINK("https://www.kegg.jp/dbget-bin/www_bget?ec:" &amp; E2210, "https://www.kegg.jp/dbget-bin/www_bget?ec:" &amp; E2210), "")</f>
        <v>https://www.kegg.jp/dbget-bin/www_bget?ec:2.3.1.179</v>
      </c>
      <c r="G2210" s="9" t="s">
        <v>7861</v>
      </c>
      <c r="H2210" s="1" t="str">
        <f>IF(G2210&lt;&gt;"", HYPERLINK("https://www.kegg.jp/entry/" &amp; G2210, "https://www.kegg.jp/entry/" &amp; G2210), "")</f>
        <v>https://www.kegg.jp/entry/R04355</v>
      </c>
      <c r="I2210" t="s">
        <v>13541</v>
      </c>
      <c r="J2210" t="s">
        <v>13542</v>
      </c>
    </row>
    <row r="2211" spans="1:10" x14ac:dyDescent="0.25">
      <c r="A2211" t="s">
        <v>4062</v>
      </c>
      <c r="B2211">
        <v>408</v>
      </c>
      <c r="C2211" t="s">
        <v>4063</v>
      </c>
      <c r="E2211" s="5" t="s">
        <v>6936</v>
      </c>
      <c r="F2211" s="1" t="str">
        <f>IF(E2211&lt;&gt;"", HYPERLINK("https://www.kegg.jp/dbget-bin/www_bget?ec:" &amp; E2211, "https://www.kegg.jp/dbget-bin/www_bget?ec:" &amp; E2211), "")</f>
        <v>https://www.kegg.jp/dbget-bin/www_bget?ec:2.3.1.179</v>
      </c>
      <c r="G2211" s="9" t="s">
        <v>7860</v>
      </c>
      <c r="H2211" s="1" t="str">
        <f>IF(G2211&lt;&gt;"", HYPERLINK("https://www.kegg.jp/entry/" &amp; G2211, "https://www.kegg.jp/entry/" &amp; G2211), "")</f>
        <v>https://www.kegg.jp/entry/R04726</v>
      </c>
      <c r="I2211" t="s">
        <v>13543</v>
      </c>
      <c r="J2211" t="s">
        <v>13544</v>
      </c>
    </row>
    <row r="2212" spans="1:10" x14ac:dyDescent="0.25">
      <c r="A2212" t="s">
        <v>4062</v>
      </c>
      <c r="B2212">
        <v>408</v>
      </c>
      <c r="C2212" t="s">
        <v>4063</v>
      </c>
      <c r="E2212" s="5" t="s">
        <v>6936</v>
      </c>
      <c r="F2212" s="1" t="str">
        <f>IF(E2212&lt;&gt;"", HYPERLINK("https://www.kegg.jp/dbget-bin/www_bget?ec:" &amp; E2212, "https://www.kegg.jp/dbget-bin/www_bget?ec:" &amp; E2212), "")</f>
        <v>https://www.kegg.jp/dbget-bin/www_bget?ec:2.3.1.179</v>
      </c>
      <c r="G2212" s="9" t="s">
        <v>7859</v>
      </c>
      <c r="H2212" s="1" t="str">
        <f>IF(G2212&lt;&gt;"", HYPERLINK("https://www.kegg.jp/entry/" &amp; G2212, "https://www.kegg.jp/entry/" &amp; G2212), "")</f>
        <v>https://www.kegg.jp/entry/R04952</v>
      </c>
      <c r="I2212" t="s">
        <v>13545</v>
      </c>
      <c r="J2212" t="s">
        <v>13546</v>
      </c>
    </row>
    <row r="2213" spans="1:10" x14ac:dyDescent="0.25">
      <c r="A2213" t="s">
        <v>4062</v>
      </c>
      <c r="B2213">
        <v>408</v>
      </c>
      <c r="C2213" t="s">
        <v>4063</v>
      </c>
      <c r="E2213" s="5" t="s">
        <v>6936</v>
      </c>
      <c r="F2213" s="1" t="str">
        <f>IF(E2213&lt;&gt;"", HYPERLINK("https://www.kegg.jp/dbget-bin/www_bget?ec:" &amp; E2213, "https://www.kegg.jp/dbget-bin/www_bget?ec:" &amp; E2213), "")</f>
        <v>https://www.kegg.jp/dbget-bin/www_bget?ec:2.3.1.179</v>
      </c>
      <c r="G2213" s="9" t="s">
        <v>7858</v>
      </c>
      <c r="H2213" s="1" t="str">
        <f>IF(G2213&lt;&gt;"", HYPERLINK("https://www.kegg.jp/entry/" &amp; G2213, "https://www.kegg.jp/entry/" &amp; G2213), "")</f>
        <v>https://www.kegg.jp/entry/R04957</v>
      </c>
      <c r="I2213" t="s">
        <v>13547</v>
      </c>
      <c r="J2213" t="s">
        <v>13548</v>
      </c>
    </row>
    <row r="2214" spans="1:10" x14ac:dyDescent="0.25">
      <c r="A2214" t="s">
        <v>4062</v>
      </c>
      <c r="B2214">
        <v>408</v>
      </c>
      <c r="C2214" t="s">
        <v>4063</v>
      </c>
      <c r="E2214" s="5" t="s">
        <v>6936</v>
      </c>
      <c r="F2214" s="1" t="str">
        <f>IF(E2214&lt;&gt;"", HYPERLINK("https://www.kegg.jp/dbget-bin/www_bget?ec:" &amp; E2214, "https://www.kegg.jp/dbget-bin/www_bget?ec:" &amp; E2214), "")</f>
        <v>https://www.kegg.jp/dbget-bin/www_bget?ec:2.3.1.179</v>
      </c>
      <c r="G2214" s="9" t="s">
        <v>7857</v>
      </c>
      <c r="H2214" s="1" t="str">
        <f>IF(G2214&lt;&gt;"", HYPERLINK("https://www.kegg.jp/entry/" &amp; G2214, "https://www.kegg.jp/entry/" &amp; G2214), "")</f>
        <v>https://www.kegg.jp/entry/R04960</v>
      </c>
      <c r="I2214" t="s">
        <v>13549</v>
      </c>
      <c r="J2214" t="s">
        <v>13550</v>
      </c>
    </row>
    <row r="2215" spans="1:10" x14ac:dyDescent="0.25">
      <c r="A2215" t="s">
        <v>4062</v>
      </c>
      <c r="B2215">
        <v>408</v>
      </c>
      <c r="C2215" t="s">
        <v>4063</v>
      </c>
      <c r="E2215" s="5" t="s">
        <v>6936</v>
      </c>
      <c r="F2215" s="1" t="str">
        <f>IF(E2215&lt;&gt;"", HYPERLINK("https://www.kegg.jp/dbget-bin/www_bget?ec:" &amp; E2215, "https://www.kegg.jp/dbget-bin/www_bget?ec:" &amp; E2215), "")</f>
        <v>https://www.kegg.jp/dbget-bin/www_bget?ec:2.3.1.179</v>
      </c>
      <c r="G2215" s="9" t="s">
        <v>7856</v>
      </c>
      <c r="H2215" s="1" t="str">
        <f>IF(G2215&lt;&gt;"", HYPERLINK("https://www.kegg.jp/entry/" &amp; G2215, "https://www.kegg.jp/entry/" &amp; G2215), "")</f>
        <v>https://www.kegg.jp/entry/R04963</v>
      </c>
      <c r="I2215" t="s">
        <v>13551</v>
      </c>
      <c r="J2215" t="s">
        <v>13552</v>
      </c>
    </row>
    <row r="2216" spans="1:10" x14ac:dyDescent="0.25">
      <c r="A2216" t="s">
        <v>4062</v>
      </c>
      <c r="B2216">
        <v>408</v>
      </c>
      <c r="C2216" t="s">
        <v>4063</v>
      </c>
      <c r="E2216" s="5" t="s">
        <v>6936</v>
      </c>
      <c r="F2216" s="1" t="str">
        <f>IF(E2216&lt;&gt;"", HYPERLINK("https://www.kegg.jp/dbget-bin/www_bget?ec:" &amp; E2216, "https://www.kegg.jp/dbget-bin/www_bget?ec:" &amp; E2216), "")</f>
        <v>https://www.kegg.jp/dbget-bin/www_bget?ec:2.3.1.179</v>
      </c>
      <c r="G2216" s="9" t="s">
        <v>7855</v>
      </c>
      <c r="H2216" s="1" t="str">
        <f>IF(G2216&lt;&gt;"", HYPERLINK("https://www.kegg.jp/entry/" &amp; G2216, "https://www.kegg.jp/entry/" &amp; G2216), "")</f>
        <v>https://www.kegg.jp/entry/R04968</v>
      </c>
      <c r="I2216" t="s">
        <v>13553</v>
      </c>
      <c r="J2216" t="s">
        <v>13554</v>
      </c>
    </row>
    <row r="2217" spans="1:10" x14ac:dyDescent="0.25">
      <c r="A2217" t="s">
        <v>4062</v>
      </c>
      <c r="B2217">
        <v>408</v>
      </c>
      <c r="C2217" t="s">
        <v>4063</v>
      </c>
      <c r="E2217" s="5" t="s">
        <v>6936</v>
      </c>
      <c r="F2217" s="1" t="str">
        <f>IF(E2217&lt;&gt;"", HYPERLINK("https://www.kegg.jp/dbget-bin/www_bget?ec:" &amp; E2217, "https://www.kegg.jp/dbget-bin/www_bget?ec:" &amp; E2217), "")</f>
        <v>https://www.kegg.jp/dbget-bin/www_bget?ec:2.3.1.179</v>
      </c>
      <c r="G2217" s="9" t="s">
        <v>7854</v>
      </c>
      <c r="H2217" s="1" t="str">
        <f>IF(G2217&lt;&gt;"", HYPERLINK("https://www.kegg.jp/entry/" &amp; G2217, "https://www.kegg.jp/entry/" &amp; G2217), "")</f>
        <v>https://www.kegg.jp/entry/R07762</v>
      </c>
      <c r="I2217" t="s">
        <v>13555</v>
      </c>
      <c r="J2217" t="s">
        <v>13556</v>
      </c>
    </row>
    <row r="2218" spans="1:10" x14ac:dyDescent="0.25">
      <c r="A2218" t="s">
        <v>4062</v>
      </c>
      <c r="B2218">
        <v>408</v>
      </c>
      <c r="C2218" t="s">
        <v>4063</v>
      </c>
      <c r="E2218" s="5" t="s">
        <v>6936</v>
      </c>
      <c r="F2218" s="1" t="str">
        <f>IF(E2218&lt;&gt;"", HYPERLINK("https://www.kegg.jp/dbget-bin/www_bget?ec:" &amp; E2218, "https://www.kegg.jp/dbget-bin/www_bget?ec:" &amp; E2218), "")</f>
        <v>https://www.kegg.jp/dbget-bin/www_bget?ec:2.3.1.179</v>
      </c>
      <c r="G2218" s="9" t="s">
        <v>7853</v>
      </c>
      <c r="H2218" s="1" t="str">
        <f>IF(G2218&lt;&gt;"", HYPERLINK("https://www.kegg.jp/entry/" &amp; G2218, "https://www.kegg.jp/entry/" &amp; G2218), "")</f>
        <v>https://www.kegg.jp/entry/R10115</v>
      </c>
      <c r="I2218" t="s">
        <v>13557</v>
      </c>
      <c r="J2218" t="s">
        <v>13558</v>
      </c>
    </row>
    <row r="2219" spans="1:10" x14ac:dyDescent="0.25">
      <c r="A2219" t="s">
        <v>4062</v>
      </c>
      <c r="B2219">
        <v>408</v>
      </c>
      <c r="C2219" t="s">
        <v>4063</v>
      </c>
      <c r="E2219" s="5" t="s">
        <v>6936</v>
      </c>
      <c r="F2219" s="1" t="str">
        <f>IF(E2219&lt;&gt;"", HYPERLINK("https://www.kegg.jp/dbget-bin/www_bget?ec:" &amp; E2219, "https://www.kegg.jp/dbget-bin/www_bget?ec:" &amp; E2219), "")</f>
        <v>https://www.kegg.jp/dbget-bin/www_bget?ec:2.3.1.179</v>
      </c>
      <c r="G2219" s="9" t="s">
        <v>7852</v>
      </c>
      <c r="H2219" s="1" t="str">
        <f>IF(G2219&lt;&gt;"", HYPERLINK("https://www.kegg.jp/entry/" &amp; G2219, "https://www.kegg.jp/entry/" &amp; G2219), "")</f>
        <v>https://www.kegg.jp/entry/R10119</v>
      </c>
      <c r="I2219" t="s">
        <v>13559</v>
      </c>
      <c r="J2219" t="s">
        <v>13560</v>
      </c>
    </row>
    <row r="2220" spans="1:10" x14ac:dyDescent="0.25">
      <c r="A2220" t="s">
        <v>4065</v>
      </c>
      <c r="B2220">
        <v>375</v>
      </c>
      <c r="C2220" t="s">
        <v>4066</v>
      </c>
      <c r="E2220" s="5" t="s">
        <v>6937</v>
      </c>
      <c r="F2220" s="1" t="str">
        <f>IF(E2220&lt;&gt;"", HYPERLINK("https://www.kegg.jp/dbget-bin/www_bget?ec:" &amp; E2220, "https://www.kegg.jp/dbget-bin/www_bget?ec:" &amp; E2220), "")</f>
        <v>https://www.kegg.jp/dbget-bin/www_bget?ec:3.1.5.1</v>
      </c>
      <c r="G2220" s="3" t="s">
        <v>7250</v>
      </c>
      <c r="H2220" s="1" t="str">
        <f>IF(G2220&lt;&gt;"", HYPERLINK("https://www.kegg.jp/entry/" &amp; G2220, "https://www.kegg.jp/entry/" &amp; G2220), "")</f>
        <v>https://www.kegg.jp/entry/R01856</v>
      </c>
      <c r="I2220" t="s">
        <v>13561</v>
      </c>
      <c r="J2220" t="s">
        <v>8587</v>
      </c>
    </row>
    <row r="2221" spans="1:10" x14ac:dyDescent="0.25">
      <c r="A2221" t="s">
        <v>4068</v>
      </c>
      <c r="B2221">
        <v>396</v>
      </c>
      <c r="C2221" t="s">
        <v>4069</v>
      </c>
      <c r="E2221" s="5" t="s">
        <v>6854</v>
      </c>
      <c r="F2221" s="1" t="str">
        <f>IF(E2221&lt;&gt;"", HYPERLINK("https://www.kegg.jp/dbget-bin/www_bget?ec:" &amp; E2221, "https://www.kegg.jp/dbget-bin/www_bget?ec:" &amp; E2221), "")</f>
        <v>https://www.kegg.jp/dbget-bin/www_bget?ec:2.6.1.1</v>
      </c>
      <c r="G2221" s="3" t="s">
        <v>7735</v>
      </c>
      <c r="H2221" s="1" t="str">
        <f>IF(G2221&lt;&gt;"", HYPERLINK("https://www.kegg.jp/entry/" &amp; G2221, "https://www.kegg.jp/entry/" &amp; G2221), "")</f>
        <v>https://www.kegg.jp/entry/R00355</v>
      </c>
      <c r="I2221" t="s">
        <v>13353</v>
      </c>
      <c r="J2221" t="s">
        <v>13354</v>
      </c>
    </row>
    <row r="2222" spans="1:10" x14ac:dyDescent="0.25">
      <c r="A2222" t="s">
        <v>4068</v>
      </c>
      <c r="B2222">
        <v>396</v>
      </c>
      <c r="C2222" t="s">
        <v>4069</v>
      </c>
      <c r="E2222" s="5" t="s">
        <v>6854</v>
      </c>
      <c r="F2222" s="1" t="str">
        <f>IF(E2222&lt;&gt;"", HYPERLINK("https://www.kegg.jp/dbget-bin/www_bget?ec:" &amp; E2222, "https://www.kegg.jp/dbget-bin/www_bget?ec:" &amp; E2222), "")</f>
        <v>https://www.kegg.jp/dbget-bin/www_bget?ec:2.6.1.1</v>
      </c>
      <c r="G2222" s="3" t="s">
        <v>7742</v>
      </c>
      <c r="H2222" s="1" t="str">
        <f>IF(G2222&lt;&gt;"", HYPERLINK("https://www.kegg.jp/entry/" &amp; G2222, "https://www.kegg.jp/entry/" &amp; G2222), "")</f>
        <v>https://www.kegg.jp/entry/R00694</v>
      </c>
      <c r="I2222" t="s">
        <v>13355</v>
      </c>
      <c r="J2222" t="s">
        <v>13356</v>
      </c>
    </row>
    <row r="2223" spans="1:10" x14ac:dyDescent="0.25">
      <c r="A2223" t="s">
        <v>4068</v>
      </c>
      <c r="B2223">
        <v>396</v>
      </c>
      <c r="C2223" t="s">
        <v>4069</v>
      </c>
      <c r="E2223" s="5" t="s">
        <v>6854</v>
      </c>
      <c r="F2223" s="1" t="str">
        <f>IF(E2223&lt;&gt;"", HYPERLINK("https://www.kegg.jp/dbget-bin/www_bget?ec:" &amp; E2223, "https://www.kegg.jp/dbget-bin/www_bget?ec:" &amp; E2223), "")</f>
        <v>https://www.kegg.jp/dbget-bin/www_bget?ec:2.6.1.1</v>
      </c>
      <c r="G2223" s="3" t="s">
        <v>7741</v>
      </c>
      <c r="H2223" s="1" t="str">
        <f>IF(G2223&lt;&gt;"", HYPERLINK("https://www.kegg.jp/entry/" &amp; G2223, "https://www.kegg.jp/entry/" &amp; G2223), "")</f>
        <v>https://www.kegg.jp/entry/R00734</v>
      </c>
      <c r="I2223" t="s">
        <v>13357</v>
      </c>
      <c r="J2223" t="s">
        <v>13358</v>
      </c>
    </row>
    <row r="2224" spans="1:10" x14ac:dyDescent="0.25">
      <c r="A2224" t="s">
        <v>4068</v>
      </c>
      <c r="B2224">
        <v>396</v>
      </c>
      <c r="C2224" t="s">
        <v>4069</v>
      </c>
      <c r="E2224" s="5" t="s">
        <v>6854</v>
      </c>
      <c r="F2224" s="1" t="str">
        <f>IF(E2224&lt;&gt;"", HYPERLINK("https://www.kegg.jp/dbget-bin/www_bget?ec:" &amp; E2224, "https://www.kegg.jp/dbget-bin/www_bget?ec:" &amp; E2224), "")</f>
        <v>https://www.kegg.jp/dbget-bin/www_bget?ec:2.6.1.1</v>
      </c>
      <c r="G2224" s="3" t="s">
        <v>7740</v>
      </c>
      <c r="H2224" s="1" t="str">
        <f>IF(G2224&lt;&gt;"", HYPERLINK("https://www.kegg.jp/entry/" &amp; G2224, "https://www.kegg.jp/entry/" &amp; G2224), "")</f>
        <v>https://www.kegg.jp/entry/R00895</v>
      </c>
      <c r="I2224" t="s">
        <v>13359</v>
      </c>
      <c r="J2224" t="s">
        <v>13360</v>
      </c>
    </row>
    <row r="2225" spans="1:10" x14ac:dyDescent="0.25">
      <c r="A2225" t="s">
        <v>4068</v>
      </c>
      <c r="B2225">
        <v>396</v>
      </c>
      <c r="C2225" t="s">
        <v>4069</v>
      </c>
      <c r="E2225" s="5" t="s">
        <v>6854</v>
      </c>
      <c r="F2225" s="1" t="str">
        <f>IF(E2225&lt;&gt;"", HYPERLINK("https://www.kegg.jp/dbget-bin/www_bget?ec:" &amp; E2225, "https://www.kegg.jp/dbget-bin/www_bget?ec:" &amp; E2225), "")</f>
        <v>https://www.kegg.jp/dbget-bin/www_bget?ec:2.6.1.1</v>
      </c>
      <c r="G2225" s="3" t="s">
        <v>7739</v>
      </c>
      <c r="H2225" s="1" t="str">
        <f>IF(G2225&lt;&gt;"", HYPERLINK("https://www.kegg.jp/entry/" &amp; G2225, "https://www.kegg.jp/entry/" &amp; G2225), "")</f>
        <v>https://www.kegg.jp/entry/R00896</v>
      </c>
      <c r="I2225" t="s">
        <v>13359</v>
      </c>
      <c r="J2225" t="s">
        <v>13361</v>
      </c>
    </row>
    <row r="2226" spans="1:10" x14ac:dyDescent="0.25">
      <c r="A2226" t="s">
        <v>4068</v>
      </c>
      <c r="B2226">
        <v>396</v>
      </c>
      <c r="C2226" t="s">
        <v>4069</v>
      </c>
      <c r="E2226" s="5" t="s">
        <v>6854</v>
      </c>
      <c r="F2226" s="1" t="str">
        <f>IF(E2226&lt;&gt;"", HYPERLINK("https://www.kegg.jp/dbget-bin/www_bget?ec:" &amp; E2226, "https://www.kegg.jp/dbget-bin/www_bget?ec:" &amp; E2226), "")</f>
        <v>https://www.kegg.jp/dbget-bin/www_bget?ec:2.6.1.1</v>
      </c>
      <c r="G2226" s="3" t="s">
        <v>7738</v>
      </c>
      <c r="H2226" s="1" t="str">
        <f>IF(G2226&lt;&gt;"", HYPERLINK("https://www.kegg.jp/entry/" &amp; G2226, "https://www.kegg.jp/entry/" &amp; G2226), "")</f>
        <v>https://www.kegg.jp/entry/R02433</v>
      </c>
      <c r="I2226" t="s">
        <v>13362</v>
      </c>
      <c r="J2226" t="s">
        <v>13363</v>
      </c>
    </row>
    <row r="2227" spans="1:10" x14ac:dyDescent="0.25">
      <c r="A2227" t="s">
        <v>4068</v>
      </c>
      <c r="B2227">
        <v>396</v>
      </c>
      <c r="C2227" t="s">
        <v>4069</v>
      </c>
      <c r="E2227" s="5" t="s">
        <v>6854</v>
      </c>
      <c r="F2227" s="1" t="str">
        <f>IF(E2227&lt;&gt;"", HYPERLINK("https://www.kegg.jp/dbget-bin/www_bget?ec:" &amp; E2227, "https://www.kegg.jp/dbget-bin/www_bget?ec:" &amp; E2227), "")</f>
        <v>https://www.kegg.jp/dbget-bin/www_bget?ec:2.6.1.1</v>
      </c>
      <c r="G2227" s="3" t="s">
        <v>7737</v>
      </c>
      <c r="H2227" s="1" t="str">
        <f>IF(G2227&lt;&gt;"", HYPERLINK("https://www.kegg.jp/entry/" &amp; G2227, "https://www.kegg.jp/entry/" &amp; G2227), "")</f>
        <v>https://www.kegg.jp/entry/R02619</v>
      </c>
      <c r="I2227" t="s">
        <v>13364</v>
      </c>
      <c r="J2227" t="s">
        <v>13365</v>
      </c>
    </row>
    <row r="2228" spans="1:10" x14ac:dyDescent="0.25">
      <c r="A2228" t="s">
        <v>4068</v>
      </c>
      <c r="B2228">
        <v>396</v>
      </c>
      <c r="C2228" t="s">
        <v>4069</v>
      </c>
      <c r="E2228" s="5" t="s">
        <v>6854</v>
      </c>
      <c r="F2228" s="1" t="str">
        <f>IF(E2228&lt;&gt;"", HYPERLINK("https://www.kegg.jp/dbget-bin/www_bget?ec:" &amp; E2228, "https://www.kegg.jp/dbget-bin/www_bget?ec:" &amp; E2228), "")</f>
        <v>https://www.kegg.jp/dbget-bin/www_bget?ec:2.6.1.1</v>
      </c>
      <c r="G2228" s="3" t="s">
        <v>7736</v>
      </c>
      <c r="H2228" s="1" t="str">
        <f>IF(G2228&lt;&gt;"", HYPERLINK("https://www.kegg.jp/entry/" &amp; G2228, "https://www.kegg.jp/entry/" &amp; G2228), "")</f>
        <v>https://www.kegg.jp/entry/R05052</v>
      </c>
      <c r="I2228" t="s">
        <v>13366</v>
      </c>
      <c r="J2228" t="s">
        <v>13367</v>
      </c>
    </row>
    <row r="2229" spans="1:10" x14ac:dyDescent="0.25">
      <c r="A2229" t="s">
        <v>4071</v>
      </c>
      <c r="B2229">
        <v>378</v>
      </c>
      <c r="C2229" t="s">
        <v>4072</v>
      </c>
      <c r="E2229" s="5" t="s">
        <v>6821</v>
      </c>
      <c r="F2229" s="1" t="str">
        <f>IF(E2229&lt;&gt;"", HYPERLINK("https://www.kegg.jp/dbget-bin/www_bget?ec:" &amp; E2229, "https://www.kegg.jp/dbget-bin/www_bget?ec:" &amp; E2229), "")</f>
        <v>https://www.kegg.jp/dbget-bin/www_bget?ec:6.2.1.30</v>
      </c>
      <c r="G2229" s="3" t="s">
        <v>7189</v>
      </c>
      <c r="H2229" s="1" t="str">
        <f>IF(G2229&lt;&gt;"", HYPERLINK("https://www.kegg.jp/entry/" &amp; G2229, "https://www.kegg.jp/entry/" &amp; G2229), "")</f>
        <v>https://www.kegg.jp/entry/R02539</v>
      </c>
      <c r="I2229" t="s">
        <v>13288</v>
      </c>
      <c r="J2229" t="s">
        <v>13289</v>
      </c>
    </row>
    <row r="2230" spans="1:10" x14ac:dyDescent="0.25">
      <c r="A2230" t="s">
        <v>4074</v>
      </c>
      <c r="B2230">
        <v>306</v>
      </c>
      <c r="C2230" t="s">
        <v>4075</v>
      </c>
      <c r="E2230" s="5" t="s">
        <v>6938</v>
      </c>
      <c r="F2230" s="1" t="str">
        <f>IF(E2230&lt;&gt;"", HYPERLINK("https://www.kegg.jp/dbget-bin/www_bget?ec:" &amp; E2230, "https://www.kegg.jp/dbget-bin/www_bget?ec:" &amp; E2230), "")</f>
        <v>https://www.kegg.jp/dbget-bin/www_bget?ec:2.7.1.15</v>
      </c>
      <c r="G2230" s="9" t="s">
        <v>7862</v>
      </c>
      <c r="H2230" s="1" t="str">
        <f>IF(G2230&lt;&gt;"", HYPERLINK("https://www.kegg.jp/entry/" &amp; G2230, "https://www.kegg.jp/entry/" &amp; G2230), "")</f>
        <v>https://www.kegg.jp/entry/R01051</v>
      </c>
      <c r="I2230" t="s">
        <v>8327</v>
      </c>
      <c r="J2230" t="s">
        <v>8588</v>
      </c>
    </row>
    <row r="2231" spans="1:10" x14ac:dyDescent="0.25">
      <c r="A2231" t="s">
        <v>4074</v>
      </c>
      <c r="B2231">
        <v>306</v>
      </c>
      <c r="C2231" t="s">
        <v>4075</v>
      </c>
      <c r="E2231" s="5" t="s">
        <v>6938</v>
      </c>
      <c r="F2231" s="1" t="str">
        <f>IF(E2231&lt;&gt;"", HYPERLINK("https://www.kegg.jp/dbget-bin/www_bget?ec:" &amp; E2231, "https://www.kegg.jp/dbget-bin/www_bget?ec:" &amp; E2231), "")</f>
        <v>https://www.kegg.jp/dbget-bin/www_bget?ec:2.7.1.15</v>
      </c>
      <c r="G2231" s="9" t="s">
        <v>7863</v>
      </c>
      <c r="H2231" s="1" t="str">
        <f>IF(G2231&lt;&gt;"", HYPERLINK("https://www.kegg.jp/entry/" &amp; G2231, "https://www.kegg.jp/entry/" &amp; G2231), "")</f>
        <v>https://www.kegg.jp/entry/R02750</v>
      </c>
      <c r="I2231" t="s">
        <v>13562</v>
      </c>
      <c r="J2231" t="s">
        <v>13563</v>
      </c>
    </row>
    <row r="2232" spans="1:10" hidden="1" x14ac:dyDescent="0.25">
      <c r="A2232" t="s">
        <v>4077</v>
      </c>
      <c r="B2232">
        <v>198</v>
      </c>
      <c r="C2232" t="s">
        <v>4078</v>
      </c>
      <c r="F2232" s="1" t="str">
        <f>IF(E2232&lt;&gt;"", HYPERLINK("https://www.kegg.jp/dbget-bin/www_bget?ec:" &amp; E2232, "https://www.kegg.jp/dbget-bin/www_bget?ec:" &amp; E2232), "")</f>
        <v/>
      </c>
      <c r="G2232" s="3"/>
      <c r="H2232" s="1" t="str">
        <f>IF(G2232&lt;&gt;"", HYPERLINK("https://www.kegg.jp/entry/" &amp; G2232, "https://www.kegg.jp/entry/" &amp; G2232), "")</f>
        <v/>
      </c>
    </row>
    <row r="2233" spans="1:10" x14ac:dyDescent="0.25">
      <c r="A2233" t="s">
        <v>4080</v>
      </c>
      <c r="B2233">
        <v>194</v>
      </c>
      <c r="C2233" t="s">
        <v>4081</v>
      </c>
      <c r="E2233" s="5" t="s">
        <v>6939</v>
      </c>
      <c r="F2233" s="1" t="str">
        <f>IF(E2233&lt;&gt;"", HYPERLINK("https://www.kegg.jp/dbget-bin/www_bget?ec:" &amp; E2233, "https://www.kegg.jp/dbget-bin/www_bget?ec:" &amp; E2233), "")</f>
        <v>https://www.kegg.jp/dbget-bin/www_bget?ec:4.2.1.19</v>
      </c>
      <c r="G2233" s="3" t="s">
        <v>7251</v>
      </c>
      <c r="H2233" s="1" t="str">
        <f>IF(G2233&lt;&gt;"", HYPERLINK("https://www.kegg.jp/entry/" &amp; G2233, "https://www.kegg.jp/entry/" &amp; G2233), "")</f>
        <v>https://www.kegg.jp/entry/R03457</v>
      </c>
      <c r="I2233" t="s">
        <v>8328</v>
      </c>
      <c r="J2233" t="s">
        <v>13564</v>
      </c>
    </row>
    <row r="2234" spans="1:10" x14ac:dyDescent="0.25">
      <c r="A2234" t="s">
        <v>4083</v>
      </c>
      <c r="B2234">
        <v>347</v>
      </c>
      <c r="C2234" t="s">
        <v>4084</v>
      </c>
      <c r="E2234" s="5" t="s">
        <v>6940</v>
      </c>
      <c r="F2234" s="1" t="str">
        <f>IF(E2234&lt;&gt;"", HYPERLINK("https://www.kegg.jp/dbget-bin/www_bget?ec:" &amp; E2234, "https://www.kegg.jp/dbget-bin/www_bget?ec:" &amp; E2234), "")</f>
        <v>https://www.kegg.jp/dbget-bin/www_bget?ec:2.6.1.9</v>
      </c>
      <c r="G2234" s="9" t="s">
        <v>7864</v>
      </c>
      <c r="H2234" s="1" t="str">
        <f>IF(G2234&lt;&gt;"", HYPERLINK("https://www.kegg.jp/entry/" &amp; G2234, "https://www.kegg.jp/entry/" &amp; G2234), "")</f>
        <v>https://www.kegg.jp/entry/R03243</v>
      </c>
      <c r="I2234" t="s">
        <v>13565</v>
      </c>
      <c r="J2234" t="s">
        <v>13566</v>
      </c>
    </row>
    <row r="2235" spans="1:10" x14ac:dyDescent="0.25">
      <c r="A2235" t="s">
        <v>4083</v>
      </c>
      <c r="B2235">
        <v>347</v>
      </c>
      <c r="C2235" t="s">
        <v>4084</v>
      </c>
      <c r="E2235" s="5" t="s">
        <v>6940</v>
      </c>
      <c r="F2235" s="1" t="str">
        <f>IF(E2235&lt;&gt;"", HYPERLINK("https://www.kegg.jp/dbget-bin/www_bget?ec:" &amp; E2235, "https://www.kegg.jp/dbget-bin/www_bget?ec:" &amp; E2235), "")</f>
        <v>https://www.kegg.jp/dbget-bin/www_bget?ec:2.6.1.9</v>
      </c>
      <c r="G2235" s="9" t="s">
        <v>7742</v>
      </c>
      <c r="H2235" s="1" t="str">
        <f>IF(G2235&lt;&gt;"", HYPERLINK("https://www.kegg.jp/entry/" &amp; G2235, "https://www.kegg.jp/entry/" &amp; G2235), "")</f>
        <v>https://www.kegg.jp/entry/R00694</v>
      </c>
      <c r="I2235" t="s">
        <v>13355</v>
      </c>
      <c r="J2235" t="s">
        <v>13356</v>
      </c>
    </row>
    <row r="2236" spans="1:10" x14ac:dyDescent="0.25">
      <c r="A2236" t="s">
        <v>4083</v>
      </c>
      <c r="B2236">
        <v>347</v>
      </c>
      <c r="C2236" t="s">
        <v>4084</v>
      </c>
      <c r="E2236" s="5" t="s">
        <v>6940</v>
      </c>
      <c r="F2236" s="1" t="str">
        <f>IF(E2236&lt;&gt;"", HYPERLINK("https://www.kegg.jp/dbget-bin/www_bget?ec:" &amp; E2236, "https://www.kegg.jp/dbget-bin/www_bget?ec:" &amp; E2236), "")</f>
        <v>https://www.kegg.jp/dbget-bin/www_bget?ec:2.6.1.9</v>
      </c>
      <c r="G2236" s="9" t="s">
        <v>7741</v>
      </c>
      <c r="H2236" s="1" t="str">
        <f>IF(G2236&lt;&gt;"", HYPERLINK("https://www.kegg.jp/entry/" &amp; G2236, "https://www.kegg.jp/entry/" &amp; G2236), "")</f>
        <v>https://www.kegg.jp/entry/R00734</v>
      </c>
      <c r="I2236" t="s">
        <v>13357</v>
      </c>
      <c r="J2236" t="s">
        <v>13358</v>
      </c>
    </row>
    <row r="2237" spans="1:10" hidden="1" x14ac:dyDescent="0.25">
      <c r="A2237" t="s">
        <v>4085</v>
      </c>
      <c r="B2237">
        <v>39</v>
      </c>
      <c r="C2237" t="s">
        <v>4086</v>
      </c>
      <c r="F2237" s="1" t="str">
        <f>IF(E2237&lt;&gt;"", HYPERLINK("https://www.kegg.jp/dbget-bin/www_bget?ec:" &amp; E2237, "https://www.kegg.jp/dbget-bin/www_bget?ec:" &amp; E2237), "")</f>
        <v/>
      </c>
      <c r="G2237" s="3"/>
      <c r="H2237" s="1" t="str">
        <f>IF(G2237&lt;&gt;"", HYPERLINK("https://www.kegg.jp/entry/" &amp; G2237, "https://www.kegg.jp/entry/" &amp; G2237), "")</f>
        <v/>
      </c>
    </row>
    <row r="2238" spans="1:10" hidden="1" x14ac:dyDescent="0.25">
      <c r="A2238" t="s">
        <v>4087</v>
      </c>
      <c r="B2238">
        <v>517</v>
      </c>
      <c r="C2238" t="s">
        <v>4088</v>
      </c>
      <c r="F2238" s="1" t="str">
        <f>IF(E2238&lt;&gt;"", HYPERLINK("https://www.kegg.jp/dbget-bin/www_bget?ec:" &amp; E2238, "https://www.kegg.jp/dbget-bin/www_bget?ec:" &amp; E2238), "")</f>
        <v/>
      </c>
      <c r="G2238" s="3"/>
      <c r="H2238" s="1" t="str">
        <f>IF(G2238&lt;&gt;"", HYPERLINK("https://www.kegg.jp/entry/" &amp; G2238, "https://www.kegg.jp/entry/" &amp; G2238), "")</f>
        <v/>
      </c>
    </row>
    <row r="2239" spans="1:10" hidden="1" x14ac:dyDescent="0.25">
      <c r="A2239" t="s">
        <v>4090</v>
      </c>
      <c r="B2239">
        <v>147</v>
      </c>
      <c r="C2239" t="s">
        <v>4091</v>
      </c>
      <c r="F2239" s="1" t="str">
        <f>IF(E2239&lt;&gt;"", HYPERLINK("https://www.kegg.jp/dbget-bin/www_bget?ec:" &amp; E2239, "https://www.kegg.jp/dbget-bin/www_bget?ec:" &amp; E2239), "")</f>
        <v/>
      </c>
      <c r="G2239" s="3"/>
      <c r="H2239" s="1" t="str">
        <f>IF(G2239&lt;&gt;"", HYPERLINK("https://www.kegg.jp/entry/" &amp; G2239, "https://www.kegg.jp/entry/" &amp; G2239), "")</f>
        <v/>
      </c>
    </row>
    <row r="2240" spans="1:10" x14ac:dyDescent="0.25">
      <c r="A2240" t="s">
        <v>4093</v>
      </c>
      <c r="B2240">
        <v>313</v>
      </c>
      <c r="C2240" t="s">
        <v>4094</v>
      </c>
      <c r="E2240" s="5" t="s">
        <v>6941</v>
      </c>
      <c r="F2240" s="1" t="str">
        <f>IF(E2240&lt;&gt;"", HYPERLINK("https://www.kegg.jp/dbget-bin/www_bget?ec:" &amp; E2240, "https://www.kegg.jp/dbget-bin/www_bget?ec:" &amp; E2240), "")</f>
        <v>https://www.kegg.jp/dbget-bin/www_bget?ec:2.7.4.16</v>
      </c>
      <c r="G2240" s="3" t="s">
        <v>7252</v>
      </c>
      <c r="H2240" s="1" t="str">
        <f>IF(G2240&lt;&gt;"", HYPERLINK("https://www.kegg.jp/entry/" &amp; G2240, "https://www.kegg.jp/entry/" &amp; G2240), "")</f>
        <v>https://www.kegg.jp/entry/R00617</v>
      </c>
      <c r="I2240" t="s">
        <v>8329</v>
      </c>
      <c r="J2240" t="s">
        <v>8589</v>
      </c>
    </row>
    <row r="2241" spans="1:10" hidden="1" x14ac:dyDescent="0.25">
      <c r="A2241" t="s">
        <v>4095</v>
      </c>
      <c r="B2241">
        <v>238</v>
      </c>
      <c r="C2241" t="s">
        <v>4096</v>
      </c>
      <c r="F2241" s="1" t="str">
        <f>IF(E2241&lt;&gt;"", HYPERLINK("https://www.kegg.jp/dbget-bin/www_bget?ec:" &amp; E2241, "https://www.kegg.jp/dbget-bin/www_bget?ec:" &amp; E2241), "")</f>
        <v/>
      </c>
      <c r="G2241" s="3"/>
      <c r="H2241" s="1" t="str">
        <f>IF(G2241&lt;&gt;"", HYPERLINK("https://www.kegg.jp/entry/" &amp; G2241, "https://www.kegg.jp/entry/" &amp; G2241), "")</f>
        <v/>
      </c>
    </row>
    <row r="2242" spans="1:10" x14ac:dyDescent="0.25">
      <c r="A2242" t="s">
        <v>4097</v>
      </c>
      <c r="B2242">
        <v>234</v>
      </c>
      <c r="C2242" t="s">
        <v>4098</v>
      </c>
      <c r="E2242" s="5" t="s">
        <v>6774</v>
      </c>
      <c r="F2242" s="1" t="str">
        <f>IF(E2242&lt;&gt;"", HYPERLINK("https://www.kegg.jp/dbget-bin/www_bget?ec:" &amp; E2242, "https://www.kegg.jp/dbget-bin/www_bget?ec:" &amp; E2242), "")</f>
        <v>https://www.kegg.jp/dbget-bin/www_bget?ec:2.4.1.187</v>
      </c>
      <c r="G2242" s="9" t="s">
        <v>7593</v>
      </c>
      <c r="H2242" s="1" t="str">
        <f>IF(G2242&lt;&gt;"", HYPERLINK("https://www.kegg.jp/entry/" &amp; G2242, "https://www.kegg.jp/entry/" &amp; G2242), "")</f>
        <v>https://www.kegg.jp/entry/R05566</v>
      </c>
      <c r="I2242" t="s">
        <v>8222</v>
      </c>
      <c r="J2242" t="s">
        <v>8499</v>
      </c>
    </row>
    <row r="2243" spans="1:10" x14ac:dyDescent="0.25">
      <c r="A2243" t="s">
        <v>4097</v>
      </c>
      <c r="B2243">
        <v>234</v>
      </c>
      <c r="C2243" t="s">
        <v>4098</v>
      </c>
      <c r="E2243" s="5" t="s">
        <v>6774</v>
      </c>
      <c r="F2243" s="1" t="str">
        <f>IF(E2243&lt;&gt;"", HYPERLINK("https://www.kegg.jp/dbget-bin/www_bget?ec:" &amp; E2243, "https://www.kegg.jp/dbget-bin/www_bget?ec:" &amp; E2243), "")</f>
        <v>https://www.kegg.jp/dbget-bin/www_bget?ec:2.4.1.187</v>
      </c>
      <c r="G2243" s="9" t="s">
        <v>7594</v>
      </c>
      <c r="H2243" s="1" t="str">
        <f>IF(G2243&lt;&gt;"", HYPERLINK("https://www.kegg.jp/entry/" &amp; G2243, "https://www.kegg.jp/entry/" &amp; G2243), "")</f>
        <v>https://www.kegg.jp/entry/R06129</v>
      </c>
      <c r="I2243" t="s">
        <v>13113</v>
      </c>
      <c r="J2243" t="s">
        <v>13114</v>
      </c>
    </row>
    <row r="2244" spans="1:10" hidden="1" x14ac:dyDescent="0.25">
      <c r="A2244" t="s">
        <v>4099</v>
      </c>
      <c r="B2244">
        <v>647</v>
      </c>
      <c r="C2244" t="s">
        <v>4100</v>
      </c>
      <c r="F2244" s="1" t="str">
        <f t="shared" ref="F2201:F2289" si="18">IF(E2244&lt;&gt;"", HYPERLINK("https://www.kegg.jp/dbget-bin/www_bget?ec:" &amp; E2244, "https://www.kegg.jp/dbget-bin/www_bget?ec:" &amp; E2244), "")</f>
        <v/>
      </c>
      <c r="G2244" s="3"/>
      <c r="H2244" s="1" t="str">
        <f t="shared" ref="H2219:H2282" si="19">IF(G2244&lt;&gt;"", HYPERLINK("https://www.kegg.jp/entry/" &amp; G2244, "https://www.kegg.jp/entry/" &amp; G2244), "")</f>
        <v/>
      </c>
    </row>
    <row r="2245" spans="1:10" hidden="1" x14ac:dyDescent="0.25">
      <c r="A2245" t="s">
        <v>4101</v>
      </c>
      <c r="B2245">
        <v>827</v>
      </c>
      <c r="C2245" t="s">
        <v>4102</v>
      </c>
      <c r="F2245" s="1" t="str">
        <f t="shared" si="18"/>
        <v/>
      </c>
      <c r="G2245" s="3"/>
      <c r="H2245" s="1" t="str">
        <f t="shared" si="19"/>
        <v/>
      </c>
    </row>
    <row r="2246" spans="1:10" x14ac:dyDescent="0.25">
      <c r="A2246" t="s">
        <v>4104</v>
      </c>
      <c r="B2246">
        <v>530</v>
      </c>
      <c r="C2246" t="s">
        <v>4105</v>
      </c>
      <c r="E2246" s="5" t="s">
        <v>6781</v>
      </c>
      <c r="F2246" s="1" t="str">
        <f t="shared" si="18"/>
        <v>https://www.kegg.jp/dbget-bin/www_bget?ec:2.1.1.72</v>
      </c>
      <c r="G2246" s="3" t="s">
        <v>7173</v>
      </c>
      <c r="H2246" s="1" t="str">
        <f t="shared" si="19"/>
        <v>https://www.kegg.jp/entry/R02961</v>
      </c>
      <c r="I2246" t="s">
        <v>8226</v>
      </c>
      <c r="J2246" t="s">
        <v>8502</v>
      </c>
    </row>
    <row r="2247" spans="1:10" hidden="1" x14ac:dyDescent="0.25">
      <c r="A2247" t="s">
        <v>4106</v>
      </c>
      <c r="B2247">
        <v>70</v>
      </c>
      <c r="C2247" t="s">
        <v>4107</v>
      </c>
      <c r="F2247" s="1" t="str">
        <f t="shared" si="18"/>
        <v/>
      </c>
      <c r="G2247" s="3"/>
      <c r="H2247" s="1" t="str">
        <f t="shared" si="19"/>
        <v/>
      </c>
    </row>
    <row r="2248" spans="1:10" hidden="1" x14ac:dyDescent="0.25">
      <c r="A2248" t="s">
        <v>4109</v>
      </c>
      <c r="B2248">
        <v>360</v>
      </c>
      <c r="C2248" t="s">
        <v>4110</v>
      </c>
      <c r="F2248" s="1" t="str">
        <f t="shared" si="18"/>
        <v/>
      </c>
      <c r="G2248" s="3"/>
      <c r="H2248" s="1" t="str">
        <f t="shared" si="19"/>
        <v/>
      </c>
    </row>
    <row r="2249" spans="1:10" hidden="1" x14ac:dyDescent="0.25">
      <c r="C2249" t="s">
        <v>4111</v>
      </c>
      <c r="F2249" s="1" t="str">
        <f t="shared" si="18"/>
        <v/>
      </c>
      <c r="G2249" s="3"/>
      <c r="H2249" s="1" t="str">
        <f t="shared" si="19"/>
        <v/>
      </c>
    </row>
    <row r="2250" spans="1:10" hidden="1" x14ac:dyDescent="0.25">
      <c r="A2250" t="s">
        <v>4112</v>
      </c>
      <c r="B2250">
        <v>112</v>
      </c>
      <c r="C2250" t="s">
        <v>4113</v>
      </c>
      <c r="F2250" s="1" t="str">
        <f t="shared" si="18"/>
        <v/>
      </c>
      <c r="G2250" s="3"/>
      <c r="H2250" s="1" t="str">
        <f t="shared" si="19"/>
        <v/>
      </c>
    </row>
    <row r="2251" spans="1:10" hidden="1" x14ac:dyDescent="0.25">
      <c r="A2251" t="s">
        <v>4115</v>
      </c>
      <c r="B2251">
        <v>212</v>
      </c>
      <c r="C2251" t="s">
        <v>4116</v>
      </c>
      <c r="F2251" s="1" t="str">
        <f t="shared" si="18"/>
        <v/>
      </c>
      <c r="G2251" s="3"/>
      <c r="H2251" s="1" t="str">
        <f t="shared" si="19"/>
        <v/>
      </c>
    </row>
    <row r="2252" spans="1:10" hidden="1" x14ac:dyDescent="0.25">
      <c r="A2252" t="s">
        <v>4117</v>
      </c>
      <c r="B2252">
        <v>247</v>
      </c>
      <c r="C2252" t="s">
        <v>4118</v>
      </c>
      <c r="F2252" s="1" t="str">
        <f t="shared" si="18"/>
        <v/>
      </c>
      <c r="G2252" s="3"/>
      <c r="H2252" s="1" t="str">
        <f t="shared" si="19"/>
        <v/>
      </c>
    </row>
    <row r="2253" spans="1:10" x14ac:dyDescent="0.25">
      <c r="A2253" t="s">
        <v>4120</v>
      </c>
      <c r="B2253">
        <v>272</v>
      </c>
      <c r="C2253" t="s">
        <v>4121</v>
      </c>
      <c r="E2253" s="5" t="s">
        <v>6942</v>
      </c>
      <c r="F2253" s="1" t="str">
        <f t="shared" si="18"/>
        <v>https://www.kegg.jp/dbget-bin/www_bget?ec:2.1.1.182</v>
      </c>
      <c r="G2253" s="3" t="s">
        <v>7253</v>
      </c>
      <c r="H2253" s="1" t="str">
        <f t="shared" si="19"/>
        <v>https://www.kegg.jp/entry/R10716</v>
      </c>
      <c r="I2253" t="s">
        <v>8330</v>
      </c>
      <c r="J2253" t="s">
        <v>8590</v>
      </c>
    </row>
    <row r="2254" spans="1:10" x14ac:dyDescent="0.25">
      <c r="A2254" t="s">
        <v>4123</v>
      </c>
      <c r="B2254">
        <v>112</v>
      </c>
      <c r="C2254" t="s">
        <v>4124</v>
      </c>
      <c r="D2254" t="s">
        <v>6840</v>
      </c>
      <c r="E2254" s="5" t="s">
        <v>7865</v>
      </c>
      <c r="F2254" s="1" t="str">
        <f t="shared" si="18"/>
        <v>https://www.kegg.jp/dbget-bin/www_bget?ec:7.1.1.2</v>
      </c>
      <c r="G2254" s="9" t="s">
        <v>7866</v>
      </c>
      <c r="H2254" s="1" t="str">
        <f t="shared" si="19"/>
        <v>https://www.kegg.jp/entry/R11945</v>
      </c>
      <c r="I2254" t="s">
        <v>13567</v>
      </c>
      <c r="J2254" t="s">
        <v>13568</v>
      </c>
    </row>
    <row r="2255" spans="1:10" x14ac:dyDescent="0.25">
      <c r="A2255" t="s">
        <v>4126</v>
      </c>
      <c r="B2255">
        <v>181</v>
      </c>
      <c r="C2255" t="s">
        <v>4127</v>
      </c>
      <c r="D2255" t="s">
        <v>6840</v>
      </c>
      <c r="E2255" s="5" t="s">
        <v>7865</v>
      </c>
      <c r="F2255" s="1" t="str">
        <f t="shared" ref="F2255:F2267" si="20">IF(E2255&lt;&gt;"", HYPERLINK("https://www.kegg.jp/dbget-bin/www_bget?ec:" &amp; E2255, "https://www.kegg.jp/dbget-bin/www_bget?ec:" &amp; E2255), "")</f>
        <v>https://www.kegg.jp/dbget-bin/www_bget?ec:7.1.1.2</v>
      </c>
      <c r="G2255" s="9" t="s">
        <v>7866</v>
      </c>
      <c r="H2255" s="1" t="str">
        <f t="shared" si="19"/>
        <v>https://www.kegg.jp/entry/R11945</v>
      </c>
      <c r="I2255" t="s">
        <v>13567</v>
      </c>
      <c r="J2255" t="s">
        <v>13568</v>
      </c>
    </row>
    <row r="2256" spans="1:10" x14ac:dyDescent="0.25">
      <c r="A2256" t="s">
        <v>4129</v>
      </c>
      <c r="B2256">
        <v>206</v>
      </c>
      <c r="C2256" t="s">
        <v>4130</v>
      </c>
      <c r="D2256" t="s">
        <v>6840</v>
      </c>
      <c r="E2256" s="5" t="s">
        <v>7865</v>
      </c>
      <c r="F2256" s="1" t="str">
        <f t="shared" si="20"/>
        <v>https://www.kegg.jp/dbget-bin/www_bget?ec:7.1.1.2</v>
      </c>
      <c r="G2256" s="9" t="s">
        <v>7866</v>
      </c>
      <c r="H2256" s="1" t="str">
        <f t="shared" si="19"/>
        <v>https://www.kegg.jp/entry/R11945</v>
      </c>
      <c r="I2256" t="s">
        <v>13567</v>
      </c>
      <c r="J2256" t="s">
        <v>13568</v>
      </c>
    </row>
    <row r="2257" spans="1:10" x14ac:dyDescent="0.25">
      <c r="A2257" t="s">
        <v>4132</v>
      </c>
      <c r="B2257">
        <v>406</v>
      </c>
      <c r="C2257" t="s">
        <v>4133</v>
      </c>
      <c r="D2257" t="s">
        <v>6840</v>
      </c>
      <c r="E2257" s="5" t="s">
        <v>7865</v>
      </c>
      <c r="F2257" s="1" t="str">
        <f t="shared" si="20"/>
        <v>https://www.kegg.jp/dbget-bin/www_bget?ec:7.1.1.2</v>
      </c>
      <c r="G2257" s="9" t="s">
        <v>7866</v>
      </c>
      <c r="H2257" s="1" t="str">
        <f t="shared" si="19"/>
        <v>https://www.kegg.jp/entry/R11945</v>
      </c>
      <c r="I2257" t="s">
        <v>13567</v>
      </c>
      <c r="J2257" t="s">
        <v>13568</v>
      </c>
    </row>
    <row r="2258" spans="1:10" x14ac:dyDescent="0.25">
      <c r="A2258" t="s">
        <v>4135</v>
      </c>
      <c r="B2258">
        <v>181</v>
      </c>
      <c r="C2258" t="s">
        <v>4136</v>
      </c>
      <c r="D2258" t="s">
        <v>6840</v>
      </c>
      <c r="E2258" s="5" t="s">
        <v>7865</v>
      </c>
      <c r="F2258" s="1" t="str">
        <f t="shared" si="20"/>
        <v>https://www.kegg.jp/dbget-bin/www_bget?ec:7.1.1.2</v>
      </c>
      <c r="G2258" s="9" t="s">
        <v>7866</v>
      </c>
      <c r="H2258" s="1" t="str">
        <f t="shared" si="19"/>
        <v>https://www.kegg.jp/entry/R11945</v>
      </c>
      <c r="I2258" t="s">
        <v>13567</v>
      </c>
      <c r="J2258" t="s">
        <v>13568</v>
      </c>
    </row>
    <row r="2259" spans="1:10" x14ac:dyDescent="0.25">
      <c r="A2259" t="s">
        <v>4137</v>
      </c>
      <c r="B2259">
        <v>437</v>
      </c>
      <c r="C2259" t="s">
        <v>4138</v>
      </c>
      <c r="D2259" t="s">
        <v>6840</v>
      </c>
      <c r="E2259" s="5" t="s">
        <v>7865</v>
      </c>
      <c r="F2259" s="1" t="str">
        <f t="shared" si="20"/>
        <v>https://www.kegg.jp/dbget-bin/www_bget?ec:7.1.1.2</v>
      </c>
      <c r="G2259" s="9" t="s">
        <v>7866</v>
      </c>
      <c r="H2259" s="1" t="str">
        <f t="shared" si="19"/>
        <v>https://www.kegg.jp/entry/R11945</v>
      </c>
      <c r="I2259" t="s">
        <v>13567</v>
      </c>
      <c r="J2259" t="s">
        <v>13568</v>
      </c>
    </row>
    <row r="2260" spans="1:10" x14ac:dyDescent="0.25">
      <c r="A2260" t="s">
        <v>4140</v>
      </c>
      <c r="B2260">
        <v>783</v>
      </c>
      <c r="C2260" t="s">
        <v>4141</v>
      </c>
      <c r="D2260" t="s">
        <v>6840</v>
      </c>
      <c r="E2260" s="5" t="s">
        <v>7865</v>
      </c>
      <c r="F2260" s="1" t="str">
        <f t="shared" si="20"/>
        <v>https://www.kegg.jp/dbget-bin/www_bget?ec:7.1.1.2</v>
      </c>
      <c r="G2260" s="9" t="s">
        <v>7866</v>
      </c>
      <c r="H2260" s="1" t="str">
        <f t="shared" si="19"/>
        <v>https://www.kegg.jp/entry/R11945</v>
      </c>
      <c r="I2260" t="s">
        <v>13567</v>
      </c>
      <c r="J2260" t="s">
        <v>13568</v>
      </c>
    </row>
    <row r="2261" spans="1:10" x14ac:dyDescent="0.25">
      <c r="A2261" t="s">
        <v>4143</v>
      </c>
      <c r="B2261">
        <v>363</v>
      </c>
      <c r="C2261" t="s">
        <v>4144</v>
      </c>
      <c r="D2261" t="s">
        <v>6840</v>
      </c>
      <c r="E2261" s="5" t="s">
        <v>7865</v>
      </c>
      <c r="F2261" s="1" t="str">
        <f t="shared" si="20"/>
        <v>https://www.kegg.jp/dbget-bin/www_bget?ec:7.1.1.2</v>
      </c>
      <c r="G2261" s="9" t="s">
        <v>7866</v>
      </c>
      <c r="H2261" s="1" t="str">
        <f t="shared" si="19"/>
        <v>https://www.kegg.jp/entry/R11945</v>
      </c>
      <c r="I2261" t="s">
        <v>13567</v>
      </c>
      <c r="J2261" t="s">
        <v>13568</v>
      </c>
    </row>
    <row r="2262" spans="1:10" x14ac:dyDescent="0.25">
      <c r="A2262" t="s">
        <v>4146</v>
      </c>
      <c r="B2262">
        <v>182</v>
      </c>
      <c r="C2262" t="s">
        <v>4147</v>
      </c>
      <c r="D2262" t="s">
        <v>6840</v>
      </c>
      <c r="E2262" s="5" t="s">
        <v>7865</v>
      </c>
      <c r="F2262" s="1" t="str">
        <f t="shared" si="20"/>
        <v>https://www.kegg.jp/dbget-bin/www_bget?ec:7.1.1.2</v>
      </c>
      <c r="G2262" s="9" t="s">
        <v>7866</v>
      </c>
      <c r="H2262" s="1" t="str">
        <f t="shared" si="19"/>
        <v>https://www.kegg.jp/entry/R11945</v>
      </c>
      <c r="I2262" t="s">
        <v>13567</v>
      </c>
      <c r="J2262" t="s">
        <v>13568</v>
      </c>
    </row>
    <row r="2263" spans="1:10" x14ac:dyDescent="0.25">
      <c r="A2263" t="s">
        <v>4149</v>
      </c>
      <c r="B2263">
        <v>177</v>
      </c>
      <c r="C2263" t="s">
        <v>4150</v>
      </c>
      <c r="D2263" t="s">
        <v>6840</v>
      </c>
      <c r="E2263" s="5" t="s">
        <v>7865</v>
      </c>
      <c r="F2263" s="1" t="str">
        <f t="shared" si="20"/>
        <v>https://www.kegg.jp/dbget-bin/www_bget?ec:7.1.1.2</v>
      </c>
      <c r="G2263" s="9" t="s">
        <v>7866</v>
      </c>
      <c r="H2263" s="1" t="str">
        <f t="shared" si="19"/>
        <v>https://www.kegg.jp/entry/R11945</v>
      </c>
      <c r="I2263" t="s">
        <v>13567</v>
      </c>
      <c r="J2263" t="s">
        <v>13568</v>
      </c>
    </row>
    <row r="2264" spans="1:10" x14ac:dyDescent="0.25">
      <c r="A2264" t="s">
        <v>4152</v>
      </c>
      <c r="B2264">
        <v>95</v>
      </c>
      <c r="C2264" t="s">
        <v>4153</v>
      </c>
      <c r="D2264" t="s">
        <v>6840</v>
      </c>
      <c r="E2264" s="5" t="s">
        <v>7865</v>
      </c>
      <c r="F2264" s="1" t="str">
        <f t="shared" si="20"/>
        <v>https://www.kegg.jp/dbget-bin/www_bget?ec:7.1.1.2</v>
      </c>
      <c r="G2264" s="9" t="s">
        <v>7866</v>
      </c>
      <c r="H2264" s="1" t="str">
        <f t="shared" si="19"/>
        <v>https://www.kegg.jp/entry/R11945</v>
      </c>
      <c r="I2264" t="s">
        <v>13567</v>
      </c>
      <c r="J2264" t="s">
        <v>13568</v>
      </c>
    </row>
    <row r="2265" spans="1:10" x14ac:dyDescent="0.25">
      <c r="A2265" t="s">
        <v>4155</v>
      </c>
      <c r="B2265">
        <v>606</v>
      </c>
      <c r="C2265" t="s">
        <v>4156</v>
      </c>
      <c r="D2265" t="s">
        <v>6840</v>
      </c>
      <c r="E2265" s="5" t="s">
        <v>7865</v>
      </c>
      <c r="F2265" s="1" t="str">
        <f t="shared" si="20"/>
        <v>https://www.kegg.jp/dbget-bin/www_bget?ec:7.1.1.2</v>
      </c>
      <c r="G2265" s="9" t="s">
        <v>7866</v>
      </c>
      <c r="H2265" s="1" t="str">
        <f t="shared" si="19"/>
        <v>https://www.kegg.jp/entry/R11945</v>
      </c>
      <c r="I2265" t="s">
        <v>13567</v>
      </c>
      <c r="J2265" t="s">
        <v>13568</v>
      </c>
    </row>
    <row r="2266" spans="1:10" x14ac:dyDescent="0.25">
      <c r="A2266" t="s">
        <v>4158</v>
      </c>
      <c r="B2266">
        <v>469</v>
      </c>
      <c r="C2266" t="s">
        <v>4159</v>
      </c>
      <c r="D2266" t="s">
        <v>6840</v>
      </c>
      <c r="E2266" s="5" t="s">
        <v>7865</v>
      </c>
      <c r="F2266" s="1" t="str">
        <f t="shared" si="20"/>
        <v>https://www.kegg.jp/dbget-bin/www_bget?ec:7.1.1.2</v>
      </c>
      <c r="G2266" s="9" t="s">
        <v>7866</v>
      </c>
      <c r="H2266" s="1" t="str">
        <f t="shared" si="19"/>
        <v>https://www.kegg.jp/entry/R11945</v>
      </c>
      <c r="I2266" t="s">
        <v>13567</v>
      </c>
      <c r="J2266" t="s">
        <v>13568</v>
      </c>
    </row>
    <row r="2267" spans="1:10" x14ac:dyDescent="0.25">
      <c r="A2267" t="s">
        <v>4161</v>
      </c>
      <c r="B2267">
        <v>426</v>
      </c>
      <c r="C2267" t="s">
        <v>4162</v>
      </c>
      <c r="D2267" t="s">
        <v>6840</v>
      </c>
      <c r="E2267" s="5" t="s">
        <v>7865</v>
      </c>
      <c r="F2267" s="1" t="str">
        <f t="shared" si="20"/>
        <v>https://www.kegg.jp/dbget-bin/www_bget?ec:7.1.1.2</v>
      </c>
      <c r="G2267" s="9" t="s">
        <v>7866</v>
      </c>
      <c r="H2267" s="1" t="str">
        <f t="shared" si="19"/>
        <v>https://www.kegg.jp/entry/R11945</v>
      </c>
      <c r="I2267" t="s">
        <v>13567</v>
      </c>
      <c r="J2267" t="s">
        <v>13568</v>
      </c>
    </row>
    <row r="2268" spans="1:10" hidden="1" x14ac:dyDescent="0.25">
      <c r="A2268" t="s">
        <v>4163</v>
      </c>
      <c r="B2268">
        <v>542</v>
      </c>
      <c r="C2268" t="s">
        <v>4164</v>
      </c>
      <c r="F2268" s="1" t="str">
        <f t="shared" si="18"/>
        <v/>
      </c>
      <c r="G2268" s="3"/>
      <c r="H2268" s="1" t="str">
        <f t="shared" si="19"/>
        <v/>
      </c>
    </row>
    <row r="2269" spans="1:10" x14ac:dyDescent="0.25">
      <c r="A2269" t="s">
        <v>4166</v>
      </c>
      <c r="B2269">
        <v>909</v>
      </c>
      <c r="C2269" t="s">
        <v>4167</v>
      </c>
      <c r="E2269" s="5" t="s">
        <v>6943</v>
      </c>
      <c r="F2269" s="1" t="str">
        <f t="shared" ref="F2269:F2270" si="21">IF(E2269&lt;&gt;"", HYPERLINK("https://www.kegg.jp/dbget-bin/www_bget?ec:" &amp; E2269, "https://www.kegg.jp/dbget-bin/www_bget?ec:" &amp; E2269), "")</f>
        <v>https://www.kegg.jp/dbget-bin/www_bget?ec:4.2.1.3</v>
      </c>
      <c r="G2269" s="9" t="s">
        <v>7867</v>
      </c>
      <c r="H2269" s="1" t="str">
        <f t="shared" si="19"/>
        <v>https://www.kegg.jp/entry/R01324</v>
      </c>
      <c r="I2269" t="s">
        <v>8331</v>
      </c>
      <c r="J2269" t="s">
        <v>8156</v>
      </c>
    </row>
    <row r="2270" spans="1:10" x14ac:dyDescent="0.25">
      <c r="A2270" t="s">
        <v>4166</v>
      </c>
      <c r="B2270">
        <v>909</v>
      </c>
      <c r="C2270" t="s">
        <v>4167</v>
      </c>
      <c r="E2270" s="5" t="s">
        <v>6943</v>
      </c>
      <c r="F2270" s="1" t="str">
        <f t="shared" si="21"/>
        <v>https://www.kegg.jp/dbget-bin/www_bget?ec:4.2.1.3</v>
      </c>
      <c r="G2270" s="9" t="s">
        <v>7869</v>
      </c>
      <c r="H2270" s="1" t="str">
        <f t="shared" si="19"/>
        <v>https://www.kegg.jp/entry/R01325</v>
      </c>
      <c r="I2270" t="s">
        <v>8331</v>
      </c>
      <c r="J2270" t="s">
        <v>13569</v>
      </c>
    </row>
    <row r="2271" spans="1:10" x14ac:dyDescent="0.25">
      <c r="A2271" t="s">
        <v>4166</v>
      </c>
      <c r="B2271">
        <v>909</v>
      </c>
      <c r="C2271" t="s">
        <v>4167</v>
      </c>
      <c r="E2271" s="5" t="s">
        <v>6943</v>
      </c>
      <c r="F2271" s="1" t="str">
        <f t="shared" si="18"/>
        <v>https://www.kegg.jp/dbget-bin/www_bget?ec:4.2.1.3</v>
      </c>
      <c r="G2271" s="9" t="s">
        <v>7868</v>
      </c>
      <c r="H2271" s="1" t="str">
        <f t="shared" si="19"/>
        <v>https://www.kegg.jp/entry/R01900</v>
      </c>
      <c r="I2271" t="s">
        <v>8156</v>
      </c>
      <c r="J2271" t="s">
        <v>13569</v>
      </c>
    </row>
    <row r="2272" spans="1:10" hidden="1" x14ac:dyDescent="0.25">
      <c r="A2272" t="s">
        <v>4169</v>
      </c>
      <c r="B2272">
        <v>221</v>
      </c>
      <c r="C2272" t="s">
        <v>4170</v>
      </c>
      <c r="E2272" s="5" t="s">
        <v>6944</v>
      </c>
      <c r="F2272" s="1" t="str">
        <f t="shared" si="18"/>
        <v>https://www.kegg.jp/dbget-bin/www_bget?ec:3.6.3.14</v>
      </c>
      <c r="G2272" s="3"/>
      <c r="H2272" s="1" t="str">
        <f t="shared" si="19"/>
        <v/>
      </c>
    </row>
    <row r="2273" spans="1:8" hidden="1" x14ac:dyDescent="0.25">
      <c r="A2273" t="s">
        <v>4172</v>
      </c>
      <c r="B2273">
        <v>478</v>
      </c>
      <c r="C2273" t="s">
        <v>4173</v>
      </c>
      <c r="E2273" s="5" t="s">
        <v>6944</v>
      </c>
      <c r="F2273" s="1" t="str">
        <f t="shared" si="18"/>
        <v>https://www.kegg.jp/dbget-bin/www_bget?ec:3.6.3.14</v>
      </c>
      <c r="G2273" s="3"/>
      <c r="H2273" s="1" t="str">
        <f t="shared" si="19"/>
        <v/>
      </c>
    </row>
    <row r="2274" spans="1:8" hidden="1" x14ac:dyDescent="0.25">
      <c r="A2274" t="s">
        <v>4175</v>
      </c>
      <c r="B2274">
        <v>578</v>
      </c>
      <c r="C2274" t="s">
        <v>4176</v>
      </c>
      <c r="E2274" s="5" t="s">
        <v>6944</v>
      </c>
      <c r="F2274" s="1" t="str">
        <f t="shared" si="18"/>
        <v>https://www.kegg.jp/dbget-bin/www_bget?ec:3.6.3.14</v>
      </c>
      <c r="G2274" s="3"/>
      <c r="H2274" s="1" t="str">
        <f t="shared" si="19"/>
        <v/>
      </c>
    </row>
    <row r="2275" spans="1:8" hidden="1" x14ac:dyDescent="0.25">
      <c r="A2275" t="s">
        <v>4178</v>
      </c>
      <c r="B2275">
        <v>106</v>
      </c>
      <c r="C2275" t="s">
        <v>4179</v>
      </c>
      <c r="E2275" s="5" t="s">
        <v>6944</v>
      </c>
      <c r="F2275" s="1" t="str">
        <f t="shared" si="18"/>
        <v>https://www.kegg.jp/dbget-bin/www_bget?ec:3.6.3.14</v>
      </c>
      <c r="G2275" s="3"/>
      <c r="H2275" s="1" t="str">
        <f t="shared" si="19"/>
        <v/>
      </c>
    </row>
    <row r="2276" spans="1:8" hidden="1" x14ac:dyDescent="0.25">
      <c r="A2276" t="s">
        <v>4181</v>
      </c>
      <c r="B2276">
        <v>323</v>
      </c>
      <c r="C2276" t="s">
        <v>4182</v>
      </c>
      <c r="E2276" s="5" t="s">
        <v>6944</v>
      </c>
      <c r="F2276" s="1" t="str">
        <f t="shared" si="18"/>
        <v>https://www.kegg.jp/dbget-bin/www_bget?ec:3.6.3.14</v>
      </c>
      <c r="G2276" s="3"/>
      <c r="H2276" s="1" t="str">
        <f t="shared" si="19"/>
        <v/>
      </c>
    </row>
    <row r="2277" spans="1:8" hidden="1" x14ac:dyDescent="0.25">
      <c r="A2277" t="s">
        <v>4184</v>
      </c>
      <c r="B2277">
        <v>188</v>
      </c>
      <c r="C2277" t="s">
        <v>4185</v>
      </c>
      <c r="E2277" s="5" t="s">
        <v>6944</v>
      </c>
      <c r="F2277" s="1" t="str">
        <f t="shared" si="18"/>
        <v>https://www.kegg.jp/dbget-bin/www_bget?ec:3.6.3.14</v>
      </c>
      <c r="G2277" s="3"/>
      <c r="H2277" s="1" t="str">
        <f t="shared" si="19"/>
        <v/>
      </c>
    </row>
    <row r="2278" spans="1:8" hidden="1" x14ac:dyDescent="0.25">
      <c r="A2278" t="s">
        <v>4187</v>
      </c>
      <c r="B2278">
        <v>99</v>
      </c>
      <c r="C2278" t="s">
        <v>4188</v>
      </c>
      <c r="E2278" s="5" t="s">
        <v>6944</v>
      </c>
      <c r="F2278" s="1" t="str">
        <f t="shared" si="18"/>
        <v>https://www.kegg.jp/dbget-bin/www_bget?ec:3.6.3.14</v>
      </c>
      <c r="G2278" s="3"/>
      <c r="H2278" s="1" t="str">
        <f t="shared" si="19"/>
        <v/>
      </c>
    </row>
    <row r="2279" spans="1:8" hidden="1" x14ac:dyDescent="0.25">
      <c r="A2279" t="s">
        <v>4190</v>
      </c>
      <c r="B2279">
        <v>649</v>
      </c>
      <c r="C2279" t="s">
        <v>4191</v>
      </c>
      <c r="E2279" s="5" t="s">
        <v>6944</v>
      </c>
      <c r="F2279" s="1" t="str">
        <f t="shared" si="18"/>
        <v>https://www.kegg.jp/dbget-bin/www_bget?ec:3.6.3.14</v>
      </c>
      <c r="G2279" s="3"/>
      <c r="H2279" s="1" t="str">
        <f t="shared" si="19"/>
        <v/>
      </c>
    </row>
    <row r="2280" spans="1:8" hidden="1" x14ac:dyDescent="0.25">
      <c r="A2280" t="s">
        <v>4193</v>
      </c>
      <c r="B2280">
        <v>104</v>
      </c>
      <c r="C2280" t="s">
        <v>4194</v>
      </c>
      <c r="E2280" s="5" t="s">
        <v>6944</v>
      </c>
      <c r="F2280" s="1" t="str">
        <f t="shared" si="18"/>
        <v>https://www.kegg.jp/dbget-bin/www_bget?ec:3.6.3.14</v>
      </c>
      <c r="G2280" s="3"/>
      <c r="H2280" s="1" t="str">
        <f t="shared" si="19"/>
        <v/>
      </c>
    </row>
    <row r="2281" spans="1:8" hidden="1" x14ac:dyDescent="0.25">
      <c r="A2281" t="s">
        <v>4195</v>
      </c>
      <c r="B2281">
        <v>288</v>
      </c>
      <c r="C2281" t="s">
        <v>4196</v>
      </c>
      <c r="F2281" s="1" t="str">
        <f t="shared" si="18"/>
        <v/>
      </c>
      <c r="G2281" s="3"/>
      <c r="H2281" s="1" t="str">
        <f t="shared" si="19"/>
        <v/>
      </c>
    </row>
    <row r="2282" spans="1:8" hidden="1" x14ac:dyDescent="0.25">
      <c r="A2282" t="s">
        <v>4197</v>
      </c>
      <c r="B2282">
        <v>179</v>
      </c>
      <c r="C2282" t="s">
        <v>4198</v>
      </c>
      <c r="F2282" s="1" t="str">
        <f t="shared" si="18"/>
        <v/>
      </c>
      <c r="G2282" s="3"/>
      <c r="H2282" s="1" t="str">
        <f t="shared" si="19"/>
        <v/>
      </c>
    </row>
    <row r="2283" spans="1:8" hidden="1" x14ac:dyDescent="0.25">
      <c r="A2283" t="s">
        <v>4199</v>
      </c>
      <c r="B2283">
        <v>144</v>
      </c>
      <c r="C2283" t="s">
        <v>4200</v>
      </c>
      <c r="F2283" s="1" t="str">
        <f t="shared" si="18"/>
        <v/>
      </c>
      <c r="G2283" s="3"/>
      <c r="H2283" s="1" t="str">
        <f t="shared" ref="H2283:H2346" si="22">IF(G2283&lt;&gt;"", HYPERLINK("https://www.kegg.jp/entry/" &amp; G2283, "https://www.kegg.jp/entry/" &amp; G2283), "")</f>
        <v/>
      </c>
    </row>
    <row r="2284" spans="1:8" hidden="1" x14ac:dyDescent="0.25">
      <c r="A2284" t="s">
        <v>4201</v>
      </c>
      <c r="B2284">
        <v>506</v>
      </c>
      <c r="C2284" t="s">
        <v>4202</v>
      </c>
      <c r="F2284" s="1" t="str">
        <f t="shared" si="18"/>
        <v/>
      </c>
      <c r="G2284" s="3"/>
      <c r="H2284" s="1" t="str">
        <f t="shared" si="22"/>
        <v/>
      </c>
    </row>
    <row r="2285" spans="1:8" hidden="1" x14ac:dyDescent="0.25">
      <c r="A2285" t="s">
        <v>4203</v>
      </c>
      <c r="B2285">
        <v>100</v>
      </c>
      <c r="C2285" t="s">
        <v>4204</v>
      </c>
      <c r="F2285" s="1" t="str">
        <f t="shared" si="18"/>
        <v/>
      </c>
      <c r="G2285" s="3"/>
      <c r="H2285" s="1" t="str">
        <f t="shared" si="22"/>
        <v/>
      </c>
    </row>
    <row r="2286" spans="1:8" hidden="1" x14ac:dyDescent="0.25">
      <c r="A2286" t="s">
        <v>4205</v>
      </c>
      <c r="B2286">
        <v>444</v>
      </c>
      <c r="C2286" t="s">
        <v>4206</v>
      </c>
      <c r="F2286" s="1" t="str">
        <f t="shared" si="18"/>
        <v/>
      </c>
      <c r="G2286" s="3"/>
      <c r="H2286" s="1" t="str">
        <f t="shared" si="22"/>
        <v/>
      </c>
    </row>
    <row r="2287" spans="1:8" hidden="1" x14ac:dyDescent="0.25">
      <c r="A2287" t="s">
        <v>4208</v>
      </c>
      <c r="B2287">
        <v>381</v>
      </c>
      <c r="C2287" t="s">
        <v>4209</v>
      </c>
      <c r="F2287" s="1" t="str">
        <f t="shared" si="18"/>
        <v/>
      </c>
      <c r="G2287" s="3"/>
      <c r="H2287" s="1" t="str">
        <f t="shared" si="22"/>
        <v/>
      </c>
    </row>
    <row r="2288" spans="1:8" hidden="1" x14ac:dyDescent="0.25">
      <c r="A2288" t="s">
        <v>4210</v>
      </c>
      <c r="B2288">
        <v>192</v>
      </c>
      <c r="C2288" t="s">
        <v>4211</v>
      </c>
      <c r="F2288" s="1" t="str">
        <f t="shared" si="18"/>
        <v/>
      </c>
      <c r="G2288" s="3"/>
      <c r="H2288" s="1" t="str">
        <f t="shared" si="22"/>
        <v/>
      </c>
    </row>
    <row r="2289" spans="1:10" hidden="1" x14ac:dyDescent="0.25">
      <c r="A2289" t="s">
        <v>4212</v>
      </c>
      <c r="B2289">
        <v>69</v>
      </c>
      <c r="C2289" t="s">
        <v>4213</v>
      </c>
      <c r="F2289" s="1" t="str">
        <f t="shared" si="18"/>
        <v/>
      </c>
      <c r="G2289" s="3"/>
      <c r="H2289" s="1" t="str">
        <f t="shared" si="22"/>
        <v/>
      </c>
    </row>
    <row r="2290" spans="1:10" hidden="1" x14ac:dyDescent="0.25">
      <c r="A2290" t="s">
        <v>4214</v>
      </c>
      <c r="B2290">
        <v>121</v>
      </c>
      <c r="C2290" t="s">
        <v>4215</v>
      </c>
      <c r="F2290" s="1" t="str">
        <f t="shared" ref="F2290:F2364" si="23">IF(E2290&lt;&gt;"", HYPERLINK("https://www.kegg.jp/dbget-bin/www_bget?ec:" &amp; E2290, "https://www.kegg.jp/dbget-bin/www_bget?ec:" &amp; E2290), "")</f>
        <v/>
      </c>
      <c r="G2290" s="3"/>
      <c r="H2290" s="1" t="str">
        <f t="shared" si="22"/>
        <v/>
      </c>
    </row>
    <row r="2291" spans="1:10" hidden="1" x14ac:dyDescent="0.25">
      <c r="A2291" t="s">
        <v>4217</v>
      </c>
      <c r="B2291">
        <v>224</v>
      </c>
      <c r="C2291" t="s">
        <v>4218</v>
      </c>
      <c r="F2291" s="1" t="str">
        <f t="shared" si="23"/>
        <v/>
      </c>
      <c r="G2291" s="3"/>
      <c r="H2291" s="1" t="str">
        <f t="shared" si="22"/>
        <v/>
      </c>
    </row>
    <row r="2292" spans="1:10" x14ac:dyDescent="0.25">
      <c r="A2292" t="s">
        <v>4220</v>
      </c>
      <c r="B2292">
        <v>274</v>
      </c>
      <c r="C2292" t="s">
        <v>4221</v>
      </c>
      <c r="E2292" s="5" t="s">
        <v>6945</v>
      </c>
      <c r="F2292" s="1" t="str">
        <f t="shared" ref="F2292" si="24">IF(E2292&lt;&gt;"", HYPERLINK("https://www.kegg.jp/dbget-bin/www_bget?ec:" &amp; E2292, "https://www.kegg.jp/dbget-bin/www_bget?ec:" &amp; E2292), "")</f>
        <v>https://www.kegg.jp/dbget-bin/www_bget?ec:2.7.11.1</v>
      </c>
      <c r="G2292" s="9" t="s">
        <v>7870</v>
      </c>
      <c r="H2292" s="1" t="str">
        <f t="shared" si="22"/>
        <v>https://www.kegg.jp/entry/R00162</v>
      </c>
      <c r="I2292" t="s">
        <v>8332</v>
      </c>
      <c r="J2292" t="s">
        <v>8591</v>
      </c>
    </row>
    <row r="2293" spans="1:10" x14ac:dyDescent="0.25">
      <c r="A2293" t="s">
        <v>4220</v>
      </c>
      <c r="B2293">
        <v>274</v>
      </c>
      <c r="C2293" t="s">
        <v>4221</v>
      </c>
      <c r="E2293" s="5" t="s">
        <v>6945</v>
      </c>
      <c r="F2293" s="1" t="str">
        <f t="shared" si="23"/>
        <v>https://www.kegg.jp/dbget-bin/www_bget?ec:2.7.11.1</v>
      </c>
      <c r="G2293" s="9" t="s">
        <v>7871</v>
      </c>
      <c r="H2293" s="1" t="str">
        <f t="shared" si="22"/>
        <v>https://www.kegg.jp/entry/R03632</v>
      </c>
      <c r="I2293" t="s">
        <v>8333</v>
      </c>
      <c r="J2293" t="s">
        <v>8592</v>
      </c>
    </row>
    <row r="2294" spans="1:10" x14ac:dyDescent="0.25">
      <c r="A2294" t="s">
        <v>4223</v>
      </c>
      <c r="B2294">
        <v>630</v>
      </c>
      <c r="C2294" t="s">
        <v>4224</v>
      </c>
      <c r="E2294" s="5" t="s">
        <v>6946</v>
      </c>
      <c r="F2294" s="1" t="str">
        <f t="shared" si="23"/>
        <v>https://www.kegg.jp/dbget-bin/www_bget?ec:6.2.1.16</v>
      </c>
      <c r="G2294" s="3" t="s">
        <v>7254</v>
      </c>
      <c r="H2294" s="1" t="str">
        <f t="shared" si="22"/>
        <v>https://www.kegg.jp/entry/R01357</v>
      </c>
      <c r="I2294" t="s">
        <v>13570</v>
      </c>
      <c r="J2294" t="s">
        <v>13571</v>
      </c>
    </row>
    <row r="2295" spans="1:10" hidden="1" x14ac:dyDescent="0.25">
      <c r="A2295" t="s">
        <v>4225</v>
      </c>
      <c r="B2295">
        <v>793</v>
      </c>
      <c r="C2295" t="s">
        <v>4226</v>
      </c>
      <c r="F2295" s="1" t="str">
        <f t="shared" si="23"/>
        <v/>
      </c>
      <c r="G2295" s="3"/>
      <c r="H2295" s="1" t="str">
        <f t="shared" si="22"/>
        <v/>
      </c>
    </row>
    <row r="2296" spans="1:10" hidden="1" x14ac:dyDescent="0.25">
      <c r="A2296" t="s">
        <v>4228</v>
      </c>
      <c r="B2296">
        <v>494</v>
      </c>
      <c r="C2296" t="s">
        <v>4229</v>
      </c>
      <c r="F2296" s="1" t="str">
        <f t="shared" si="23"/>
        <v/>
      </c>
      <c r="G2296" s="3"/>
      <c r="H2296" s="1" t="str">
        <f t="shared" si="22"/>
        <v/>
      </c>
    </row>
    <row r="2297" spans="1:10" hidden="1" x14ac:dyDescent="0.25">
      <c r="A2297" t="s">
        <v>4230</v>
      </c>
      <c r="B2297">
        <v>352</v>
      </c>
      <c r="C2297" t="s">
        <v>4231</v>
      </c>
      <c r="F2297" s="1" t="str">
        <f t="shared" si="23"/>
        <v/>
      </c>
      <c r="G2297" s="3"/>
      <c r="H2297" s="1" t="str">
        <f t="shared" si="22"/>
        <v/>
      </c>
    </row>
    <row r="2298" spans="1:10" hidden="1" x14ac:dyDescent="0.25">
      <c r="C2298" t="s">
        <v>4232</v>
      </c>
      <c r="F2298" s="1" t="str">
        <f t="shared" si="23"/>
        <v/>
      </c>
      <c r="G2298" s="3"/>
      <c r="H2298" s="1" t="str">
        <f t="shared" si="22"/>
        <v/>
      </c>
    </row>
    <row r="2299" spans="1:10" hidden="1" x14ac:dyDescent="0.25">
      <c r="A2299" t="s">
        <v>4233</v>
      </c>
      <c r="B2299">
        <v>383</v>
      </c>
      <c r="C2299" t="s">
        <v>4234</v>
      </c>
      <c r="F2299" s="1" t="str">
        <f t="shared" si="23"/>
        <v/>
      </c>
      <c r="G2299" s="3"/>
      <c r="H2299" s="1" t="str">
        <f t="shared" si="22"/>
        <v/>
      </c>
    </row>
    <row r="2300" spans="1:10" hidden="1" x14ac:dyDescent="0.25">
      <c r="A2300" t="s">
        <v>4235</v>
      </c>
      <c r="B2300">
        <v>470</v>
      </c>
      <c r="C2300" t="s">
        <v>4236</v>
      </c>
      <c r="F2300" s="1" t="str">
        <f t="shared" si="23"/>
        <v/>
      </c>
      <c r="G2300" s="3"/>
      <c r="H2300" s="1" t="str">
        <f t="shared" si="22"/>
        <v/>
      </c>
    </row>
    <row r="2301" spans="1:10" hidden="1" x14ac:dyDescent="0.25">
      <c r="A2301" t="s">
        <v>4237</v>
      </c>
      <c r="B2301">
        <v>265</v>
      </c>
      <c r="C2301" t="s">
        <v>4238</v>
      </c>
      <c r="F2301" s="1" t="str">
        <f t="shared" si="23"/>
        <v/>
      </c>
      <c r="G2301" s="3"/>
      <c r="H2301" s="1" t="str">
        <f t="shared" si="22"/>
        <v/>
      </c>
    </row>
    <row r="2302" spans="1:10" x14ac:dyDescent="0.25">
      <c r="A2302" t="s">
        <v>4240</v>
      </c>
      <c r="B2302">
        <v>412</v>
      </c>
      <c r="C2302" t="s">
        <v>4241</v>
      </c>
      <c r="E2302" s="5" t="s">
        <v>6947</v>
      </c>
      <c r="F2302" s="1" t="str">
        <f t="shared" ref="F2302:F2303" si="25">IF(E2302&lt;&gt;"", HYPERLINK("https://www.kegg.jp/dbget-bin/www_bget?ec:" &amp; E2302, "https://www.kegg.jp/dbget-bin/www_bget?ec:" &amp; E2302), "")</f>
        <v>https://www.kegg.jp/dbget-bin/www_bget?ec:1.1.1.23</v>
      </c>
      <c r="G2302" s="9" t="s">
        <v>7872</v>
      </c>
      <c r="H2302" s="1" t="str">
        <f t="shared" si="22"/>
        <v>https://www.kegg.jp/entry/R01158</v>
      </c>
      <c r="I2302" t="s">
        <v>13572</v>
      </c>
      <c r="J2302" t="s">
        <v>13573</v>
      </c>
    </row>
    <row r="2303" spans="1:10" x14ac:dyDescent="0.25">
      <c r="A2303" t="s">
        <v>4240</v>
      </c>
      <c r="B2303">
        <v>412</v>
      </c>
      <c r="C2303" t="s">
        <v>4241</v>
      </c>
      <c r="E2303" s="5" t="s">
        <v>6947</v>
      </c>
      <c r="F2303" s="1" t="str">
        <f t="shared" si="25"/>
        <v>https://www.kegg.jp/dbget-bin/www_bget?ec:1.1.1.23</v>
      </c>
      <c r="G2303" s="9" t="s">
        <v>7874</v>
      </c>
      <c r="H2303" s="1" t="str">
        <f t="shared" si="22"/>
        <v>https://www.kegg.jp/entry/R01163</v>
      </c>
      <c r="I2303" t="s">
        <v>13574</v>
      </c>
      <c r="J2303" t="s">
        <v>13573</v>
      </c>
    </row>
    <row r="2304" spans="1:10" x14ac:dyDescent="0.25">
      <c r="A2304" t="s">
        <v>4240</v>
      </c>
      <c r="B2304">
        <v>412</v>
      </c>
      <c r="C2304" t="s">
        <v>4241</v>
      </c>
      <c r="E2304" s="5" t="s">
        <v>6947</v>
      </c>
      <c r="F2304" s="1" t="str">
        <f t="shared" si="23"/>
        <v>https://www.kegg.jp/dbget-bin/www_bget?ec:1.1.1.23</v>
      </c>
      <c r="G2304" s="9" t="s">
        <v>7873</v>
      </c>
      <c r="H2304" s="1" t="str">
        <f t="shared" si="22"/>
        <v>https://www.kegg.jp/entry/R03012</v>
      </c>
      <c r="I2304" t="s">
        <v>13575</v>
      </c>
      <c r="J2304" t="s">
        <v>13576</v>
      </c>
    </row>
    <row r="2305" spans="1:10" hidden="1" x14ac:dyDescent="0.25">
      <c r="A2305" t="s">
        <v>4242</v>
      </c>
      <c r="B2305">
        <v>198</v>
      </c>
      <c r="C2305" t="s">
        <v>4243</v>
      </c>
      <c r="F2305" s="1" t="str">
        <f t="shared" si="23"/>
        <v/>
      </c>
      <c r="G2305" s="3"/>
      <c r="H2305" s="1" t="str">
        <f t="shared" si="22"/>
        <v/>
      </c>
    </row>
    <row r="2306" spans="1:10" hidden="1" x14ac:dyDescent="0.25">
      <c r="A2306" t="s">
        <v>4244</v>
      </c>
      <c r="B2306">
        <v>353</v>
      </c>
      <c r="C2306" t="s">
        <v>4245</v>
      </c>
      <c r="F2306" s="1" t="str">
        <f t="shared" si="23"/>
        <v/>
      </c>
      <c r="G2306" s="3"/>
      <c r="H2306" s="1" t="str">
        <f t="shared" si="22"/>
        <v/>
      </c>
    </row>
    <row r="2307" spans="1:10" hidden="1" x14ac:dyDescent="0.25">
      <c r="A2307" t="s">
        <v>4246</v>
      </c>
      <c r="B2307">
        <v>122</v>
      </c>
      <c r="C2307" t="s">
        <v>4247</v>
      </c>
      <c r="F2307" s="1" t="str">
        <f t="shared" si="23"/>
        <v/>
      </c>
      <c r="G2307" s="3"/>
      <c r="H2307" s="1" t="str">
        <f t="shared" si="22"/>
        <v/>
      </c>
    </row>
    <row r="2308" spans="1:10" hidden="1" x14ac:dyDescent="0.25">
      <c r="A2308" t="s">
        <v>4249</v>
      </c>
      <c r="B2308">
        <v>168</v>
      </c>
      <c r="C2308" t="s">
        <v>4250</v>
      </c>
      <c r="F2308" s="1" t="str">
        <f t="shared" si="23"/>
        <v/>
      </c>
      <c r="G2308" s="3"/>
      <c r="H2308" s="1" t="str">
        <f t="shared" si="22"/>
        <v/>
      </c>
    </row>
    <row r="2309" spans="1:10" hidden="1" x14ac:dyDescent="0.25">
      <c r="A2309" t="s">
        <v>4252</v>
      </c>
      <c r="B2309">
        <v>289</v>
      </c>
      <c r="C2309" t="s">
        <v>4253</v>
      </c>
      <c r="F2309" s="1" t="str">
        <f t="shared" si="23"/>
        <v/>
      </c>
      <c r="G2309" s="3"/>
      <c r="H2309" s="1" t="str">
        <f t="shared" si="22"/>
        <v/>
      </c>
    </row>
    <row r="2310" spans="1:10" hidden="1" x14ac:dyDescent="0.25">
      <c r="A2310" t="s">
        <v>4255</v>
      </c>
      <c r="B2310">
        <v>224</v>
      </c>
      <c r="C2310" t="s">
        <v>4256</v>
      </c>
      <c r="F2310" s="1" t="str">
        <f t="shared" si="23"/>
        <v/>
      </c>
      <c r="G2310" s="3"/>
      <c r="H2310" s="1" t="str">
        <f t="shared" si="22"/>
        <v/>
      </c>
    </row>
    <row r="2311" spans="1:10" hidden="1" x14ac:dyDescent="0.25">
      <c r="A2311" t="s">
        <v>4258</v>
      </c>
      <c r="B2311">
        <v>332</v>
      </c>
      <c r="C2311" t="s">
        <v>4259</v>
      </c>
      <c r="F2311" s="1" t="str">
        <f t="shared" si="23"/>
        <v/>
      </c>
      <c r="G2311" s="3"/>
      <c r="H2311" s="1" t="str">
        <f t="shared" si="22"/>
        <v/>
      </c>
    </row>
    <row r="2312" spans="1:10" hidden="1" x14ac:dyDescent="0.25">
      <c r="A2312" t="s">
        <v>4260</v>
      </c>
      <c r="B2312">
        <v>106</v>
      </c>
      <c r="C2312" t="s">
        <v>4261</v>
      </c>
      <c r="F2312" s="1" t="str">
        <f t="shared" si="23"/>
        <v/>
      </c>
      <c r="G2312" s="3"/>
      <c r="H2312" s="1" t="str">
        <f t="shared" si="22"/>
        <v/>
      </c>
    </row>
    <row r="2313" spans="1:10" x14ac:dyDescent="0.25">
      <c r="A2313" t="s">
        <v>4263</v>
      </c>
      <c r="B2313">
        <v>418</v>
      </c>
      <c r="C2313" t="s">
        <v>4264</v>
      </c>
      <c r="E2313" s="5" t="s">
        <v>6948</v>
      </c>
      <c r="F2313" s="1" t="str">
        <f t="shared" si="23"/>
        <v>https://www.kegg.jp/dbget-bin/www_bget?ec:6.1.1.21</v>
      </c>
      <c r="G2313" s="3" t="s">
        <v>7255</v>
      </c>
      <c r="H2313" s="1" t="str">
        <f t="shared" si="22"/>
        <v>https://www.kegg.jp/entry/R03655</v>
      </c>
      <c r="I2313" t="s">
        <v>8334</v>
      </c>
      <c r="J2313" t="s">
        <v>13577</v>
      </c>
    </row>
    <row r="2314" spans="1:10" x14ac:dyDescent="0.25">
      <c r="A2314" t="s">
        <v>4266</v>
      </c>
      <c r="B2314">
        <v>581</v>
      </c>
      <c r="C2314" t="s">
        <v>4267</v>
      </c>
      <c r="E2314" s="5" t="s">
        <v>6949</v>
      </c>
      <c r="F2314" s="1" t="str">
        <f t="shared" si="23"/>
        <v>https://www.kegg.jp/dbget-bin/www_bget?ec:6.1.1.12</v>
      </c>
      <c r="G2314" s="3" t="s">
        <v>7256</v>
      </c>
      <c r="H2314" s="1" t="str">
        <f t="shared" si="22"/>
        <v>https://www.kegg.jp/entry/R05577</v>
      </c>
      <c r="I2314" t="s">
        <v>13533</v>
      </c>
      <c r="J2314" t="s">
        <v>13534</v>
      </c>
    </row>
    <row r="2315" spans="1:10" hidden="1" x14ac:dyDescent="0.25">
      <c r="A2315" t="s">
        <v>4269</v>
      </c>
      <c r="B2315">
        <v>291</v>
      </c>
      <c r="C2315" t="s">
        <v>4270</v>
      </c>
      <c r="F2315" s="1" t="str">
        <f t="shared" si="23"/>
        <v/>
      </c>
      <c r="G2315" s="3"/>
      <c r="H2315" s="1" t="str">
        <f t="shared" si="22"/>
        <v/>
      </c>
    </row>
    <row r="2316" spans="1:10" hidden="1" x14ac:dyDescent="0.25">
      <c r="A2316" t="s">
        <v>4271</v>
      </c>
      <c r="B2316">
        <v>275</v>
      </c>
      <c r="C2316" t="s">
        <v>4272</v>
      </c>
      <c r="F2316" s="1" t="str">
        <f t="shared" si="23"/>
        <v/>
      </c>
      <c r="G2316" s="3"/>
      <c r="H2316" s="1" t="str">
        <f t="shared" si="22"/>
        <v/>
      </c>
    </row>
    <row r="2317" spans="1:10" x14ac:dyDescent="0.25">
      <c r="A2317" t="s">
        <v>4274</v>
      </c>
      <c r="B2317">
        <v>438</v>
      </c>
      <c r="C2317" t="s">
        <v>4275</v>
      </c>
      <c r="E2317" s="5" t="s">
        <v>6950</v>
      </c>
      <c r="F2317" s="1" t="str">
        <f t="shared" si="23"/>
        <v>https://www.kegg.jp/dbget-bin/www_bget?ec:6.1.1.22</v>
      </c>
      <c r="G2317" s="3" t="s">
        <v>7257</v>
      </c>
      <c r="H2317" s="1" t="str">
        <f t="shared" si="22"/>
        <v>https://www.kegg.jp/entry/R03648</v>
      </c>
      <c r="I2317" t="s">
        <v>8335</v>
      </c>
      <c r="J2317" t="s">
        <v>13578</v>
      </c>
    </row>
    <row r="2318" spans="1:10" hidden="1" x14ac:dyDescent="0.25">
      <c r="A2318" t="s">
        <v>4277</v>
      </c>
      <c r="B2318">
        <v>191</v>
      </c>
      <c r="C2318" t="s">
        <v>4278</v>
      </c>
      <c r="F2318" s="1" t="str">
        <f t="shared" si="23"/>
        <v/>
      </c>
      <c r="G2318" s="3"/>
      <c r="H2318" s="1" t="str">
        <f t="shared" si="22"/>
        <v/>
      </c>
    </row>
    <row r="2319" spans="1:10" hidden="1" x14ac:dyDescent="0.25">
      <c r="A2319" t="s">
        <v>4280</v>
      </c>
      <c r="B2319">
        <v>286</v>
      </c>
      <c r="C2319" t="s">
        <v>4281</v>
      </c>
      <c r="F2319" s="1" t="str">
        <f t="shared" si="23"/>
        <v/>
      </c>
      <c r="G2319" s="3"/>
      <c r="H2319" s="1" t="str">
        <f t="shared" si="22"/>
        <v/>
      </c>
    </row>
    <row r="2320" spans="1:10" hidden="1" x14ac:dyDescent="0.25">
      <c r="A2320" t="s">
        <v>4282</v>
      </c>
      <c r="B2320">
        <v>171</v>
      </c>
      <c r="C2320" t="s">
        <v>4283</v>
      </c>
      <c r="F2320" s="1" t="str">
        <f t="shared" si="23"/>
        <v/>
      </c>
      <c r="G2320" s="3"/>
      <c r="H2320" s="1" t="str">
        <f t="shared" si="22"/>
        <v/>
      </c>
    </row>
    <row r="2321" spans="1:10" hidden="1" x14ac:dyDescent="0.25">
      <c r="A2321" t="s">
        <v>4284</v>
      </c>
      <c r="B2321">
        <v>177</v>
      </c>
      <c r="C2321" t="s">
        <v>4285</v>
      </c>
      <c r="F2321" s="1" t="str">
        <f t="shared" si="23"/>
        <v/>
      </c>
      <c r="G2321" s="3"/>
      <c r="H2321" s="1" t="str">
        <f t="shared" si="22"/>
        <v/>
      </c>
    </row>
    <row r="2322" spans="1:10" x14ac:dyDescent="0.25">
      <c r="A2322" t="s">
        <v>4287</v>
      </c>
      <c r="B2322">
        <v>207</v>
      </c>
      <c r="C2322" t="s">
        <v>4288</v>
      </c>
      <c r="E2322" s="5" t="s">
        <v>6951</v>
      </c>
      <c r="F2322" s="1" t="str">
        <f t="shared" ref="F2322:F2325" si="26">IF(E2322&lt;&gt;"", HYPERLINK("https://www.kegg.jp/dbget-bin/www_bget?ec:" &amp; E2322, "https://www.kegg.jp/dbget-bin/www_bget?ec:" &amp; E2322), "")</f>
        <v>https://www.kegg.jp/dbget-bin/www_bget?ec:1.1.1.153</v>
      </c>
      <c r="G2322" s="9" t="s">
        <v>7875</v>
      </c>
      <c r="H2322" s="1" t="str">
        <f t="shared" si="22"/>
        <v>https://www.kegg.jp/entry/R02975</v>
      </c>
      <c r="I2322" t="s">
        <v>13579</v>
      </c>
      <c r="J2322" t="s">
        <v>13580</v>
      </c>
    </row>
    <row r="2323" spans="1:10" x14ac:dyDescent="0.25">
      <c r="A2323" t="s">
        <v>4287</v>
      </c>
      <c r="B2323">
        <v>207</v>
      </c>
      <c r="C2323" t="s">
        <v>4288</v>
      </c>
      <c r="E2323" s="5" t="s">
        <v>6951</v>
      </c>
      <c r="F2323" s="1" t="str">
        <f t="shared" si="26"/>
        <v>https://www.kegg.jp/dbget-bin/www_bget?ec:1.1.1.153</v>
      </c>
      <c r="G2323" s="9" t="s">
        <v>7879</v>
      </c>
      <c r="H2323" s="1" t="str">
        <f t="shared" si="22"/>
        <v>https://www.kegg.jp/entry/R08208</v>
      </c>
      <c r="I2323" t="s">
        <v>13581</v>
      </c>
      <c r="J2323" t="s">
        <v>13582</v>
      </c>
    </row>
    <row r="2324" spans="1:10" x14ac:dyDescent="0.25">
      <c r="A2324" t="s">
        <v>4287</v>
      </c>
      <c r="B2324">
        <v>207</v>
      </c>
      <c r="C2324" t="s">
        <v>4288</v>
      </c>
      <c r="E2324" s="5" t="s">
        <v>6951</v>
      </c>
      <c r="F2324" s="1" t="str">
        <f t="shared" si="26"/>
        <v>https://www.kegg.jp/dbget-bin/www_bget?ec:1.1.1.153</v>
      </c>
      <c r="G2324" s="9" t="s">
        <v>7878</v>
      </c>
      <c r="H2324" s="1" t="str">
        <f t="shared" si="22"/>
        <v>https://www.kegg.jp/entry/R01813</v>
      </c>
      <c r="I2324" t="s">
        <v>13581</v>
      </c>
      <c r="J2324" t="s">
        <v>13583</v>
      </c>
    </row>
    <row r="2325" spans="1:10" x14ac:dyDescent="0.25">
      <c r="A2325" t="s">
        <v>4287</v>
      </c>
      <c r="B2325">
        <v>207</v>
      </c>
      <c r="C2325" t="s">
        <v>4288</v>
      </c>
      <c r="E2325" s="5" t="s">
        <v>6951</v>
      </c>
      <c r="F2325" s="1" t="str">
        <f t="shared" si="26"/>
        <v>https://www.kegg.jp/dbget-bin/www_bget?ec:1.1.1.153</v>
      </c>
      <c r="G2325" s="9" t="s">
        <v>7877</v>
      </c>
      <c r="H2325" s="1" t="str">
        <f t="shared" si="22"/>
        <v>https://www.kegg.jp/entry/R11762</v>
      </c>
      <c r="I2325" t="s">
        <v>8336</v>
      </c>
      <c r="J2325" t="s">
        <v>8593</v>
      </c>
    </row>
    <row r="2326" spans="1:10" x14ac:dyDescent="0.25">
      <c r="A2326" t="s">
        <v>4287</v>
      </c>
      <c r="B2326">
        <v>207</v>
      </c>
      <c r="C2326" t="s">
        <v>4288</v>
      </c>
      <c r="E2326" s="5" t="s">
        <v>6951</v>
      </c>
      <c r="F2326" s="1" t="str">
        <f t="shared" si="23"/>
        <v>https://www.kegg.jp/dbget-bin/www_bget?ec:1.1.1.153</v>
      </c>
      <c r="G2326" s="9" t="s">
        <v>7876</v>
      </c>
      <c r="H2326" s="1" t="str">
        <f t="shared" si="22"/>
        <v>https://www.kegg.jp/entry/R11763</v>
      </c>
      <c r="I2326" t="s">
        <v>13584</v>
      </c>
      <c r="J2326" t="s">
        <v>13582</v>
      </c>
    </row>
    <row r="2327" spans="1:10" hidden="1" x14ac:dyDescent="0.25">
      <c r="A2327" t="s">
        <v>4290</v>
      </c>
      <c r="B2327">
        <v>260</v>
      </c>
      <c r="C2327" t="s">
        <v>4291</v>
      </c>
      <c r="F2327" s="1" t="str">
        <f t="shared" si="23"/>
        <v/>
      </c>
      <c r="G2327" s="3"/>
      <c r="H2327" s="1" t="str">
        <f t="shared" si="22"/>
        <v/>
      </c>
    </row>
    <row r="2328" spans="1:10" hidden="1" x14ac:dyDescent="0.25">
      <c r="A2328" t="s">
        <v>4292</v>
      </c>
      <c r="B2328">
        <v>255</v>
      </c>
      <c r="C2328" t="s">
        <v>4293</v>
      </c>
      <c r="F2328" s="1" t="str">
        <f t="shared" si="23"/>
        <v/>
      </c>
      <c r="G2328" s="3"/>
      <c r="H2328" s="1" t="str">
        <f t="shared" si="22"/>
        <v/>
      </c>
    </row>
    <row r="2329" spans="1:10" hidden="1" x14ac:dyDescent="0.25">
      <c r="A2329" t="s">
        <v>4295</v>
      </c>
      <c r="B2329">
        <v>506</v>
      </c>
      <c r="C2329" t="s">
        <v>4296</v>
      </c>
      <c r="F2329" s="1" t="str">
        <f t="shared" si="23"/>
        <v/>
      </c>
      <c r="G2329" s="3"/>
      <c r="H2329" s="1" t="str">
        <f t="shared" si="22"/>
        <v/>
      </c>
    </row>
    <row r="2330" spans="1:10" hidden="1" x14ac:dyDescent="0.25">
      <c r="A2330" t="s">
        <v>4298</v>
      </c>
      <c r="B2330">
        <v>467</v>
      </c>
      <c r="C2330" t="s">
        <v>4299</v>
      </c>
      <c r="F2330" s="1" t="str">
        <f t="shared" si="23"/>
        <v/>
      </c>
      <c r="G2330" s="3"/>
      <c r="H2330" s="1" t="str">
        <f t="shared" si="22"/>
        <v/>
      </c>
    </row>
    <row r="2331" spans="1:10" hidden="1" x14ac:dyDescent="0.25">
      <c r="A2331" t="s">
        <v>4300</v>
      </c>
      <c r="B2331">
        <v>421</v>
      </c>
      <c r="C2331" t="s">
        <v>4301</v>
      </c>
      <c r="F2331" s="1" t="str">
        <f t="shared" si="23"/>
        <v/>
      </c>
      <c r="G2331" s="3"/>
      <c r="H2331" s="1" t="str">
        <f t="shared" si="22"/>
        <v/>
      </c>
    </row>
    <row r="2332" spans="1:10" hidden="1" x14ac:dyDescent="0.25">
      <c r="A2332" t="s">
        <v>4303</v>
      </c>
      <c r="B2332">
        <v>237</v>
      </c>
      <c r="C2332" t="s">
        <v>4304</v>
      </c>
      <c r="F2332" s="1" t="str">
        <f t="shared" si="23"/>
        <v/>
      </c>
      <c r="G2332" s="3"/>
      <c r="H2332" s="1" t="str">
        <f t="shared" si="22"/>
        <v/>
      </c>
    </row>
    <row r="2333" spans="1:10" hidden="1" x14ac:dyDescent="0.25">
      <c r="A2333" t="s">
        <v>4305</v>
      </c>
      <c r="B2333">
        <v>221</v>
      </c>
      <c r="C2333" t="s">
        <v>4306</v>
      </c>
      <c r="F2333" s="1" t="str">
        <f t="shared" si="23"/>
        <v/>
      </c>
      <c r="G2333" s="3"/>
      <c r="H2333" s="1" t="str">
        <f t="shared" si="22"/>
        <v/>
      </c>
    </row>
    <row r="2334" spans="1:10" hidden="1" x14ac:dyDescent="0.25">
      <c r="A2334" t="s">
        <v>4308</v>
      </c>
      <c r="B2334">
        <v>413</v>
      </c>
      <c r="C2334" t="s">
        <v>4309</v>
      </c>
      <c r="F2334" s="1" t="str">
        <f t="shared" si="23"/>
        <v/>
      </c>
      <c r="G2334" s="3"/>
      <c r="H2334" s="1" t="str">
        <f t="shared" si="22"/>
        <v/>
      </c>
    </row>
    <row r="2335" spans="1:10" hidden="1" x14ac:dyDescent="0.25">
      <c r="A2335" t="s">
        <v>4311</v>
      </c>
      <c r="B2335">
        <v>672</v>
      </c>
      <c r="C2335" t="s">
        <v>4312</v>
      </c>
      <c r="D2335" t="s">
        <v>6680</v>
      </c>
      <c r="E2335" s="5" t="s">
        <v>7880</v>
      </c>
      <c r="F2335" s="1" t="str">
        <f t="shared" si="23"/>
        <v>https://www.kegg.jp/dbget-bin/www_bget?ec:7.2.2.21</v>
      </c>
      <c r="G2335" s="3"/>
      <c r="H2335" s="1" t="str">
        <f t="shared" si="22"/>
        <v/>
      </c>
    </row>
    <row r="2336" spans="1:10" hidden="1" x14ac:dyDescent="0.25">
      <c r="A2336" t="s">
        <v>4314</v>
      </c>
      <c r="B2336">
        <v>123</v>
      </c>
      <c r="C2336" t="s">
        <v>4315</v>
      </c>
      <c r="F2336" s="1" t="str">
        <f t="shared" si="23"/>
        <v/>
      </c>
      <c r="G2336" s="3"/>
      <c r="H2336" s="1" t="str">
        <f t="shared" si="22"/>
        <v/>
      </c>
    </row>
    <row r="2337" spans="1:10" hidden="1" x14ac:dyDescent="0.25">
      <c r="A2337" t="s">
        <v>4317</v>
      </c>
      <c r="B2337">
        <v>293</v>
      </c>
      <c r="C2337" t="s">
        <v>4318</v>
      </c>
      <c r="F2337" s="1" t="str">
        <f t="shared" si="23"/>
        <v/>
      </c>
      <c r="G2337" s="3"/>
      <c r="H2337" s="1" t="str">
        <f t="shared" si="22"/>
        <v/>
      </c>
    </row>
    <row r="2338" spans="1:10" hidden="1" x14ac:dyDescent="0.25">
      <c r="A2338" t="s">
        <v>4319</v>
      </c>
      <c r="B2338">
        <v>394</v>
      </c>
      <c r="C2338" t="s">
        <v>4320</v>
      </c>
      <c r="F2338" s="1" t="str">
        <f t="shared" si="23"/>
        <v/>
      </c>
      <c r="G2338" s="3"/>
      <c r="H2338" s="1" t="str">
        <f t="shared" si="22"/>
        <v/>
      </c>
    </row>
    <row r="2339" spans="1:10" hidden="1" x14ac:dyDescent="0.25">
      <c r="A2339" t="s">
        <v>4322</v>
      </c>
      <c r="B2339">
        <v>426</v>
      </c>
      <c r="C2339" t="s">
        <v>4323</v>
      </c>
      <c r="F2339" s="1" t="str">
        <f t="shared" si="23"/>
        <v/>
      </c>
      <c r="G2339" s="3"/>
      <c r="H2339" s="1" t="str">
        <f t="shared" si="22"/>
        <v/>
      </c>
    </row>
    <row r="2340" spans="1:10" x14ac:dyDescent="0.25">
      <c r="A2340" t="s">
        <v>4325</v>
      </c>
      <c r="B2340">
        <v>221</v>
      </c>
      <c r="C2340" t="s">
        <v>4326</v>
      </c>
      <c r="E2340" s="5" t="s">
        <v>6952</v>
      </c>
      <c r="F2340" s="1" t="str">
        <f t="shared" ref="F2340" si="27">IF(E2340&lt;&gt;"", HYPERLINK("https://www.kegg.jp/dbget-bin/www_bget?ec:" &amp; E2340, "https://www.kegg.jp/dbget-bin/www_bget?ec:" &amp; E2340), "")</f>
        <v>https://www.kegg.jp/dbget-bin/www_bget?ec:2.2.1.2</v>
      </c>
      <c r="G2340" s="9" t="s">
        <v>7881</v>
      </c>
      <c r="H2340" s="1" t="str">
        <f t="shared" si="22"/>
        <v>https://www.kegg.jp/entry/R08575</v>
      </c>
      <c r="I2340" t="s">
        <v>13585</v>
      </c>
      <c r="J2340" t="s">
        <v>13586</v>
      </c>
    </row>
    <row r="2341" spans="1:10" x14ac:dyDescent="0.25">
      <c r="A2341" t="s">
        <v>4325</v>
      </c>
      <c r="B2341">
        <v>221</v>
      </c>
      <c r="C2341" t="s">
        <v>4326</v>
      </c>
      <c r="E2341" s="5" t="s">
        <v>6952</v>
      </c>
      <c r="F2341" s="1" t="str">
        <f t="shared" si="23"/>
        <v>https://www.kegg.jp/dbget-bin/www_bget?ec:2.2.1.2</v>
      </c>
      <c r="G2341" s="9" t="s">
        <v>7882</v>
      </c>
      <c r="H2341" s="1" t="str">
        <f t="shared" si="22"/>
        <v>https://www.kegg.jp/entry/R01827</v>
      </c>
      <c r="I2341" t="s">
        <v>13585</v>
      </c>
      <c r="J2341" t="s">
        <v>8594</v>
      </c>
    </row>
    <row r="2342" spans="1:10" x14ac:dyDescent="0.25">
      <c r="A2342" t="s">
        <v>4328</v>
      </c>
      <c r="B2342">
        <v>1047</v>
      </c>
      <c r="C2342" t="s">
        <v>4329</v>
      </c>
      <c r="E2342" s="5" t="s">
        <v>6953</v>
      </c>
      <c r="F2342" s="1" t="str">
        <f t="shared" si="23"/>
        <v>https://www.kegg.jp/dbget-bin/www_bget?ec:6.1.1.5</v>
      </c>
      <c r="G2342" s="3" t="s">
        <v>7258</v>
      </c>
      <c r="H2342" s="1" t="str">
        <f t="shared" si="22"/>
        <v>https://www.kegg.jp/entry/R03656</v>
      </c>
      <c r="I2342" t="s">
        <v>8337</v>
      </c>
      <c r="J2342" t="s">
        <v>13587</v>
      </c>
    </row>
    <row r="2343" spans="1:10" hidden="1" x14ac:dyDescent="0.25">
      <c r="A2343" t="s">
        <v>4330</v>
      </c>
      <c r="B2343">
        <v>184</v>
      </c>
      <c r="C2343" t="s">
        <v>4331</v>
      </c>
      <c r="F2343" s="1" t="str">
        <f t="shared" si="23"/>
        <v/>
      </c>
      <c r="G2343" s="3"/>
      <c r="H2343" s="1" t="str">
        <f t="shared" si="22"/>
        <v/>
      </c>
    </row>
    <row r="2344" spans="1:10" hidden="1" x14ac:dyDescent="0.25">
      <c r="A2344" t="s">
        <v>4333</v>
      </c>
      <c r="B2344">
        <v>345</v>
      </c>
      <c r="C2344" t="s">
        <v>4334</v>
      </c>
      <c r="F2344" s="1" t="str">
        <f t="shared" si="23"/>
        <v/>
      </c>
      <c r="G2344" s="3"/>
      <c r="H2344" s="1" t="str">
        <f t="shared" si="22"/>
        <v/>
      </c>
    </row>
    <row r="2345" spans="1:10" hidden="1" x14ac:dyDescent="0.25">
      <c r="A2345" t="s">
        <v>4336</v>
      </c>
      <c r="B2345">
        <v>163</v>
      </c>
      <c r="C2345" t="s">
        <v>4337</v>
      </c>
      <c r="F2345" s="1" t="str">
        <f t="shared" si="23"/>
        <v/>
      </c>
      <c r="G2345" s="3"/>
      <c r="H2345" s="1" t="str">
        <f t="shared" si="22"/>
        <v/>
      </c>
    </row>
    <row r="2346" spans="1:10" hidden="1" x14ac:dyDescent="0.25">
      <c r="A2346" t="s">
        <v>4339</v>
      </c>
      <c r="B2346">
        <v>276</v>
      </c>
      <c r="C2346" t="s">
        <v>4340</v>
      </c>
      <c r="E2346" s="5" t="s">
        <v>6954</v>
      </c>
      <c r="F2346" s="1" t="str">
        <f t="shared" si="23"/>
        <v>https://www.kegg.jp/dbget-bin/www_bget?ec:3.1.21.2</v>
      </c>
      <c r="G2346" s="3"/>
      <c r="H2346" s="1" t="str">
        <f t="shared" si="22"/>
        <v/>
      </c>
    </row>
    <row r="2347" spans="1:10" hidden="1" x14ac:dyDescent="0.25">
      <c r="A2347" t="s">
        <v>4341</v>
      </c>
      <c r="B2347">
        <v>48</v>
      </c>
      <c r="C2347" t="s">
        <v>4342</v>
      </c>
      <c r="F2347" s="1" t="str">
        <f t="shared" si="23"/>
        <v/>
      </c>
      <c r="G2347" s="3"/>
      <c r="H2347" s="1" t="str">
        <f t="shared" ref="H2347:H2410" si="28">IF(G2347&lt;&gt;"", HYPERLINK("https://www.kegg.jp/entry/" &amp; G2347, "https://www.kegg.jp/entry/" &amp; G2347), "")</f>
        <v/>
      </c>
    </row>
    <row r="2348" spans="1:10" hidden="1" x14ac:dyDescent="0.25">
      <c r="A2348" t="s">
        <v>4344</v>
      </c>
      <c r="B2348">
        <v>219</v>
      </c>
      <c r="C2348" t="s">
        <v>4345</v>
      </c>
      <c r="F2348" s="1" t="str">
        <f t="shared" si="23"/>
        <v/>
      </c>
      <c r="G2348" s="3"/>
      <c r="H2348" s="1" t="str">
        <f t="shared" si="28"/>
        <v/>
      </c>
    </row>
    <row r="2349" spans="1:10" hidden="1" x14ac:dyDescent="0.25">
      <c r="A2349" t="s">
        <v>4346</v>
      </c>
      <c r="B2349">
        <v>201</v>
      </c>
      <c r="C2349" t="s">
        <v>4347</v>
      </c>
      <c r="F2349" s="1" t="str">
        <f t="shared" si="23"/>
        <v/>
      </c>
      <c r="G2349" s="3"/>
      <c r="H2349" s="1" t="str">
        <f t="shared" si="28"/>
        <v/>
      </c>
    </row>
    <row r="2350" spans="1:10" x14ac:dyDescent="0.25">
      <c r="A2350" t="s">
        <v>4349</v>
      </c>
      <c r="B2350">
        <v>833</v>
      </c>
      <c r="C2350" t="s">
        <v>4350</v>
      </c>
      <c r="E2350" s="5" t="s">
        <v>6764</v>
      </c>
      <c r="F2350" s="1" t="str">
        <f t="shared" ref="F2350:F2352" si="29">IF(E2350&lt;&gt;"", HYPERLINK("https://www.kegg.jp/dbget-bin/www_bget?ec:" &amp; E2350, "https://www.kegg.jp/dbget-bin/www_bget?ec:" &amp; E2350), "")</f>
        <v>https://www.kegg.jp/dbget-bin/www_bget?ec:2.7.7.72</v>
      </c>
      <c r="G2350" s="9" t="s">
        <v>7579</v>
      </c>
      <c r="H2350" s="1" t="str">
        <f t="shared" si="28"/>
        <v>https://www.kegg.jp/entry/R09382</v>
      </c>
      <c r="I2350" t="s">
        <v>13090</v>
      </c>
      <c r="J2350" t="s">
        <v>13091</v>
      </c>
    </row>
    <row r="2351" spans="1:10" x14ac:dyDescent="0.25">
      <c r="A2351" t="s">
        <v>4349</v>
      </c>
      <c r="B2351">
        <v>833</v>
      </c>
      <c r="C2351" t="s">
        <v>4350</v>
      </c>
      <c r="E2351" s="5" t="s">
        <v>6764</v>
      </c>
      <c r="F2351" s="1" t="str">
        <f t="shared" si="29"/>
        <v>https://www.kegg.jp/dbget-bin/www_bget?ec:2.7.7.72</v>
      </c>
      <c r="G2351" s="9" t="s">
        <v>7582</v>
      </c>
      <c r="H2351" s="1" t="str">
        <f t="shared" si="28"/>
        <v>https://www.kegg.jp/entry/R09383</v>
      </c>
      <c r="I2351" t="s">
        <v>13092</v>
      </c>
      <c r="J2351" t="s">
        <v>13093</v>
      </c>
    </row>
    <row r="2352" spans="1:10" x14ac:dyDescent="0.25">
      <c r="A2352" t="s">
        <v>4349</v>
      </c>
      <c r="B2352">
        <v>833</v>
      </c>
      <c r="C2352" t="s">
        <v>4350</v>
      </c>
      <c r="E2352" s="5" t="s">
        <v>6764</v>
      </c>
      <c r="F2352" s="1" t="str">
        <f t="shared" si="29"/>
        <v>https://www.kegg.jp/dbget-bin/www_bget?ec:2.7.7.72</v>
      </c>
      <c r="G2352" s="9" t="s">
        <v>7581</v>
      </c>
      <c r="H2352" s="1" t="str">
        <f t="shared" si="28"/>
        <v>https://www.kegg.jp/entry/R09384</v>
      </c>
      <c r="I2352" t="s">
        <v>13094</v>
      </c>
      <c r="J2352" t="s">
        <v>13095</v>
      </c>
    </row>
    <row r="2353" spans="1:10" x14ac:dyDescent="0.25">
      <c r="A2353" t="s">
        <v>4349</v>
      </c>
      <c r="B2353">
        <v>833</v>
      </c>
      <c r="C2353" t="s">
        <v>4350</v>
      </c>
      <c r="E2353" s="5" t="s">
        <v>6764</v>
      </c>
      <c r="F2353" s="1" t="str">
        <f t="shared" si="23"/>
        <v>https://www.kegg.jp/dbget-bin/www_bget?ec:2.7.7.72</v>
      </c>
      <c r="G2353" s="9" t="s">
        <v>7580</v>
      </c>
      <c r="H2353" s="1" t="str">
        <f t="shared" si="28"/>
        <v>https://www.kegg.jp/entry/R09386</v>
      </c>
      <c r="I2353" t="s">
        <v>13096</v>
      </c>
      <c r="J2353" t="s">
        <v>13091</v>
      </c>
    </row>
    <row r="2354" spans="1:10" hidden="1" x14ac:dyDescent="0.25">
      <c r="C2354" t="s">
        <v>4352</v>
      </c>
      <c r="F2354" s="1" t="str">
        <f t="shared" si="23"/>
        <v/>
      </c>
      <c r="G2354" s="3"/>
      <c r="H2354" s="1" t="str">
        <f t="shared" si="28"/>
        <v/>
      </c>
    </row>
    <row r="2355" spans="1:10" hidden="1" x14ac:dyDescent="0.25">
      <c r="A2355" t="s">
        <v>4354</v>
      </c>
      <c r="B2355">
        <v>272</v>
      </c>
      <c r="C2355" t="s">
        <v>4355</v>
      </c>
      <c r="F2355" s="1" t="str">
        <f t="shared" si="23"/>
        <v/>
      </c>
      <c r="G2355" s="3"/>
      <c r="H2355" s="1" t="str">
        <f t="shared" si="28"/>
        <v/>
      </c>
    </row>
    <row r="2356" spans="1:10" hidden="1" x14ac:dyDescent="0.25">
      <c r="C2356" t="s">
        <v>4356</v>
      </c>
      <c r="F2356" s="1" t="str">
        <f t="shared" si="23"/>
        <v/>
      </c>
      <c r="G2356" s="3"/>
      <c r="H2356" s="1" t="str">
        <f t="shared" si="28"/>
        <v/>
      </c>
    </row>
    <row r="2357" spans="1:10" hidden="1" x14ac:dyDescent="0.25">
      <c r="A2357" t="s">
        <v>4357</v>
      </c>
      <c r="B2357">
        <v>96</v>
      </c>
      <c r="C2357" t="s">
        <v>4358</v>
      </c>
      <c r="F2357" s="1" t="str">
        <f t="shared" si="23"/>
        <v/>
      </c>
      <c r="G2357" s="3"/>
      <c r="H2357" s="1" t="str">
        <f t="shared" si="28"/>
        <v/>
      </c>
    </row>
    <row r="2358" spans="1:10" hidden="1" x14ac:dyDescent="0.25">
      <c r="A2358" t="s">
        <v>4359</v>
      </c>
      <c r="B2358">
        <v>56</v>
      </c>
      <c r="C2358" t="s">
        <v>4360</v>
      </c>
      <c r="F2358" s="1" t="str">
        <f t="shared" si="23"/>
        <v/>
      </c>
      <c r="G2358" s="3"/>
      <c r="H2358" s="1" t="str">
        <f t="shared" si="28"/>
        <v/>
      </c>
    </row>
    <row r="2359" spans="1:10" hidden="1" x14ac:dyDescent="0.25">
      <c r="A2359" t="s">
        <v>4362</v>
      </c>
      <c r="B2359">
        <v>454</v>
      </c>
      <c r="C2359" t="s">
        <v>4363</v>
      </c>
      <c r="F2359" s="1" t="str">
        <f t="shared" si="23"/>
        <v/>
      </c>
      <c r="G2359" s="3"/>
      <c r="H2359" s="1" t="str">
        <f t="shared" si="28"/>
        <v/>
      </c>
    </row>
    <row r="2360" spans="1:10" hidden="1" x14ac:dyDescent="0.25">
      <c r="A2360" t="s">
        <v>4364</v>
      </c>
      <c r="B2360">
        <v>213</v>
      </c>
      <c r="C2360" t="s">
        <v>4365</v>
      </c>
      <c r="F2360" s="1" t="str">
        <f t="shared" si="23"/>
        <v/>
      </c>
      <c r="G2360" s="3"/>
      <c r="H2360" s="1" t="str">
        <f t="shared" si="28"/>
        <v/>
      </c>
    </row>
    <row r="2361" spans="1:10" hidden="1" x14ac:dyDescent="0.25">
      <c r="A2361" t="s">
        <v>4366</v>
      </c>
      <c r="B2361">
        <v>49</v>
      </c>
      <c r="C2361" t="s">
        <v>4367</v>
      </c>
      <c r="F2361" s="1" t="str">
        <f t="shared" si="23"/>
        <v/>
      </c>
      <c r="G2361" s="3"/>
      <c r="H2361" s="1" t="str">
        <f t="shared" si="28"/>
        <v/>
      </c>
    </row>
    <row r="2362" spans="1:10" x14ac:dyDescent="0.25">
      <c r="A2362" t="s">
        <v>4368</v>
      </c>
      <c r="B2362">
        <v>237</v>
      </c>
      <c r="C2362" t="s">
        <v>4369</v>
      </c>
      <c r="E2362" s="5" t="s">
        <v>6781</v>
      </c>
      <c r="F2362" s="1" t="str">
        <f t="shared" si="23"/>
        <v>https://www.kegg.jp/dbget-bin/www_bget?ec:2.1.1.72</v>
      </c>
      <c r="G2362" s="3" t="s">
        <v>7173</v>
      </c>
      <c r="H2362" s="1" t="str">
        <f t="shared" si="28"/>
        <v>https://www.kegg.jp/entry/R02961</v>
      </c>
      <c r="I2362" t="s">
        <v>8226</v>
      </c>
      <c r="J2362" t="s">
        <v>8502</v>
      </c>
    </row>
    <row r="2363" spans="1:10" hidden="1" x14ac:dyDescent="0.25">
      <c r="A2363" t="s">
        <v>4370</v>
      </c>
      <c r="B2363">
        <v>81</v>
      </c>
      <c r="C2363" t="s">
        <v>4371</v>
      </c>
      <c r="F2363" s="1" t="str">
        <f t="shared" si="23"/>
        <v/>
      </c>
      <c r="G2363" s="3"/>
      <c r="H2363" s="1" t="str">
        <f t="shared" si="28"/>
        <v/>
      </c>
    </row>
    <row r="2364" spans="1:10" hidden="1" x14ac:dyDescent="0.25">
      <c r="A2364" t="s">
        <v>4372</v>
      </c>
      <c r="B2364">
        <v>45</v>
      </c>
      <c r="C2364" t="s">
        <v>4373</v>
      </c>
      <c r="F2364" s="1" t="str">
        <f t="shared" si="23"/>
        <v/>
      </c>
      <c r="G2364" s="3"/>
      <c r="H2364" s="1" t="str">
        <f t="shared" si="28"/>
        <v/>
      </c>
    </row>
    <row r="2365" spans="1:10" hidden="1" x14ac:dyDescent="0.25">
      <c r="A2365" t="s">
        <v>4374</v>
      </c>
      <c r="B2365">
        <v>305</v>
      </c>
      <c r="C2365" t="s">
        <v>4375</v>
      </c>
      <c r="F2365" s="1" t="str">
        <f t="shared" ref="F2365:F2446" si="30">IF(E2365&lt;&gt;"", HYPERLINK("https://www.kegg.jp/dbget-bin/www_bget?ec:" &amp; E2365, "https://www.kegg.jp/dbget-bin/www_bget?ec:" &amp; E2365), "")</f>
        <v/>
      </c>
      <c r="G2365" s="3"/>
      <c r="H2365" s="1" t="str">
        <f t="shared" si="28"/>
        <v/>
      </c>
    </row>
    <row r="2366" spans="1:10" hidden="1" x14ac:dyDescent="0.25">
      <c r="A2366" t="s">
        <v>4376</v>
      </c>
      <c r="B2366">
        <v>89</v>
      </c>
      <c r="C2366" t="s">
        <v>4377</v>
      </c>
      <c r="F2366" s="1" t="str">
        <f t="shared" si="30"/>
        <v/>
      </c>
      <c r="G2366" s="3"/>
      <c r="H2366" s="1" t="str">
        <f t="shared" si="28"/>
        <v/>
      </c>
    </row>
    <row r="2367" spans="1:10" hidden="1" x14ac:dyDescent="0.25">
      <c r="C2367" t="s">
        <v>4378</v>
      </c>
      <c r="F2367" s="1" t="str">
        <f t="shared" si="30"/>
        <v/>
      </c>
      <c r="G2367" s="3"/>
      <c r="H2367" s="1" t="str">
        <f t="shared" si="28"/>
        <v/>
      </c>
    </row>
    <row r="2368" spans="1:10" hidden="1" x14ac:dyDescent="0.25">
      <c r="A2368" t="s">
        <v>4380</v>
      </c>
      <c r="B2368">
        <v>263</v>
      </c>
      <c r="C2368" t="s">
        <v>4381</v>
      </c>
      <c r="F2368" s="1" t="str">
        <f t="shared" si="30"/>
        <v/>
      </c>
      <c r="G2368" s="3"/>
      <c r="H2368" s="1" t="str">
        <f t="shared" si="28"/>
        <v/>
      </c>
    </row>
    <row r="2369" spans="1:10" hidden="1" x14ac:dyDescent="0.25">
      <c r="A2369" t="s">
        <v>4383</v>
      </c>
      <c r="B2369">
        <v>193</v>
      </c>
      <c r="C2369" t="s">
        <v>4384</v>
      </c>
      <c r="F2369" s="1" t="str">
        <f t="shared" si="30"/>
        <v/>
      </c>
      <c r="G2369" s="3"/>
      <c r="H2369" s="1" t="str">
        <f t="shared" si="28"/>
        <v/>
      </c>
    </row>
    <row r="2370" spans="1:10" x14ac:dyDescent="0.25">
      <c r="A2370" t="s">
        <v>4386</v>
      </c>
      <c r="B2370">
        <v>250</v>
      </c>
      <c r="C2370" t="s">
        <v>4387</v>
      </c>
      <c r="E2370" s="5" t="s">
        <v>6955</v>
      </c>
      <c r="F2370" s="1" t="str">
        <f t="shared" si="30"/>
        <v>https://www.kegg.jp/dbget-bin/www_bget?ec:2.7.4.22</v>
      </c>
      <c r="G2370" s="3" t="s">
        <v>7259</v>
      </c>
      <c r="H2370" s="1" t="str">
        <f t="shared" si="28"/>
        <v>https://www.kegg.jp/entry/R00158</v>
      </c>
      <c r="I2370" t="s">
        <v>8338</v>
      </c>
      <c r="J2370" t="s">
        <v>8595</v>
      </c>
    </row>
    <row r="2371" spans="1:10" hidden="1" x14ac:dyDescent="0.25">
      <c r="A2371" t="s">
        <v>4389</v>
      </c>
      <c r="B2371">
        <v>185</v>
      </c>
      <c r="C2371" t="s">
        <v>4390</v>
      </c>
      <c r="F2371" s="1" t="str">
        <f t="shared" si="30"/>
        <v/>
      </c>
      <c r="G2371" s="3"/>
      <c r="H2371" s="1" t="str">
        <f t="shared" si="28"/>
        <v/>
      </c>
    </row>
    <row r="2372" spans="1:10" x14ac:dyDescent="0.25">
      <c r="A2372" t="s">
        <v>4392</v>
      </c>
      <c r="B2372">
        <v>274</v>
      </c>
      <c r="C2372" t="s">
        <v>4393</v>
      </c>
      <c r="E2372" s="5" t="s">
        <v>6956</v>
      </c>
      <c r="F2372" s="1" t="str">
        <f t="shared" si="30"/>
        <v>https://www.kegg.jp/dbget-bin/www_bget?ec:2.7.7.41</v>
      </c>
      <c r="G2372" s="3" t="s">
        <v>7260</v>
      </c>
      <c r="H2372" s="1" t="str">
        <f t="shared" si="28"/>
        <v>https://www.kegg.jp/entry/R01799</v>
      </c>
      <c r="I2372" t="s">
        <v>8339</v>
      </c>
      <c r="J2372" t="s">
        <v>8596</v>
      </c>
    </row>
    <row r="2373" spans="1:10" x14ac:dyDescent="0.25">
      <c r="A2373" t="s">
        <v>4395</v>
      </c>
      <c r="B2373">
        <v>367</v>
      </c>
      <c r="C2373" t="s">
        <v>4396</v>
      </c>
      <c r="E2373" s="5" t="s">
        <v>6957</v>
      </c>
      <c r="F2373" s="1" t="str">
        <f t="shared" si="30"/>
        <v>https://www.kegg.jp/dbget-bin/www_bget?ec:1.1.1.267</v>
      </c>
      <c r="G2373" s="3" t="s">
        <v>7261</v>
      </c>
      <c r="H2373" s="1" t="str">
        <f t="shared" si="28"/>
        <v>https://www.kegg.jp/entry/R05688</v>
      </c>
      <c r="I2373" t="s">
        <v>13588</v>
      </c>
      <c r="J2373" t="s">
        <v>13589</v>
      </c>
    </row>
    <row r="2374" spans="1:10" hidden="1" x14ac:dyDescent="0.25">
      <c r="A2374" t="s">
        <v>4398</v>
      </c>
      <c r="B2374">
        <v>336</v>
      </c>
      <c r="C2374" t="s">
        <v>4399</v>
      </c>
      <c r="F2374" s="1" t="str">
        <f t="shared" si="30"/>
        <v/>
      </c>
      <c r="G2374" s="3"/>
      <c r="H2374" s="1" t="str">
        <f t="shared" si="28"/>
        <v/>
      </c>
    </row>
    <row r="2375" spans="1:10" hidden="1" x14ac:dyDescent="0.25">
      <c r="A2375" t="s">
        <v>4401</v>
      </c>
      <c r="B2375">
        <v>208</v>
      </c>
      <c r="C2375" t="s">
        <v>4402</v>
      </c>
      <c r="F2375" s="1" t="str">
        <f t="shared" si="30"/>
        <v/>
      </c>
      <c r="G2375" s="3"/>
      <c r="H2375" s="1" t="str">
        <f t="shared" si="28"/>
        <v/>
      </c>
    </row>
    <row r="2376" spans="1:10" hidden="1" x14ac:dyDescent="0.25">
      <c r="A2376" t="s">
        <v>4403</v>
      </c>
      <c r="B2376">
        <v>174</v>
      </c>
      <c r="C2376" t="s">
        <v>4404</v>
      </c>
      <c r="F2376" s="1" t="str">
        <f t="shared" si="30"/>
        <v/>
      </c>
      <c r="G2376" s="3"/>
      <c r="H2376" s="1" t="str">
        <f t="shared" si="28"/>
        <v/>
      </c>
    </row>
    <row r="2377" spans="1:10" x14ac:dyDescent="0.25">
      <c r="A2377" t="s">
        <v>4406</v>
      </c>
      <c r="B2377">
        <v>261</v>
      </c>
      <c r="C2377" t="s">
        <v>4407</v>
      </c>
      <c r="E2377" s="5" t="s">
        <v>6958</v>
      </c>
      <c r="F2377" s="1" t="str">
        <f t="shared" ref="F2377:F2379" si="31">IF(E2377&lt;&gt;"", HYPERLINK("https://www.kegg.jp/dbget-bin/www_bget?ec:" &amp; E2377, "https://www.kegg.jp/dbget-bin/www_bget?ec:" &amp; E2377), "")</f>
        <v>https://www.kegg.jp/dbget-bin/www_bget?ec:1.5.1.2</v>
      </c>
      <c r="G2377" s="9" t="s">
        <v>7883</v>
      </c>
      <c r="H2377" s="1" t="str">
        <f t="shared" si="28"/>
        <v>https://www.kegg.jp/entry/R01248</v>
      </c>
      <c r="I2377" t="s">
        <v>13590</v>
      </c>
      <c r="J2377" t="s">
        <v>13591</v>
      </c>
    </row>
    <row r="2378" spans="1:10" x14ac:dyDescent="0.25">
      <c r="A2378" t="s">
        <v>4406</v>
      </c>
      <c r="B2378">
        <v>261</v>
      </c>
      <c r="C2378" t="s">
        <v>4407</v>
      </c>
      <c r="E2378" s="5" t="s">
        <v>6958</v>
      </c>
      <c r="F2378" s="1" t="str">
        <f t="shared" si="31"/>
        <v>https://www.kegg.jp/dbget-bin/www_bget?ec:1.5.1.2</v>
      </c>
      <c r="G2378" s="9" t="s">
        <v>7886</v>
      </c>
      <c r="H2378" s="1" t="str">
        <f t="shared" si="28"/>
        <v>https://www.kegg.jp/entry/R01251</v>
      </c>
      <c r="I2378" t="s">
        <v>13592</v>
      </c>
      <c r="J2378" t="s">
        <v>13593</v>
      </c>
    </row>
    <row r="2379" spans="1:10" x14ac:dyDescent="0.25">
      <c r="A2379" t="s">
        <v>4406</v>
      </c>
      <c r="B2379">
        <v>261</v>
      </c>
      <c r="C2379" t="s">
        <v>4407</v>
      </c>
      <c r="E2379" s="5" t="s">
        <v>6958</v>
      </c>
      <c r="F2379" s="1" t="str">
        <f t="shared" si="31"/>
        <v>https://www.kegg.jp/dbget-bin/www_bget?ec:1.5.1.2</v>
      </c>
      <c r="G2379" s="9" t="s">
        <v>7885</v>
      </c>
      <c r="H2379" s="1" t="str">
        <f t="shared" si="28"/>
        <v>https://www.kegg.jp/entry/R03291</v>
      </c>
      <c r="I2379" t="s">
        <v>13594</v>
      </c>
      <c r="J2379" t="s">
        <v>13595</v>
      </c>
    </row>
    <row r="2380" spans="1:10" x14ac:dyDescent="0.25">
      <c r="A2380" t="s">
        <v>4406</v>
      </c>
      <c r="B2380">
        <v>261</v>
      </c>
      <c r="C2380" t="s">
        <v>4407</v>
      </c>
      <c r="E2380" s="5" t="s">
        <v>6958</v>
      </c>
      <c r="F2380" s="1" t="str">
        <f t="shared" si="30"/>
        <v>https://www.kegg.jp/dbget-bin/www_bget?ec:1.5.1.2</v>
      </c>
      <c r="G2380" s="9" t="s">
        <v>7884</v>
      </c>
      <c r="H2380" s="1" t="str">
        <f t="shared" si="28"/>
        <v>https://www.kegg.jp/entry/R03293</v>
      </c>
      <c r="I2380" t="s">
        <v>13596</v>
      </c>
      <c r="J2380" t="s">
        <v>13597</v>
      </c>
    </row>
    <row r="2381" spans="1:10" hidden="1" x14ac:dyDescent="0.25">
      <c r="A2381" t="s">
        <v>4409</v>
      </c>
      <c r="B2381">
        <v>398</v>
      </c>
      <c r="C2381" t="s">
        <v>4410</v>
      </c>
      <c r="F2381" s="1" t="str">
        <f t="shared" si="30"/>
        <v/>
      </c>
      <c r="G2381" s="3"/>
      <c r="H2381" s="1" t="str">
        <f t="shared" si="28"/>
        <v/>
      </c>
    </row>
    <row r="2382" spans="1:10" hidden="1" x14ac:dyDescent="0.25">
      <c r="A2382" t="s">
        <v>4412</v>
      </c>
      <c r="B2382">
        <v>90</v>
      </c>
      <c r="C2382" t="s">
        <v>4413</v>
      </c>
      <c r="F2382" s="1" t="str">
        <f t="shared" si="30"/>
        <v/>
      </c>
      <c r="G2382" s="3"/>
      <c r="H2382" s="1" t="str">
        <f t="shared" si="28"/>
        <v/>
      </c>
    </row>
    <row r="2383" spans="1:10" hidden="1" x14ac:dyDescent="0.25">
      <c r="A2383" t="s">
        <v>4414</v>
      </c>
      <c r="B2383">
        <v>145</v>
      </c>
      <c r="C2383" t="s">
        <v>4415</v>
      </c>
      <c r="F2383" s="1" t="str">
        <f t="shared" si="30"/>
        <v/>
      </c>
      <c r="G2383" s="3"/>
      <c r="H2383" s="1" t="str">
        <f t="shared" si="28"/>
        <v/>
      </c>
    </row>
    <row r="2384" spans="1:10" hidden="1" x14ac:dyDescent="0.25">
      <c r="A2384" t="s">
        <v>4417</v>
      </c>
      <c r="B2384">
        <v>142</v>
      </c>
      <c r="C2384" t="s">
        <v>4418</v>
      </c>
      <c r="F2384" s="1" t="str">
        <f t="shared" si="30"/>
        <v/>
      </c>
      <c r="G2384" s="3"/>
      <c r="H2384" s="1" t="str">
        <f t="shared" si="28"/>
        <v/>
      </c>
    </row>
    <row r="2385" spans="1:10" hidden="1" x14ac:dyDescent="0.25">
      <c r="A2385" t="s">
        <v>4420</v>
      </c>
      <c r="B2385">
        <v>227</v>
      </c>
      <c r="C2385" t="s">
        <v>4421</v>
      </c>
      <c r="F2385" s="1" t="str">
        <f t="shared" si="30"/>
        <v/>
      </c>
      <c r="G2385" s="3"/>
      <c r="H2385" s="1" t="str">
        <f t="shared" si="28"/>
        <v/>
      </c>
    </row>
    <row r="2386" spans="1:10" hidden="1" x14ac:dyDescent="0.25">
      <c r="A2386" t="s">
        <v>4423</v>
      </c>
      <c r="B2386">
        <v>182</v>
      </c>
      <c r="C2386" t="s">
        <v>4424</v>
      </c>
      <c r="F2386" s="1" t="str">
        <f t="shared" si="30"/>
        <v/>
      </c>
      <c r="G2386" s="3"/>
      <c r="H2386" s="1" t="str">
        <f t="shared" si="28"/>
        <v/>
      </c>
    </row>
    <row r="2387" spans="1:10" hidden="1" x14ac:dyDescent="0.25">
      <c r="A2387" t="s">
        <v>4426</v>
      </c>
      <c r="B2387">
        <v>670</v>
      </c>
      <c r="C2387" t="s">
        <v>4427</v>
      </c>
      <c r="F2387" s="1" t="str">
        <f t="shared" si="30"/>
        <v/>
      </c>
      <c r="G2387" s="3"/>
      <c r="H2387" s="1" t="str">
        <f t="shared" si="28"/>
        <v/>
      </c>
    </row>
    <row r="2388" spans="1:10" hidden="1" x14ac:dyDescent="0.25">
      <c r="A2388" t="s">
        <v>4428</v>
      </c>
      <c r="B2388">
        <v>347</v>
      </c>
      <c r="C2388" t="s">
        <v>4429</v>
      </c>
      <c r="F2388" s="1" t="str">
        <f t="shared" si="30"/>
        <v/>
      </c>
      <c r="G2388" s="3"/>
      <c r="H2388" s="1" t="str">
        <f t="shared" si="28"/>
        <v/>
      </c>
    </row>
    <row r="2389" spans="1:10" hidden="1" x14ac:dyDescent="0.25">
      <c r="A2389" t="s">
        <v>4431</v>
      </c>
      <c r="B2389">
        <v>457</v>
      </c>
      <c r="C2389" t="s">
        <v>4432</v>
      </c>
      <c r="F2389" s="1" t="str">
        <f t="shared" si="30"/>
        <v/>
      </c>
      <c r="G2389" s="3"/>
      <c r="H2389" s="1" t="str">
        <f t="shared" si="28"/>
        <v/>
      </c>
    </row>
    <row r="2390" spans="1:10" hidden="1" x14ac:dyDescent="0.25">
      <c r="A2390" t="s">
        <v>4433</v>
      </c>
      <c r="B2390">
        <v>263</v>
      </c>
      <c r="C2390" t="s">
        <v>4434</v>
      </c>
      <c r="F2390" s="1" t="str">
        <f t="shared" si="30"/>
        <v/>
      </c>
      <c r="G2390" s="3"/>
      <c r="H2390" s="1" t="str">
        <f t="shared" si="28"/>
        <v/>
      </c>
    </row>
    <row r="2391" spans="1:10" hidden="1" x14ac:dyDescent="0.25">
      <c r="A2391" t="s">
        <v>4436</v>
      </c>
      <c r="B2391">
        <v>124</v>
      </c>
      <c r="C2391" t="s">
        <v>4437</v>
      </c>
      <c r="F2391" s="1" t="str">
        <f t="shared" si="30"/>
        <v/>
      </c>
      <c r="G2391" s="3"/>
      <c r="H2391" s="1" t="str">
        <f t="shared" si="28"/>
        <v/>
      </c>
    </row>
    <row r="2392" spans="1:10" hidden="1" x14ac:dyDescent="0.25">
      <c r="A2392" t="s">
        <v>4439</v>
      </c>
      <c r="B2392">
        <v>229</v>
      </c>
      <c r="C2392" t="s">
        <v>4440</v>
      </c>
      <c r="F2392" s="1" t="str">
        <f t="shared" si="30"/>
        <v/>
      </c>
      <c r="G2392" s="3"/>
      <c r="H2392" s="1" t="str">
        <f t="shared" si="28"/>
        <v/>
      </c>
    </row>
    <row r="2393" spans="1:10" hidden="1" x14ac:dyDescent="0.25">
      <c r="A2393" t="s">
        <v>4441</v>
      </c>
      <c r="B2393">
        <v>41</v>
      </c>
      <c r="C2393" t="s">
        <v>4442</v>
      </c>
      <c r="F2393" s="1" t="str">
        <f t="shared" si="30"/>
        <v/>
      </c>
      <c r="G2393" s="3"/>
      <c r="H2393" s="1" t="str">
        <f t="shared" si="28"/>
        <v/>
      </c>
    </row>
    <row r="2394" spans="1:10" hidden="1" x14ac:dyDescent="0.25">
      <c r="A2394" t="s">
        <v>4444</v>
      </c>
      <c r="B2394">
        <v>478</v>
      </c>
      <c r="C2394" t="s">
        <v>4445</v>
      </c>
      <c r="F2394" s="1" t="str">
        <f t="shared" si="30"/>
        <v/>
      </c>
      <c r="G2394" s="3"/>
      <c r="H2394" s="1" t="str">
        <f t="shared" si="28"/>
        <v/>
      </c>
    </row>
    <row r="2395" spans="1:10" hidden="1" x14ac:dyDescent="0.25">
      <c r="A2395" t="s">
        <v>4446</v>
      </c>
      <c r="B2395">
        <v>219</v>
      </c>
      <c r="C2395" t="s">
        <v>4447</v>
      </c>
      <c r="F2395" s="1" t="str">
        <f t="shared" si="30"/>
        <v/>
      </c>
      <c r="G2395" s="3"/>
      <c r="H2395" s="1" t="str">
        <f t="shared" si="28"/>
        <v/>
      </c>
    </row>
    <row r="2396" spans="1:10" hidden="1" x14ac:dyDescent="0.25">
      <c r="A2396" t="s">
        <v>4448</v>
      </c>
      <c r="B2396">
        <v>247</v>
      </c>
      <c r="C2396" t="s">
        <v>4449</v>
      </c>
      <c r="F2396" s="1" t="str">
        <f t="shared" si="30"/>
        <v/>
      </c>
      <c r="G2396" s="3"/>
      <c r="H2396" s="1" t="str">
        <f t="shared" si="28"/>
        <v/>
      </c>
    </row>
    <row r="2397" spans="1:10" hidden="1" x14ac:dyDescent="0.25">
      <c r="A2397" t="s">
        <v>4450</v>
      </c>
      <c r="B2397">
        <v>282</v>
      </c>
      <c r="C2397" t="s">
        <v>4451</v>
      </c>
      <c r="F2397" s="1" t="str">
        <f t="shared" si="30"/>
        <v/>
      </c>
      <c r="G2397" s="3"/>
      <c r="H2397" s="1" t="str">
        <f t="shared" si="28"/>
        <v/>
      </c>
    </row>
    <row r="2398" spans="1:10" hidden="1" x14ac:dyDescent="0.25">
      <c r="A2398" t="s">
        <v>4452</v>
      </c>
      <c r="B2398">
        <v>42</v>
      </c>
      <c r="C2398" t="s">
        <v>4453</v>
      </c>
      <c r="F2398" s="1" t="str">
        <f t="shared" si="30"/>
        <v/>
      </c>
      <c r="G2398" s="3"/>
      <c r="H2398" s="1" t="str">
        <f t="shared" si="28"/>
        <v/>
      </c>
    </row>
    <row r="2399" spans="1:10" x14ac:dyDescent="0.25">
      <c r="A2399" t="s">
        <v>4455</v>
      </c>
      <c r="B2399">
        <v>387</v>
      </c>
      <c r="C2399" t="s">
        <v>4456</v>
      </c>
      <c r="E2399" s="5" t="s">
        <v>6959</v>
      </c>
      <c r="F2399" s="1" t="str">
        <f t="shared" ref="F2399" si="32">IF(E2399&lt;&gt;"", HYPERLINK("https://www.kegg.jp/dbget-bin/www_bget?ec:" &amp; E2399, "https://www.kegg.jp/dbget-bin/www_bget?ec:" &amp; E2399), "")</f>
        <v>https://www.kegg.jp/dbget-bin/www_bget?ec:4.1.1.37</v>
      </c>
      <c r="G2399" s="9" t="s">
        <v>7887</v>
      </c>
      <c r="H2399" s="1" t="str">
        <f t="shared" si="28"/>
        <v>https://www.kegg.jp/entry/R03197</v>
      </c>
      <c r="I2399" t="s">
        <v>8340</v>
      </c>
      <c r="J2399" t="s">
        <v>13598</v>
      </c>
    </row>
    <row r="2400" spans="1:10" x14ac:dyDescent="0.25">
      <c r="A2400" t="s">
        <v>4455</v>
      </c>
      <c r="B2400">
        <v>387</v>
      </c>
      <c r="C2400" t="s">
        <v>4456</v>
      </c>
      <c r="E2400" s="5" t="s">
        <v>6959</v>
      </c>
      <c r="F2400" s="1" t="str">
        <f t="shared" si="30"/>
        <v>https://www.kegg.jp/dbget-bin/www_bget?ec:4.1.1.37</v>
      </c>
      <c r="G2400" s="9" t="s">
        <v>7888</v>
      </c>
      <c r="H2400" s="1" t="str">
        <f t="shared" si="28"/>
        <v>https://www.kegg.jp/entry/R04972</v>
      </c>
      <c r="I2400" t="s">
        <v>8341</v>
      </c>
      <c r="J2400" t="s">
        <v>13599</v>
      </c>
    </row>
    <row r="2401" spans="1:10" x14ac:dyDescent="0.25">
      <c r="A2401" t="s">
        <v>4458</v>
      </c>
      <c r="B2401">
        <v>319</v>
      </c>
      <c r="C2401" t="s">
        <v>4459</v>
      </c>
      <c r="D2401" t="s">
        <v>6960</v>
      </c>
      <c r="E2401" s="5" t="s">
        <v>7889</v>
      </c>
      <c r="F2401" s="1" t="str">
        <f t="shared" si="30"/>
        <v>https://www.kegg.jp/dbget-bin/www_bget?ec:4.98.1.1</v>
      </c>
      <c r="G2401" s="9" t="s">
        <v>7890</v>
      </c>
      <c r="H2401" s="1" t="str">
        <f t="shared" si="28"/>
        <v>https://www.kegg.jp/entry/R00310</v>
      </c>
      <c r="I2401" t="s">
        <v>8342</v>
      </c>
      <c r="J2401" t="s">
        <v>8597</v>
      </c>
    </row>
    <row r="2402" spans="1:10" x14ac:dyDescent="0.25">
      <c r="A2402" t="s">
        <v>4461</v>
      </c>
      <c r="B2402">
        <v>451</v>
      </c>
      <c r="C2402" t="s">
        <v>4462</v>
      </c>
      <c r="E2402" s="5" t="s">
        <v>6961</v>
      </c>
      <c r="F2402" s="1" t="str">
        <f t="shared" si="30"/>
        <v>https://www.kegg.jp/dbget-bin/www_bget?ec:1.3.3.4</v>
      </c>
      <c r="G2402" s="3" t="s">
        <v>7262</v>
      </c>
      <c r="H2402" s="1" t="str">
        <f t="shared" si="28"/>
        <v>https://www.kegg.jp/entry/R03222</v>
      </c>
      <c r="I2402" t="s">
        <v>13600</v>
      </c>
      <c r="J2402" t="s">
        <v>13601</v>
      </c>
    </row>
    <row r="2403" spans="1:10" hidden="1" x14ac:dyDescent="0.25">
      <c r="A2403" t="s">
        <v>4463</v>
      </c>
      <c r="B2403">
        <v>747</v>
      </c>
      <c r="C2403" t="s">
        <v>4464</v>
      </c>
      <c r="F2403" s="1" t="str">
        <f t="shared" si="30"/>
        <v/>
      </c>
      <c r="G2403" s="3"/>
      <c r="H2403" s="1" t="str">
        <f t="shared" si="28"/>
        <v/>
      </c>
    </row>
    <row r="2404" spans="1:10" hidden="1" x14ac:dyDescent="0.25">
      <c r="A2404" t="s">
        <v>4465</v>
      </c>
      <c r="B2404">
        <v>118</v>
      </c>
      <c r="C2404" t="s">
        <v>4466</v>
      </c>
      <c r="F2404" s="1" t="str">
        <f t="shared" si="30"/>
        <v/>
      </c>
      <c r="G2404" s="3"/>
      <c r="H2404" s="1" t="str">
        <f t="shared" si="28"/>
        <v/>
      </c>
    </row>
    <row r="2405" spans="1:10" hidden="1" x14ac:dyDescent="0.25">
      <c r="A2405" t="s">
        <v>4468</v>
      </c>
      <c r="B2405">
        <v>857</v>
      </c>
      <c r="C2405" t="s">
        <v>4469</v>
      </c>
      <c r="F2405" s="1" t="str">
        <f t="shared" si="30"/>
        <v/>
      </c>
      <c r="G2405" s="3"/>
      <c r="H2405" s="1" t="str">
        <f t="shared" si="28"/>
        <v/>
      </c>
    </row>
    <row r="2406" spans="1:10" hidden="1" x14ac:dyDescent="0.25">
      <c r="A2406" t="s">
        <v>4471</v>
      </c>
      <c r="B2406">
        <v>978</v>
      </c>
      <c r="C2406" t="s">
        <v>4472</v>
      </c>
      <c r="F2406" s="1" t="str">
        <f t="shared" si="30"/>
        <v/>
      </c>
      <c r="G2406" s="3"/>
      <c r="H2406" s="1" t="str">
        <f t="shared" si="28"/>
        <v/>
      </c>
    </row>
    <row r="2407" spans="1:10" hidden="1" x14ac:dyDescent="0.25">
      <c r="A2407" t="s">
        <v>4474</v>
      </c>
      <c r="B2407">
        <v>335</v>
      </c>
      <c r="C2407" t="s">
        <v>4475</v>
      </c>
      <c r="F2407" s="1" t="str">
        <f t="shared" si="30"/>
        <v/>
      </c>
      <c r="G2407" s="3"/>
      <c r="H2407" s="1" t="str">
        <f t="shared" si="28"/>
        <v/>
      </c>
    </row>
    <row r="2408" spans="1:10" hidden="1" x14ac:dyDescent="0.25">
      <c r="A2408" t="s">
        <v>4477</v>
      </c>
      <c r="B2408">
        <v>506</v>
      </c>
      <c r="C2408" t="s">
        <v>4478</v>
      </c>
      <c r="F2408" s="1" t="str">
        <f t="shared" si="30"/>
        <v/>
      </c>
      <c r="G2408" s="3"/>
      <c r="H2408" s="1" t="str">
        <f t="shared" si="28"/>
        <v/>
      </c>
    </row>
    <row r="2409" spans="1:10" hidden="1" x14ac:dyDescent="0.25">
      <c r="A2409" t="s">
        <v>4480</v>
      </c>
      <c r="B2409">
        <v>328</v>
      </c>
      <c r="C2409" t="s">
        <v>4481</v>
      </c>
      <c r="F2409" s="1" t="str">
        <f t="shared" si="30"/>
        <v/>
      </c>
      <c r="G2409" s="3"/>
      <c r="H2409" s="1" t="str">
        <f t="shared" si="28"/>
        <v/>
      </c>
    </row>
    <row r="2410" spans="1:10" hidden="1" x14ac:dyDescent="0.25">
      <c r="A2410" t="s">
        <v>4482</v>
      </c>
      <c r="B2410">
        <v>353</v>
      </c>
      <c r="C2410" t="s">
        <v>4483</v>
      </c>
      <c r="F2410" s="1" t="str">
        <f t="shared" si="30"/>
        <v/>
      </c>
      <c r="G2410" s="3"/>
      <c r="H2410" s="1" t="str">
        <f t="shared" si="28"/>
        <v/>
      </c>
    </row>
    <row r="2411" spans="1:10" x14ac:dyDescent="0.25">
      <c r="A2411" t="s">
        <v>4485</v>
      </c>
      <c r="B2411">
        <v>361</v>
      </c>
      <c r="C2411" t="s">
        <v>4486</v>
      </c>
      <c r="E2411" s="5" t="s">
        <v>6962</v>
      </c>
      <c r="F2411" s="1" t="str">
        <f t="shared" ref="F2411:F2412" si="33">IF(E2411&lt;&gt;"", HYPERLINK("https://www.kegg.jp/dbget-bin/www_bget?ec:" &amp; E2411, "https://www.kegg.jp/dbget-bin/www_bget?ec:" &amp; E2411), "")</f>
        <v>https://www.kegg.jp/dbget-bin/www_bget?ec:1.1.1.14</v>
      </c>
      <c r="G2411" s="9" t="s">
        <v>7891</v>
      </c>
      <c r="H2411" s="1" t="str">
        <f t="shared" ref="H2411:H2474" si="34">IF(G2411&lt;&gt;"", HYPERLINK("https://www.kegg.jp/entry/" &amp; G2411, "https://www.kegg.jp/entry/" &amp; G2411), "")</f>
        <v>https://www.kegg.jp/entry/R07145</v>
      </c>
      <c r="I2411" t="s">
        <v>13602</v>
      </c>
      <c r="J2411" t="s">
        <v>13603</v>
      </c>
    </row>
    <row r="2412" spans="1:10" x14ac:dyDescent="0.25">
      <c r="A2412" t="s">
        <v>4485</v>
      </c>
      <c r="B2412">
        <v>361</v>
      </c>
      <c r="C2412" t="s">
        <v>4486</v>
      </c>
      <c r="E2412" s="5" t="s">
        <v>6962</v>
      </c>
      <c r="F2412" s="1" t="str">
        <f t="shared" si="33"/>
        <v>https://www.kegg.jp/dbget-bin/www_bget?ec:1.1.1.14</v>
      </c>
      <c r="G2412" s="9" t="s">
        <v>7893</v>
      </c>
      <c r="H2412" s="1" t="str">
        <f t="shared" si="34"/>
        <v>https://www.kegg.jp/entry/R00875</v>
      </c>
      <c r="I2412" t="s">
        <v>13604</v>
      </c>
      <c r="J2412" t="s">
        <v>13605</v>
      </c>
    </row>
    <row r="2413" spans="1:10" x14ac:dyDescent="0.25">
      <c r="A2413" t="s">
        <v>4485</v>
      </c>
      <c r="B2413">
        <v>361</v>
      </c>
      <c r="C2413" t="s">
        <v>4486</v>
      </c>
      <c r="E2413" s="5" t="s">
        <v>6962</v>
      </c>
      <c r="F2413" s="1" t="str">
        <f t="shared" si="30"/>
        <v>https://www.kegg.jp/dbget-bin/www_bget?ec:1.1.1.14</v>
      </c>
      <c r="G2413" s="9" t="s">
        <v>7892</v>
      </c>
      <c r="H2413" s="1" t="str">
        <f t="shared" si="34"/>
        <v>https://www.kegg.jp/entry/R01896</v>
      </c>
      <c r="I2413" t="s">
        <v>13606</v>
      </c>
      <c r="J2413" t="s">
        <v>13607</v>
      </c>
    </row>
    <row r="2414" spans="1:10" hidden="1" x14ac:dyDescent="0.25">
      <c r="A2414" t="s">
        <v>4488</v>
      </c>
      <c r="B2414">
        <v>161</v>
      </c>
      <c r="C2414" t="s">
        <v>4489</v>
      </c>
      <c r="F2414" s="1" t="str">
        <f t="shared" si="30"/>
        <v/>
      </c>
      <c r="G2414" s="3"/>
      <c r="H2414" s="1" t="str">
        <f t="shared" si="34"/>
        <v/>
      </c>
    </row>
    <row r="2415" spans="1:10" hidden="1" x14ac:dyDescent="0.25">
      <c r="A2415" t="s">
        <v>4491</v>
      </c>
      <c r="B2415">
        <v>284</v>
      </c>
      <c r="C2415" t="s">
        <v>4492</v>
      </c>
      <c r="F2415" s="1" t="str">
        <f t="shared" si="30"/>
        <v/>
      </c>
      <c r="G2415" s="3"/>
      <c r="H2415" s="1" t="str">
        <f t="shared" si="34"/>
        <v/>
      </c>
    </row>
    <row r="2416" spans="1:10" hidden="1" x14ac:dyDescent="0.25">
      <c r="A2416" t="s">
        <v>4493</v>
      </c>
      <c r="B2416">
        <v>426</v>
      </c>
      <c r="C2416" t="s">
        <v>4494</v>
      </c>
      <c r="F2416" s="1" t="str">
        <f t="shared" si="30"/>
        <v/>
      </c>
      <c r="G2416" s="3"/>
      <c r="H2416" s="1" t="str">
        <f t="shared" si="34"/>
        <v/>
      </c>
    </row>
    <row r="2417" spans="1:10" hidden="1" x14ac:dyDescent="0.25">
      <c r="A2417" t="s">
        <v>4496</v>
      </c>
      <c r="B2417">
        <v>186</v>
      </c>
      <c r="C2417" t="s">
        <v>4497</v>
      </c>
      <c r="F2417" s="1" t="str">
        <f t="shared" si="30"/>
        <v/>
      </c>
      <c r="G2417" s="3"/>
      <c r="H2417" s="1" t="str">
        <f t="shared" si="34"/>
        <v/>
      </c>
    </row>
    <row r="2418" spans="1:10" hidden="1" x14ac:dyDescent="0.25">
      <c r="A2418" t="s">
        <v>4499</v>
      </c>
      <c r="B2418">
        <v>242</v>
      </c>
      <c r="C2418" t="s">
        <v>4500</v>
      </c>
      <c r="F2418" s="1" t="str">
        <f t="shared" si="30"/>
        <v/>
      </c>
      <c r="G2418" s="3"/>
      <c r="H2418" s="1" t="str">
        <f t="shared" si="34"/>
        <v/>
      </c>
    </row>
    <row r="2419" spans="1:10" hidden="1" x14ac:dyDescent="0.25">
      <c r="A2419" t="s">
        <v>4502</v>
      </c>
      <c r="B2419">
        <v>443</v>
      </c>
      <c r="C2419" t="s">
        <v>4503</v>
      </c>
      <c r="E2419" s="5" t="s">
        <v>6963</v>
      </c>
      <c r="F2419" s="1" t="str">
        <f t="shared" si="30"/>
        <v>https://www.kegg.jp/dbget-bin/www_bget?ec:3.4.21.102</v>
      </c>
      <c r="G2419" s="3"/>
      <c r="H2419" s="1" t="str">
        <f t="shared" si="34"/>
        <v/>
      </c>
    </row>
    <row r="2420" spans="1:10" hidden="1" x14ac:dyDescent="0.25">
      <c r="A2420" t="s">
        <v>4504</v>
      </c>
      <c r="B2420">
        <v>289</v>
      </c>
      <c r="C2420" t="s">
        <v>4505</v>
      </c>
      <c r="F2420" s="1" t="str">
        <f t="shared" si="30"/>
        <v/>
      </c>
      <c r="G2420" s="3"/>
      <c r="H2420" s="1" t="str">
        <f t="shared" si="34"/>
        <v/>
      </c>
    </row>
    <row r="2421" spans="1:10" x14ac:dyDescent="0.25">
      <c r="A2421" t="s">
        <v>4507</v>
      </c>
      <c r="B2421">
        <v>619</v>
      </c>
      <c r="C2421" t="s">
        <v>4508</v>
      </c>
      <c r="E2421" s="5" t="s">
        <v>6964</v>
      </c>
      <c r="F2421" s="1" t="str">
        <f t="shared" ref="F2421" si="35">IF(E2421&lt;&gt;"", HYPERLINK("https://www.kegg.jp/dbget-bin/www_bget?ec:" &amp; E2421, "https://www.kegg.jp/dbget-bin/www_bget?ec:" &amp; E2421), "")</f>
        <v>https://www.kegg.jp/dbget-bin/www_bget?ec:6.1.1.10</v>
      </c>
      <c r="G2421" s="9" t="s">
        <v>7894</v>
      </c>
      <c r="H2421" s="1" t="str">
        <f t="shared" si="34"/>
        <v>https://www.kegg.jp/entry/R03659</v>
      </c>
      <c r="I2421" t="s">
        <v>8343</v>
      </c>
      <c r="J2421" t="s">
        <v>13608</v>
      </c>
    </row>
    <row r="2422" spans="1:10" x14ac:dyDescent="0.25">
      <c r="A2422" t="s">
        <v>4507</v>
      </c>
      <c r="B2422">
        <v>619</v>
      </c>
      <c r="C2422" t="s">
        <v>4508</v>
      </c>
      <c r="E2422" s="5" t="s">
        <v>6964</v>
      </c>
      <c r="F2422" s="1" t="str">
        <f t="shared" si="30"/>
        <v>https://www.kegg.jp/dbget-bin/www_bget?ec:6.1.1.10</v>
      </c>
      <c r="G2422" s="9" t="s">
        <v>7895</v>
      </c>
      <c r="H2422" s="1" t="str">
        <f t="shared" si="34"/>
        <v>https://www.kegg.jp/entry/R04773</v>
      </c>
      <c r="I2422" t="s">
        <v>13609</v>
      </c>
      <c r="J2422" t="s">
        <v>13610</v>
      </c>
    </row>
    <row r="2423" spans="1:10" hidden="1" x14ac:dyDescent="0.25">
      <c r="A2423" t="s">
        <v>4509</v>
      </c>
      <c r="B2423">
        <v>117</v>
      </c>
      <c r="C2423" t="s">
        <v>4510</v>
      </c>
      <c r="F2423" s="1" t="str">
        <f t="shared" si="30"/>
        <v/>
      </c>
      <c r="G2423" s="3"/>
      <c r="H2423" s="1" t="str">
        <f t="shared" si="34"/>
        <v/>
      </c>
    </row>
    <row r="2424" spans="1:10" hidden="1" x14ac:dyDescent="0.25">
      <c r="A2424" t="s">
        <v>4511</v>
      </c>
      <c r="B2424">
        <v>72</v>
      </c>
      <c r="C2424" t="s">
        <v>4512</v>
      </c>
      <c r="F2424" s="1" t="str">
        <f t="shared" si="30"/>
        <v/>
      </c>
      <c r="G2424" s="3"/>
      <c r="H2424" s="1" t="str">
        <f t="shared" si="34"/>
        <v/>
      </c>
    </row>
    <row r="2425" spans="1:10" hidden="1" x14ac:dyDescent="0.25">
      <c r="A2425" t="s">
        <v>4513</v>
      </c>
      <c r="B2425">
        <v>106</v>
      </c>
      <c r="C2425" t="s">
        <v>4514</v>
      </c>
      <c r="F2425" s="1" t="str">
        <f t="shared" si="30"/>
        <v/>
      </c>
      <c r="G2425" s="3"/>
      <c r="H2425" s="1" t="str">
        <f t="shared" si="34"/>
        <v/>
      </c>
    </row>
    <row r="2426" spans="1:10" hidden="1" x14ac:dyDescent="0.25">
      <c r="A2426" t="s">
        <v>4515</v>
      </c>
      <c r="B2426">
        <v>72</v>
      </c>
      <c r="C2426" t="s">
        <v>4516</v>
      </c>
      <c r="F2426" s="1" t="str">
        <f t="shared" si="30"/>
        <v/>
      </c>
      <c r="G2426" s="3"/>
      <c r="H2426" s="1" t="str">
        <f t="shared" si="34"/>
        <v/>
      </c>
    </row>
    <row r="2427" spans="1:10" x14ac:dyDescent="0.25">
      <c r="A2427" t="s">
        <v>4518</v>
      </c>
      <c r="B2427">
        <v>227</v>
      </c>
      <c r="C2427" t="s">
        <v>4519</v>
      </c>
      <c r="E2427" s="5" t="s">
        <v>6965</v>
      </c>
      <c r="F2427" s="1" t="str">
        <f t="shared" ref="F2427" si="36">IF(E2427&lt;&gt;"", HYPERLINK("https://www.kegg.jp/dbget-bin/www_bget?ec:" &amp; E2427, "https://www.kegg.jp/dbget-bin/www_bget?ec:" &amp; E2427), "")</f>
        <v>https://www.kegg.jp/dbget-bin/www_bget?ec:5.3.1.6</v>
      </c>
      <c r="G2427" s="9" t="s">
        <v>7896</v>
      </c>
      <c r="H2427" s="1" t="str">
        <f t="shared" si="34"/>
        <v>https://www.kegg.jp/entry/R01056</v>
      </c>
      <c r="I2427" t="s">
        <v>8344</v>
      </c>
      <c r="J2427" t="s">
        <v>8214</v>
      </c>
    </row>
    <row r="2428" spans="1:10" x14ac:dyDescent="0.25">
      <c r="A2428" t="s">
        <v>4518</v>
      </c>
      <c r="B2428">
        <v>227</v>
      </c>
      <c r="C2428" t="s">
        <v>4519</v>
      </c>
      <c r="E2428" s="5" t="s">
        <v>6965</v>
      </c>
      <c r="F2428" s="1" t="str">
        <f t="shared" si="30"/>
        <v>https://www.kegg.jp/dbget-bin/www_bget?ec:5.3.1.6</v>
      </c>
      <c r="G2428" s="9" t="s">
        <v>7897</v>
      </c>
      <c r="H2428" s="1" t="str">
        <f t="shared" si="34"/>
        <v>https://www.kegg.jp/entry/R09030</v>
      </c>
      <c r="I2428" t="s">
        <v>8345</v>
      </c>
      <c r="J2428" t="s">
        <v>8598</v>
      </c>
    </row>
    <row r="2429" spans="1:10" x14ac:dyDescent="0.25">
      <c r="A2429" t="s">
        <v>4521</v>
      </c>
      <c r="B2429">
        <v>154</v>
      </c>
      <c r="C2429" t="s">
        <v>4522</v>
      </c>
      <c r="D2429" t="s">
        <v>6966</v>
      </c>
      <c r="E2429" s="5" t="s">
        <v>7898</v>
      </c>
      <c r="F2429" s="1" t="str">
        <f t="shared" si="30"/>
        <v>https://www.kegg.jp/dbget-bin/www_bget?ec:1.11.1.24</v>
      </c>
      <c r="G2429" s="9" t="s">
        <v>7903</v>
      </c>
      <c r="H2429" s="1" t="str">
        <f t="shared" si="34"/>
        <v>https://www.kegg.jp/entry/R12570</v>
      </c>
      <c r="I2429" t="s">
        <v>8346</v>
      </c>
      <c r="J2429" t="s">
        <v>13611</v>
      </c>
    </row>
    <row r="2430" spans="1:10" x14ac:dyDescent="0.25">
      <c r="A2430" t="s">
        <v>4521</v>
      </c>
      <c r="B2430">
        <v>154</v>
      </c>
      <c r="C2430" t="s">
        <v>4522</v>
      </c>
      <c r="D2430" t="s">
        <v>6966</v>
      </c>
      <c r="E2430" s="5" t="s">
        <v>7899</v>
      </c>
      <c r="F2430" s="1" t="str">
        <f t="shared" si="30"/>
        <v>https://www.kegg.jp/dbget-bin/www_bget?ec:1.11.1.25</v>
      </c>
      <c r="G2430" s="9" t="s">
        <v>7904</v>
      </c>
      <c r="H2430" s="1" t="str">
        <f t="shared" si="34"/>
        <v>https://www.kegg.jp/entry/R12571</v>
      </c>
      <c r="I2430" t="s">
        <v>8347</v>
      </c>
      <c r="J2430" t="s">
        <v>13612</v>
      </c>
    </row>
    <row r="2431" spans="1:10" x14ac:dyDescent="0.25">
      <c r="A2431" t="s">
        <v>4521</v>
      </c>
      <c r="B2431">
        <v>154</v>
      </c>
      <c r="C2431" t="s">
        <v>4522</v>
      </c>
      <c r="D2431" t="s">
        <v>6966</v>
      </c>
      <c r="E2431" s="5" t="s">
        <v>7900</v>
      </c>
      <c r="F2431" s="1" t="str">
        <f t="shared" si="30"/>
        <v>https://www.kegg.jp/dbget-bin/www_bget?ec:1.11.1.26</v>
      </c>
      <c r="G2431" s="9" t="s">
        <v>7905</v>
      </c>
      <c r="H2431" s="1" t="str">
        <f t="shared" si="34"/>
        <v>https://www.kegg.jp/entry/R12579</v>
      </c>
      <c r="I2431" t="s">
        <v>13613</v>
      </c>
      <c r="J2431" t="s">
        <v>13614</v>
      </c>
    </row>
    <row r="2432" spans="1:10" x14ac:dyDescent="0.25">
      <c r="A2432" t="s">
        <v>4521</v>
      </c>
      <c r="B2432">
        <v>154</v>
      </c>
      <c r="C2432" t="s">
        <v>4522</v>
      </c>
      <c r="D2432" t="s">
        <v>6966</v>
      </c>
      <c r="E2432" s="5" t="s">
        <v>7901</v>
      </c>
      <c r="F2432" s="1" t="str">
        <f t="shared" ref="F2432" si="37">IF(E2432&lt;&gt;"", HYPERLINK("https://www.kegg.jp/dbget-bin/www_bget?ec:" &amp; E2432, "https://www.kegg.jp/dbget-bin/www_bget?ec:" &amp; E2432), "")</f>
        <v>https://www.kegg.jp/dbget-bin/www_bget?ec:1.11.1.27</v>
      </c>
      <c r="G2432" s="9" t="s">
        <v>7909</v>
      </c>
      <c r="H2432" s="1" t="str">
        <f t="shared" si="34"/>
        <v>https://www.kegg.jp/entry/R12578</v>
      </c>
      <c r="I2432" t="s">
        <v>8348</v>
      </c>
      <c r="J2432" t="s">
        <v>13615</v>
      </c>
    </row>
    <row r="2433" spans="1:10" x14ac:dyDescent="0.25">
      <c r="A2433" t="s">
        <v>4521</v>
      </c>
      <c r="B2433">
        <v>154</v>
      </c>
      <c r="C2433" t="s">
        <v>4522</v>
      </c>
      <c r="D2433" t="s">
        <v>6966</v>
      </c>
      <c r="E2433" s="5" t="s">
        <v>7902</v>
      </c>
      <c r="F2433" s="1" t="str">
        <f t="shared" si="30"/>
        <v>https://www.kegg.jp/dbget-bin/www_bget?ec:1.11.1.28</v>
      </c>
      <c r="G2433" s="9" t="s">
        <v>7906</v>
      </c>
      <c r="H2433" s="1" t="str">
        <f t="shared" si="34"/>
        <v>https://www.kegg.jp/entry/R12602</v>
      </c>
      <c r="I2433" t="s">
        <v>13616</v>
      </c>
      <c r="J2433" t="s">
        <v>13617</v>
      </c>
    </row>
    <row r="2434" spans="1:10" x14ac:dyDescent="0.25">
      <c r="A2434" t="s">
        <v>4521</v>
      </c>
      <c r="B2434">
        <v>154</v>
      </c>
      <c r="C2434" t="s">
        <v>4522</v>
      </c>
      <c r="D2434" t="s">
        <v>6966</v>
      </c>
      <c r="E2434" s="5" t="s">
        <v>7902</v>
      </c>
      <c r="F2434" s="1" t="str">
        <f t="shared" si="30"/>
        <v>https://www.kegg.jp/dbget-bin/www_bget?ec:1.11.1.28</v>
      </c>
      <c r="G2434" s="9" t="s">
        <v>7907</v>
      </c>
      <c r="H2434" s="1" t="str">
        <f t="shared" si="34"/>
        <v>https://www.kegg.jp/entry/R12603</v>
      </c>
      <c r="I2434" t="s">
        <v>13618</v>
      </c>
      <c r="J2434" t="s">
        <v>13619</v>
      </c>
    </row>
    <row r="2435" spans="1:10" hidden="1" x14ac:dyDescent="0.25">
      <c r="A2435" t="s">
        <v>4521</v>
      </c>
      <c r="B2435">
        <v>154</v>
      </c>
      <c r="C2435" t="s">
        <v>4522</v>
      </c>
      <c r="D2435" t="s">
        <v>6966</v>
      </c>
      <c r="E2435" s="5" t="s">
        <v>7908</v>
      </c>
      <c r="F2435" s="1" t="str">
        <f t="shared" si="30"/>
        <v>https://www.kegg.jp/dbget-bin/www_bget?ec:1.11.1.29</v>
      </c>
      <c r="G2435" s="3"/>
      <c r="H2435" s="1" t="str">
        <f t="shared" si="34"/>
        <v/>
      </c>
    </row>
    <row r="2436" spans="1:10" hidden="1" x14ac:dyDescent="0.25">
      <c r="A2436" t="s">
        <v>4524</v>
      </c>
      <c r="B2436">
        <v>161</v>
      </c>
      <c r="C2436" t="s">
        <v>4525</v>
      </c>
      <c r="F2436" s="1" t="str">
        <f t="shared" si="30"/>
        <v/>
      </c>
      <c r="G2436" s="3"/>
      <c r="H2436" s="1" t="str">
        <f t="shared" si="34"/>
        <v/>
      </c>
    </row>
    <row r="2437" spans="1:10" hidden="1" x14ac:dyDescent="0.25">
      <c r="A2437" t="s">
        <v>4527</v>
      </c>
      <c r="B2437">
        <v>378</v>
      </c>
      <c r="C2437" t="s">
        <v>4528</v>
      </c>
      <c r="F2437" s="1" t="str">
        <f t="shared" si="30"/>
        <v/>
      </c>
      <c r="G2437" s="3"/>
      <c r="H2437" s="1" t="str">
        <f t="shared" si="34"/>
        <v/>
      </c>
    </row>
    <row r="2438" spans="1:10" x14ac:dyDescent="0.25">
      <c r="A2438" t="s">
        <v>4530</v>
      </c>
      <c r="B2438">
        <v>259</v>
      </c>
      <c r="C2438" t="s">
        <v>4531</v>
      </c>
      <c r="E2438" s="5" t="s">
        <v>6967</v>
      </c>
      <c r="F2438" s="1" t="str">
        <f t="shared" ref="F2438:F2439" si="38">IF(E2438&lt;&gt;"", HYPERLINK("https://www.kegg.jp/dbget-bin/www_bget?ec:" &amp; E2438, "https://www.kegg.jp/dbget-bin/www_bget?ec:" &amp; E2438), "")</f>
        <v>https://www.kegg.jp/dbget-bin/www_bget?ec:4.2.1.20</v>
      </c>
      <c r="G2438" s="9" t="s">
        <v>7910</v>
      </c>
      <c r="H2438" s="1" t="str">
        <f t="shared" si="34"/>
        <v>https://www.kegg.jp/entry/R00674</v>
      </c>
      <c r="I2438" t="s">
        <v>13620</v>
      </c>
      <c r="J2438" t="s">
        <v>13621</v>
      </c>
    </row>
    <row r="2439" spans="1:10" x14ac:dyDescent="0.25">
      <c r="A2439" t="s">
        <v>4530</v>
      </c>
      <c r="B2439">
        <v>259</v>
      </c>
      <c r="C2439" t="s">
        <v>4531</v>
      </c>
      <c r="E2439" s="5" t="s">
        <v>6967</v>
      </c>
      <c r="F2439" s="1" t="str">
        <f t="shared" si="38"/>
        <v>https://www.kegg.jp/dbget-bin/www_bget?ec:4.2.1.20</v>
      </c>
      <c r="G2439" s="9" t="s">
        <v>7912</v>
      </c>
      <c r="H2439" s="1" t="str">
        <f t="shared" si="34"/>
        <v>https://www.kegg.jp/entry/R02340</v>
      </c>
      <c r="I2439" t="s">
        <v>10432</v>
      </c>
      <c r="J2439" t="s">
        <v>13622</v>
      </c>
    </row>
    <row r="2440" spans="1:10" x14ac:dyDescent="0.25">
      <c r="A2440" t="s">
        <v>4530</v>
      </c>
      <c r="B2440">
        <v>259</v>
      </c>
      <c r="C2440" t="s">
        <v>4531</v>
      </c>
      <c r="E2440" s="5" t="s">
        <v>6967</v>
      </c>
      <c r="F2440" s="1" t="str">
        <f t="shared" si="30"/>
        <v>https://www.kegg.jp/dbget-bin/www_bget?ec:4.2.1.20</v>
      </c>
      <c r="G2440" s="9" t="s">
        <v>7911</v>
      </c>
      <c r="H2440" s="1" t="str">
        <f t="shared" si="34"/>
        <v>https://www.kegg.jp/entry/R02722</v>
      </c>
      <c r="I2440" t="s">
        <v>13623</v>
      </c>
      <c r="J2440" t="s">
        <v>13624</v>
      </c>
    </row>
    <row r="2441" spans="1:10" x14ac:dyDescent="0.25">
      <c r="A2441" t="s">
        <v>4533</v>
      </c>
      <c r="B2441">
        <v>405</v>
      </c>
      <c r="C2441" t="s">
        <v>4534</v>
      </c>
      <c r="E2441" s="5" t="s">
        <v>6967</v>
      </c>
      <c r="F2441" s="1" t="str">
        <f t="shared" ref="F2441:F2442" si="39">IF(E2441&lt;&gt;"", HYPERLINK("https://www.kegg.jp/dbget-bin/www_bget?ec:" &amp; E2441, "https://www.kegg.jp/dbget-bin/www_bget?ec:" &amp; E2441), "")</f>
        <v>https://www.kegg.jp/dbget-bin/www_bget?ec:4.2.1.20</v>
      </c>
      <c r="G2441" s="9" t="s">
        <v>7910</v>
      </c>
      <c r="H2441" s="1" t="str">
        <f t="shared" si="34"/>
        <v>https://www.kegg.jp/entry/R00674</v>
      </c>
      <c r="I2441" t="s">
        <v>13620</v>
      </c>
      <c r="J2441" t="s">
        <v>13621</v>
      </c>
    </row>
    <row r="2442" spans="1:10" x14ac:dyDescent="0.25">
      <c r="A2442" t="s">
        <v>4533</v>
      </c>
      <c r="B2442">
        <v>405</v>
      </c>
      <c r="C2442" t="s">
        <v>4534</v>
      </c>
      <c r="E2442" s="5" t="s">
        <v>6967</v>
      </c>
      <c r="F2442" s="1" t="str">
        <f t="shared" si="39"/>
        <v>https://www.kegg.jp/dbget-bin/www_bget?ec:4.2.1.20</v>
      </c>
      <c r="G2442" s="9" t="s">
        <v>7912</v>
      </c>
      <c r="H2442" s="1" t="str">
        <f t="shared" si="34"/>
        <v>https://www.kegg.jp/entry/R02340</v>
      </c>
      <c r="I2442" t="s">
        <v>10432</v>
      </c>
      <c r="J2442" t="s">
        <v>13622</v>
      </c>
    </row>
    <row r="2443" spans="1:10" x14ac:dyDescent="0.25">
      <c r="A2443" t="s">
        <v>4533</v>
      </c>
      <c r="B2443">
        <v>405</v>
      </c>
      <c r="C2443" t="s">
        <v>4534</v>
      </c>
      <c r="E2443" s="5" t="s">
        <v>6967</v>
      </c>
      <c r="F2443" s="1" t="str">
        <f t="shared" si="30"/>
        <v>https://www.kegg.jp/dbget-bin/www_bget?ec:4.2.1.20</v>
      </c>
      <c r="G2443" s="9" t="s">
        <v>7911</v>
      </c>
      <c r="H2443" s="1" t="str">
        <f t="shared" si="34"/>
        <v>https://www.kegg.jp/entry/R02722</v>
      </c>
      <c r="I2443" t="s">
        <v>13623</v>
      </c>
      <c r="J2443" t="s">
        <v>13624</v>
      </c>
    </row>
    <row r="2444" spans="1:10" hidden="1" x14ac:dyDescent="0.25">
      <c r="A2444" t="s">
        <v>4536</v>
      </c>
      <c r="B2444">
        <v>267</v>
      </c>
      <c r="C2444" t="s">
        <v>4537</v>
      </c>
      <c r="E2444" s="5" t="s">
        <v>6636</v>
      </c>
      <c r="F2444" s="1" t="str">
        <f t="shared" si="30"/>
        <v>https://www.kegg.jp/dbget-bin/www_bget?ec:2.1.1.-</v>
      </c>
      <c r="G2444" s="3"/>
      <c r="H2444" s="1" t="str">
        <f t="shared" si="34"/>
        <v/>
      </c>
    </row>
    <row r="2445" spans="1:10" x14ac:dyDescent="0.25">
      <c r="A2445" t="s">
        <v>4539</v>
      </c>
      <c r="B2445">
        <v>674</v>
      </c>
      <c r="C2445" t="s">
        <v>4540</v>
      </c>
      <c r="E2445" s="5" t="s">
        <v>6968</v>
      </c>
      <c r="F2445" s="1" t="str">
        <f t="shared" si="30"/>
        <v>https://www.kegg.jp/dbget-bin/www_bget?ec:6.5.1.2</v>
      </c>
      <c r="G2445" s="3" t="s">
        <v>7263</v>
      </c>
      <c r="H2445" s="1" t="str">
        <f t="shared" si="34"/>
        <v>https://www.kegg.jp/entry/R00382</v>
      </c>
      <c r="I2445" t="s">
        <v>13625</v>
      </c>
      <c r="J2445" t="s">
        <v>13626</v>
      </c>
    </row>
    <row r="2446" spans="1:10" hidden="1" x14ac:dyDescent="0.25">
      <c r="A2446" t="s">
        <v>4541</v>
      </c>
      <c r="B2446">
        <v>213</v>
      </c>
      <c r="C2446" t="s">
        <v>4542</v>
      </c>
      <c r="F2446" s="1" t="str">
        <f t="shared" si="30"/>
        <v/>
      </c>
      <c r="G2446" s="3"/>
      <c r="H2446" s="1" t="str">
        <f t="shared" si="34"/>
        <v/>
      </c>
    </row>
    <row r="2447" spans="1:10" hidden="1" x14ac:dyDescent="0.25">
      <c r="A2447" t="s">
        <v>4544</v>
      </c>
      <c r="B2447">
        <v>200</v>
      </c>
      <c r="C2447" t="s">
        <v>4545</v>
      </c>
      <c r="F2447" s="1" t="str">
        <f t="shared" ref="F2447:F2521" si="40">IF(E2447&lt;&gt;"", HYPERLINK("https://www.kegg.jp/dbget-bin/www_bget?ec:" &amp; E2447, "https://www.kegg.jp/dbget-bin/www_bget?ec:" &amp; E2447), "")</f>
        <v/>
      </c>
      <c r="G2447" s="3"/>
      <c r="H2447" s="1" t="str">
        <f t="shared" si="34"/>
        <v/>
      </c>
    </row>
    <row r="2448" spans="1:10" x14ac:dyDescent="0.25">
      <c r="A2448" t="s">
        <v>4547</v>
      </c>
      <c r="B2448">
        <v>314</v>
      </c>
      <c r="C2448" t="s">
        <v>4548</v>
      </c>
      <c r="E2448" s="5" t="s">
        <v>6969</v>
      </c>
      <c r="F2448" s="1" t="str">
        <f t="shared" ref="F2448" si="41">IF(E2448&lt;&gt;"", HYPERLINK("https://www.kegg.jp/dbget-bin/www_bget?ec:" &amp; E2448, "https://www.kegg.jp/dbget-bin/www_bget?ec:" &amp; E2448), "")</f>
        <v>https://www.kegg.jp/dbget-bin/www_bget?ec:2.5.1.16</v>
      </c>
      <c r="G2448" s="9" t="s">
        <v>7913</v>
      </c>
      <c r="H2448" s="1" t="str">
        <f t="shared" si="34"/>
        <v>https://www.kegg.jp/entry/R01920</v>
      </c>
      <c r="I2448" t="s">
        <v>13627</v>
      </c>
      <c r="J2448" t="s">
        <v>13628</v>
      </c>
    </row>
    <row r="2449" spans="1:10" x14ac:dyDescent="0.25">
      <c r="A2449" t="s">
        <v>4547</v>
      </c>
      <c r="B2449">
        <v>314</v>
      </c>
      <c r="C2449" t="s">
        <v>4548</v>
      </c>
      <c r="E2449" s="5" t="s">
        <v>6969</v>
      </c>
      <c r="F2449" s="1" t="str">
        <f t="shared" si="40"/>
        <v>https://www.kegg.jp/dbget-bin/www_bget?ec:2.5.1.16</v>
      </c>
      <c r="G2449" s="9" t="s">
        <v>7914</v>
      </c>
      <c r="H2449" s="1" t="str">
        <f t="shared" si="34"/>
        <v>https://www.kegg.jp/entry/R08359</v>
      </c>
      <c r="I2449" t="s">
        <v>13629</v>
      </c>
      <c r="J2449" t="s">
        <v>13630</v>
      </c>
    </row>
    <row r="2450" spans="1:10" x14ac:dyDescent="0.25">
      <c r="A2450" t="s">
        <v>4549</v>
      </c>
      <c r="B2450">
        <v>129</v>
      </c>
      <c r="C2450" t="s">
        <v>4550</v>
      </c>
      <c r="E2450" s="5" t="s">
        <v>6935</v>
      </c>
      <c r="F2450" s="1" t="str">
        <f t="shared" si="40"/>
        <v>https://www.kegg.jp/dbget-bin/www_bget?ec:4.1.1.50</v>
      </c>
      <c r="G2450" s="3" t="s">
        <v>7249</v>
      </c>
      <c r="H2450" s="1" t="str">
        <f t="shared" si="34"/>
        <v>https://www.kegg.jp/entry/R00178</v>
      </c>
      <c r="I2450" t="s">
        <v>8325</v>
      </c>
      <c r="J2450" t="s">
        <v>13539</v>
      </c>
    </row>
    <row r="2451" spans="1:10" hidden="1" x14ac:dyDescent="0.25">
      <c r="A2451" t="s">
        <v>4552</v>
      </c>
      <c r="B2451">
        <v>862</v>
      </c>
      <c r="C2451" t="s">
        <v>4553</v>
      </c>
      <c r="F2451" s="1" t="str">
        <f t="shared" si="40"/>
        <v/>
      </c>
      <c r="G2451" s="3"/>
      <c r="H2451" s="1" t="str">
        <f t="shared" si="34"/>
        <v/>
      </c>
    </row>
    <row r="2452" spans="1:10" hidden="1" x14ac:dyDescent="0.25">
      <c r="A2452" t="s">
        <v>4555</v>
      </c>
      <c r="B2452">
        <v>163</v>
      </c>
      <c r="C2452" t="s">
        <v>4556</v>
      </c>
      <c r="F2452" s="1" t="str">
        <f t="shared" si="40"/>
        <v/>
      </c>
      <c r="G2452" s="3"/>
      <c r="H2452" s="1" t="str">
        <f t="shared" si="34"/>
        <v/>
      </c>
    </row>
    <row r="2453" spans="1:10" hidden="1" x14ac:dyDescent="0.25">
      <c r="A2453" t="s">
        <v>4557</v>
      </c>
      <c r="B2453">
        <v>146</v>
      </c>
      <c r="C2453" t="s">
        <v>4558</v>
      </c>
      <c r="F2453" s="1" t="str">
        <f t="shared" si="40"/>
        <v/>
      </c>
      <c r="G2453" s="3"/>
      <c r="H2453" s="1" t="str">
        <f t="shared" si="34"/>
        <v/>
      </c>
    </row>
    <row r="2454" spans="1:10" hidden="1" x14ac:dyDescent="0.25">
      <c r="A2454" t="s">
        <v>4560</v>
      </c>
      <c r="B2454">
        <v>210</v>
      </c>
      <c r="C2454" t="s">
        <v>4561</v>
      </c>
      <c r="F2454" s="1" t="str">
        <f t="shared" si="40"/>
        <v/>
      </c>
      <c r="G2454" s="3"/>
      <c r="H2454" s="1" t="str">
        <f t="shared" si="34"/>
        <v/>
      </c>
    </row>
    <row r="2455" spans="1:10" x14ac:dyDescent="0.25">
      <c r="A2455" t="s">
        <v>4563</v>
      </c>
      <c r="B2455">
        <v>273</v>
      </c>
      <c r="C2455" t="s">
        <v>4564</v>
      </c>
      <c r="E2455" s="5" t="s">
        <v>6970</v>
      </c>
      <c r="F2455" s="1" t="str">
        <f t="shared" ref="F2455" si="42">IF(E2455&lt;&gt;"", HYPERLINK("https://www.kegg.jp/dbget-bin/www_bget?ec:" &amp; E2455, "https://www.kegg.jp/dbget-bin/www_bget?ec:" &amp; E2455), "")</f>
        <v>https://www.kegg.jp/dbget-bin/www_bget?ec:4.2.1.51</v>
      </c>
      <c r="G2455" s="9" t="s">
        <v>7915</v>
      </c>
      <c r="H2455" s="1" t="str">
        <f t="shared" si="34"/>
        <v>https://www.kegg.jp/entry/R01373</v>
      </c>
      <c r="I2455" t="s">
        <v>8537</v>
      </c>
      <c r="J2455" t="s">
        <v>13631</v>
      </c>
    </row>
    <row r="2456" spans="1:10" x14ac:dyDescent="0.25">
      <c r="A2456" t="s">
        <v>4563</v>
      </c>
      <c r="B2456">
        <v>273</v>
      </c>
      <c r="C2456" t="s">
        <v>4564</v>
      </c>
      <c r="E2456" s="5" t="s">
        <v>6970</v>
      </c>
      <c r="F2456" s="1" t="str">
        <f t="shared" si="40"/>
        <v>https://www.kegg.jp/dbget-bin/www_bget?ec:4.2.1.51</v>
      </c>
      <c r="G2456" s="9" t="s">
        <v>7916</v>
      </c>
      <c r="H2456" s="1" t="str">
        <f t="shared" si="34"/>
        <v>https://www.kegg.jp/entry/R00691</v>
      </c>
      <c r="I2456" t="s">
        <v>10460</v>
      </c>
      <c r="J2456" t="s">
        <v>13632</v>
      </c>
    </row>
    <row r="2457" spans="1:10" x14ac:dyDescent="0.25">
      <c r="A2457" t="s">
        <v>4565</v>
      </c>
      <c r="B2457">
        <v>249</v>
      </c>
      <c r="C2457" t="s">
        <v>4566</v>
      </c>
      <c r="E2457" s="5" t="s">
        <v>6819</v>
      </c>
      <c r="F2457" s="1" t="str">
        <f t="shared" ref="F2457:F2458" si="43">IF(E2457&lt;&gt;"", HYPERLINK("https://www.kegg.jp/dbget-bin/www_bget?ec:" &amp; E2457, "https://www.kegg.jp/dbget-bin/www_bget?ec:" &amp; E2457), "")</f>
        <v>https://www.kegg.jp/dbget-bin/www_bget?ec:2.7.1.4</v>
      </c>
      <c r="G2457" s="9" t="s">
        <v>7679</v>
      </c>
      <c r="H2457" s="1" t="str">
        <f t="shared" si="34"/>
        <v>https://www.kegg.jp/entry/R00760</v>
      </c>
      <c r="I2457" t="s">
        <v>8253</v>
      </c>
      <c r="J2457" t="s">
        <v>8526</v>
      </c>
    </row>
    <row r="2458" spans="1:10" x14ac:dyDescent="0.25">
      <c r="A2458" t="s">
        <v>4565</v>
      </c>
      <c r="B2458">
        <v>249</v>
      </c>
      <c r="C2458" t="s">
        <v>4566</v>
      </c>
      <c r="E2458" s="5" t="s">
        <v>6819</v>
      </c>
      <c r="F2458" s="1" t="str">
        <f t="shared" si="43"/>
        <v>https://www.kegg.jp/dbget-bin/www_bget?ec:2.7.1.4</v>
      </c>
      <c r="G2458" s="9" t="s">
        <v>7680</v>
      </c>
      <c r="H2458" s="1" t="str">
        <f t="shared" si="34"/>
        <v>https://www.kegg.jp/entry/R00867</v>
      </c>
      <c r="I2458" t="s">
        <v>8253</v>
      </c>
      <c r="J2458" t="s">
        <v>8527</v>
      </c>
    </row>
    <row r="2459" spans="1:10" x14ac:dyDescent="0.25">
      <c r="A2459" t="s">
        <v>4565</v>
      </c>
      <c r="B2459">
        <v>249</v>
      </c>
      <c r="C2459" t="s">
        <v>4566</v>
      </c>
      <c r="E2459" s="5" t="s">
        <v>6819</v>
      </c>
      <c r="F2459" s="1" t="str">
        <f t="shared" si="40"/>
        <v>https://www.kegg.jp/dbget-bin/www_bget?ec:2.7.1.4</v>
      </c>
      <c r="G2459" s="9" t="s">
        <v>7681</v>
      </c>
      <c r="H2459" s="1" t="str">
        <f t="shared" si="34"/>
        <v>https://www.kegg.jp/entry/R03920</v>
      </c>
      <c r="I2459" t="s">
        <v>8254</v>
      </c>
      <c r="J2459" t="s">
        <v>8527</v>
      </c>
    </row>
    <row r="2460" spans="1:10" hidden="1" x14ac:dyDescent="0.25">
      <c r="A2460" t="s">
        <v>4568</v>
      </c>
      <c r="B2460">
        <v>340</v>
      </c>
      <c r="C2460" t="s">
        <v>4569</v>
      </c>
      <c r="F2460" s="1" t="str">
        <f t="shared" si="40"/>
        <v/>
      </c>
      <c r="G2460" s="3"/>
      <c r="H2460" s="1" t="str">
        <f t="shared" si="34"/>
        <v/>
      </c>
    </row>
    <row r="2461" spans="1:10" hidden="1" x14ac:dyDescent="0.25">
      <c r="A2461" t="s">
        <v>4570</v>
      </c>
      <c r="B2461">
        <v>188</v>
      </c>
      <c r="C2461" t="s">
        <v>4571</v>
      </c>
      <c r="F2461" s="1" t="str">
        <f t="shared" si="40"/>
        <v/>
      </c>
      <c r="G2461" s="3"/>
      <c r="H2461" s="1" t="str">
        <f t="shared" si="34"/>
        <v/>
      </c>
    </row>
    <row r="2462" spans="1:10" hidden="1" x14ac:dyDescent="0.25">
      <c r="A2462" t="s">
        <v>4572</v>
      </c>
      <c r="B2462">
        <v>285</v>
      </c>
      <c r="C2462" t="s">
        <v>4573</v>
      </c>
      <c r="F2462" s="1" t="str">
        <f t="shared" si="40"/>
        <v/>
      </c>
      <c r="G2462" s="3"/>
      <c r="H2462" s="1" t="str">
        <f t="shared" si="34"/>
        <v/>
      </c>
    </row>
    <row r="2463" spans="1:10" hidden="1" x14ac:dyDescent="0.25">
      <c r="A2463" t="s">
        <v>4574</v>
      </c>
      <c r="B2463">
        <v>305</v>
      </c>
      <c r="C2463" t="s">
        <v>4575</v>
      </c>
      <c r="F2463" s="1" t="str">
        <f t="shared" si="40"/>
        <v/>
      </c>
      <c r="G2463" s="3"/>
      <c r="H2463" s="1" t="str">
        <f t="shared" si="34"/>
        <v/>
      </c>
    </row>
    <row r="2464" spans="1:10" hidden="1" x14ac:dyDescent="0.25">
      <c r="A2464" t="s">
        <v>4577</v>
      </c>
      <c r="B2464">
        <v>496</v>
      </c>
      <c r="C2464" t="s">
        <v>4578</v>
      </c>
      <c r="F2464" s="1" t="str">
        <f t="shared" si="40"/>
        <v/>
      </c>
      <c r="G2464" s="3"/>
      <c r="H2464" s="1" t="str">
        <f t="shared" si="34"/>
        <v/>
      </c>
    </row>
    <row r="2465" spans="1:10" hidden="1" x14ac:dyDescent="0.25">
      <c r="A2465" t="s">
        <v>4580</v>
      </c>
      <c r="B2465">
        <v>374</v>
      </c>
      <c r="C2465" t="s">
        <v>4581</v>
      </c>
      <c r="F2465" s="1" t="str">
        <f t="shared" si="40"/>
        <v/>
      </c>
      <c r="G2465" s="3"/>
      <c r="H2465" s="1" t="str">
        <f t="shared" si="34"/>
        <v/>
      </c>
    </row>
    <row r="2466" spans="1:10" hidden="1" x14ac:dyDescent="0.25">
      <c r="A2466" t="s">
        <v>4582</v>
      </c>
      <c r="B2466">
        <v>59</v>
      </c>
      <c r="C2466" t="s">
        <v>4583</v>
      </c>
      <c r="F2466" s="1" t="str">
        <f t="shared" si="40"/>
        <v/>
      </c>
      <c r="G2466" s="3"/>
      <c r="H2466" s="1" t="str">
        <f t="shared" si="34"/>
        <v/>
      </c>
    </row>
    <row r="2467" spans="1:10" hidden="1" x14ac:dyDescent="0.25">
      <c r="A2467" t="s">
        <v>4585</v>
      </c>
      <c r="B2467">
        <v>511</v>
      </c>
      <c r="C2467" t="s">
        <v>4586</v>
      </c>
      <c r="F2467" s="1" t="str">
        <f t="shared" si="40"/>
        <v/>
      </c>
      <c r="G2467" s="3"/>
      <c r="H2467" s="1" t="str">
        <f t="shared" si="34"/>
        <v/>
      </c>
    </row>
    <row r="2468" spans="1:10" hidden="1" x14ac:dyDescent="0.25">
      <c r="A2468" t="s">
        <v>4587</v>
      </c>
      <c r="B2468">
        <v>244</v>
      </c>
      <c r="C2468" t="s">
        <v>4588</v>
      </c>
      <c r="F2468" s="1" t="str">
        <f t="shared" si="40"/>
        <v/>
      </c>
      <c r="G2468" s="3"/>
      <c r="H2468" s="1" t="str">
        <f t="shared" si="34"/>
        <v/>
      </c>
    </row>
    <row r="2469" spans="1:10" hidden="1" x14ac:dyDescent="0.25">
      <c r="A2469" t="s">
        <v>4590</v>
      </c>
      <c r="B2469">
        <v>997</v>
      </c>
      <c r="C2469" t="s">
        <v>4591</v>
      </c>
      <c r="F2469" s="1" t="str">
        <f t="shared" si="40"/>
        <v/>
      </c>
      <c r="G2469" s="3"/>
      <c r="H2469" s="1" t="str">
        <f t="shared" si="34"/>
        <v/>
      </c>
    </row>
    <row r="2470" spans="1:10" hidden="1" x14ac:dyDescent="0.25">
      <c r="A2470" t="s">
        <v>4593</v>
      </c>
      <c r="B2470">
        <v>322</v>
      </c>
      <c r="C2470" t="s">
        <v>4594</v>
      </c>
      <c r="F2470" s="1" t="str">
        <f t="shared" si="40"/>
        <v/>
      </c>
      <c r="G2470" s="3"/>
      <c r="H2470" s="1" t="str">
        <f t="shared" si="34"/>
        <v/>
      </c>
    </row>
    <row r="2471" spans="1:10" hidden="1" x14ac:dyDescent="0.25">
      <c r="A2471" t="s">
        <v>4595</v>
      </c>
      <c r="B2471">
        <v>436</v>
      </c>
      <c r="C2471" t="s">
        <v>4596</v>
      </c>
      <c r="F2471" s="1" t="str">
        <f t="shared" si="40"/>
        <v/>
      </c>
      <c r="G2471" s="3"/>
      <c r="H2471" s="1" t="str">
        <f t="shared" si="34"/>
        <v/>
      </c>
    </row>
    <row r="2472" spans="1:10" hidden="1" x14ac:dyDescent="0.25">
      <c r="A2472" t="s">
        <v>4598</v>
      </c>
      <c r="B2472">
        <v>141</v>
      </c>
      <c r="C2472" t="s">
        <v>4599</v>
      </c>
      <c r="F2472" s="1" t="str">
        <f t="shared" si="40"/>
        <v/>
      </c>
      <c r="G2472" s="3"/>
      <c r="H2472" s="1" t="str">
        <f t="shared" si="34"/>
        <v/>
      </c>
    </row>
    <row r="2473" spans="1:10" hidden="1" x14ac:dyDescent="0.25">
      <c r="A2473" t="s">
        <v>4600</v>
      </c>
      <c r="B2473">
        <v>69</v>
      </c>
      <c r="C2473" t="s">
        <v>4601</v>
      </c>
      <c r="F2473" s="1" t="str">
        <f t="shared" si="40"/>
        <v/>
      </c>
      <c r="G2473" s="3"/>
      <c r="H2473" s="1" t="str">
        <f t="shared" si="34"/>
        <v/>
      </c>
    </row>
    <row r="2474" spans="1:10" hidden="1" x14ac:dyDescent="0.25">
      <c r="A2474" t="s">
        <v>4603</v>
      </c>
      <c r="B2474">
        <v>733</v>
      </c>
      <c r="C2474" t="s">
        <v>4604</v>
      </c>
      <c r="F2474" s="1" t="str">
        <f t="shared" si="40"/>
        <v/>
      </c>
      <c r="G2474" s="3"/>
      <c r="H2474" s="1" t="str">
        <f t="shared" si="34"/>
        <v/>
      </c>
    </row>
    <row r="2475" spans="1:10" hidden="1" x14ac:dyDescent="0.25">
      <c r="A2475" t="s">
        <v>4605</v>
      </c>
      <c r="B2475">
        <v>136</v>
      </c>
      <c r="C2475" t="s">
        <v>4606</v>
      </c>
      <c r="F2475" s="1" t="str">
        <f t="shared" si="40"/>
        <v/>
      </c>
      <c r="G2475" s="3"/>
      <c r="H2475" s="1" t="str">
        <f t="shared" ref="H2475:H2538" si="44">IF(G2475&lt;&gt;"", HYPERLINK("https://www.kegg.jp/entry/" &amp; G2475, "https://www.kegg.jp/entry/" &amp; G2475), "")</f>
        <v/>
      </c>
    </row>
    <row r="2476" spans="1:10" x14ac:dyDescent="0.25">
      <c r="A2476" t="s">
        <v>4607</v>
      </c>
      <c r="B2476">
        <v>845</v>
      </c>
      <c r="C2476" t="s">
        <v>4608</v>
      </c>
      <c r="E2476" s="5" t="s">
        <v>6817</v>
      </c>
      <c r="F2476" s="1" t="str">
        <f t="shared" ref="F2476" si="45">IF(E2476&lt;&gt;"", HYPERLINK("https://www.kegg.jp/dbget-bin/www_bget?ec:" &amp; E2476, "https://www.kegg.jp/dbget-bin/www_bget?ec:" &amp; E2476), "")</f>
        <v>https://www.kegg.jp/dbget-bin/www_bget?ec:4.6.1.1</v>
      </c>
      <c r="G2476" s="9" t="s">
        <v>7672</v>
      </c>
      <c r="H2476" s="1" t="str">
        <f t="shared" si="44"/>
        <v>https://www.kegg.jp/entry/R00089</v>
      </c>
      <c r="I2476" t="s">
        <v>8251</v>
      </c>
      <c r="J2476" t="s">
        <v>13233</v>
      </c>
    </row>
    <row r="2477" spans="1:10" x14ac:dyDescent="0.25">
      <c r="A2477" t="s">
        <v>4607</v>
      </c>
      <c r="B2477">
        <v>845</v>
      </c>
      <c r="C2477" t="s">
        <v>4608</v>
      </c>
      <c r="E2477" s="5" t="s">
        <v>6817</v>
      </c>
      <c r="F2477" s="1" t="str">
        <f t="shared" si="40"/>
        <v>https://www.kegg.jp/dbget-bin/www_bget?ec:4.6.1.1</v>
      </c>
      <c r="G2477" s="9" t="s">
        <v>7673</v>
      </c>
      <c r="H2477" s="1" t="str">
        <f t="shared" si="44"/>
        <v>https://www.kegg.jp/entry/R00434</v>
      </c>
      <c r="I2477" t="s">
        <v>8252</v>
      </c>
      <c r="J2477" t="s">
        <v>13234</v>
      </c>
    </row>
    <row r="2478" spans="1:10" hidden="1" x14ac:dyDescent="0.25">
      <c r="A2478" t="s">
        <v>4609</v>
      </c>
      <c r="B2478">
        <v>577</v>
      </c>
      <c r="C2478" t="s">
        <v>4610</v>
      </c>
      <c r="F2478" s="1" t="str">
        <f t="shared" si="40"/>
        <v/>
      </c>
      <c r="G2478" s="3"/>
      <c r="H2478" s="1" t="str">
        <f t="shared" si="44"/>
        <v/>
      </c>
    </row>
    <row r="2479" spans="1:10" x14ac:dyDescent="0.25">
      <c r="A2479" t="s">
        <v>4612</v>
      </c>
      <c r="B2479">
        <v>327</v>
      </c>
      <c r="C2479" t="s">
        <v>4613</v>
      </c>
      <c r="E2479" s="5" t="s">
        <v>6971</v>
      </c>
      <c r="F2479" s="1" t="str">
        <f t="shared" ref="F2479" si="46">IF(E2479&lt;&gt;"", HYPERLINK("https://www.kegg.jp/dbget-bin/www_bget?ec:" &amp; E2479, "https://www.kegg.jp/dbget-bin/www_bget?ec:" &amp; E2479), "")</f>
        <v>https://www.kegg.jp/dbget-bin/www_bget?ec:1.1.1.37</v>
      </c>
      <c r="G2479" s="9" t="s">
        <v>7917</v>
      </c>
      <c r="H2479" s="1" t="str">
        <f t="shared" si="44"/>
        <v>https://www.kegg.jp/entry/R00342</v>
      </c>
      <c r="I2479" t="s">
        <v>13633</v>
      </c>
      <c r="J2479" t="s">
        <v>13634</v>
      </c>
    </row>
    <row r="2480" spans="1:10" x14ac:dyDescent="0.25">
      <c r="A2480" t="s">
        <v>4612</v>
      </c>
      <c r="B2480">
        <v>327</v>
      </c>
      <c r="C2480" t="s">
        <v>4613</v>
      </c>
      <c r="E2480" s="5" t="s">
        <v>6971</v>
      </c>
      <c r="F2480" s="1" t="str">
        <f t="shared" si="40"/>
        <v>https://www.kegg.jp/dbget-bin/www_bget?ec:1.1.1.37</v>
      </c>
      <c r="G2480" s="9" t="s">
        <v>7918</v>
      </c>
      <c r="H2480" s="1" t="str">
        <f t="shared" si="44"/>
        <v>https://www.kegg.jp/entry/R07136</v>
      </c>
      <c r="I2480" t="s">
        <v>13635</v>
      </c>
      <c r="J2480" t="s">
        <v>13636</v>
      </c>
    </row>
    <row r="2481" spans="1:10" x14ac:dyDescent="0.25">
      <c r="A2481" t="s">
        <v>4615</v>
      </c>
      <c r="B2481">
        <v>405</v>
      </c>
      <c r="C2481" t="s">
        <v>4616</v>
      </c>
      <c r="E2481" s="5" t="s">
        <v>6972</v>
      </c>
      <c r="F2481" s="1" t="str">
        <f t="shared" si="40"/>
        <v>https://www.kegg.jp/dbget-bin/www_bget?ec:2.7.2.4</v>
      </c>
      <c r="G2481" s="3" t="s">
        <v>7264</v>
      </c>
      <c r="H2481" s="1" t="str">
        <f t="shared" si="44"/>
        <v>https://www.kegg.jp/entry/R00480</v>
      </c>
      <c r="I2481" t="s">
        <v>13637</v>
      </c>
      <c r="J2481" t="s">
        <v>13638</v>
      </c>
    </row>
    <row r="2482" spans="1:10" hidden="1" x14ac:dyDescent="0.25">
      <c r="A2482" t="s">
        <v>4617</v>
      </c>
      <c r="B2482">
        <v>27</v>
      </c>
      <c r="C2482" t="s">
        <v>4618</v>
      </c>
      <c r="F2482" s="1" t="str">
        <f t="shared" si="40"/>
        <v/>
      </c>
      <c r="G2482" s="3"/>
      <c r="H2482" s="1" t="str">
        <f t="shared" si="44"/>
        <v/>
      </c>
    </row>
    <row r="2483" spans="1:10" x14ac:dyDescent="0.25">
      <c r="A2483" t="s">
        <v>4620</v>
      </c>
      <c r="B2483">
        <v>374</v>
      </c>
      <c r="C2483" t="s">
        <v>4621</v>
      </c>
      <c r="E2483" s="5" t="s">
        <v>6973</v>
      </c>
      <c r="F2483" s="1" t="str">
        <f t="shared" si="40"/>
        <v>https://www.kegg.jp/dbget-bin/www_bget?ec:2.1.1.172</v>
      </c>
      <c r="G2483" s="3" t="s">
        <v>7265</v>
      </c>
      <c r="H2483" s="1" t="str">
        <f t="shared" si="44"/>
        <v>https://www.kegg.jp/entry/R07234</v>
      </c>
      <c r="I2483" t="s">
        <v>13639</v>
      </c>
      <c r="J2483" t="s">
        <v>13640</v>
      </c>
    </row>
    <row r="2484" spans="1:10" hidden="1" x14ac:dyDescent="0.25">
      <c r="A2484" t="s">
        <v>4623</v>
      </c>
      <c r="B2484">
        <v>439</v>
      </c>
      <c r="C2484" t="s">
        <v>4624</v>
      </c>
      <c r="F2484" s="1" t="str">
        <f t="shared" si="40"/>
        <v/>
      </c>
      <c r="G2484" s="3"/>
      <c r="H2484" s="1" t="str">
        <f t="shared" si="44"/>
        <v/>
      </c>
    </row>
    <row r="2485" spans="1:10" hidden="1" x14ac:dyDescent="0.25">
      <c r="A2485" t="s">
        <v>4625</v>
      </c>
      <c r="B2485">
        <v>164</v>
      </c>
      <c r="C2485" t="s">
        <v>4626</v>
      </c>
      <c r="F2485" s="1" t="str">
        <f t="shared" si="40"/>
        <v/>
      </c>
      <c r="G2485" s="3"/>
      <c r="H2485" s="1" t="str">
        <f t="shared" si="44"/>
        <v/>
      </c>
    </row>
    <row r="2486" spans="1:10" hidden="1" x14ac:dyDescent="0.25">
      <c r="A2486" t="s">
        <v>4628</v>
      </c>
      <c r="B2486">
        <v>457</v>
      </c>
      <c r="C2486" t="s">
        <v>4629</v>
      </c>
      <c r="F2486" s="1" t="str">
        <f t="shared" si="40"/>
        <v/>
      </c>
      <c r="G2486" s="3"/>
      <c r="H2486" s="1" t="str">
        <f t="shared" si="44"/>
        <v/>
      </c>
    </row>
    <row r="2487" spans="1:10" x14ac:dyDescent="0.25">
      <c r="A2487" t="s">
        <v>4630</v>
      </c>
      <c r="B2487">
        <v>162</v>
      </c>
      <c r="C2487" t="s">
        <v>4631</v>
      </c>
      <c r="E2487" s="5" t="s">
        <v>6789</v>
      </c>
      <c r="F2487" s="1" t="str">
        <f t="shared" si="40"/>
        <v>https://www.kegg.jp/dbget-bin/www_bget?ec:3.6.1.13</v>
      </c>
      <c r="G2487" s="3" t="s">
        <v>7174</v>
      </c>
      <c r="H2487" s="1" t="str">
        <f t="shared" si="44"/>
        <v>https://www.kegg.jp/entry/R01054</v>
      </c>
      <c r="I2487" t="s">
        <v>13170</v>
      </c>
      <c r="J2487" t="s">
        <v>8510</v>
      </c>
    </row>
    <row r="2488" spans="1:10" x14ac:dyDescent="0.25">
      <c r="A2488" t="s">
        <v>4633</v>
      </c>
      <c r="B2488">
        <v>294</v>
      </c>
      <c r="C2488" t="s">
        <v>4634</v>
      </c>
      <c r="E2488" s="5" t="s">
        <v>6974</v>
      </c>
      <c r="F2488" s="1" t="str">
        <f t="shared" si="40"/>
        <v>https://www.kegg.jp/dbget-bin/www_bget?ec:2.7.1.26</v>
      </c>
      <c r="G2488" s="3" t="s">
        <v>7266</v>
      </c>
      <c r="H2488" s="1" t="str">
        <f t="shared" si="44"/>
        <v>https://www.kegg.jp/entry/R00549</v>
      </c>
      <c r="I2488" t="s">
        <v>13641</v>
      </c>
      <c r="J2488" t="s">
        <v>13642</v>
      </c>
    </row>
    <row r="2489" spans="1:10" x14ac:dyDescent="0.25">
      <c r="A2489" t="s">
        <v>4636</v>
      </c>
      <c r="B2489">
        <v>474</v>
      </c>
      <c r="C2489" t="s">
        <v>4637</v>
      </c>
      <c r="E2489" s="5" t="s">
        <v>6975</v>
      </c>
      <c r="F2489" s="1" t="str">
        <f t="shared" si="40"/>
        <v>https://www.kegg.jp/dbget-bin/www_bget?ec:1.4.4.2</v>
      </c>
      <c r="G2489" s="3" t="s">
        <v>7267</v>
      </c>
      <c r="H2489" s="1" t="str">
        <f t="shared" si="44"/>
        <v>https://www.kegg.jp/entry/R03425</v>
      </c>
      <c r="I2489" t="s">
        <v>13643</v>
      </c>
      <c r="J2489" t="s">
        <v>13644</v>
      </c>
    </row>
    <row r="2490" spans="1:10" x14ac:dyDescent="0.25">
      <c r="A2490" t="s">
        <v>4639</v>
      </c>
      <c r="B2490">
        <v>437</v>
      </c>
      <c r="C2490" t="s">
        <v>4640</v>
      </c>
      <c r="E2490" s="5" t="s">
        <v>6975</v>
      </c>
      <c r="F2490" s="1" t="str">
        <f t="shared" si="40"/>
        <v>https://www.kegg.jp/dbget-bin/www_bget?ec:1.4.4.2</v>
      </c>
      <c r="G2490" s="3" t="s">
        <v>7267</v>
      </c>
      <c r="H2490" s="1" t="str">
        <f t="shared" si="44"/>
        <v>https://www.kegg.jp/entry/R03425</v>
      </c>
      <c r="I2490" t="s">
        <v>13643</v>
      </c>
      <c r="J2490" t="s">
        <v>13644</v>
      </c>
    </row>
    <row r="2491" spans="1:10" hidden="1" x14ac:dyDescent="0.25">
      <c r="A2491" t="s">
        <v>4642</v>
      </c>
      <c r="B2491">
        <v>127</v>
      </c>
      <c r="C2491" t="s">
        <v>4643</v>
      </c>
      <c r="F2491" s="1" t="str">
        <f t="shared" si="40"/>
        <v/>
      </c>
      <c r="G2491" s="3"/>
      <c r="H2491" s="1" t="str">
        <f t="shared" si="44"/>
        <v/>
      </c>
    </row>
    <row r="2492" spans="1:10" x14ac:dyDescent="0.25">
      <c r="A2492" t="s">
        <v>4645</v>
      </c>
      <c r="B2492">
        <v>349</v>
      </c>
      <c r="C2492" t="s">
        <v>4646</v>
      </c>
      <c r="E2492" s="5" t="s">
        <v>6976</v>
      </c>
      <c r="F2492" s="1" t="str">
        <f t="shared" ref="F2492" si="47">IF(E2492&lt;&gt;"", HYPERLINK("https://www.kegg.jp/dbget-bin/www_bget?ec:" &amp; E2492, "https://www.kegg.jp/dbget-bin/www_bget?ec:" &amp; E2492), "")</f>
        <v>https://www.kegg.jp/dbget-bin/www_bget?ec:2.1.2.10</v>
      </c>
      <c r="G2492" s="9" t="s">
        <v>7919</v>
      </c>
      <c r="H2492" s="1" t="str">
        <f t="shared" si="44"/>
        <v>https://www.kegg.jp/entry/R04125</v>
      </c>
      <c r="I2492" t="s">
        <v>13645</v>
      </c>
      <c r="J2492" t="s">
        <v>13646</v>
      </c>
    </row>
    <row r="2493" spans="1:10" x14ac:dyDescent="0.25">
      <c r="A2493" t="s">
        <v>4645</v>
      </c>
      <c r="B2493">
        <v>349</v>
      </c>
      <c r="C2493" t="s">
        <v>4646</v>
      </c>
      <c r="E2493" s="5" t="s">
        <v>6976</v>
      </c>
      <c r="F2493" s="1" t="str">
        <f t="shared" si="40"/>
        <v>https://www.kegg.jp/dbget-bin/www_bget?ec:2.1.2.10</v>
      </c>
      <c r="G2493" s="9" t="s">
        <v>7920</v>
      </c>
      <c r="H2493" s="1" t="str">
        <f t="shared" si="44"/>
        <v>https://www.kegg.jp/entry/R02300</v>
      </c>
      <c r="I2493" t="s">
        <v>10103</v>
      </c>
      <c r="J2493" t="s">
        <v>13647</v>
      </c>
    </row>
    <row r="2494" spans="1:10" hidden="1" x14ac:dyDescent="0.25">
      <c r="A2494" t="s">
        <v>4648</v>
      </c>
      <c r="B2494">
        <v>574</v>
      </c>
      <c r="C2494" t="s">
        <v>4649</v>
      </c>
      <c r="F2494" s="1" t="str">
        <f t="shared" si="40"/>
        <v/>
      </c>
      <c r="G2494" s="3"/>
      <c r="H2494" s="1" t="str">
        <f t="shared" si="44"/>
        <v/>
      </c>
    </row>
    <row r="2495" spans="1:10" hidden="1" x14ac:dyDescent="0.25">
      <c r="A2495" t="s">
        <v>4651</v>
      </c>
      <c r="B2495">
        <v>294</v>
      </c>
      <c r="C2495" t="s">
        <v>4652</v>
      </c>
      <c r="F2495" s="1" t="str">
        <f t="shared" si="40"/>
        <v/>
      </c>
      <c r="G2495" s="3"/>
      <c r="H2495" s="1" t="str">
        <f t="shared" si="44"/>
        <v/>
      </c>
    </row>
    <row r="2496" spans="1:10" x14ac:dyDescent="0.25">
      <c r="A2496" t="s">
        <v>4654</v>
      </c>
      <c r="B2496">
        <v>576</v>
      </c>
      <c r="C2496" t="s">
        <v>4655</v>
      </c>
      <c r="E2496" s="5" t="s">
        <v>6977</v>
      </c>
      <c r="F2496" s="1" t="str">
        <f t="shared" ref="F2496" si="48">IF(E2496&lt;&gt;"", HYPERLINK("https://www.kegg.jp/dbget-bin/www_bget?ec:" &amp; E2496, "https://www.kegg.jp/dbget-bin/www_bget?ec:" &amp; E2496), "")</f>
        <v>https://www.kegg.jp/dbget-bin/www_bget?ec:1.1.1.38</v>
      </c>
      <c r="G2496" s="9" t="s">
        <v>7921</v>
      </c>
      <c r="H2496" s="1" t="str">
        <f t="shared" si="44"/>
        <v>https://www.kegg.jp/entry/R00214</v>
      </c>
      <c r="I2496" t="s">
        <v>13633</v>
      </c>
      <c r="J2496" t="s">
        <v>13648</v>
      </c>
    </row>
    <row r="2497" spans="1:10" x14ac:dyDescent="0.25">
      <c r="A2497" t="s">
        <v>4654</v>
      </c>
      <c r="B2497">
        <v>576</v>
      </c>
      <c r="C2497" t="s">
        <v>4655</v>
      </c>
      <c r="E2497" s="5" t="s">
        <v>6977</v>
      </c>
      <c r="F2497" s="1" t="str">
        <f t="shared" si="40"/>
        <v>https://www.kegg.jp/dbget-bin/www_bget?ec:1.1.1.38</v>
      </c>
      <c r="G2497" s="9" t="s">
        <v>7922</v>
      </c>
      <c r="H2497" s="1" t="str">
        <f t="shared" si="44"/>
        <v>https://www.kegg.jp/entry/R00217</v>
      </c>
      <c r="I2497" t="s">
        <v>10338</v>
      </c>
      <c r="J2497" t="s">
        <v>13649</v>
      </c>
    </row>
    <row r="2498" spans="1:10" hidden="1" x14ac:dyDescent="0.25">
      <c r="A2498" t="s">
        <v>4657</v>
      </c>
      <c r="B2498">
        <v>116</v>
      </c>
      <c r="C2498" t="s">
        <v>4658</v>
      </c>
      <c r="F2498" s="1" t="str">
        <f t="shared" si="40"/>
        <v/>
      </c>
      <c r="G2498" s="3"/>
      <c r="H2498" s="1" t="str">
        <f t="shared" si="44"/>
        <v/>
      </c>
    </row>
    <row r="2499" spans="1:10" hidden="1" x14ac:dyDescent="0.25">
      <c r="A2499" t="s">
        <v>4660</v>
      </c>
      <c r="B2499">
        <v>231</v>
      </c>
      <c r="C2499" t="s">
        <v>4661</v>
      </c>
      <c r="F2499" s="1" t="str">
        <f t="shared" si="40"/>
        <v/>
      </c>
      <c r="G2499" s="3"/>
      <c r="H2499" s="1" t="str">
        <f t="shared" si="44"/>
        <v/>
      </c>
    </row>
    <row r="2500" spans="1:10" hidden="1" x14ac:dyDescent="0.25">
      <c r="A2500" t="s">
        <v>4662</v>
      </c>
      <c r="B2500">
        <v>100</v>
      </c>
      <c r="C2500" t="s">
        <v>4663</v>
      </c>
      <c r="F2500" s="1" t="str">
        <f t="shared" si="40"/>
        <v/>
      </c>
      <c r="G2500" s="3"/>
      <c r="H2500" s="1" t="str">
        <f t="shared" si="44"/>
        <v/>
      </c>
    </row>
    <row r="2501" spans="1:10" hidden="1" x14ac:dyDescent="0.25">
      <c r="A2501" t="s">
        <v>4665</v>
      </c>
      <c r="B2501">
        <v>318</v>
      </c>
      <c r="C2501" t="s">
        <v>4666</v>
      </c>
      <c r="F2501" s="1" t="str">
        <f t="shared" si="40"/>
        <v/>
      </c>
      <c r="G2501" s="3"/>
      <c r="H2501" s="1" t="str">
        <f t="shared" si="44"/>
        <v/>
      </c>
    </row>
    <row r="2502" spans="1:10" x14ac:dyDescent="0.25">
      <c r="A2502" t="s">
        <v>4668</v>
      </c>
      <c r="B2502">
        <v>156</v>
      </c>
      <c r="C2502" t="s">
        <v>4669</v>
      </c>
      <c r="E2502" s="5" t="s">
        <v>6978</v>
      </c>
      <c r="F2502" s="1" t="str">
        <f t="shared" si="40"/>
        <v>https://www.kegg.jp/dbget-bin/www_bget?ec:4.1.1.21</v>
      </c>
      <c r="G2502" s="3" t="s">
        <v>7268</v>
      </c>
      <c r="H2502" s="1" t="str">
        <f t="shared" si="44"/>
        <v>https://www.kegg.jp/entry/R04209</v>
      </c>
      <c r="I2502" t="s">
        <v>8349</v>
      </c>
      <c r="J2502" t="s">
        <v>13650</v>
      </c>
    </row>
    <row r="2503" spans="1:10" x14ac:dyDescent="0.25">
      <c r="A2503" t="s">
        <v>4671</v>
      </c>
      <c r="B2503">
        <v>368</v>
      </c>
      <c r="C2503" t="s">
        <v>4672</v>
      </c>
      <c r="E2503" s="5" t="s">
        <v>6978</v>
      </c>
      <c r="F2503" s="1" t="str">
        <f t="shared" si="40"/>
        <v>https://www.kegg.jp/dbget-bin/www_bget?ec:4.1.1.21</v>
      </c>
      <c r="G2503" s="3" t="s">
        <v>7268</v>
      </c>
      <c r="H2503" s="1" t="str">
        <f t="shared" si="44"/>
        <v>https://www.kegg.jp/entry/R04209</v>
      </c>
      <c r="I2503" t="s">
        <v>8349</v>
      </c>
      <c r="J2503" t="s">
        <v>13650</v>
      </c>
    </row>
    <row r="2504" spans="1:10" hidden="1" x14ac:dyDescent="0.25">
      <c r="A2504" t="s">
        <v>4673</v>
      </c>
      <c r="B2504">
        <v>384</v>
      </c>
      <c r="C2504" t="s">
        <v>4674</v>
      </c>
      <c r="F2504" s="1" t="str">
        <f t="shared" si="40"/>
        <v/>
      </c>
      <c r="G2504" s="3"/>
      <c r="H2504" s="1" t="str">
        <f t="shared" si="44"/>
        <v/>
      </c>
    </row>
    <row r="2505" spans="1:10" x14ac:dyDescent="0.25">
      <c r="A2505" t="s">
        <v>4676</v>
      </c>
      <c r="B2505">
        <v>307</v>
      </c>
      <c r="C2505" t="s">
        <v>4677</v>
      </c>
      <c r="E2505" s="5" t="s">
        <v>6979</v>
      </c>
      <c r="F2505" s="1" t="str">
        <f t="shared" si="40"/>
        <v>https://www.kegg.jp/dbget-bin/www_bget?ec:4.2.1.70</v>
      </c>
      <c r="G2505" s="3" t="s">
        <v>7269</v>
      </c>
      <c r="H2505" s="1" t="str">
        <f t="shared" si="44"/>
        <v>https://www.kegg.jp/entry/R01055</v>
      </c>
      <c r="I2505" t="s">
        <v>8350</v>
      </c>
      <c r="J2505" t="s">
        <v>13651</v>
      </c>
    </row>
    <row r="2506" spans="1:10" x14ac:dyDescent="0.25">
      <c r="A2506" t="s">
        <v>4679</v>
      </c>
      <c r="B2506">
        <v>260</v>
      </c>
      <c r="C2506" t="s">
        <v>4680</v>
      </c>
      <c r="E2506" s="5" t="s">
        <v>6980</v>
      </c>
      <c r="F2506" s="1" t="str">
        <f t="shared" ref="F2506" si="49">IF(E2506&lt;&gt;"", HYPERLINK("https://www.kegg.jp/dbget-bin/www_bget?ec:" &amp; E2506, "https://www.kegg.jp/dbget-bin/www_bget?ec:" &amp; E2506), "")</f>
        <v>https://www.kegg.jp/dbget-bin/www_bget?ec:2.1.2.11</v>
      </c>
      <c r="G2506" s="9" t="s">
        <v>7923</v>
      </c>
      <c r="H2506" s="1" t="str">
        <f t="shared" si="44"/>
        <v>https://www.kegg.jp/entry/R01226</v>
      </c>
      <c r="I2506" t="s">
        <v>13652</v>
      </c>
      <c r="J2506" t="s">
        <v>8599</v>
      </c>
    </row>
    <row r="2507" spans="1:10" x14ac:dyDescent="0.25">
      <c r="A2507" t="s">
        <v>4679</v>
      </c>
      <c r="B2507">
        <v>260</v>
      </c>
      <c r="C2507" t="s">
        <v>4680</v>
      </c>
      <c r="E2507" s="5" t="s">
        <v>6980</v>
      </c>
      <c r="F2507" s="1" t="str">
        <f t="shared" si="40"/>
        <v>https://www.kegg.jp/dbget-bin/www_bget?ec:2.1.2.11</v>
      </c>
      <c r="G2507" s="9" t="s">
        <v>7924</v>
      </c>
      <c r="H2507" s="1" t="str">
        <f t="shared" si="44"/>
        <v>https://www.kegg.jp/entry/R01216</v>
      </c>
      <c r="I2507" t="s">
        <v>8351</v>
      </c>
      <c r="J2507" t="s">
        <v>13653</v>
      </c>
    </row>
    <row r="2508" spans="1:10" hidden="1" x14ac:dyDescent="0.25">
      <c r="A2508" t="s">
        <v>4682</v>
      </c>
      <c r="B2508">
        <v>323</v>
      </c>
      <c r="C2508" t="s">
        <v>4683</v>
      </c>
      <c r="F2508" s="1" t="str">
        <f t="shared" si="40"/>
        <v/>
      </c>
      <c r="G2508" s="3"/>
      <c r="H2508" s="1" t="str">
        <f t="shared" si="44"/>
        <v/>
      </c>
    </row>
    <row r="2509" spans="1:10" hidden="1" x14ac:dyDescent="0.25">
      <c r="A2509" t="s">
        <v>4684</v>
      </c>
      <c r="B2509">
        <v>345</v>
      </c>
      <c r="C2509" t="s">
        <v>4685</v>
      </c>
      <c r="F2509" s="1" t="str">
        <f t="shared" si="40"/>
        <v/>
      </c>
      <c r="G2509" s="3"/>
      <c r="H2509" s="1" t="str">
        <f t="shared" si="44"/>
        <v/>
      </c>
    </row>
    <row r="2510" spans="1:10" hidden="1" x14ac:dyDescent="0.25">
      <c r="A2510" t="s">
        <v>4686</v>
      </c>
      <c r="B2510">
        <v>451</v>
      </c>
      <c r="C2510" t="s">
        <v>4687</v>
      </c>
      <c r="F2510" s="1" t="str">
        <f t="shared" si="40"/>
        <v/>
      </c>
      <c r="G2510" s="3"/>
      <c r="H2510" s="1" t="str">
        <f t="shared" si="44"/>
        <v/>
      </c>
    </row>
    <row r="2511" spans="1:10" hidden="1" x14ac:dyDescent="0.25">
      <c r="A2511" t="s">
        <v>4689</v>
      </c>
      <c r="B2511">
        <v>615</v>
      </c>
      <c r="C2511" t="s">
        <v>4690</v>
      </c>
      <c r="E2511" s="5" t="s">
        <v>6739</v>
      </c>
      <c r="F2511" s="1" t="str">
        <f t="shared" si="40"/>
        <v>https://www.kegg.jp/dbget-bin/www_bget?ec:3.4.24.-</v>
      </c>
      <c r="G2511" s="3"/>
      <c r="H2511" s="1" t="str">
        <f t="shared" si="44"/>
        <v/>
      </c>
    </row>
    <row r="2512" spans="1:10" x14ac:dyDescent="0.25">
      <c r="A2512" t="s">
        <v>4692</v>
      </c>
      <c r="B2512">
        <v>510</v>
      </c>
      <c r="C2512" t="s">
        <v>4693</v>
      </c>
      <c r="E2512" s="5" t="s">
        <v>6981</v>
      </c>
      <c r="F2512" s="1" t="str">
        <f t="shared" ref="F2512:F2513" si="50">IF(E2512&lt;&gt;"", HYPERLINK("https://www.kegg.jp/dbget-bin/www_bget?ec:" &amp; E2512, "https://www.kegg.jp/dbget-bin/www_bget?ec:" &amp; E2512), "")</f>
        <v>https://www.kegg.jp/dbget-bin/www_bget?ec:1.1.5.3</v>
      </c>
      <c r="G2512" s="9" t="s">
        <v>7925</v>
      </c>
      <c r="H2512" s="1" t="str">
        <f t="shared" si="44"/>
        <v>https://www.kegg.jp/entry/R00849</v>
      </c>
      <c r="I2512" t="s">
        <v>8352</v>
      </c>
      <c r="J2512" t="s">
        <v>8600</v>
      </c>
    </row>
    <row r="2513" spans="1:10" x14ac:dyDescent="0.25">
      <c r="A2513" t="s">
        <v>4692</v>
      </c>
      <c r="B2513">
        <v>510</v>
      </c>
      <c r="C2513" t="s">
        <v>4693</v>
      </c>
      <c r="E2513" s="5" t="s">
        <v>6981</v>
      </c>
      <c r="F2513" s="1" t="str">
        <f t="shared" si="50"/>
        <v>https://www.kegg.jp/dbget-bin/www_bget?ec:1.1.5.3</v>
      </c>
      <c r="G2513" s="9" t="s">
        <v>7927</v>
      </c>
      <c r="H2513" s="1" t="str">
        <f t="shared" si="44"/>
        <v>https://www.kegg.jp/entry/R08657</v>
      </c>
      <c r="I2513" t="s">
        <v>8353</v>
      </c>
      <c r="J2513" t="s">
        <v>8601</v>
      </c>
    </row>
    <row r="2514" spans="1:10" x14ac:dyDescent="0.25">
      <c r="A2514" t="s">
        <v>4692</v>
      </c>
      <c r="B2514">
        <v>510</v>
      </c>
      <c r="C2514" t="s">
        <v>4693</v>
      </c>
      <c r="E2514" s="5" t="s">
        <v>6981</v>
      </c>
      <c r="F2514" s="1" t="str">
        <f t="shared" si="40"/>
        <v>https://www.kegg.jp/dbget-bin/www_bget?ec:1.1.5.3</v>
      </c>
      <c r="G2514" s="9" t="s">
        <v>7926</v>
      </c>
      <c r="H2514" s="1" t="str">
        <f t="shared" si="44"/>
        <v>https://www.kegg.jp/entry/R00848</v>
      </c>
      <c r="I2514" t="s">
        <v>13654</v>
      </c>
      <c r="J2514" t="s">
        <v>8602</v>
      </c>
    </row>
    <row r="2515" spans="1:10" x14ac:dyDescent="0.25">
      <c r="A2515" t="s">
        <v>4695</v>
      </c>
      <c r="B2515">
        <v>495</v>
      </c>
      <c r="C2515" t="s">
        <v>4696</v>
      </c>
      <c r="E2515" s="5" t="s">
        <v>6982</v>
      </c>
      <c r="F2515" s="1" t="str">
        <f t="shared" si="40"/>
        <v>https://www.kegg.jp/dbget-bin/www_bget?ec:2.7.1.30</v>
      </c>
      <c r="G2515" s="3" t="s">
        <v>7270</v>
      </c>
      <c r="H2515" s="1" t="str">
        <f t="shared" si="44"/>
        <v>https://www.kegg.jp/entry/R00847</v>
      </c>
      <c r="I2515" t="s">
        <v>8354</v>
      </c>
      <c r="J2515" t="s">
        <v>8603</v>
      </c>
    </row>
    <row r="2516" spans="1:10" x14ac:dyDescent="0.25">
      <c r="A2516" t="s">
        <v>4698</v>
      </c>
      <c r="B2516">
        <v>348</v>
      </c>
      <c r="C2516" t="s">
        <v>4699</v>
      </c>
      <c r="E2516" s="5" t="s">
        <v>6983</v>
      </c>
      <c r="F2516" s="1" t="str">
        <f t="shared" si="40"/>
        <v>https://www.kegg.jp/dbget-bin/www_bget?ec:2.7.7.10</v>
      </c>
      <c r="G2516" s="3" t="s">
        <v>7271</v>
      </c>
      <c r="H2516" s="1" t="str">
        <f t="shared" si="44"/>
        <v>https://www.kegg.jp/entry/R00502</v>
      </c>
      <c r="I2516" t="s">
        <v>8355</v>
      </c>
      <c r="J2516" t="s">
        <v>8604</v>
      </c>
    </row>
    <row r="2517" spans="1:10" hidden="1" x14ac:dyDescent="0.25">
      <c r="A2517" t="s">
        <v>4700</v>
      </c>
      <c r="B2517">
        <v>54</v>
      </c>
      <c r="C2517" t="s">
        <v>4701</v>
      </c>
      <c r="F2517" s="1" t="str">
        <f t="shared" si="40"/>
        <v/>
      </c>
      <c r="G2517" s="3"/>
      <c r="H2517" s="1" t="str">
        <f t="shared" si="44"/>
        <v/>
      </c>
    </row>
    <row r="2518" spans="1:10" hidden="1" x14ac:dyDescent="0.25">
      <c r="A2518" t="s">
        <v>4703</v>
      </c>
      <c r="B2518">
        <v>62</v>
      </c>
      <c r="C2518" t="s">
        <v>4704</v>
      </c>
      <c r="F2518" s="1" t="str">
        <f t="shared" si="40"/>
        <v/>
      </c>
      <c r="G2518" s="3"/>
      <c r="H2518" s="1" t="str">
        <f t="shared" si="44"/>
        <v/>
      </c>
    </row>
    <row r="2519" spans="1:10" x14ac:dyDescent="0.25">
      <c r="A2519" t="s">
        <v>4706</v>
      </c>
      <c r="B2519">
        <v>321</v>
      </c>
      <c r="C2519" t="s">
        <v>4707</v>
      </c>
      <c r="E2519" s="5" t="s">
        <v>6984</v>
      </c>
      <c r="F2519" s="1" t="str">
        <f t="shared" si="40"/>
        <v>https://www.kegg.jp/dbget-bin/www_bget?ec:6.3.2.4</v>
      </c>
      <c r="G2519" s="3" t="s">
        <v>7272</v>
      </c>
      <c r="H2519" s="1" t="str">
        <f t="shared" si="44"/>
        <v>https://www.kegg.jp/entry/R01150</v>
      </c>
      <c r="I2519" t="s">
        <v>8356</v>
      </c>
      <c r="J2519" t="s">
        <v>8605</v>
      </c>
    </row>
    <row r="2520" spans="1:10" x14ac:dyDescent="0.25">
      <c r="A2520" t="s">
        <v>4709</v>
      </c>
      <c r="B2520">
        <v>184</v>
      </c>
      <c r="C2520" t="s">
        <v>4710</v>
      </c>
      <c r="E2520" s="5" t="s">
        <v>6985</v>
      </c>
      <c r="F2520" s="1" t="str">
        <f t="shared" si="40"/>
        <v>https://www.kegg.jp/dbget-bin/www_bget?ec:3.1.1.29</v>
      </c>
      <c r="G2520" s="3" t="s">
        <v>7273</v>
      </c>
      <c r="H2520" s="1" t="str">
        <f t="shared" si="44"/>
        <v>https://www.kegg.jp/entry/R04238</v>
      </c>
      <c r="I2520" t="s">
        <v>13655</v>
      </c>
      <c r="J2520" t="s">
        <v>13656</v>
      </c>
    </row>
    <row r="2521" spans="1:10" hidden="1" x14ac:dyDescent="0.25">
      <c r="A2521" t="s">
        <v>4712</v>
      </c>
      <c r="B2521">
        <v>205</v>
      </c>
      <c r="C2521" t="s">
        <v>4713</v>
      </c>
      <c r="F2521" s="1" t="str">
        <f t="shared" si="40"/>
        <v/>
      </c>
      <c r="G2521" s="3"/>
      <c r="H2521" s="1" t="str">
        <f t="shared" si="44"/>
        <v/>
      </c>
    </row>
    <row r="2522" spans="1:10" x14ac:dyDescent="0.25">
      <c r="A2522" t="s">
        <v>4715</v>
      </c>
      <c r="B2522">
        <v>307</v>
      </c>
      <c r="C2522" t="s">
        <v>4716</v>
      </c>
      <c r="E2522" s="5" t="s">
        <v>6986</v>
      </c>
      <c r="F2522" s="1" t="str">
        <f t="shared" ref="F2522:F2619" si="51">IF(E2522&lt;&gt;"", HYPERLINK("https://www.kegg.jp/dbget-bin/www_bget?ec:" &amp; E2522, "https://www.kegg.jp/dbget-bin/www_bget?ec:" &amp; E2522), "")</f>
        <v>https://www.kegg.jp/dbget-bin/www_bget?ec:2.7.6.1</v>
      </c>
      <c r="G2522" s="3" t="s">
        <v>7274</v>
      </c>
      <c r="H2522" s="1" t="str">
        <f t="shared" si="44"/>
        <v>https://www.kegg.jp/entry/R01049</v>
      </c>
      <c r="I2522" t="s">
        <v>8357</v>
      </c>
      <c r="J2522" t="s">
        <v>8606</v>
      </c>
    </row>
    <row r="2523" spans="1:10" x14ac:dyDescent="0.25">
      <c r="A2523" t="s">
        <v>4717</v>
      </c>
      <c r="B2523">
        <v>225</v>
      </c>
      <c r="C2523" t="s">
        <v>4718</v>
      </c>
      <c r="E2523" s="5" t="s">
        <v>6987</v>
      </c>
      <c r="F2523" s="1" t="str">
        <f t="shared" si="51"/>
        <v>https://www.kegg.jp/dbget-bin/www_bget?ec:3.2.2.16</v>
      </c>
      <c r="G2523" s="3" t="s">
        <v>7275</v>
      </c>
      <c r="H2523" s="1" t="str">
        <f t="shared" si="44"/>
        <v>https://www.kegg.jp/entry/R01401</v>
      </c>
      <c r="I2523" t="s">
        <v>13657</v>
      </c>
      <c r="J2523" t="s">
        <v>8607</v>
      </c>
    </row>
    <row r="2524" spans="1:10" x14ac:dyDescent="0.25">
      <c r="A2524" t="s">
        <v>4720</v>
      </c>
      <c r="B2524">
        <v>152</v>
      </c>
      <c r="C2524" t="s">
        <v>4721</v>
      </c>
      <c r="E2524" s="5" t="s">
        <v>6988</v>
      </c>
      <c r="F2524" s="1" t="str">
        <f t="shared" si="51"/>
        <v>https://www.kegg.jp/dbget-bin/www_bget?ec:4.4.1.21</v>
      </c>
      <c r="G2524" s="3" t="s">
        <v>7276</v>
      </c>
      <c r="H2524" s="1" t="str">
        <f t="shared" si="44"/>
        <v>https://www.kegg.jp/entry/R01291</v>
      </c>
      <c r="I2524" t="s">
        <v>8358</v>
      </c>
      <c r="J2524" t="s">
        <v>13658</v>
      </c>
    </row>
    <row r="2525" spans="1:10" x14ac:dyDescent="0.25">
      <c r="A2525" t="s">
        <v>4723</v>
      </c>
      <c r="B2525">
        <v>503</v>
      </c>
      <c r="C2525" t="s">
        <v>4724</v>
      </c>
      <c r="E2525" s="5" t="s">
        <v>6989</v>
      </c>
      <c r="F2525" s="1" t="str">
        <f t="shared" ref="F2525:F2527" si="52">IF(E2525&lt;&gt;"", HYPERLINK("https://www.kegg.jp/dbget-bin/www_bget?ec:" &amp; E2525, "https://www.kegg.jp/dbget-bin/www_bget?ec:" &amp; E2525), "")</f>
        <v>https://www.kegg.jp/dbget-bin/www_bget?ec:6.3.5.2</v>
      </c>
      <c r="G2525" s="9" t="s">
        <v>7423</v>
      </c>
      <c r="H2525" s="1" t="str">
        <f t="shared" si="44"/>
        <v>https://www.kegg.jp/entry/R00256</v>
      </c>
      <c r="I2525" t="s">
        <v>12866</v>
      </c>
      <c r="J2525" t="s">
        <v>12867</v>
      </c>
    </row>
    <row r="2526" spans="1:10" x14ac:dyDescent="0.25">
      <c r="A2526" t="s">
        <v>4723</v>
      </c>
      <c r="B2526">
        <v>503</v>
      </c>
      <c r="C2526" t="s">
        <v>4724</v>
      </c>
      <c r="E2526" s="5" t="s">
        <v>6989</v>
      </c>
      <c r="F2526" s="1" t="str">
        <f t="shared" si="52"/>
        <v>https://www.kegg.jp/dbget-bin/www_bget?ec:6.3.5.2</v>
      </c>
      <c r="G2526" s="9" t="s">
        <v>7930</v>
      </c>
      <c r="H2526" s="1" t="str">
        <f t="shared" si="44"/>
        <v>https://www.kegg.jp/entry/R01230</v>
      </c>
      <c r="I2526" t="s">
        <v>13659</v>
      </c>
      <c r="J2526" t="s">
        <v>13660</v>
      </c>
    </row>
    <row r="2527" spans="1:10" x14ac:dyDescent="0.25">
      <c r="A2527" t="s">
        <v>4723</v>
      </c>
      <c r="B2527">
        <v>503</v>
      </c>
      <c r="C2527" t="s">
        <v>4724</v>
      </c>
      <c r="E2527" s="5" t="s">
        <v>6989</v>
      </c>
      <c r="F2527" s="1" t="str">
        <f t="shared" si="52"/>
        <v>https://www.kegg.jp/dbget-bin/www_bget?ec:6.3.5.2</v>
      </c>
      <c r="G2527" s="9" t="s">
        <v>7929</v>
      </c>
      <c r="H2527" s="1" t="str">
        <f t="shared" si="44"/>
        <v>https://www.kegg.jp/entry/R01231</v>
      </c>
      <c r="I2527" t="s">
        <v>13661</v>
      </c>
      <c r="J2527" t="s">
        <v>13662</v>
      </c>
    </row>
    <row r="2528" spans="1:10" x14ac:dyDescent="0.25">
      <c r="A2528" t="s">
        <v>4723</v>
      </c>
      <c r="B2528">
        <v>503</v>
      </c>
      <c r="C2528" t="s">
        <v>4724</v>
      </c>
      <c r="E2528" s="5" t="s">
        <v>6989</v>
      </c>
      <c r="F2528" s="1" t="str">
        <f t="shared" si="51"/>
        <v>https://www.kegg.jp/dbget-bin/www_bget?ec:6.3.5.2</v>
      </c>
      <c r="G2528" s="9" t="s">
        <v>7928</v>
      </c>
      <c r="H2528" s="1" t="str">
        <f t="shared" si="44"/>
        <v>https://www.kegg.jp/entry/R08244</v>
      </c>
      <c r="I2528" t="s">
        <v>13663</v>
      </c>
      <c r="J2528" t="s">
        <v>13664</v>
      </c>
    </row>
    <row r="2529" spans="1:10" hidden="1" x14ac:dyDescent="0.25">
      <c r="A2529" t="s">
        <v>4725</v>
      </c>
      <c r="B2529">
        <v>189</v>
      </c>
      <c r="C2529" t="s">
        <v>4726</v>
      </c>
      <c r="F2529" s="1" t="str">
        <f t="shared" si="51"/>
        <v/>
      </c>
      <c r="G2529" s="3"/>
      <c r="H2529" s="1" t="str">
        <f t="shared" si="44"/>
        <v/>
      </c>
    </row>
    <row r="2530" spans="1:10" hidden="1" x14ac:dyDescent="0.25">
      <c r="A2530" t="s">
        <v>4727</v>
      </c>
      <c r="B2530">
        <v>95</v>
      </c>
      <c r="C2530" t="s">
        <v>4728</v>
      </c>
      <c r="F2530" s="1" t="str">
        <f t="shared" si="51"/>
        <v/>
      </c>
      <c r="G2530" s="3"/>
      <c r="H2530" s="1" t="str">
        <f t="shared" si="44"/>
        <v/>
      </c>
    </row>
    <row r="2531" spans="1:10" hidden="1" x14ac:dyDescent="0.25">
      <c r="A2531" t="s">
        <v>4729</v>
      </c>
      <c r="B2531">
        <v>125</v>
      </c>
      <c r="C2531" t="s">
        <v>4730</v>
      </c>
      <c r="F2531" s="1" t="str">
        <f t="shared" si="51"/>
        <v/>
      </c>
      <c r="G2531" s="3"/>
      <c r="H2531" s="1" t="str">
        <f t="shared" si="44"/>
        <v/>
      </c>
    </row>
    <row r="2532" spans="1:10" hidden="1" x14ac:dyDescent="0.25">
      <c r="A2532" t="s">
        <v>4732</v>
      </c>
      <c r="B2532">
        <v>498</v>
      </c>
      <c r="C2532" t="s">
        <v>4733</v>
      </c>
      <c r="F2532" s="1" t="str">
        <f t="shared" si="51"/>
        <v/>
      </c>
      <c r="G2532" s="3"/>
      <c r="H2532" s="1" t="str">
        <f t="shared" si="44"/>
        <v/>
      </c>
    </row>
    <row r="2533" spans="1:10" hidden="1" x14ac:dyDescent="0.25">
      <c r="A2533" t="s">
        <v>4734</v>
      </c>
      <c r="B2533">
        <v>50</v>
      </c>
      <c r="C2533" t="s">
        <v>4735</v>
      </c>
      <c r="F2533" s="1" t="str">
        <f t="shared" si="51"/>
        <v/>
      </c>
      <c r="G2533" s="3"/>
      <c r="H2533" s="1" t="str">
        <f t="shared" si="44"/>
        <v/>
      </c>
    </row>
    <row r="2534" spans="1:10" hidden="1" x14ac:dyDescent="0.25">
      <c r="A2534" t="s">
        <v>4737</v>
      </c>
      <c r="B2534">
        <v>458</v>
      </c>
      <c r="C2534" t="s">
        <v>4738</v>
      </c>
      <c r="F2534" s="1" t="str">
        <f t="shared" si="51"/>
        <v/>
      </c>
      <c r="G2534" s="3"/>
      <c r="H2534" s="1" t="str">
        <f t="shared" si="44"/>
        <v/>
      </c>
    </row>
    <row r="2535" spans="1:10" hidden="1" x14ac:dyDescent="0.25">
      <c r="A2535" t="s">
        <v>4739</v>
      </c>
      <c r="B2535">
        <v>252</v>
      </c>
      <c r="C2535" t="s">
        <v>4740</v>
      </c>
      <c r="F2535" s="1" t="str">
        <f t="shared" si="51"/>
        <v/>
      </c>
      <c r="G2535" s="3"/>
      <c r="H2535" s="1" t="str">
        <f t="shared" si="44"/>
        <v/>
      </c>
    </row>
    <row r="2536" spans="1:10" hidden="1" x14ac:dyDescent="0.25">
      <c r="A2536" t="s">
        <v>4741</v>
      </c>
      <c r="B2536">
        <v>300</v>
      </c>
      <c r="C2536" t="s">
        <v>4742</v>
      </c>
      <c r="F2536" s="1" t="str">
        <f t="shared" si="51"/>
        <v/>
      </c>
      <c r="G2536" s="3"/>
      <c r="H2536" s="1" t="str">
        <f t="shared" si="44"/>
        <v/>
      </c>
    </row>
    <row r="2537" spans="1:10" hidden="1" x14ac:dyDescent="0.25">
      <c r="A2537" t="s">
        <v>4744</v>
      </c>
      <c r="B2537">
        <v>161</v>
      </c>
      <c r="C2537" t="s">
        <v>4745</v>
      </c>
      <c r="E2537" s="5" t="s">
        <v>6990</v>
      </c>
      <c r="F2537" s="1" t="str">
        <f t="shared" si="51"/>
        <v>https://www.kegg.jp/dbget-bin/www_bget?ec:3.1.26.4</v>
      </c>
      <c r="G2537" s="3"/>
      <c r="H2537" s="1" t="str">
        <f t="shared" si="44"/>
        <v/>
      </c>
    </row>
    <row r="2538" spans="1:10" x14ac:dyDescent="0.25">
      <c r="A2538" t="s">
        <v>4747</v>
      </c>
      <c r="B2538">
        <v>550</v>
      </c>
      <c r="C2538" t="s">
        <v>4748</v>
      </c>
      <c r="E2538" s="5" t="s">
        <v>6991</v>
      </c>
      <c r="F2538" s="1" t="str">
        <f t="shared" si="51"/>
        <v>https://www.kegg.jp/dbget-bin/www_bget?ec:6.4.1.4</v>
      </c>
      <c r="G2538" s="3" t="s">
        <v>7277</v>
      </c>
      <c r="H2538" s="1" t="str">
        <f t="shared" si="44"/>
        <v>https://www.kegg.jp/entry/R04138</v>
      </c>
      <c r="I2538" t="s">
        <v>13665</v>
      </c>
      <c r="J2538" t="s">
        <v>8608</v>
      </c>
    </row>
    <row r="2539" spans="1:10" x14ac:dyDescent="0.25">
      <c r="A2539" t="s">
        <v>4750</v>
      </c>
      <c r="B2539">
        <v>285</v>
      </c>
      <c r="C2539" t="s">
        <v>4751</v>
      </c>
      <c r="E2539" s="5" t="s">
        <v>6992</v>
      </c>
      <c r="F2539" s="1" t="str">
        <f t="shared" ref="F2539" si="53">IF(E2539&lt;&gt;"", HYPERLINK("https://www.kegg.jp/dbget-bin/www_bget?ec:" &amp; E2539, "https://www.kegg.jp/dbget-bin/www_bget?ec:" &amp; E2539), "")</f>
        <v>https://www.kegg.jp/dbget-bin/www_bget?ec:4.1.3.4</v>
      </c>
      <c r="G2539" s="9" t="s">
        <v>7931</v>
      </c>
      <c r="H2539" s="1" t="str">
        <f t="shared" ref="H2539:H2602" si="54">IF(G2539&lt;&gt;"", HYPERLINK("https://www.kegg.jp/entry/" &amp; G2539, "https://www.kegg.jp/entry/" &amp; G2539), "")</f>
        <v>https://www.kegg.jp/entry/R01360</v>
      </c>
      <c r="I2539" t="s">
        <v>8359</v>
      </c>
      <c r="J2539" t="s">
        <v>8609</v>
      </c>
    </row>
    <row r="2540" spans="1:10" x14ac:dyDescent="0.25">
      <c r="A2540" t="s">
        <v>4750</v>
      </c>
      <c r="B2540">
        <v>285</v>
      </c>
      <c r="C2540" t="s">
        <v>4751</v>
      </c>
      <c r="E2540" s="5" t="s">
        <v>6992</v>
      </c>
      <c r="F2540" s="1" t="str">
        <f t="shared" si="51"/>
        <v>https://www.kegg.jp/dbget-bin/www_bget?ec:4.1.3.4</v>
      </c>
      <c r="G2540" s="9" t="s">
        <v>7932</v>
      </c>
      <c r="H2540" s="1" t="str">
        <f t="shared" si="54"/>
        <v>https://www.kegg.jp/entry/R08090</v>
      </c>
      <c r="I2540" t="s">
        <v>8360</v>
      </c>
      <c r="J2540" t="s">
        <v>13666</v>
      </c>
    </row>
    <row r="2541" spans="1:10" hidden="1" x14ac:dyDescent="0.25">
      <c r="A2541" t="s">
        <v>4752</v>
      </c>
      <c r="B2541">
        <v>131</v>
      </c>
      <c r="C2541" t="s">
        <v>4753</v>
      </c>
      <c r="F2541" s="1" t="str">
        <f t="shared" si="51"/>
        <v/>
      </c>
      <c r="G2541" s="3"/>
      <c r="H2541" s="1" t="str">
        <f t="shared" si="54"/>
        <v/>
      </c>
    </row>
    <row r="2542" spans="1:10" hidden="1" x14ac:dyDescent="0.25">
      <c r="A2542" t="s">
        <v>4754</v>
      </c>
      <c r="B2542">
        <v>162</v>
      </c>
      <c r="C2542" t="s">
        <v>4755</v>
      </c>
      <c r="F2542" s="1" t="str">
        <f t="shared" si="51"/>
        <v/>
      </c>
      <c r="G2542" s="3"/>
      <c r="H2542" s="1" t="str">
        <f t="shared" si="54"/>
        <v/>
      </c>
    </row>
    <row r="2543" spans="1:10" hidden="1" x14ac:dyDescent="0.25">
      <c r="A2543" t="s">
        <v>4756</v>
      </c>
      <c r="B2543">
        <v>58</v>
      </c>
      <c r="C2543" t="s">
        <v>4757</v>
      </c>
      <c r="F2543" s="1" t="str">
        <f t="shared" si="51"/>
        <v/>
      </c>
      <c r="G2543" s="3"/>
      <c r="H2543" s="1" t="str">
        <f t="shared" si="54"/>
        <v/>
      </c>
    </row>
    <row r="2544" spans="1:10" hidden="1" x14ac:dyDescent="0.25">
      <c r="A2544" t="s">
        <v>4758</v>
      </c>
      <c r="B2544">
        <v>201</v>
      </c>
      <c r="C2544" t="s">
        <v>4759</v>
      </c>
      <c r="F2544" s="1" t="str">
        <f t="shared" si="51"/>
        <v/>
      </c>
      <c r="G2544" s="3"/>
      <c r="H2544" s="1" t="str">
        <f t="shared" si="54"/>
        <v/>
      </c>
    </row>
    <row r="2545" spans="1:10" hidden="1" x14ac:dyDescent="0.25">
      <c r="A2545" t="s">
        <v>4760</v>
      </c>
      <c r="B2545">
        <v>117</v>
      </c>
      <c r="C2545" t="s">
        <v>4761</v>
      </c>
      <c r="F2545" s="1" t="str">
        <f t="shared" si="51"/>
        <v/>
      </c>
      <c r="G2545" s="3"/>
      <c r="H2545" s="1" t="str">
        <f t="shared" si="54"/>
        <v/>
      </c>
    </row>
    <row r="2546" spans="1:10" hidden="1" x14ac:dyDescent="0.25">
      <c r="C2546" t="s">
        <v>4762</v>
      </c>
      <c r="F2546" s="1" t="str">
        <f t="shared" si="51"/>
        <v/>
      </c>
      <c r="G2546" s="3"/>
      <c r="H2546" s="1" t="str">
        <f t="shared" si="54"/>
        <v/>
      </c>
    </row>
    <row r="2547" spans="1:10" hidden="1" x14ac:dyDescent="0.25">
      <c r="A2547" t="s">
        <v>4764</v>
      </c>
      <c r="B2547">
        <v>509</v>
      </c>
      <c r="C2547" t="s">
        <v>4765</v>
      </c>
      <c r="F2547" s="1" t="str">
        <f t="shared" si="51"/>
        <v/>
      </c>
      <c r="G2547" s="3"/>
      <c r="H2547" s="1" t="str">
        <f t="shared" si="54"/>
        <v/>
      </c>
    </row>
    <row r="2548" spans="1:10" hidden="1" x14ac:dyDescent="0.25">
      <c r="A2548" t="s">
        <v>4766</v>
      </c>
      <c r="B2548">
        <v>132</v>
      </c>
      <c r="C2548" t="s">
        <v>4767</v>
      </c>
      <c r="F2548" s="1" t="str">
        <f t="shared" si="51"/>
        <v/>
      </c>
      <c r="G2548" s="3"/>
      <c r="H2548" s="1" t="str">
        <f t="shared" si="54"/>
        <v/>
      </c>
    </row>
    <row r="2549" spans="1:10" x14ac:dyDescent="0.25">
      <c r="A2549" t="s">
        <v>4768</v>
      </c>
      <c r="B2549">
        <v>458</v>
      </c>
      <c r="C2549" t="s">
        <v>4769</v>
      </c>
      <c r="E2549" s="5" t="s">
        <v>6919</v>
      </c>
      <c r="F2549" s="1" t="str">
        <f t="shared" si="51"/>
        <v>https://www.kegg.jp/dbget-bin/www_bget?ec:1.1.99.14</v>
      </c>
      <c r="G2549" s="3" t="s">
        <v>7242</v>
      </c>
      <c r="H2549" s="1" t="str">
        <f t="shared" si="54"/>
        <v>https://www.kegg.jp/entry/R00476</v>
      </c>
      <c r="I2549" t="s">
        <v>13509</v>
      </c>
      <c r="J2549" t="s">
        <v>13510</v>
      </c>
    </row>
    <row r="2550" spans="1:10" x14ac:dyDescent="0.25">
      <c r="A2550" t="s">
        <v>4771</v>
      </c>
      <c r="B2550">
        <v>351</v>
      </c>
      <c r="C2550" t="s">
        <v>4772</v>
      </c>
      <c r="E2550" s="5" t="s">
        <v>6919</v>
      </c>
      <c r="F2550" s="1" t="str">
        <f t="shared" si="51"/>
        <v>https://www.kegg.jp/dbget-bin/www_bget?ec:1.1.99.14</v>
      </c>
      <c r="G2550" s="3" t="s">
        <v>7242</v>
      </c>
      <c r="H2550" s="1" t="str">
        <f t="shared" si="54"/>
        <v>https://www.kegg.jp/entry/R00476</v>
      </c>
      <c r="I2550" t="s">
        <v>13509</v>
      </c>
      <c r="J2550" t="s">
        <v>13510</v>
      </c>
    </row>
    <row r="2551" spans="1:10" x14ac:dyDescent="0.25">
      <c r="A2551" t="s">
        <v>4774</v>
      </c>
      <c r="B2551">
        <v>418</v>
      </c>
      <c r="C2551" t="s">
        <v>4775</v>
      </c>
      <c r="E2551" s="5" t="s">
        <v>6919</v>
      </c>
      <c r="F2551" s="1" t="str">
        <f t="shared" si="51"/>
        <v>https://www.kegg.jp/dbget-bin/www_bget?ec:1.1.99.14</v>
      </c>
      <c r="G2551" s="3" t="s">
        <v>7242</v>
      </c>
      <c r="H2551" s="1" t="str">
        <f t="shared" si="54"/>
        <v>https://www.kegg.jp/entry/R00476</v>
      </c>
      <c r="I2551" t="s">
        <v>13509</v>
      </c>
      <c r="J2551" t="s">
        <v>13510</v>
      </c>
    </row>
    <row r="2552" spans="1:10" hidden="1" x14ac:dyDescent="0.25">
      <c r="A2552" t="s">
        <v>4776</v>
      </c>
      <c r="B2552">
        <v>64</v>
      </c>
      <c r="C2552" t="s">
        <v>4777</v>
      </c>
      <c r="F2552" s="1" t="str">
        <f t="shared" si="51"/>
        <v/>
      </c>
      <c r="G2552" s="3"/>
      <c r="H2552" s="1" t="str">
        <f t="shared" si="54"/>
        <v/>
      </c>
    </row>
    <row r="2553" spans="1:10" hidden="1" x14ac:dyDescent="0.25">
      <c r="A2553" t="s">
        <v>4778</v>
      </c>
      <c r="B2553">
        <v>409</v>
      </c>
      <c r="C2553" t="s">
        <v>4779</v>
      </c>
      <c r="F2553" s="1" t="str">
        <f t="shared" si="51"/>
        <v/>
      </c>
      <c r="G2553" s="3"/>
      <c r="H2553" s="1" t="str">
        <f t="shared" si="54"/>
        <v/>
      </c>
    </row>
    <row r="2554" spans="1:10" hidden="1" x14ac:dyDescent="0.25">
      <c r="A2554" t="s">
        <v>4780</v>
      </c>
      <c r="B2554">
        <v>86</v>
      </c>
      <c r="C2554" t="s">
        <v>4781</v>
      </c>
      <c r="F2554" s="1" t="str">
        <f t="shared" si="51"/>
        <v/>
      </c>
      <c r="G2554" s="3"/>
      <c r="H2554" s="1" t="str">
        <f t="shared" si="54"/>
        <v/>
      </c>
    </row>
    <row r="2555" spans="1:10" hidden="1" x14ac:dyDescent="0.25">
      <c r="A2555" t="s">
        <v>4782</v>
      </c>
      <c r="B2555">
        <v>130</v>
      </c>
      <c r="C2555" t="s">
        <v>4783</v>
      </c>
      <c r="F2555" s="1" t="str">
        <f t="shared" si="51"/>
        <v/>
      </c>
      <c r="G2555" s="3"/>
      <c r="H2555" s="1" t="str">
        <f t="shared" si="54"/>
        <v/>
      </c>
    </row>
    <row r="2556" spans="1:10" hidden="1" x14ac:dyDescent="0.25">
      <c r="A2556" t="s">
        <v>4785</v>
      </c>
      <c r="B2556">
        <v>406</v>
      </c>
      <c r="C2556" t="s">
        <v>4786</v>
      </c>
      <c r="F2556" s="1" t="str">
        <f t="shared" si="51"/>
        <v/>
      </c>
      <c r="G2556" s="3"/>
      <c r="H2556" s="1" t="str">
        <f t="shared" si="54"/>
        <v/>
      </c>
    </row>
    <row r="2557" spans="1:10" hidden="1" x14ac:dyDescent="0.25">
      <c r="A2557" t="s">
        <v>4787</v>
      </c>
      <c r="B2557">
        <v>368</v>
      </c>
      <c r="C2557" t="s">
        <v>4788</v>
      </c>
      <c r="F2557" s="1" t="str">
        <f t="shared" si="51"/>
        <v/>
      </c>
      <c r="G2557" s="3"/>
      <c r="H2557" s="1" t="str">
        <f t="shared" si="54"/>
        <v/>
      </c>
    </row>
    <row r="2558" spans="1:10" x14ac:dyDescent="0.25">
      <c r="A2558" t="s">
        <v>4790</v>
      </c>
      <c r="B2558">
        <v>129</v>
      </c>
      <c r="C2558" t="s">
        <v>4791</v>
      </c>
      <c r="D2558" t="s">
        <v>6993</v>
      </c>
      <c r="E2558" s="5" t="s">
        <v>7933</v>
      </c>
      <c r="F2558" s="1" t="str">
        <f t="shared" ref="F2558" si="55">IF(E2558&lt;&gt;"", HYPERLINK("https://www.kegg.jp/dbget-bin/www_bget?ec:" &amp; E2558, "https://www.kegg.jp/dbget-bin/www_bget?ec:" &amp; E2558), "")</f>
        <v>https://www.kegg.jp/dbget-bin/www_bget?ec:1.6.5.9</v>
      </c>
      <c r="G2558" s="9" t="s">
        <v>7934</v>
      </c>
      <c r="H2558" s="1" t="str">
        <f t="shared" si="54"/>
        <v>https://www.kegg.jp/entry/R70358</v>
      </c>
      <c r="I2558" t="s">
        <v>13667</v>
      </c>
      <c r="J2558" t="s">
        <v>13668</v>
      </c>
    </row>
    <row r="2559" spans="1:10" x14ac:dyDescent="0.25">
      <c r="A2559" t="s">
        <v>4790</v>
      </c>
      <c r="B2559">
        <v>129</v>
      </c>
      <c r="C2559" t="s">
        <v>4791</v>
      </c>
      <c r="D2559" t="s">
        <v>6993</v>
      </c>
      <c r="E2559" s="5" t="s">
        <v>7933</v>
      </c>
      <c r="F2559" s="1" t="str">
        <f t="shared" si="51"/>
        <v>https://www.kegg.jp/dbget-bin/www_bget?ec:1.6.5.9</v>
      </c>
      <c r="G2559" s="9" t="s">
        <v>7935</v>
      </c>
      <c r="H2559" s="1" t="str">
        <f t="shared" si="54"/>
        <v>https://www.kegg.jp/entry/R02163</v>
      </c>
      <c r="I2559" t="s">
        <v>13669</v>
      </c>
      <c r="J2559" t="s">
        <v>13567</v>
      </c>
    </row>
    <row r="2560" spans="1:10" hidden="1" x14ac:dyDescent="0.25">
      <c r="C2560" t="s">
        <v>4793</v>
      </c>
      <c r="F2560" s="1" t="str">
        <f t="shared" si="51"/>
        <v/>
      </c>
      <c r="G2560" s="3"/>
      <c r="H2560" s="1" t="str">
        <f t="shared" si="54"/>
        <v/>
      </c>
    </row>
    <row r="2561" spans="1:10" hidden="1" x14ac:dyDescent="0.25">
      <c r="C2561" t="s">
        <v>4795</v>
      </c>
      <c r="F2561" s="1" t="str">
        <f t="shared" si="51"/>
        <v/>
      </c>
      <c r="G2561" s="3"/>
      <c r="H2561" s="1" t="str">
        <f t="shared" si="54"/>
        <v/>
      </c>
    </row>
    <row r="2562" spans="1:10" x14ac:dyDescent="0.25">
      <c r="A2562" t="s">
        <v>4796</v>
      </c>
      <c r="B2562">
        <v>475</v>
      </c>
      <c r="C2562" t="s">
        <v>4797</v>
      </c>
      <c r="E2562" s="5" t="s">
        <v>6856</v>
      </c>
      <c r="F2562" s="1" t="str">
        <f t="shared" si="51"/>
        <v>https://www.kegg.jp/dbget-bin/www_bget?ec:2.7.2.3</v>
      </c>
      <c r="G2562" s="3" t="s">
        <v>7209</v>
      </c>
      <c r="H2562" s="1" t="str">
        <f t="shared" si="54"/>
        <v>https://www.kegg.jp/entry/R01512</v>
      </c>
      <c r="I2562" t="s">
        <v>8273</v>
      </c>
      <c r="J2562" t="s">
        <v>8541</v>
      </c>
    </row>
    <row r="2563" spans="1:10" hidden="1" x14ac:dyDescent="0.25">
      <c r="A2563" t="s">
        <v>4798</v>
      </c>
      <c r="B2563">
        <v>112</v>
      </c>
      <c r="C2563" t="s">
        <v>4799</v>
      </c>
      <c r="F2563" s="1" t="str">
        <f t="shared" si="51"/>
        <v/>
      </c>
      <c r="G2563" s="3"/>
      <c r="H2563" s="1" t="str">
        <f t="shared" si="54"/>
        <v/>
      </c>
    </row>
    <row r="2564" spans="1:10" hidden="1" x14ac:dyDescent="0.25">
      <c r="A2564" t="s">
        <v>4800</v>
      </c>
      <c r="B2564">
        <v>98</v>
      </c>
      <c r="C2564" t="s">
        <v>4801</v>
      </c>
      <c r="F2564" s="1" t="str">
        <f t="shared" si="51"/>
        <v/>
      </c>
      <c r="G2564" s="3"/>
      <c r="H2564" s="1" t="str">
        <f t="shared" si="54"/>
        <v/>
      </c>
    </row>
    <row r="2565" spans="1:10" hidden="1" x14ac:dyDescent="0.25">
      <c r="A2565" t="s">
        <v>4802</v>
      </c>
      <c r="B2565">
        <v>103</v>
      </c>
      <c r="C2565" t="s">
        <v>4803</v>
      </c>
      <c r="F2565" s="1" t="str">
        <f t="shared" si="51"/>
        <v/>
      </c>
      <c r="G2565" s="3"/>
      <c r="H2565" s="1" t="str">
        <f t="shared" si="54"/>
        <v/>
      </c>
    </row>
    <row r="2566" spans="1:10" x14ac:dyDescent="0.25">
      <c r="A2566" t="s">
        <v>4805</v>
      </c>
      <c r="B2566">
        <v>351</v>
      </c>
      <c r="C2566" t="s">
        <v>4806</v>
      </c>
      <c r="E2566" s="5" t="s">
        <v>6994</v>
      </c>
      <c r="F2566" s="1" t="str">
        <f t="shared" ref="F2566" si="56">IF(E2566&lt;&gt;"", HYPERLINK("https://www.kegg.jp/dbget-bin/www_bget?ec:" &amp; E2566, "https://www.kegg.jp/dbget-bin/www_bget?ec:" &amp; E2566), "")</f>
        <v>https://www.kegg.jp/dbget-bin/www_bget?ec:4.2.3.1</v>
      </c>
      <c r="G2566" s="9" t="s">
        <v>7936</v>
      </c>
      <c r="H2566" s="1" t="str">
        <f t="shared" si="54"/>
        <v>https://www.kegg.jp/entry/R01466</v>
      </c>
      <c r="I2566" t="s">
        <v>13670</v>
      </c>
      <c r="J2566" t="s">
        <v>13671</v>
      </c>
    </row>
    <row r="2567" spans="1:10" x14ac:dyDescent="0.25">
      <c r="A2567" t="s">
        <v>4805</v>
      </c>
      <c r="B2567">
        <v>351</v>
      </c>
      <c r="C2567" t="s">
        <v>4806</v>
      </c>
      <c r="E2567" s="5" t="s">
        <v>6994</v>
      </c>
      <c r="F2567" s="1" t="str">
        <f t="shared" si="51"/>
        <v>https://www.kegg.jp/dbget-bin/www_bget?ec:4.2.3.1</v>
      </c>
      <c r="G2567" s="9" t="s">
        <v>7937</v>
      </c>
      <c r="H2567" s="1" t="str">
        <f t="shared" si="54"/>
        <v>https://www.kegg.jp/entry/R05086</v>
      </c>
      <c r="I2567" t="s">
        <v>13672</v>
      </c>
      <c r="J2567" t="s">
        <v>13673</v>
      </c>
    </row>
    <row r="2568" spans="1:10" hidden="1" x14ac:dyDescent="0.25">
      <c r="A2568" t="s">
        <v>4807</v>
      </c>
      <c r="B2568">
        <v>187</v>
      </c>
      <c r="C2568" t="s">
        <v>4808</v>
      </c>
      <c r="F2568" s="1" t="str">
        <f t="shared" si="51"/>
        <v/>
      </c>
      <c r="G2568" s="3"/>
      <c r="H2568" s="1" t="str">
        <f t="shared" si="54"/>
        <v/>
      </c>
    </row>
    <row r="2569" spans="1:10" x14ac:dyDescent="0.25">
      <c r="A2569" t="s">
        <v>4810</v>
      </c>
      <c r="B2569">
        <v>332</v>
      </c>
      <c r="C2569" t="s">
        <v>4811</v>
      </c>
      <c r="E2569" s="5" t="s">
        <v>6995</v>
      </c>
      <c r="F2569" s="1" t="str">
        <f t="shared" ref="F2569" si="57">IF(E2569&lt;&gt;"", HYPERLINK("https://www.kegg.jp/dbget-bin/www_bget?ec:" &amp; E2569, "https://www.kegg.jp/dbget-bin/www_bget?ec:" &amp; E2569), "")</f>
        <v>https://www.kegg.jp/dbget-bin/www_bget?ec:1.1.1.3</v>
      </c>
      <c r="G2569" s="9" t="s">
        <v>7938</v>
      </c>
      <c r="H2569" s="1" t="str">
        <f t="shared" si="54"/>
        <v>https://www.kegg.jp/entry/R01773</v>
      </c>
      <c r="I2569" t="s">
        <v>13674</v>
      </c>
      <c r="J2569" t="s">
        <v>13675</v>
      </c>
    </row>
    <row r="2570" spans="1:10" x14ac:dyDescent="0.25">
      <c r="A2570" t="s">
        <v>4810</v>
      </c>
      <c r="B2570">
        <v>332</v>
      </c>
      <c r="C2570" t="s">
        <v>4811</v>
      </c>
      <c r="E2570" s="5" t="s">
        <v>6995</v>
      </c>
      <c r="F2570" s="1" t="str">
        <f t="shared" si="51"/>
        <v>https://www.kegg.jp/dbget-bin/www_bget?ec:1.1.1.3</v>
      </c>
      <c r="G2570" s="9" t="s">
        <v>7939</v>
      </c>
      <c r="H2570" s="1" t="str">
        <f t="shared" si="54"/>
        <v>https://www.kegg.jp/entry/R01775</v>
      </c>
      <c r="I2570" t="s">
        <v>13676</v>
      </c>
      <c r="J2570" t="s">
        <v>13677</v>
      </c>
    </row>
    <row r="2571" spans="1:10" hidden="1" x14ac:dyDescent="0.25">
      <c r="A2571" t="s">
        <v>4813</v>
      </c>
      <c r="B2571">
        <v>408</v>
      </c>
      <c r="C2571" t="s">
        <v>4814</v>
      </c>
      <c r="F2571" s="1" t="str">
        <f t="shared" si="51"/>
        <v/>
      </c>
      <c r="G2571" s="3"/>
      <c r="H2571" s="1" t="str">
        <f t="shared" si="54"/>
        <v/>
      </c>
    </row>
    <row r="2572" spans="1:10" hidden="1" x14ac:dyDescent="0.25">
      <c r="A2572" t="s">
        <v>4816</v>
      </c>
      <c r="B2572">
        <v>234</v>
      </c>
      <c r="C2572" t="s">
        <v>4817</v>
      </c>
      <c r="F2572" s="1" t="str">
        <f t="shared" si="51"/>
        <v/>
      </c>
      <c r="G2572" s="3"/>
      <c r="H2572" s="1" t="str">
        <f t="shared" si="54"/>
        <v/>
      </c>
    </row>
    <row r="2573" spans="1:10" hidden="1" x14ac:dyDescent="0.25">
      <c r="A2573" t="s">
        <v>4819</v>
      </c>
      <c r="B2573">
        <v>443</v>
      </c>
      <c r="C2573" t="s">
        <v>4820</v>
      </c>
      <c r="F2573" s="1" t="str">
        <f t="shared" si="51"/>
        <v/>
      </c>
      <c r="G2573" s="3"/>
      <c r="H2573" s="1" t="str">
        <f t="shared" si="54"/>
        <v/>
      </c>
    </row>
    <row r="2574" spans="1:10" hidden="1" x14ac:dyDescent="0.25">
      <c r="C2574" t="s">
        <v>4821</v>
      </c>
      <c r="F2574" s="1" t="str">
        <f t="shared" si="51"/>
        <v/>
      </c>
      <c r="G2574" s="3"/>
      <c r="H2574" s="1" t="str">
        <f t="shared" si="54"/>
        <v/>
      </c>
    </row>
    <row r="2575" spans="1:10" hidden="1" x14ac:dyDescent="0.25">
      <c r="A2575" t="s">
        <v>4823</v>
      </c>
      <c r="B2575">
        <v>247</v>
      </c>
      <c r="C2575" t="s">
        <v>4824</v>
      </c>
      <c r="F2575" s="1" t="str">
        <f t="shared" si="51"/>
        <v/>
      </c>
      <c r="G2575" s="3"/>
      <c r="H2575" s="1" t="str">
        <f t="shared" si="54"/>
        <v/>
      </c>
    </row>
    <row r="2576" spans="1:10" hidden="1" x14ac:dyDescent="0.25">
      <c r="A2576" t="s">
        <v>4826</v>
      </c>
      <c r="B2576">
        <v>212</v>
      </c>
      <c r="C2576" t="s">
        <v>4827</v>
      </c>
      <c r="F2576" s="1" t="str">
        <f t="shared" si="51"/>
        <v/>
      </c>
      <c r="G2576" s="3"/>
      <c r="H2576" s="1" t="str">
        <f t="shared" si="54"/>
        <v/>
      </c>
    </row>
    <row r="2577" spans="1:10" x14ac:dyDescent="0.25">
      <c r="A2577" t="s">
        <v>4828</v>
      </c>
      <c r="B2577">
        <v>528</v>
      </c>
      <c r="C2577" t="s">
        <v>4829</v>
      </c>
      <c r="E2577" s="5" t="s">
        <v>6701</v>
      </c>
      <c r="F2577" s="1" t="str">
        <f t="shared" ref="F2577:F2581" si="58">IF(E2577&lt;&gt;"", HYPERLINK("https://www.kegg.jp/dbget-bin/www_bget?ec:" &amp; E2577, "https://www.kegg.jp/dbget-bin/www_bget?ec:" &amp; E2577), "")</f>
        <v>https://www.kegg.jp/dbget-bin/www_bget?ec:3.2.1.20</v>
      </c>
      <c r="G2577" s="9" t="s">
        <v>7503</v>
      </c>
      <c r="H2577" s="1" t="str">
        <f t="shared" si="54"/>
        <v>https://www.kegg.jp/entry/R00028</v>
      </c>
      <c r="I2577" t="s">
        <v>12960</v>
      </c>
      <c r="J2577" t="s">
        <v>8307</v>
      </c>
    </row>
    <row r="2578" spans="1:10" x14ac:dyDescent="0.25">
      <c r="A2578" t="s">
        <v>4828</v>
      </c>
      <c r="B2578">
        <v>528</v>
      </c>
      <c r="C2578" t="s">
        <v>4829</v>
      </c>
      <c r="E2578" s="5" t="s">
        <v>6701</v>
      </c>
      <c r="F2578" s="1" t="str">
        <f t="shared" si="58"/>
        <v>https://www.kegg.jp/dbget-bin/www_bget?ec:3.2.1.20</v>
      </c>
      <c r="G2578" s="9" t="s">
        <v>7508</v>
      </c>
      <c r="H2578" s="1" t="str">
        <f t="shared" si="54"/>
        <v>https://www.kegg.jp/entry/R00801</v>
      </c>
      <c r="I2578" t="s">
        <v>12961</v>
      </c>
      <c r="J2578" t="s">
        <v>12962</v>
      </c>
    </row>
    <row r="2579" spans="1:10" x14ac:dyDescent="0.25">
      <c r="A2579" t="s">
        <v>4828</v>
      </c>
      <c r="B2579">
        <v>528</v>
      </c>
      <c r="C2579" t="s">
        <v>4829</v>
      </c>
      <c r="E2579" s="5" t="s">
        <v>6701</v>
      </c>
      <c r="F2579" s="1" t="str">
        <f t="shared" si="58"/>
        <v>https://www.kegg.jp/dbget-bin/www_bget?ec:3.2.1.20</v>
      </c>
      <c r="G2579" s="9" t="s">
        <v>7507</v>
      </c>
      <c r="H2579" s="1" t="str">
        <f t="shared" si="54"/>
        <v>https://www.kegg.jp/entry/R00802</v>
      </c>
      <c r="I2579" t="s">
        <v>12961</v>
      </c>
      <c r="J2579" t="s">
        <v>12963</v>
      </c>
    </row>
    <row r="2580" spans="1:10" x14ac:dyDescent="0.25">
      <c r="A2580" t="s">
        <v>4828</v>
      </c>
      <c r="B2580">
        <v>528</v>
      </c>
      <c r="C2580" t="s">
        <v>4829</v>
      </c>
      <c r="E2580" s="5" t="s">
        <v>6701</v>
      </c>
      <c r="F2580" s="1" t="str">
        <f t="shared" si="58"/>
        <v>https://www.kegg.jp/dbget-bin/www_bget?ec:3.2.1.20</v>
      </c>
      <c r="G2580" s="9" t="s">
        <v>7506</v>
      </c>
      <c r="H2580" s="1" t="str">
        <f t="shared" si="54"/>
        <v>https://www.kegg.jp/entry/R06084</v>
      </c>
      <c r="I2580" t="s">
        <v>12964</v>
      </c>
      <c r="J2580" t="s">
        <v>8454</v>
      </c>
    </row>
    <row r="2581" spans="1:10" x14ac:dyDescent="0.25">
      <c r="A2581" t="s">
        <v>4828</v>
      </c>
      <c r="B2581">
        <v>528</v>
      </c>
      <c r="C2581" t="s">
        <v>4829</v>
      </c>
      <c r="E2581" s="5" t="s">
        <v>6701</v>
      </c>
      <c r="F2581" s="1" t="str">
        <f t="shared" si="58"/>
        <v>https://www.kegg.jp/dbget-bin/www_bget?ec:3.2.1.20</v>
      </c>
      <c r="G2581" s="9" t="s">
        <v>7505</v>
      </c>
      <c r="H2581" s="1" t="str">
        <f t="shared" si="54"/>
        <v>https://www.kegg.jp/entry/R06087</v>
      </c>
      <c r="I2581" t="s">
        <v>12965</v>
      </c>
      <c r="J2581" t="s">
        <v>12962</v>
      </c>
    </row>
    <row r="2582" spans="1:10" x14ac:dyDescent="0.25">
      <c r="A2582" t="s">
        <v>4828</v>
      </c>
      <c r="B2582">
        <v>528</v>
      </c>
      <c r="C2582" t="s">
        <v>4829</v>
      </c>
      <c r="E2582" s="5" t="s">
        <v>6701</v>
      </c>
      <c r="F2582" s="1" t="str">
        <f t="shared" si="51"/>
        <v>https://www.kegg.jp/dbget-bin/www_bget?ec:3.2.1.20</v>
      </c>
      <c r="G2582" s="9" t="s">
        <v>7504</v>
      </c>
      <c r="H2582" s="1" t="str">
        <f t="shared" si="54"/>
        <v>https://www.kegg.jp/entry/R06088</v>
      </c>
      <c r="I2582" t="s">
        <v>12965</v>
      </c>
      <c r="J2582" t="s">
        <v>12963</v>
      </c>
    </row>
    <row r="2583" spans="1:10" hidden="1" x14ac:dyDescent="0.25">
      <c r="A2583" t="s">
        <v>4830</v>
      </c>
      <c r="B2583">
        <v>74</v>
      </c>
      <c r="C2583" t="s">
        <v>4831</v>
      </c>
      <c r="F2583" s="1" t="str">
        <f t="shared" si="51"/>
        <v/>
      </c>
      <c r="G2583" s="3"/>
      <c r="H2583" s="1" t="str">
        <f t="shared" si="54"/>
        <v/>
      </c>
    </row>
    <row r="2584" spans="1:10" hidden="1" x14ac:dyDescent="0.25">
      <c r="A2584" t="s">
        <v>4833</v>
      </c>
      <c r="B2584">
        <v>321</v>
      </c>
      <c r="C2584" t="s">
        <v>4834</v>
      </c>
      <c r="F2584" s="1" t="str">
        <f t="shared" si="51"/>
        <v/>
      </c>
      <c r="G2584" s="3"/>
      <c r="H2584" s="1" t="str">
        <f t="shared" si="54"/>
        <v/>
      </c>
    </row>
    <row r="2585" spans="1:10" hidden="1" x14ac:dyDescent="0.25">
      <c r="A2585" t="s">
        <v>4836</v>
      </c>
      <c r="B2585">
        <v>65</v>
      </c>
      <c r="C2585" t="s">
        <v>4837</v>
      </c>
      <c r="F2585" s="1" t="str">
        <f t="shared" si="51"/>
        <v/>
      </c>
      <c r="G2585" s="3"/>
      <c r="H2585" s="1" t="str">
        <f t="shared" si="54"/>
        <v/>
      </c>
    </row>
    <row r="2586" spans="1:10" hidden="1" x14ac:dyDescent="0.25">
      <c r="A2586" t="s">
        <v>4839</v>
      </c>
      <c r="B2586">
        <v>374</v>
      </c>
      <c r="C2586" t="s">
        <v>4840</v>
      </c>
      <c r="F2586" s="1" t="str">
        <f t="shared" si="51"/>
        <v/>
      </c>
      <c r="G2586" s="3"/>
      <c r="H2586" s="1" t="str">
        <f t="shared" si="54"/>
        <v/>
      </c>
    </row>
    <row r="2587" spans="1:10" x14ac:dyDescent="0.25">
      <c r="A2587" t="s">
        <v>4841</v>
      </c>
      <c r="B2587">
        <v>208</v>
      </c>
      <c r="C2587" t="s">
        <v>4842</v>
      </c>
      <c r="E2587" s="5" t="s">
        <v>6620</v>
      </c>
      <c r="F2587" s="1" t="str">
        <f t="shared" ref="F2587" si="59">IF(E2587&lt;&gt;"", HYPERLINK("https://www.kegg.jp/dbget-bin/www_bget?ec:" &amp; E2587, "https://www.kegg.jp/dbget-bin/www_bget?ec:" &amp; E2587), "")</f>
        <v>https://www.kegg.jp/dbget-bin/www_bget?ec:1.1.1.205</v>
      </c>
      <c r="G2587" s="9" t="s">
        <v>7380</v>
      </c>
      <c r="H2587" s="1" t="str">
        <f t="shared" si="54"/>
        <v>https://www.kegg.jp/entry/R01130</v>
      </c>
      <c r="I2587" t="s">
        <v>12763</v>
      </c>
      <c r="J2587" t="s">
        <v>12764</v>
      </c>
    </row>
    <row r="2588" spans="1:10" x14ac:dyDescent="0.25">
      <c r="A2588" t="s">
        <v>4841</v>
      </c>
      <c r="B2588">
        <v>208</v>
      </c>
      <c r="C2588" t="s">
        <v>4842</v>
      </c>
      <c r="E2588" s="5" t="s">
        <v>6620</v>
      </c>
      <c r="F2588" s="1" t="str">
        <f t="shared" si="51"/>
        <v>https://www.kegg.jp/dbget-bin/www_bget?ec:1.1.1.205</v>
      </c>
      <c r="G2588" s="9" t="s">
        <v>7381</v>
      </c>
      <c r="H2588" s="1" t="str">
        <f t="shared" si="54"/>
        <v>https://www.kegg.jp/entry/R08240</v>
      </c>
      <c r="I2588" t="s">
        <v>12765</v>
      </c>
      <c r="J2588" t="s">
        <v>12766</v>
      </c>
    </row>
    <row r="2589" spans="1:10" hidden="1" x14ac:dyDescent="0.25">
      <c r="A2589" t="s">
        <v>4844</v>
      </c>
      <c r="B2589">
        <v>327</v>
      </c>
      <c r="C2589" t="s">
        <v>4845</v>
      </c>
      <c r="F2589" s="1" t="str">
        <f t="shared" si="51"/>
        <v/>
      </c>
      <c r="G2589" s="3"/>
      <c r="H2589" s="1" t="str">
        <f t="shared" si="54"/>
        <v/>
      </c>
    </row>
    <row r="2590" spans="1:10" hidden="1" x14ac:dyDescent="0.25">
      <c r="A2590" t="s">
        <v>4847</v>
      </c>
      <c r="B2590">
        <v>339</v>
      </c>
      <c r="C2590" t="s">
        <v>4848</v>
      </c>
      <c r="F2590" s="1" t="str">
        <f t="shared" si="51"/>
        <v/>
      </c>
      <c r="G2590" s="3"/>
      <c r="H2590" s="1" t="str">
        <f t="shared" si="54"/>
        <v/>
      </c>
    </row>
    <row r="2591" spans="1:10" hidden="1" x14ac:dyDescent="0.25">
      <c r="A2591" t="s">
        <v>4850</v>
      </c>
      <c r="B2591">
        <v>450</v>
      </c>
      <c r="C2591" t="s">
        <v>4851</v>
      </c>
      <c r="F2591" s="1" t="str">
        <f t="shared" si="51"/>
        <v/>
      </c>
      <c r="G2591" s="3"/>
      <c r="H2591" s="1" t="str">
        <f t="shared" si="54"/>
        <v/>
      </c>
    </row>
    <row r="2592" spans="1:10" hidden="1" x14ac:dyDescent="0.25">
      <c r="A2592" t="s">
        <v>4853</v>
      </c>
      <c r="B2592">
        <v>327</v>
      </c>
      <c r="C2592" t="s">
        <v>4854</v>
      </c>
      <c r="F2592" s="1" t="str">
        <f t="shared" si="51"/>
        <v/>
      </c>
      <c r="G2592" s="3"/>
      <c r="H2592" s="1" t="str">
        <f t="shared" si="54"/>
        <v/>
      </c>
    </row>
    <row r="2593" spans="1:10" hidden="1" x14ac:dyDescent="0.25">
      <c r="A2593" t="s">
        <v>4855</v>
      </c>
      <c r="B2593">
        <v>582</v>
      </c>
      <c r="C2593" t="s">
        <v>4856</v>
      </c>
      <c r="F2593" s="1" t="str">
        <f t="shared" si="51"/>
        <v/>
      </c>
      <c r="G2593" s="3"/>
      <c r="H2593" s="1" t="str">
        <f t="shared" si="54"/>
        <v/>
      </c>
    </row>
    <row r="2594" spans="1:10" x14ac:dyDescent="0.25">
      <c r="A2594" t="s">
        <v>4858</v>
      </c>
      <c r="B2594">
        <v>343</v>
      </c>
      <c r="C2594" t="s">
        <v>4859</v>
      </c>
      <c r="E2594" s="5" t="s">
        <v>6996</v>
      </c>
      <c r="F2594" s="1" t="str">
        <f t="shared" ref="F2594:F2611" si="60">IF(E2594&lt;&gt;"", HYPERLINK("https://www.kegg.jp/dbget-bin/www_bget?ec:" &amp; E2594, "https://www.kegg.jp/dbget-bin/www_bget?ec:" &amp; E2594), "")</f>
        <v>https://www.kegg.jp/dbget-bin/www_bget?ec:1.1.1.1</v>
      </c>
      <c r="G2594" s="9" t="s">
        <v>7940</v>
      </c>
      <c r="H2594" s="1" t="str">
        <f t="shared" si="54"/>
        <v>https://www.kegg.jp/entry/R00623</v>
      </c>
      <c r="I2594" t="s">
        <v>13678</v>
      </c>
      <c r="J2594" t="s">
        <v>13679</v>
      </c>
    </row>
    <row r="2595" spans="1:10" x14ac:dyDescent="0.25">
      <c r="A2595" t="s">
        <v>4858</v>
      </c>
      <c r="B2595">
        <v>343</v>
      </c>
      <c r="C2595" t="s">
        <v>4859</v>
      </c>
      <c r="E2595" s="5" t="s">
        <v>6996</v>
      </c>
      <c r="F2595" s="1" t="str">
        <f t="shared" si="60"/>
        <v>https://www.kegg.jp/dbget-bin/www_bget?ec:1.1.1.1</v>
      </c>
      <c r="G2595" s="9" t="s">
        <v>7958</v>
      </c>
      <c r="H2595" s="1" t="str">
        <f t="shared" si="54"/>
        <v>https://www.kegg.jp/entry/R00754</v>
      </c>
      <c r="I2595" t="s">
        <v>13680</v>
      </c>
      <c r="J2595" t="s">
        <v>13681</v>
      </c>
    </row>
    <row r="2596" spans="1:10" x14ac:dyDescent="0.25">
      <c r="A2596" t="s">
        <v>4858</v>
      </c>
      <c r="B2596">
        <v>343</v>
      </c>
      <c r="C2596" t="s">
        <v>4859</v>
      </c>
      <c r="E2596" s="5" t="s">
        <v>6996</v>
      </c>
      <c r="F2596" s="1" t="str">
        <f t="shared" si="60"/>
        <v>https://www.kegg.jp/dbget-bin/www_bget?ec:1.1.1.1</v>
      </c>
      <c r="G2596" s="9" t="s">
        <v>7957</v>
      </c>
      <c r="H2596" s="1" t="str">
        <f t="shared" si="54"/>
        <v>https://www.kegg.jp/entry/R02124</v>
      </c>
      <c r="I2596" t="s">
        <v>13682</v>
      </c>
      <c r="J2596" t="s">
        <v>13683</v>
      </c>
    </row>
    <row r="2597" spans="1:10" x14ac:dyDescent="0.25">
      <c r="A2597" t="s">
        <v>4858</v>
      </c>
      <c r="B2597">
        <v>343</v>
      </c>
      <c r="C2597" t="s">
        <v>4859</v>
      </c>
      <c r="E2597" s="5" t="s">
        <v>6996</v>
      </c>
      <c r="F2597" s="1" t="str">
        <f t="shared" si="60"/>
        <v>https://www.kegg.jp/dbget-bin/www_bget?ec:1.1.1.1</v>
      </c>
      <c r="G2597" s="9" t="s">
        <v>7956</v>
      </c>
      <c r="H2597" s="1" t="str">
        <f t="shared" si="54"/>
        <v>https://www.kegg.jp/entry/R02878</v>
      </c>
      <c r="I2597" t="s">
        <v>13684</v>
      </c>
      <c r="J2597" t="s">
        <v>13685</v>
      </c>
    </row>
    <row r="2598" spans="1:10" x14ac:dyDescent="0.25">
      <c r="A2598" t="s">
        <v>4858</v>
      </c>
      <c r="B2598">
        <v>343</v>
      </c>
      <c r="C2598" t="s">
        <v>4859</v>
      </c>
      <c r="E2598" s="5" t="s">
        <v>6996</v>
      </c>
      <c r="F2598" s="1" t="str">
        <f t="shared" si="60"/>
        <v>https://www.kegg.jp/dbget-bin/www_bget?ec:1.1.1.1</v>
      </c>
      <c r="G2598" s="9" t="s">
        <v>7955</v>
      </c>
      <c r="H2598" s="1" t="str">
        <f t="shared" si="54"/>
        <v>https://www.kegg.jp/entry/R04805</v>
      </c>
      <c r="I2598" t="s">
        <v>13686</v>
      </c>
      <c r="J2598" t="s">
        <v>13687</v>
      </c>
    </row>
    <row r="2599" spans="1:10" x14ac:dyDescent="0.25">
      <c r="A2599" t="s">
        <v>4858</v>
      </c>
      <c r="B2599">
        <v>343</v>
      </c>
      <c r="C2599" t="s">
        <v>4859</v>
      </c>
      <c r="E2599" s="5" t="s">
        <v>6996</v>
      </c>
      <c r="F2599" s="1" t="str">
        <f t="shared" si="60"/>
        <v>https://www.kegg.jp/dbget-bin/www_bget?ec:1.1.1.1</v>
      </c>
      <c r="G2599" s="9" t="s">
        <v>7954</v>
      </c>
      <c r="H2599" s="1" t="str">
        <f t="shared" si="54"/>
        <v>https://www.kegg.jp/entry/R04880</v>
      </c>
      <c r="I2599" t="s">
        <v>13688</v>
      </c>
      <c r="J2599" t="s">
        <v>13689</v>
      </c>
    </row>
    <row r="2600" spans="1:10" x14ac:dyDescent="0.25">
      <c r="A2600" t="s">
        <v>4858</v>
      </c>
      <c r="B2600">
        <v>343</v>
      </c>
      <c r="C2600" t="s">
        <v>4859</v>
      </c>
      <c r="E2600" s="5" t="s">
        <v>6996</v>
      </c>
      <c r="F2600" s="1" t="str">
        <f t="shared" si="60"/>
        <v>https://www.kegg.jp/dbget-bin/www_bget?ec:1.1.1.1</v>
      </c>
      <c r="G2600" s="9" t="s">
        <v>7953</v>
      </c>
      <c r="H2600" s="1" t="str">
        <f t="shared" si="54"/>
        <v>https://www.kegg.jp/entry/R05233</v>
      </c>
      <c r="I2600" t="s">
        <v>13690</v>
      </c>
      <c r="J2600" t="s">
        <v>13691</v>
      </c>
    </row>
    <row r="2601" spans="1:10" x14ac:dyDescent="0.25">
      <c r="A2601" t="s">
        <v>4858</v>
      </c>
      <c r="B2601">
        <v>343</v>
      </c>
      <c r="C2601" t="s">
        <v>4859</v>
      </c>
      <c r="E2601" s="5" t="s">
        <v>6996</v>
      </c>
      <c r="F2601" s="1" t="str">
        <f t="shared" si="60"/>
        <v>https://www.kegg.jp/dbget-bin/www_bget?ec:1.1.1.1</v>
      </c>
      <c r="G2601" s="9" t="s">
        <v>7952</v>
      </c>
      <c r="H2601" s="1" t="str">
        <f t="shared" si="54"/>
        <v>https://www.kegg.jp/entry/R05234</v>
      </c>
      <c r="I2601" t="s">
        <v>13692</v>
      </c>
      <c r="J2601" t="s">
        <v>13693</v>
      </c>
    </row>
    <row r="2602" spans="1:10" x14ac:dyDescent="0.25">
      <c r="A2602" t="s">
        <v>4858</v>
      </c>
      <c r="B2602">
        <v>343</v>
      </c>
      <c r="C2602" t="s">
        <v>4859</v>
      </c>
      <c r="E2602" s="5" t="s">
        <v>6996</v>
      </c>
      <c r="F2602" s="1" t="str">
        <f t="shared" si="60"/>
        <v>https://www.kegg.jp/dbget-bin/www_bget?ec:1.1.1.1</v>
      </c>
      <c r="G2602" s="9" t="s">
        <v>7951</v>
      </c>
      <c r="H2602" s="1" t="str">
        <f t="shared" si="54"/>
        <v>https://www.kegg.jp/entry/R06917</v>
      </c>
      <c r="I2602" t="s">
        <v>13694</v>
      </c>
      <c r="J2602" t="s">
        <v>13695</v>
      </c>
    </row>
    <row r="2603" spans="1:10" x14ac:dyDescent="0.25">
      <c r="A2603" t="s">
        <v>4858</v>
      </c>
      <c r="B2603">
        <v>343</v>
      </c>
      <c r="C2603" t="s">
        <v>4859</v>
      </c>
      <c r="E2603" s="5" t="s">
        <v>6996</v>
      </c>
      <c r="F2603" s="1" t="str">
        <f t="shared" si="60"/>
        <v>https://www.kegg.jp/dbget-bin/www_bget?ec:1.1.1.1</v>
      </c>
      <c r="G2603" s="9" t="s">
        <v>7950</v>
      </c>
      <c r="H2603" s="1" t="str">
        <f t="shared" ref="H2603:H2666" si="61">IF(G2603&lt;&gt;"", HYPERLINK("https://www.kegg.jp/entry/" &amp; G2603, "https://www.kegg.jp/entry/" &amp; G2603), "")</f>
        <v>https://www.kegg.jp/entry/R06927</v>
      </c>
      <c r="I2603" t="s">
        <v>13696</v>
      </c>
      <c r="J2603" t="s">
        <v>13697</v>
      </c>
    </row>
    <row r="2604" spans="1:10" x14ac:dyDescent="0.25">
      <c r="A2604" t="s">
        <v>4858</v>
      </c>
      <c r="B2604">
        <v>343</v>
      </c>
      <c r="C2604" t="s">
        <v>4859</v>
      </c>
      <c r="E2604" s="5" t="s">
        <v>6996</v>
      </c>
      <c r="F2604" s="1" t="str">
        <f t="shared" si="60"/>
        <v>https://www.kegg.jp/dbget-bin/www_bget?ec:1.1.1.1</v>
      </c>
      <c r="G2604" s="9" t="s">
        <v>7949</v>
      </c>
      <c r="H2604" s="1" t="str">
        <f t="shared" si="61"/>
        <v>https://www.kegg.jp/entry/R08281</v>
      </c>
      <c r="I2604" t="s">
        <v>13698</v>
      </c>
      <c r="J2604" t="s">
        <v>13699</v>
      </c>
    </row>
    <row r="2605" spans="1:10" x14ac:dyDescent="0.25">
      <c r="A2605" t="s">
        <v>4858</v>
      </c>
      <c r="B2605">
        <v>343</v>
      </c>
      <c r="C2605" t="s">
        <v>4859</v>
      </c>
      <c r="E2605" s="5" t="s">
        <v>6996</v>
      </c>
      <c r="F2605" s="1" t="str">
        <f t="shared" si="60"/>
        <v>https://www.kegg.jp/dbget-bin/www_bget?ec:1.1.1.1</v>
      </c>
      <c r="G2605" s="9" t="s">
        <v>7948</v>
      </c>
      <c r="H2605" s="1" t="str">
        <f t="shared" si="61"/>
        <v>https://www.kegg.jp/entry/R08306</v>
      </c>
      <c r="I2605" t="s">
        <v>13700</v>
      </c>
      <c r="J2605" t="s">
        <v>13701</v>
      </c>
    </row>
    <row r="2606" spans="1:10" x14ac:dyDescent="0.25">
      <c r="A2606" t="s">
        <v>4858</v>
      </c>
      <c r="B2606">
        <v>343</v>
      </c>
      <c r="C2606" t="s">
        <v>4859</v>
      </c>
      <c r="E2606" s="5" t="s">
        <v>6996</v>
      </c>
      <c r="F2606" s="1" t="str">
        <f t="shared" si="60"/>
        <v>https://www.kegg.jp/dbget-bin/www_bget?ec:1.1.1.1</v>
      </c>
      <c r="G2606" s="9" t="s">
        <v>7947</v>
      </c>
      <c r="H2606" s="1" t="str">
        <f t="shared" si="61"/>
        <v>https://www.kegg.jp/entry/R08557</v>
      </c>
      <c r="I2606" t="s">
        <v>13702</v>
      </c>
      <c r="J2606" t="s">
        <v>13703</v>
      </c>
    </row>
    <row r="2607" spans="1:10" x14ac:dyDescent="0.25">
      <c r="A2607" t="s">
        <v>4858</v>
      </c>
      <c r="B2607">
        <v>343</v>
      </c>
      <c r="C2607" t="s">
        <v>4859</v>
      </c>
      <c r="E2607" s="5" t="s">
        <v>6996</v>
      </c>
      <c r="F2607" s="1" t="str">
        <f t="shared" si="60"/>
        <v>https://www.kegg.jp/dbget-bin/www_bget?ec:1.1.1.1</v>
      </c>
      <c r="G2607" s="9" t="s">
        <v>7946</v>
      </c>
      <c r="H2607" s="1" t="str">
        <f t="shared" si="61"/>
        <v>https://www.kegg.jp/entry/R08558</v>
      </c>
      <c r="I2607" t="s">
        <v>13704</v>
      </c>
      <c r="J2607" t="s">
        <v>13705</v>
      </c>
    </row>
    <row r="2608" spans="1:10" x14ac:dyDescent="0.25">
      <c r="A2608" t="s">
        <v>4858</v>
      </c>
      <c r="B2608">
        <v>343</v>
      </c>
      <c r="C2608" t="s">
        <v>4859</v>
      </c>
      <c r="E2608" s="5" t="s">
        <v>6996</v>
      </c>
      <c r="F2608" s="1" t="str">
        <f t="shared" si="60"/>
        <v>https://www.kegg.jp/dbget-bin/www_bget?ec:1.1.1.1</v>
      </c>
      <c r="G2608" s="9" t="s">
        <v>7945</v>
      </c>
      <c r="H2608" s="1" t="str">
        <f t="shared" si="61"/>
        <v>https://www.kegg.jp/entry/R10783</v>
      </c>
      <c r="I2608" t="s">
        <v>13706</v>
      </c>
      <c r="J2608" t="s">
        <v>13707</v>
      </c>
    </row>
    <row r="2609" spans="1:10" x14ac:dyDescent="0.25">
      <c r="A2609" t="s">
        <v>4858</v>
      </c>
      <c r="B2609">
        <v>343</v>
      </c>
      <c r="C2609" t="s">
        <v>4859</v>
      </c>
      <c r="E2609" s="5" t="s">
        <v>6996</v>
      </c>
      <c r="F2609" s="1" t="str">
        <f t="shared" si="60"/>
        <v>https://www.kegg.jp/dbget-bin/www_bget?ec:1.1.1.1</v>
      </c>
      <c r="G2609" s="9" t="s">
        <v>7944</v>
      </c>
      <c r="H2609" s="1" t="str">
        <f t="shared" si="61"/>
        <v>https://www.kegg.jp/entry/R00624</v>
      </c>
      <c r="I2609" t="s">
        <v>13708</v>
      </c>
      <c r="J2609" t="s">
        <v>13709</v>
      </c>
    </row>
    <row r="2610" spans="1:10" x14ac:dyDescent="0.25">
      <c r="A2610" t="s">
        <v>4858</v>
      </c>
      <c r="B2610">
        <v>343</v>
      </c>
      <c r="C2610" t="s">
        <v>4859</v>
      </c>
      <c r="E2610" s="5" t="s">
        <v>6996</v>
      </c>
      <c r="F2610" s="1" t="str">
        <f t="shared" si="60"/>
        <v>https://www.kegg.jp/dbget-bin/www_bget?ec:1.1.1.1</v>
      </c>
      <c r="G2610" s="9" t="s">
        <v>7943</v>
      </c>
      <c r="H2610" s="1" t="str">
        <f t="shared" si="61"/>
        <v>https://www.kegg.jp/entry/R08310</v>
      </c>
      <c r="I2610" t="s">
        <v>13710</v>
      </c>
      <c r="J2610" t="s">
        <v>13711</v>
      </c>
    </row>
    <row r="2611" spans="1:10" x14ac:dyDescent="0.25">
      <c r="A2611" t="s">
        <v>4858</v>
      </c>
      <c r="B2611">
        <v>343</v>
      </c>
      <c r="C2611" t="s">
        <v>4859</v>
      </c>
      <c r="E2611" s="5" t="s">
        <v>6996</v>
      </c>
      <c r="F2611" s="1" t="str">
        <f t="shared" si="60"/>
        <v>https://www.kegg.jp/dbget-bin/www_bget?ec:1.1.1.1</v>
      </c>
      <c r="G2611" s="9" t="s">
        <v>7942</v>
      </c>
      <c r="H2611" s="1" t="str">
        <f t="shared" si="61"/>
        <v>https://www.kegg.jp/entry/R02246</v>
      </c>
      <c r="I2611" t="s">
        <v>13712</v>
      </c>
      <c r="J2611" t="s">
        <v>13713</v>
      </c>
    </row>
    <row r="2612" spans="1:10" x14ac:dyDescent="0.25">
      <c r="A2612" t="s">
        <v>4858</v>
      </c>
      <c r="B2612">
        <v>343</v>
      </c>
      <c r="C2612" t="s">
        <v>4859</v>
      </c>
      <c r="E2612" s="5" t="s">
        <v>6996</v>
      </c>
      <c r="F2612" s="1" t="str">
        <f t="shared" si="51"/>
        <v>https://www.kegg.jp/dbget-bin/www_bget?ec:1.1.1.1</v>
      </c>
      <c r="G2612" s="9" t="s">
        <v>7941</v>
      </c>
      <c r="H2612" s="1" t="str">
        <f t="shared" si="61"/>
        <v>https://www.kegg.jp/entry/R07105</v>
      </c>
      <c r="I2612" t="s">
        <v>13714</v>
      </c>
      <c r="J2612" t="s">
        <v>13715</v>
      </c>
    </row>
    <row r="2613" spans="1:10" x14ac:dyDescent="0.25">
      <c r="A2613" t="s">
        <v>4860</v>
      </c>
      <c r="B2613">
        <v>335</v>
      </c>
      <c r="C2613" t="s">
        <v>4861</v>
      </c>
      <c r="E2613" s="5" t="s">
        <v>6897</v>
      </c>
      <c r="F2613" s="1" t="str">
        <f t="shared" ref="F2613:F2615" si="62">IF(E2613&lt;&gt;"", HYPERLINK("https://www.kegg.jp/dbget-bin/www_bget?ec:" &amp; E2613, "https://www.kegg.jp/dbget-bin/www_bget?ec:" &amp; E2613), "")</f>
        <v>https://www.kegg.jp/dbget-bin/www_bget?ec:1.8.1.9</v>
      </c>
      <c r="G2613" s="9" t="s">
        <v>7804</v>
      </c>
      <c r="H2613" s="1" t="str">
        <f t="shared" si="61"/>
        <v>https://www.kegg.jp/entry/R02016</v>
      </c>
      <c r="I2613" t="s">
        <v>13456</v>
      </c>
      <c r="J2613" t="s">
        <v>13457</v>
      </c>
    </row>
    <row r="2614" spans="1:10" x14ac:dyDescent="0.25">
      <c r="A2614" t="s">
        <v>4860</v>
      </c>
      <c r="B2614">
        <v>335</v>
      </c>
      <c r="C2614" t="s">
        <v>4861</v>
      </c>
      <c r="E2614" s="5" t="s">
        <v>6897</v>
      </c>
      <c r="F2614" s="1" t="str">
        <f t="shared" si="62"/>
        <v>https://www.kegg.jp/dbget-bin/www_bget?ec:1.8.1.9</v>
      </c>
      <c r="G2614" s="9" t="s">
        <v>7807</v>
      </c>
      <c r="H2614" s="1" t="str">
        <f t="shared" si="61"/>
        <v>https://www.kegg.jp/entry/R00900</v>
      </c>
      <c r="I2614" t="s">
        <v>13458</v>
      </c>
      <c r="J2614" t="s">
        <v>13459</v>
      </c>
    </row>
    <row r="2615" spans="1:10" x14ac:dyDescent="0.25">
      <c r="A2615" t="s">
        <v>4860</v>
      </c>
      <c r="B2615">
        <v>335</v>
      </c>
      <c r="C2615" t="s">
        <v>4861</v>
      </c>
      <c r="E2615" s="5" t="s">
        <v>6897</v>
      </c>
      <c r="F2615" s="1" t="str">
        <f t="shared" si="62"/>
        <v>https://www.kegg.jp/dbget-bin/www_bget?ec:1.8.1.9</v>
      </c>
      <c r="G2615" s="9" t="s">
        <v>7806</v>
      </c>
      <c r="H2615" s="1" t="str">
        <f t="shared" si="61"/>
        <v>https://www.kegg.jp/entry/R03596</v>
      </c>
      <c r="I2615" t="s">
        <v>13460</v>
      </c>
      <c r="J2615" t="s">
        <v>13461</v>
      </c>
    </row>
    <row r="2616" spans="1:10" x14ac:dyDescent="0.25">
      <c r="A2616" t="s">
        <v>4860</v>
      </c>
      <c r="B2616">
        <v>335</v>
      </c>
      <c r="C2616" t="s">
        <v>4861</v>
      </c>
      <c r="E2616" s="5" t="s">
        <v>6897</v>
      </c>
      <c r="F2616" s="1" t="str">
        <f t="shared" si="51"/>
        <v>https://www.kegg.jp/dbget-bin/www_bget?ec:1.8.1.9</v>
      </c>
      <c r="G2616" s="9" t="s">
        <v>7805</v>
      </c>
      <c r="H2616" s="1" t="str">
        <f t="shared" si="61"/>
        <v>https://www.kegg.jp/entry/R09372</v>
      </c>
      <c r="I2616" t="s">
        <v>8303</v>
      </c>
      <c r="J2616" t="s">
        <v>13462</v>
      </c>
    </row>
    <row r="2617" spans="1:10" hidden="1" x14ac:dyDescent="0.25">
      <c r="A2617" t="s">
        <v>4862</v>
      </c>
      <c r="B2617">
        <v>180</v>
      </c>
      <c r="C2617" t="s">
        <v>4863</v>
      </c>
      <c r="F2617" s="1" t="str">
        <f t="shared" si="51"/>
        <v/>
      </c>
      <c r="G2617" s="3"/>
      <c r="H2617" s="1" t="str">
        <f t="shared" si="61"/>
        <v/>
      </c>
    </row>
    <row r="2618" spans="1:10" hidden="1" x14ac:dyDescent="0.25">
      <c r="A2618" t="s">
        <v>4864</v>
      </c>
      <c r="B2618">
        <v>338</v>
      </c>
      <c r="C2618" t="s">
        <v>4865</v>
      </c>
      <c r="F2618" s="1" t="str">
        <f t="shared" si="51"/>
        <v/>
      </c>
      <c r="G2618" s="3"/>
      <c r="H2618" s="1" t="str">
        <f t="shared" si="61"/>
        <v/>
      </c>
    </row>
    <row r="2619" spans="1:10" x14ac:dyDescent="0.25">
      <c r="A2619" t="s">
        <v>4867</v>
      </c>
      <c r="B2619">
        <v>174</v>
      </c>
      <c r="C2619" t="s">
        <v>4868</v>
      </c>
      <c r="E2619" s="5" t="s">
        <v>6844</v>
      </c>
      <c r="F2619" s="1" t="str">
        <f t="shared" si="51"/>
        <v>https://www.kegg.jp/dbget-bin/www_bget?ec:6.1.1.16</v>
      </c>
      <c r="G2619" s="3" t="s">
        <v>7202</v>
      </c>
      <c r="H2619" s="1" t="str">
        <f t="shared" si="61"/>
        <v>https://www.kegg.jp/entry/R03650</v>
      </c>
      <c r="I2619" t="s">
        <v>8264</v>
      </c>
      <c r="J2619" t="s">
        <v>13332</v>
      </c>
    </row>
    <row r="2620" spans="1:10" hidden="1" x14ac:dyDescent="0.25">
      <c r="A2620" t="s">
        <v>4869</v>
      </c>
      <c r="B2620">
        <v>63</v>
      </c>
      <c r="C2620" t="s">
        <v>4870</v>
      </c>
      <c r="F2620" s="1" t="str">
        <f t="shared" ref="F2620:F2708" si="63">IF(E2620&lt;&gt;"", HYPERLINK("https://www.kegg.jp/dbget-bin/www_bget?ec:" &amp; E2620, "https://www.kegg.jp/dbget-bin/www_bget?ec:" &amp; E2620), "")</f>
        <v/>
      </c>
      <c r="G2620" s="3"/>
      <c r="H2620" s="1" t="str">
        <f t="shared" si="61"/>
        <v/>
      </c>
    </row>
    <row r="2621" spans="1:10" hidden="1" x14ac:dyDescent="0.25">
      <c r="C2621" t="s">
        <v>4871</v>
      </c>
      <c r="F2621" s="1" t="str">
        <f t="shared" si="63"/>
        <v/>
      </c>
      <c r="G2621" s="3"/>
      <c r="H2621" s="1" t="str">
        <f t="shared" si="61"/>
        <v/>
      </c>
    </row>
    <row r="2622" spans="1:10" hidden="1" x14ac:dyDescent="0.25">
      <c r="A2622" t="s">
        <v>4873</v>
      </c>
      <c r="B2622">
        <v>109</v>
      </c>
      <c r="C2622" t="s">
        <v>4874</v>
      </c>
      <c r="F2622" s="1" t="str">
        <f t="shared" si="63"/>
        <v/>
      </c>
      <c r="G2622" s="3"/>
      <c r="H2622" s="1" t="str">
        <f t="shared" si="61"/>
        <v/>
      </c>
    </row>
    <row r="2623" spans="1:10" x14ac:dyDescent="0.25">
      <c r="A2623" t="s">
        <v>4876</v>
      </c>
      <c r="B2623">
        <v>343</v>
      </c>
      <c r="C2623" t="s">
        <v>4877</v>
      </c>
      <c r="E2623" s="5" t="s">
        <v>6997</v>
      </c>
      <c r="F2623" s="1" t="str">
        <f t="shared" si="63"/>
        <v>https://www.kegg.jp/dbget-bin/www_bget?ec:3.5.99.6</v>
      </c>
      <c r="G2623" s="3" t="s">
        <v>7278</v>
      </c>
      <c r="H2623" s="1" t="str">
        <f t="shared" si="61"/>
        <v>https://www.kegg.jp/entry/R00765</v>
      </c>
      <c r="I2623" t="s">
        <v>13716</v>
      </c>
      <c r="J2623" t="s">
        <v>13717</v>
      </c>
    </row>
    <row r="2624" spans="1:10" hidden="1" x14ac:dyDescent="0.25">
      <c r="A2624" t="s">
        <v>4878</v>
      </c>
      <c r="B2624">
        <v>77</v>
      </c>
      <c r="C2624" t="s">
        <v>4879</v>
      </c>
      <c r="F2624" s="1" t="str">
        <f t="shared" si="63"/>
        <v/>
      </c>
      <c r="G2624" s="3"/>
      <c r="H2624" s="1" t="str">
        <f t="shared" si="61"/>
        <v/>
      </c>
    </row>
    <row r="2625" spans="1:10" hidden="1" x14ac:dyDescent="0.25">
      <c r="A2625" t="s">
        <v>4881</v>
      </c>
      <c r="B2625">
        <v>132</v>
      </c>
      <c r="C2625" t="s">
        <v>4882</v>
      </c>
      <c r="F2625" s="1" t="str">
        <f t="shared" si="63"/>
        <v/>
      </c>
      <c r="G2625" s="3"/>
      <c r="H2625" s="1" t="str">
        <f t="shared" si="61"/>
        <v/>
      </c>
    </row>
    <row r="2626" spans="1:10" hidden="1" x14ac:dyDescent="0.25">
      <c r="A2626" t="s">
        <v>4884</v>
      </c>
      <c r="B2626">
        <v>952</v>
      </c>
      <c r="C2626" t="s">
        <v>4885</v>
      </c>
      <c r="F2626" s="1" t="str">
        <f t="shared" si="63"/>
        <v/>
      </c>
      <c r="G2626" s="3"/>
      <c r="H2626" s="1" t="str">
        <f t="shared" si="61"/>
        <v/>
      </c>
    </row>
    <row r="2627" spans="1:10" hidden="1" x14ac:dyDescent="0.25">
      <c r="A2627" t="s">
        <v>4886</v>
      </c>
      <c r="B2627">
        <v>197</v>
      </c>
      <c r="C2627" t="s">
        <v>4887</v>
      </c>
      <c r="F2627" s="1" t="str">
        <f t="shared" si="63"/>
        <v/>
      </c>
      <c r="G2627" s="3"/>
      <c r="H2627" s="1" t="str">
        <f t="shared" si="61"/>
        <v/>
      </c>
    </row>
    <row r="2628" spans="1:10" hidden="1" x14ac:dyDescent="0.25">
      <c r="A2628" t="s">
        <v>4888</v>
      </c>
      <c r="B2628">
        <v>164</v>
      </c>
      <c r="C2628" t="s">
        <v>4889</v>
      </c>
      <c r="F2628" s="1" t="str">
        <f t="shared" si="63"/>
        <v/>
      </c>
      <c r="G2628" s="3"/>
      <c r="H2628" s="1" t="str">
        <f t="shared" si="61"/>
        <v/>
      </c>
    </row>
    <row r="2629" spans="1:10" hidden="1" x14ac:dyDescent="0.25">
      <c r="A2629" t="s">
        <v>4890</v>
      </c>
      <c r="B2629">
        <v>569</v>
      </c>
      <c r="C2629" t="s">
        <v>4891</v>
      </c>
      <c r="F2629" s="1" t="str">
        <f t="shared" si="63"/>
        <v/>
      </c>
      <c r="G2629" s="3"/>
      <c r="H2629" s="1" t="str">
        <f t="shared" si="61"/>
        <v/>
      </c>
    </row>
    <row r="2630" spans="1:10" x14ac:dyDescent="0.25">
      <c r="A2630" t="s">
        <v>4893</v>
      </c>
      <c r="B2630">
        <v>284</v>
      </c>
      <c r="C2630" t="s">
        <v>4894</v>
      </c>
      <c r="E2630" s="5" t="s">
        <v>6998</v>
      </c>
      <c r="F2630" s="1" t="str">
        <f t="shared" si="63"/>
        <v>https://www.kegg.jp/dbget-bin/www_bget?ec:1.13.12.16</v>
      </c>
      <c r="G2630" s="3" t="s">
        <v>7279</v>
      </c>
      <c r="H2630" s="1" t="str">
        <f t="shared" si="61"/>
        <v>https://www.kegg.jp/entry/R00025</v>
      </c>
      <c r="I2630" t="s">
        <v>13718</v>
      </c>
      <c r="J2630" t="s">
        <v>13719</v>
      </c>
    </row>
    <row r="2631" spans="1:10" hidden="1" x14ac:dyDescent="0.25">
      <c r="A2631" t="s">
        <v>4895</v>
      </c>
      <c r="B2631">
        <v>47</v>
      </c>
      <c r="C2631" t="s">
        <v>4896</v>
      </c>
      <c r="F2631" s="1" t="str">
        <f t="shared" si="63"/>
        <v/>
      </c>
      <c r="G2631" s="3"/>
      <c r="H2631" s="1" t="str">
        <f t="shared" si="61"/>
        <v/>
      </c>
    </row>
    <row r="2632" spans="1:10" hidden="1" x14ac:dyDescent="0.25">
      <c r="A2632" t="s">
        <v>4898</v>
      </c>
      <c r="B2632">
        <v>467</v>
      </c>
      <c r="C2632" t="s">
        <v>4899</v>
      </c>
      <c r="F2632" s="1" t="str">
        <f t="shared" si="63"/>
        <v/>
      </c>
      <c r="G2632" s="3"/>
      <c r="H2632" s="1" t="str">
        <f t="shared" si="61"/>
        <v/>
      </c>
    </row>
    <row r="2633" spans="1:10" hidden="1" x14ac:dyDescent="0.25">
      <c r="A2633" t="s">
        <v>4900</v>
      </c>
      <c r="B2633">
        <v>382</v>
      </c>
      <c r="C2633" t="s">
        <v>4901</v>
      </c>
      <c r="F2633" s="1" t="str">
        <f t="shared" si="63"/>
        <v/>
      </c>
      <c r="G2633" s="3"/>
      <c r="H2633" s="1" t="str">
        <f t="shared" si="61"/>
        <v/>
      </c>
    </row>
    <row r="2634" spans="1:10" hidden="1" x14ac:dyDescent="0.25">
      <c r="A2634" t="s">
        <v>4903</v>
      </c>
      <c r="B2634">
        <v>119</v>
      </c>
      <c r="C2634" t="s">
        <v>4904</v>
      </c>
      <c r="F2634" s="1" t="str">
        <f t="shared" si="63"/>
        <v/>
      </c>
      <c r="G2634" s="3"/>
      <c r="H2634" s="1" t="str">
        <f t="shared" si="61"/>
        <v/>
      </c>
    </row>
    <row r="2635" spans="1:10" hidden="1" x14ac:dyDescent="0.25">
      <c r="A2635" t="s">
        <v>4906</v>
      </c>
      <c r="B2635">
        <v>722</v>
      </c>
      <c r="C2635" t="s">
        <v>4907</v>
      </c>
      <c r="F2635" s="1" t="str">
        <f t="shared" si="63"/>
        <v/>
      </c>
      <c r="G2635" s="3"/>
      <c r="H2635" s="1" t="str">
        <f t="shared" si="61"/>
        <v/>
      </c>
    </row>
    <row r="2636" spans="1:10" x14ac:dyDescent="0.25">
      <c r="A2636" t="s">
        <v>4908</v>
      </c>
      <c r="B2636">
        <v>105</v>
      </c>
      <c r="C2636" t="s">
        <v>4909</v>
      </c>
      <c r="E2636" s="5" t="s">
        <v>6812</v>
      </c>
      <c r="F2636" s="1" t="str">
        <f t="shared" ref="F2636" si="64">IF(E2636&lt;&gt;"", HYPERLINK("https://www.kegg.jp/dbget-bin/www_bget?ec:" &amp; E2636, "https://www.kegg.jp/dbget-bin/www_bget?ec:" &amp; E2636), "")</f>
        <v>https://www.kegg.jp/dbget-bin/www_bget?ec:5.3.1.8</v>
      </c>
      <c r="G2636" s="9" t="s">
        <v>7667</v>
      </c>
      <c r="H2636" s="1" t="str">
        <f t="shared" si="61"/>
        <v>https://www.kegg.jp/entry/R00772</v>
      </c>
      <c r="I2636" t="s">
        <v>8250</v>
      </c>
      <c r="J2636" t="s">
        <v>8523</v>
      </c>
    </row>
    <row r="2637" spans="1:10" x14ac:dyDescent="0.25">
      <c r="A2637" t="s">
        <v>4908</v>
      </c>
      <c r="B2637">
        <v>105</v>
      </c>
      <c r="C2637" t="s">
        <v>4909</v>
      </c>
      <c r="E2637" s="5" t="s">
        <v>6812</v>
      </c>
      <c r="F2637" s="1" t="str">
        <f t="shared" si="63"/>
        <v>https://www.kegg.jp/dbget-bin/www_bget?ec:5.3.1.8</v>
      </c>
      <c r="G2637" s="9" t="s">
        <v>7668</v>
      </c>
      <c r="H2637" s="1" t="str">
        <f t="shared" si="61"/>
        <v>https://www.kegg.jp/entry/R01819</v>
      </c>
      <c r="I2637" t="s">
        <v>8250</v>
      </c>
      <c r="J2637" t="s">
        <v>8524</v>
      </c>
    </row>
    <row r="2638" spans="1:10" hidden="1" x14ac:dyDescent="0.25">
      <c r="C2638" t="s">
        <v>4910</v>
      </c>
      <c r="F2638" s="1" t="str">
        <f t="shared" si="63"/>
        <v/>
      </c>
      <c r="G2638" s="3"/>
      <c r="H2638" s="1" t="str">
        <f t="shared" si="61"/>
        <v/>
      </c>
    </row>
    <row r="2639" spans="1:10" x14ac:dyDescent="0.25">
      <c r="A2639" t="s">
        <v>4912</v>
      </c>
      <c r="B2639">
        <v>222</v>
      </c>
      <c r="C2639" t="s">
        <v>4913</v>
      </c>
      <c r="E2639" s="5" t="s">
        <v>6999</v>
      </c>
      <c r="F2639" s="1" t="str">
        <f t="shared" si="63"/>
        <v>https://www.kegg.jp/dbget-bin/www_bget?ec:5.1.3.1</v>
      </c>
      <c r="G2639" s="3" t="s">
        <v>7280</v>
      </c>
      <c r="H2639" s="1" t="str">
        <f t="shared" si="61"/>
        <v>https://www.kegg.jp/entry/R01529</v>
      </c>
      <c r="I2639" t="s">
        <v>8214</v>
      </c>
      <c r="J2639" t="s">
        <v>8610</v>
      </c>
    </row>
    <row r="2640" spans="1:10" hidden="1" x14ac:dyDescent="0.25">
      <c r="A2640" t="s">
        <v>4914</v>
      </c>
      <c r="B2640">
        <v>144</v>
      </c>
      <c r="C2640" t="s">
        <v>4915</v>
      </c>
      <c r="F2640" s="1" t="str">
        <f t="shared" si="63"/>
        <v/>
      </c>
      <c r="G2640" s="3"/>
      <c r="H2640" s="1" t="str">
        <f t="shared" si="61"/>
        <v/>
      </c>
    </row>
    <row r="2641" spans="1:10" x14ac:dyDescent="0.25">
      <c r="A2641" t="s">
        <v>4917</v>
      </c>
      <c r="B2641">
        <v>652</v>
      </c>
      <c r="C2641" t="s">
        <v>4918</v>
      </c>
      <c r="E2641" s="5" t="s">
        <v>7000</v>
      </c>
      <c r="F2641" s="1" t="str">
        <f t="shared" ref="F2641:F2645" si="65">IF(E2641&lt;&gt;"", HYPERLINK("https://www.kegg.jp/dbget-bin/www_bget?ec:" &amp; E2641, "https://www.kegg.jp/dbget-bin/www_bget?ec:" &amp; E2641), "")</f>
        <v>https://www.kegg.jp/dbget-bin/www_bget?ec:2.2.1.1</v>
      </c>
      <c r="G2641" s="9" t="s">
        <v>7959</v>
      </c>
      <c r="H2641" s="1" t="str">
        <f t="shared" si="61"/>
        <v>https://www.kegg.jp/entry/R01641</v>
      </c>
      <c r="I2641" t="s">
        <v>13585</v>
      </c>
      <c r="J2641" t="s">
        <v>8611</v>
      </c>
    </row>
    <row r="2642" spans="1:10" x14ac:dyDescent="0.25">
      <c r="A2642" t="s">
        <v>4917</v>
      </c>
      <c r="B2642">
        <v>652</v>
      </c>
      <c r="C2642" t="s">
        <v>4918</v>
      </c>
      <c r="E2642" s="5" t="s">
        <v>7000</v>
      </c>
      <c r="F2642" s="1" t="str">
        <f t="shared" si="65"/>
        <v>https://www.kegg.jp/dbget-bin/www_bget?ec:2.2.1.1</v>
      </c>
      <c r="G2642" s="9" t="s">
        <v>7964</v>
      </c>
      <c r="H2642" s="1" t="str">
        <f t="shared" si="61"/>
        <v>https://www.kegg.jp/entry/R01067</v>
      </c>
      <c r="I2642" t="s">
        <v>8361</v>
      </c>
      <c r="J2642" t="s">
        <v>13720</v>
      </c>
    </row>
    <row r="2643" spans="1:10" x14ac:dyDescent="0.25">
      <c r="A2643" t="s">
        <v>4917</v>
      </c>
      <c r="B2643">
        <v>652</v>
      </c>
      <c r="C2643" t="s">
        <v>4918</v>
      </c>
      <c r="E2643" s="5" t="s">
        <v>7000</v>
      </c>
      <c r="F2643" s="1" t="str">
        <f t="shared" si="65"/>
        <v>https://www.kegg.jp/dbget-bin/www_bget?ec:2.2.1.1</v>
      </c>
      <c r="G2643" s="9" t="s">
        <v>7963</v>
      </c>
      <c r="H2643" s="1" t="str">
        <f t="shared" si="61"/>
        <v>https://www.kegg.jp/entry/R01830</v>
      </c>
      <c r="I2643" t="s">
        <v>13721</v>
      </c>
      <c r="J2643" t="s">
        <v>13720</v>
      </c>
    </row>
    <row r="2644" spans="1:10" x14ac:dyDescent="0.25">
      <c r="A2644" t="s">
        <v>4917</v>
      </c>
      <c r="B2644">
        <v>652</v>
      </c>
      <c r="C2644" t="s">
        <v>4918</v>
      </c>
      <c r="E2644" s="5" t="s">
        <v>7000</v>
      </c>
      <c r="F2644" s="1" t="str">
        <f t="shared" si="65"/>
        <v>https://www.kegg.jp/dbget-bin/www_bget?ec:2.2.1.1</v>
      </c>
      <c r="G2644" s="9" t="s">
        <v>7962</v>
      </c>
      <c r="H2644" s="1" t="str">
        <f t="shared" si="61"/>
        <v>https://www.kegg.jp/entry/R06590</v>
      </c>
      <c r="I2644" t="s">
        <v>13722</v>
      </c>
      <c r="J2644" t="s">
        <v>13723</v>
      </c>
    </row>
    <row r="2645" spans="1:10" x14ac:dyDescent="0.25">
      <c r="A2645" t="s">
        <v>4917</v>
      </c>
      <c r="B2645">
        <v>652</v>
      </c>
      <c r="C2645" t="s">
        <v>4918</v>
      </c>
      <c r="E2645" s="5" t="s">
        <v>7000</v>
      </c>
      <c r="F2645" s="1" t="str">
        <f t="shared" si="65"/>
        <v>https://www.kegg.jp/dbget-bin/www_bget?ec:2.2.1.1</v>
      </c>
      <c r="G2645" s="9" t="s">
        <v>7961</v>
      </c>
      <c r="H2645" s="1" t="str">
        <f t="shared" si="61"/>
        <v>https://www.kegg.jp/entry/R06861</v>
      </c>
      <c r="I2645" t="s">
        <v>13724</v>
      </c>
      <c r="J2645" t="s">
        <v>13725</v>
      </c>
    </row>
    <row r="2646" spans="1:10" x14ac:dyDescent="0.25">
      <c r="A2646" t="s">
        <v>4917</v>
      </c>
      <c r="B2646">
        <v>652</v>
      </c>
      <c r="C2646" t="s">
        <v>4918</v>
      </c>
      <c r="E2646" s="5" t="s">
        <v>7000</v>
      </c>
      <c r="F2646" s="1" t="str">
        <f t="shared" si="63"/>
        <v>https://www.kegg.jp/dbget-bin/www_bget?ec:2.2.1.1</v>
      </c>
      <c r="G2646" s="9" t="s">
        <v>7960</v>
      </c>
      <c r="H2646" s="1" t="str">
        <f t="shared" si="61"/>
        <v>https://www.kegg.jp/entry/R06863</v>
      </c>
      <c r="I2646" t="s">
        <v>13726</v>
      </c>
      <c r="J2646" t="s">
        <v>13727</v>
      </c>
    </row>
    <row r="2647" spans="1:10" hidden="1" x14ac:dyDescent="0.25">
      <c r="C2647" t="s">
        <v>4919</v>
      </c>
      <c r="F2647" s="1" t="str">
        <f t="shared" si="63"/>
        <v/>
      </c>
      <c r="G2647" s="3"/>
      <c r="H2647" s="1" t="str">
        <f t="shared" si="61"/>
        <v/>
      </c>
    </row>
    <row r="2648" spans="1:10" hidden="1" x14ac:dyDescent="0.25">
      <c r="A2648" t="s">
        <v>4920</v>
      </c>
      <c r="B2648">
        <v>73</v>
      </c>
      <c r="C2648" t="s">
        <v>4921</v>
      </c>
      <c r="F2648" s="1" t="str">
        <f t="shared" si="63"/>
        <v/>
      </c>
      <c r="G2648" s="3"/>
      <c r="H2648" s="1" t="str">
        <f t="shared" si="61"/>
        <v/>
      </c>
    </row>
    <row r="2649" spans="1:10" hidden="1" x14ac:dyDescent="0.25">
      <c r="A2649" t="s">
        <v>4923</v>
      </c>
      <c r="B2649">
        <v>513</v>
      </c>
      <c r="C2649" t="s">
        <v>4924</v>
      </c>
      <c r="D2649" t="s">
        <v>7001</v>
      </c>
      <c r="E2649" s="5" t="s">
        <v>7965</v>
      </c>
      <c r="F2649" s="1" t="str">
        <f t="shared" ref="F2649:F2650" si="66">IF(E2649&lt;&gt;"", HYPERLINK("https://www.kegg.jp/dbget-bin/www_bget?ec:" &amp; E2649, "https://www.kegg.jp/dbget-bin/www_bget?ec:" &amp; E2649), "")</f>
        <v>https://www.kegg.jp/dbget-bin/www_bget?ec:5.6.2.5</v>
      </c>
      <c r="G2649" s="3"/>
      <c r="H2649" s="1" t="str">
        <f t="shared" si="61"/>
        <v/>
      </c>
    </row>
    <row r="2650" spans="1:10" hidden="1" x14ac:dyDescent="0.25">
      <c r="A2650" t="s">
        <v>4923</v>
      </c>
      <c r="B2650">
        <v>513</v>
      </c>
      <c r="C2650" t="s">
        <v>4924</v>
      </c>
      <c r="D2650" t="s">
        <v>7001</v>
      </c>
      <c r="E2650" s="5" t="s">
        <v>7966</v>
      </c>
      <c r="F2650" s="1" t="str">
        <f t="shared" si="66"/>
        <v>https://www.kegg.jp/dbget-bin/www_bget?ec:5.6.2.6</v>
      </c>
      <c r="G2650" s="3"/>
      <c r="H2650" s="1" t="str">
        <f t="shared" si="61"/>
        <v/>
      </c>
    </row>
    <row r="2651" spans="1:10" hidden="1" x14ac:dyDescent="0.25">
      <c r="A2651" t="s">
        <v>4923</v>
      </c>
      <c r="B2651">
        <v>513</v>
      </c>
      <c r="C2651" t="s">
        <v>4924</v>
      </c>
      <c r="D2651" t="s">
        <v>7001</v>
      </c>
      <c r="E2651" s="5" t="s">
        <v>7967</v>
      </c>
      <c r="F2651" s="1" t="str">
        <f t="shared" si="63"/>
        <v>https://www.kegg.jp/dbget-bin/www_bget?ec:5.6.2.7</v>
      </c>
      <c r="G2651" s="3"/>
      <c r="H2651" s="1" t="str">
        <f t="shared" si="61"/>
        <v/>
      </c>
    </row>
    <row r="2652" spans="1:10" hidden="1" x14ac:dyDescent="0.25">
      <c r="A2652" t="s">
        <v>4926</v>
      </c>
      <c r="B2652">
        <v>404</v>
      </c>
      <c r="C2652" t="s">
        <v>4927</v>
      </c>
      <c r="F2652" s="1" t="str">
        <f t="shared" si="63"/>
        <v/>
      </c>
      <c r="G2652" s="3"/>
      <c r="H2652" s="1" t="str">
        <f t="shared" si="61"/>
        <v/>
      </c>
    </row>
    <row r="2653" spans="1:10" hidden="1" x14ac:dyDescent="0.25">
      <c r="A2653" t="s">
        <v>4928</v>
      </c>
      <c r="B2653">
        <v>377</v>
      </c>
      <c r="C2653" t="s">
        <v>4929</v>
      </c>
      <c r="F2653" s="1" t="str">
        <f t="shared" si="63"/>
        <v/>
      </c>
      <c r="G2653" s="3"/>
      <c r="H2653" s="1" t="str">
        <f t="shared" si="61"/>
        <v/>
      </c>
    </row>
    <row r="2654" spans="1:10" hidden="1" x14ac:dyDescent="0.25">
      <c r="A2654" t="s">
        <v>4931</v>
      </c>
      <c r="B2654">
        <v>217</v>
      </c>
      <c r="C2654" t="s">
        <v>4932</v>
      </c>
      <c r="E2654" s="5" t="s">
        <v>7002</v>
      </c>
      <c r="F2654" s="1" t="str">
        <f t="shared" si="63"/>
        <v>https://www.kegg.jp/dbget-bin/www_bget?ec:4.2.99.18</v>
      </c>
      <c r="G2654" s="3"/>
      <c r="H2654" s="1" t="str">
        <f t="shared" si="61"/>
        <v/>
      </c>
    </row>
    <row r="2655" spans="1:10" hidden="1" x14ac:dyDescent="0.25">
      <c r="A2655" t="s">
        <v>4933</v>
      </c>
      <c r="B2655">
        <v>123</v>
      </c>
      <c r="C2655" t="s">
        <v>4934</v>
      </c>
      <c r="F2655" s="1" t="str">
        <f t="shared" si="63"/>
        <v/>
      </c>
      <c r="G2655" s="3"/>
      <c r="H2655" s="1" t="str">
        <f t="shared" si="61"/>
        <v/>
      </c>
    </row>
    <row r="2656" spans="1:10" hidden="1" x14ac:dyDescent="0.25">
      <c r="A2656" t="s">
        <v>4935</v>
      </c>
      <c r="B2656">
        <v>576</v>
      </c>
      <c r="C2656" t="s">
        <v>4936</v>
      </c>
      <c r="F2656" s="1" t="str">
        <f t="shared" si="63"/>
        <v/>
      </c>
      <c r="G2656" s="3"/>
      <c r="H2656" s="1" t="str">
        <f t="shared" si="61"/>
        <v/>
      </c>
    </row>
    <row r="2657" spans="1:10" hidden="1" x14ac:dyDescent="0.25">
      <c r="A2657" t="s">
        <v>4937</v>
      </c>
      <c r="B2657">
        <v>72</v>
      </c>
      <c r="C2657" t="s">
        <v>4938</v>
      </c>
      <c r="F2657" s="1" t="str">
        <f t="shared" si="63"/>
        <v/>
      </c>
      <c r="G2657" s="3"/>
      <c r="H2657" s="1" t="str">
        <f t="shared" si="61"/>
        <v/>
      </c>
    </row>
    <row r="2658" spans="1:10" x14ac:dyDescent="0.25">
      <c r="A2658" t="s">
        <v>4940</v>
      </c>
      <c r="B2658">
        <v>477</v>
      </c>
      <c r="C2658" t="s">
        <v>4941</v>
      </c>
      <c r="E2658" s="5" t="s">
        <v>7003</v>
      </c>
      <c r="F2658" s="1" t="str">
        <f t="shared" si="63"/>
        <v>https://www.kegg.jp/dbget-bin/www_bget?ec:6.1.1.15</v>
      </c>
      <c r="G2658" s="3" t="s">
        <v>7281</v>
      </c>
      <c r="H2658" s="1" t="str">
        <f t="shared" si="61"/>
        <v>https://www.kegg.jp/entry/R03661</v>
      </c>
      <c r="I2658" t="s">
        <v>8362</v>
      </c>
      <c r="J2658" t="s">
        <v>13728</v>
      </c>
    </row>
    <row r="2659" spans="1:10" x14ac:dyDescent="0.25">
      <c r="A2659" t="s">
        <v>4943</v>
      </c>
      <c r="B2659">
        <v>406</v>
      </c>
      <c r="C2659" t="s">
        <v>4944</v>
      </c>
      <c r="E2659" s="5" t="s">
        <v>7004</v>
      </c>
      <c r="F2659" s="1" t="str">
        <f t="shared" ref="F2659" si="67">IF(E2659&lt;&gt;"", HYPERLINK("https://www.kegg.jp/dbget-bin/www_bget?ec:" &amp; E2659, "https://www.kegg.jp/dbget-bin/www_bget?ec:" &amp; E2659), "")</f>
        <v>https://www.kegg.jp/dbget-bin/www_bget?ec:5.4.2.11</v>
      </c>
      <c r="G2659" s="9" t="s">
        <v>7968</v>
      </c>
      <c r="H2659" s="1" t="str">
        <f t="shared" si="61"/>
        <v>https://www.kegg.jp/entry/R01516</v>
      </c>
      <c r="I2659" t="s">
        <v>13729</v>
      </c>
      <c r="J2659" t="s">
        <v>8612</v>
      </c>
    </row>
    <row r="2660" spans="1:10" x14ac:dyDescent="0.25">
      <c r="A2660" t="s">
        <v>4943</v>
      </c>
      <c r="B2660">
        <v>406</v>
      </c>
      <c r="C2660" t="s">
        <v>4944</v>
      </c>
      <c r="E2660" s="5" t="s">
        <v>7004</v>
      </c>
      <c r="F2660" s="1" t="str">
        <f t="shared" si="63"/>
        <v>https://www.kegg.jp/dbget-bin/www_bget?ec:5.4.2.11</v>
      </c>
      <c r="G2660" s="9" t="s">
        <v>7969</v>
      </c>
      <c r="H2660" s="1" t="str">
        <f t="shared" si="61"/>
        <v>https://www.kegg.jp/entry/R01518</v>
      </c>
      <c r="I2660" t="s">
        <v>8089</v>
      </c>
      <c r="J2660" t="s">
        <v>8613</v>
      </c>
    </row>
    <row r="2661" spans="1:10" hidden="1" x14ac:dyDescent="0.25">
      <c r="A2661" t="s">
        <v>4945</v>
      </c>
      <c r="B2661">
        <v>183</v>
      </c>
      <c r="C2661" t="s">
        <v>4946</v>
      </c>
      <c r="F2661" s="1" t="str">
        <f t="shared" si="63"/>
        <v/>
      </c>
      <c r="G2661" s="3"/>
      <c r="H2661" s="1" t="str">
        <f t="shared" si="61"/>
        <v/>
      </c>
    </row>
    <row r="2662" spans="1:10" hidden="1" x14ac:dyDescent="0.25">
      <c r="A2662" t="s">
        <v>4948</v>
      </c>
      <c r="B2662">
        <v>325</v>
      </c>
      <c r="C2662" t="s">
        <v>4949</v>
      </c>
      <c r="F2662" s="1" t="str">
        <f t="shared" si="63"/>
        <v/>
      </c>
      <c r="G2662" s="3"/>
      <c r="H2662" s="1" t="str">
        <f t="shared" si="61"/>
        <v/>
      </c>
    </row>
    <row r="2663" spans="1:10" hidden="1" x14ac:dyDescent="0.25">
      <c r="A2663" t="s">
        <v>4951</v>
      </c>
      <c r="B2663">
        <v>377</v>
      </c>
      <c r="C2663" t="s">
        <v>4952</v>
      </c>
      <c r="F2663" s="1" t="str">
        <f t="shared" si="63"/>
        <v/>
      </c>
      <c r="G2663" s="3"/>
      <c r="H2663" s="1" t="str">
        <f t="shared" si="61"/>
        <v/>
      </c>
    </row>
    <row r="2664" spans="1:10" hidden="1" x14ac:dyDescent="0.25">
      <c r="A2664" t="s">
        <v>4954</v>
      </c>
      <c r="B2664">
        <v>354</v>
      </c>
      <c r="C2664" t="s">
        <v>4955</v>
      </c>
      <c r="F2664" s="1" t="str">
        <f t="shared" si="63"/>
        <v/>
      </c>
      <c r="G2664" s="3"/>
      <c r="H2664" s="1" t="str">
        <f t="shared" si="61"/>
        <v/>
      </c>
    </row>
    <row r="2665" spans="1:10" hidden="1" x14ac:dyDescent="0.25">
      <c r="A2665" t="s">
        <v>4957</v>
      </c>
      <c r="B2665">
        <v>114</v>
      </c>
      <c r="C2665" t="s">
        <v>4958</v>
      </c>
      <c r="F2665" s="1" t="str">
        <f t="shared" si="63"/>
        <v/>
      </c>
      <c r="G2665" s="3"/>
      <c r="H2665" s="1" t="str">
        <f t="shared" si="61"/>
        <v/>
      </c>
    </row>
    <row r="2666" spans="1:10" hidden="1" x14ac:dyDescent="0.25">
      <c r="A2666" t="s">
        <v>4960</v>
      </c>
      <c r="B2666">
        <v>286</v>
      </c>
      <c r="C2666" t="s">
        <v>4961</v>
      </c>
      <c r="F2666" s="1" t="str">
        <f t="shared" si="63"/>
        <v/>
      </c>
      <c r="G2666" s="3"/>
      <c r="H2666" s="1" t="str">
        <f t="shared" si="61"/>
        <v/>
      </c>
    </row>
    <row r="2667" spans="1:10" hidden="1" x14ac:dyDescent="0.25">
      <c r="A2667" t="s">
        <v>4963</v>
      </c>
      <c r="B2667">
        <v>398</v>
      </c>
      <c r="C2667" t="s">
        <v>4964</v>
      </c>
      <c r="F2667" s="1" t="str">
        <f t="shared" si="63"/>
        <v/>
      </c>
      <c r="G2667" s="3"/>
      <c r="H2667" s="1" t="str">
        <f t="shared" ref="H2667:H2730" si="68">IF(G2667&lt;&gt;"", HYPERLINK("https://www.kegg.jp/entry/" &amp; G2667, "https://www.kegg.jp/entry/" &amp; G2667), "")</f>
        <v/>
      </c>
    </row>
    <row r="2668" spans="1:10" hidden="1" x14ac:dyDescent="0.25">
      <c r="A2668" t="s">
        <v>4966</v>
      </c>
      <c r="B2668">
        <v>368</v>
      </c>
      <c r="C2668" t="s">
        <v>4967</v>
      </c>
      <c r="F2668" s="1" t="str">
        <f t="shared" si="63"/>
        <v/>
      </c>
      <c r="G2668" s="3"/>
      <c r="H2668" s="1" t="str">
        <f t="shared" si="68"/>
        <v/>
      </c>
    </row>
    <row r="2669" spans="1:10" hidden="1" x14ac:dyDescent="0.25">
      <c r="A2669" t="s">
        <v>4969</v>
      </c>
      <c r="B2669">
        <v>584</v>
      </c>
      <c r="C2669" t="s">
        <v>4970</v>
      </c>
      <c r="F2669" s="1" t="str">
        <f t="shared" si="63"/>
        <v/>
      </c>
      <c r="G2669" s="3"/>
      <c r="H2669" s="1" t="str">
        <f t="shared" si="68"/>
        <v/>
      </c>
    </row>
    <row r="2670" spans="1:10" hidden="1" x14ac:dyDescent="0.25">
      <c r="A2670" t="s">
        <v>4971</v>
      </c>
      <c r="B2670">
        <v>627</v>
      </c>
      <c r="C2670" t="s">
        <v>4972</v>
      </c>
      <c r="F2670" s="1" t="str">
        <f t="shared" si="63"/>
        <v/>
      </c>
      <c r="G2670" s="3"/>
      <c r="H2670" s="1" t="str">
        <f t="shared" si="68"/>
        <v/>
      </c>
    </row>
    <row r="2671" spans="1:10" hidden="1" x14ac:dyDescent="0.25">
      <c r="A2671" t="s">
        <v>4973</v>
      </c>
      <c r="B2671">
        <v>45</v>
      </c>
      <c r="C2671" t="s">
        <v>4974</v>
      </c>
      <c r="F2671" s="1" t="str">
        <f t="shared" si="63"/>
        <v/>
      </c>
      <c r="G2671" s="3"/>
      <c r="H2671" s="1" t="str">
        <f t="shared" si="68"/>
        <v/>
      </c>
    </row>
    <row r="2672" spans="1:10" hidden="1" x14ac:dyDescent="0.25">
      <c r="A2672" t="s">
        <v>4975</v>
      </c>
      <c r="B2672">
        <v>69</v>
      </c>
      <c r="C2672" t="s">
        <v>4976</v>
      </c>
      <c r="F2672" s="1" t="str">
        <f t="shared" si="63"/>
        <v/>
      </c>
      <c r="G2672" s="3"/>
      <c r="H2672" s="1" t="str">
        <f t="shared" si="68"/>
        <v/>
      </c>
    </row>
    <row r="2673" spans="1:10" hidden="1" x14ac:dyDescent="0.25">
      <c r="A2673" t="s">
        <v>4977</v>
      </c>
      <c r="B2673">
        <v>79</v>
      </c>
      <c r="C2673" t="s">
        <v>4978</v>
      </c>
      <c r="F2673" s="1" t="str">
        <f t="shared" si="63"/>
        <v/>
      </c>
      <c r="G2673" s="3"/>
      <c r="H2673" s="1" t="str">
        <f t="shared" si="68"/>
        <v/>
      </c>
    </row>
    <row r="2674" spans="1:10" hidden="1" x14ac:dyDescent="0.25">
      <c r="A2674" t="s">
        <v>4979</v>
      </c>
      <c r="B2674">
        <v>59</v>
      </c>
      <c r="C2674" t="s">
        <v>4980</v>
      </c>
      <c r="F2674" s="1" t="str">
        <f t="shared" si="63"/>
        <v/>
      </c>
      <c r="G2674" s="3"/>
      <c r="H2674" s="1" t="str">
        <f t="shared" si="68"/>
        <v/>
      </c>
    </row>
    <row r="2675" spans="1:10" hidden="1" x14ac:dyDescent="0.25">
      <c r="A2675" t="s">
        <v>4982</v>
      </c>
      <c r="B2675">
        <v>79</v>
      </c>
      <c r="C2675" t="s">
        <v>4983</v>
      </c>
      <c r="F2675" s="1" t="str">
        <f t="shared" si="63"/>
        <v/>
      </c>
      <c r="G2675" s="3"/>
      <c r="H2675" s="1" t="str">
        <f t="shared" si="68"/>
        <v/>
      </c>
    </row>
    <row r="2676" spans="1:10" hidden="1" x14ac:dyDescent="0.25">
      <c r="A2676" t="s">
        <v>4985</v>
      </c>
      <c r="B2676">
        <v>276</v>
      </c>
      <c r="C2676" t="s">
        <v>4986</v>
      </c>
      <c r="F2676" s="1" t="str">
        <f t="shared" si="63"/>
        <v/>
      </c>
      <c r="G2676" s="3"/>
      <c r="H2676" s="1" t="str">
        <f t="shared" si="68"/>
        <v/>
      </c>
    </row>
    <row r="2677" spans="1:10" hidden="1" x14ac:dyDescent="0.25">
      <c r="A2677" t="s">
        <v>4988</v>
      </c>
      <c r="B2677">
        <v>179</v>
      </c>
      <c r="C2677" t="s">
        <v>4989</v>
      </c>
      <c r="F2677" s="1" t="str">
        <f t="shared" si="63"/>
        <v/>
      </c>
      <c r="G2677" s="3"/>
      <c r="H2677" s="1" t="str">
        <f t="shared" si="68"/>
        <v/>
      </c>
    </row>
    <row r="2678" spans="1:10" hidden="1" x14ac:dyDescent="0.25">
      <c r="A2678" t="s">
        <v>4991</v>
      </c>
      <c r="B2678">
        <v>624</v>
      </c>
      <c r="C2678" t="s">
        <v>4992</v>
      </c>
      <c r="F2678" s="1" t="str">
        <f t="shared" si="63"/>
        <v/>
      </c>
      <c r="G2678" s="3"/>
      <c r="H2678" s="1" t="str">
        <f t="shared" si="68"/>
        <v/>
      </c>
    </row>
    <row r="2679" spans="1:10" hidden="1" x14ac:dyDescent="0.25">
      <c r="A2679" t="s">
        <v>4993</v>
      </c>
      <c r="B2679">
        <v>624</v>
      </c>
      <c r="C2679" t="s">
        <v>4994</v>
      </c>
      <c r="F2679" s="1" t="str">
        <f t="shared" si="63"/>
        <v/>
      </c>
      <c r="G2679" s="3"/>
      <c r="H2679" s="1" t="str">
        <f t="shared" si="68"/>
        <v/>
      </c>
    </row>
    <row r="2680" spans="1:10" hidden="1" x14ac:dyDescent="0.25">
      <c r="A2680" t="s">
        <v>4996</v>
      </c>
      <c r="B2680">
        <v>97</v>
      </c>
      <c r="C2680" t="s">
        <v>4997</v>
      </c>
      <c r="F2680" s="1" t="str">
        <f t="shared" si="63"/>
        <v/>
      </c>
      <c r="G2680" s="3"/>
      <c r="H2680" s="1" t="str">
        <f t="shared" si="68"/>
        <v/>
      </c>
    </row>
    <row r="2681" spans="1:10" x14ac:dyDescent="0.25">
      <c r="A2681" t="s">
        <v>4999</v>
      </c>
      <c r="B2681">
        <v>209</v>
      </c>
      <c r="C2681" t="s">
        <v>5000</v>
      </c>
      <c r="E2681" s="5" t="s">
        <v>7005</v>
      </c>
      <c r="F2681" s="1" t="str">
        <f t="shared" ref="F2681:F2682" si="69">IF(E2681&lt;&gt;"", HYPERLINK("https://www.kegg.jp/dbget-bin/www_bget?ec:" &amp; E2681, "https://www.kegg.jp/dbget-bin/www_bget?ec:" &amp; E2681), "")</f>
        <v>https://www.kegg.jp/dbget-bin/www_bget?ec:2.3.1.51</v>
      </c>
      <c r="G2681" s="9" t="s">
        <v>7970</v>
      </c>
      <c r="H2681" s="1" t="str">
        <f t="shared" si="68"/>
        <v>https://www.kegg.jp/entry/R02241</v>
      </c>
      <c r="I2681" t="s">
        <v>8614</v>
      </c>
      <c r="J2681" t="s">
        <v>13730</v>
      </c>
    </row>
    <row r="2682" spans="1:10" x14ac:dyDescent="0.25">
      <c r="A2682" t="s">
        <v>4999</v>
      </c>
      <c r="B2682">
        <v>209</v>
      </c>
      <c r="C2682" t="s">
        <v>5000</v>
      </c>
      <c r="E2682" s="5" t="s">
        <v>7005</v>
      </c>
      <c r="F2682" s="1" t="str">
        <f t="shared" si="69"/>
        <v>https://www.kegg.jp/dbget-bin/www_bget?ec:2.3.1.51</v>
      </c>
      <c r="G2682" s="9" t="s">
        <v>7972</v>
      </c>
      <c r="H2682" s="1" t="str">
        <f t="shared" si="68"/>
        <v>https://www.kegg.jp/entry/R02760</v>
      </c>
      <c r="I2682" t="s">
        <v>8363</v>
      </c>
      <c r="J2682" t="s">
        <v>8614</v>
      </c>
    </row>
    <row r="2683" spans="1:10" x14ac:dyDescent="0.25">
      <c r="A2683" t="s">
        <v>4999</v>
      </c>
      <c r="B2683">
        <v>209</v>
      </c>
      <c r="C2683" t="s">
        <v>5000</v>
      </c>
      <c r="E2683" s="5" t="s">
        <v>7005</v>
      </c>
      <c r="F2683" s="1" t="str">
        <f t="shared" si="63"/>
        <v>https://www.kegg.jp/dbget-bin/www_bget?ec:2.3.1.51</v>
      </c>
      <c r="G2683" s="9" t="s">
        <v>7971</v>
      </c>
      <c r="H2683" s="1" t="str">
        <f t="shared" si="68"/>
        <v>https://www.kegg.jp/entry/R09381</v>
      </c>
      <c r="I2683" t="s">
        <v>8364</v>
      </c>
      <c r="J2683" t="s">
        <v>8615</v>
      </c>
    </row>
    <row r="2684" spans="1:10" hidden="1" x14ac:dyDescent="0.25">
      <c r="A2684" t="s">
        <v>5002</v>
      </c>
      <c r="B2684">
        <v>226</v>
      </c>
      <c r="C2684" t="s">
        <v>5003</v>
      </c>
      <c r="E2684" s="5" t="s">
        <v>7006</v>
      </c>
      <c r="F2684" s="1" t="str">
        <f t="shared" si="63"/>
        <v>https://www.kegg.jp/dbget-bin/www_bget?ec:3.1.21.7</v>
      </c>
      <c r="G2684" s="3"/>
      <c r="H2684" s="1" t="str">
        <f t="shared" si="68"/>
        <v/>
      </c>
    </row>
    <row r="2685" spans="1:10" hidden="1" x14ac:dyDescent="0.25">
      <c r="A2685" t="s">
        <v>5004</v>
      </c>
      <c r="B2685">
        <v>290</v>
      </c>
      <c r="C2685" t="s">
        <v>5005</v>
      </c>
      <c r="F2685" s="1" t="str">
        <f t="shared" si="63"/>
        <v/>
      </c>
      <c r="G2685" s="3"/>
      <c r="H2685" s="1" t="str">
        <f t="shared" si="68"/>
        <v/>
      </c>
    </row>
    <row r="2686" spans="1:10" x14ac:dyDescent="0.25">
      <c r="A2686" t="s">
        <v>5006</v>
      </c>
      <c r="B2686">
        <v>268</v>
      </c>
      <c r="C2686" t="s">
        <v>5007</v>
      </c>
      <c r="E2686" s="5" t="s">
        <v>6812</v>
      </c>
      <c r="F2686" s="1" t="str">
        <f t="shared" ref="F2686" si="70">IF(E2686&lt;&gt;"", HYPERLINK("https://www.kegg.jp/dbget-bin/www_bget?ec:" &amp; E2686, "https://www.kegg.jp/dbget-bin/www_bget?ec:" &amp; E2686), "")</f>
        <v>https://www.kegg.jp/dbget-bin/www_bget?ec:5.3.1.8</v>
      </c>
      <c r="G2686" s="9" t="s">
        <v>7667</v>
      </c>
      <c r="H2686" s="1" t="str">
        <f t="shared" si="68"/>
        <v>https://www.kegg.jp/entry/R00772</v>
      </c>
      <c r="I2686" t="s">
        <v>8250</v>
      </c>
      <c r="J2686" t="s">
        <v>8523</v>
      </c>
    </row>
    <row r="2687" spans="1:10" x14ac:dyDescent="0.25">
      <c r="A2687" t="s">
        <v>5006</v>
      </c>
      <c r="B2687">
        <v>268</v>
      </c>
      <c r="C2687" t="s">
        <v>5007</v>
      </c>
      <c r="E2687" s="5" t="s">
        <v>6812</v>
      </c>
      <c r="F2687" s="1" t="str">
        <f t="shared" si="63"/>
        <v>https://www.kegg.jp/dbget-bin/www_bget?ec:5.3.1.8</v>
      </c>
      <c r="G2687" s="9" t="s">
        <v>7668</v>
      </c>
      <c r="H2687" s="1" t="str">
        <f t="shared" si="68"/>
        <v>https://www.kegg.jp/entry/R01819</v>
      </c>
      <c r="I2687" t="s">
        <v>8250</v>
      </c>
      <c r="J2687" t="s">
        <v>8524</v>
      </c>
    </row>
    <row r="2688" spans="1:10" x14ac:dyDescent="0.25">
      <c r="A2688" t="s">
        <v>5009</v>
      </c>
      <c r="B2688">
        <v>429</v>
      </c>
      <c r="C2688" t="s">
        <v>5010</v>
      </c>
      <c r="E2688" s="5" t="s">
        <v>7007</v>
      </c>
      <c r="F2688" s="1" t="str">
        <f t="shared" si="63"/>
        <v>https://www.kegg.jp/dbget-bin/www_bget?ec:2.5.1.19</v>
      </c>
      <c r="G2688" s="3" t="s">
        <v>7282</v>
      </c>
      <c r="H2688" s="1" t="str">
        <f t="shared" si="68"/>
        <v>https://www.kegg.jp/entry/R03460</v>
      </c>
      <c r="I2688" t="s">
        <v>8365</v>
      </c>
      <c r="J2688" t="s">
        <v>8616</v>
      </c>
    </row>
    <row r="2689" spans="1:10" x14ac:dyDescent="0.25">
      <c r="A2689" t="s">
        <v>5012</v>
      </c>
      <c r="B2689">
        <v>208</v>
      </c>
      <c r="C2689" t="s">
        <v>5013</v>
      </c>
      <c r="E2689" s="5" t="s">
        <v>7008</v>
      </c>
      <c r="F2689" s="1" t="str">
        <f t="shared" ref="F2689" si="71">IF(E2689&lt;&gt;"", HYPERLINK("https://www.kegg.jp/dbget-bin/www_bget?ec:" &amp; E2689, "https://www.kegg.jp/dbget-bin/www_bget?ec:" &amp; E2689), "")</f>
        <v>https://www.kegg.jp/dbget-bin/www_bget?ec:2.7.4.25</v>
      </c>
      <c r="G2689" s="9" t="s">
        <v>7973</v>
      </c>
      <c r="H2689" s="1" t="str">
        <f t="shared" si="68"/>
        <v>https://www.kegg.jp/entry/R00512</v>
      </c>
      <c r="I2689" t="s">
        <v>8366</v>
      </c>
      <c r="J2689" t="s">
        <v>8617</v>
      </c>
    </row>
    <row r="2690" spans="1:10" x14ac:dyDescent="0.25">
      <c r="A2690" t="s">
        <v>5012</v>
      </c>
      <c r="B2690">
        <v>208</v>
      </c>
      <c r="C2690" t="s">
        <v>5013</v>
      </c>
      <c r="E2690" s="5" t="s">
        <v>7008</v>
      </c>
      <c r="F2690" s="1" t="str">
        <f t="shared" si="63"/>
        <v>https://www.kegg.jp/dbget-bin/www_bget?ec:2.7.4.25</v>
      </c>
      <c r="G2690" s="9" t="s">
        <v>7974</v>
      </c>
      <c r="H2690" s="1" t="str">
        <f t="shared" si="68"/>
        <v>https://www.kegg.jp/entry/R01665</v>
      </c>
      <c r="I2690" t="s">
        <v>8367</v>
      </c>
      <c r="J2690" t="s">
        <v>8618</v>
      </c>
    </row>
    <row r="2691" spans="1:10" hidden="1" x14ac:dyDescent="0.25">
      <c r="A2691" t="s">
        <v>5014</v>
      </c>
      <c r="B2691">
        <v>260</v>
      </c>
      <c r="C2691" t="s">
        <v>5015</v>
      </c>
      <c r="F2691" s="1" t="str">
        <f t="shared" si="63"/>
        <v/>
      </c>
      <c r="G2691" s="3"/>
      <c r="H2691" s="1" t="str">
        <f t="shared" si="68"/>
        <v/>
      </c>
    </row>
    <row r="2692" spans="1:10" hidden="1" x14ac:dyDescent="0.25">
      <c r="A2692" t="s">
        <v>5017</v>
      </c>
      <c r="B2692">
        <v>121</v>
      </c>
      <c r="C2692" t="s">
        <v>5018</v>
      </c>
      <c r="F2692" s="1" t="str">
        <f t="shared" si="63"/>
        <v/>
      </c>
      <c r="G2692" s="3"/>
      <c r="H2692" s="1" t="str">
        <f t="shared" si="68"/>
        <v/>
      </c>
    </row>
    <row r="2693" spans="1:10" x14ac:dyDescent="0.25">
      <c r="A2693" t="s">
        <v>5019</v>
      </c>
      <c r="B2693">
        <v>229</v>
      </c>
      <c r="C2693" t="s">
        <v>5020</v>
      </c>
      <c r="E2693" s="5" t="s">
        <v>6750</v>
      </c>
      <c r="F2693" s="1" t="str">
        <f t="shared" si="63"/>
        <v>https://www.kegg.jp/dbget-bin/www_bget?ec:1.1.1.100</v>
      </c>
      <c r="G2693" s="9" t="s">
        <v>7560</v>
      </c>
      <c r="H2693" s="1" t="str">
        <f t="shared" si="68"/>
        <v>https://www.kegg.jp/entry/R02767</v>
      </c>
      <c r="I2693" t="s">
        <v>13048</v>
      </c>
      <c r="J2693" t="s">
        <v>13049</v>
      </c>
    </row>
    <row r="2694" spans="1:10" x14ac:dyDescent="0.25">
      <c r="A2694" t="s">
        <v>5019</v>
      </c>
      <c r="B2694">
        <v>229</v>
      </c>
      <c r="C2694" t="s">
        <v>5020</v>
      </c>
      <c r="E2694" s="5" t="s">
        <v>6750</v>
      </c>
      <c r="F2694" s="1" t="str">
        <f t="shared" si="63"/>
        <v>https://www.kegg.jp/dbget-bin/www_bget?ec:1.1.1.100</v>
      </c>
      <c r="G2694" s="9" t="s">
        <v>7570</v>
      </c>
      <c r="H2694" s="1" t="str">
        <f t="shared" si="68"/>
        <v>https://www.kegg.jp/entry/R04533</v>
      </c>
      <c r="I2694" t="s">
        <v>13050</v>
      </c>
      <c r="J2694" t="s">
        <v>13051</v>
      </c>
    </row>
    <row r="2695" spans="1:10" x14ac:dyDescent="0.25">
      <c r="A2695" t="s">
        <v>5019</v>
      </c>
      <c r="B2695">
        <v>229</v>
      </c>
      <c r="C2695" t="s">
        <v>5020</v>
      </c>
      <c r="E2695" s="5" t="s">
        <v>6750</v>
      </c>
      <c r="F2695" s="1" t="str">
        <f t="shared" si="63"/>
        <v>https://www.kegg.jp/dbget-bin/www_bget?ec:1.1.1.100</v>
      </c>
      <c r="G2695" s="9" t="s">
        <v>7569</v>
      </c>
      <c r="H2695" s="1" t="str">
        <f t="shared" si="68"/>
        <v>https://www.kegg.jp/entry/R04534</v>
      </c>
      <c r="I2695" t="s">
        <v>13052</v>
      </c>
      <c r="J2695" t="s">
        <v>13053</v>
      </c>
    </row>
    <row r="2696" spans="1:10" x14ac:dyDescent="0.25">
      <c r="A2696" t="s">
        <v>5019</v>
      </c>
      <c r="B2696">
        <v>229</v>
      </c>
      <c r="C2696" t="s">
        <v>5020</v>
      </c>
      <c r="E2696" s="5" t="s">
        <v>6750</v>
      </c>
      <c r="F2696" s="1" t="str">
        <f t="shared" si="63"/>
        <v>https://www.kegg.jp/dbget-bin/www_bget?ec:1.1.1.100</v>
      </c>
      <c r="G2696" s="9" t="s">
        <v>7568</v>
      </c>
      <c r="H2696" s="1" t="str">
        <f t="shared" si="68"/>
        <v>https://www.kegg.jp/entry/R04536</v>
      </c>
      <c r="I2696" t="s">
        <v>13054</v>
      </c>
      <c r="J2696" t="s">
        <v>13055</v>
      </c>
    </row>
    <row r="2697" spans="1:10" x14ac:dyDescent="0.25">
      <c r="A2697" t="s">
        <v>5019</v>
      </c>
      <c r="B2697">
        <v>229</v>
      </c>
      <c r="C2697" t="s">
        <v>5020</v>
      </c>
      <c r="E2697" s="5" t="s">
        <v>6750</v>
      </c>
      <c r="F2697" s="1" t="str">
        <f t="shared" si="63"/>
        <v>https://www.kegg.jp/dbget-bin/www_bget?ec:1.1.1.100</v>
      </c>
      <c r="G2697" s="9" t="s">
        <v>7567</v>
      </c>
      <c r="H2697" s="1" t="str">
        <f t="shared" si="68"/>
        <v>https://www.kegg.jp/entry/R04543</v>
      </c>
      <c r="I2697" t="s">
        <v>13056</v>
      </c>
      <c r="J2697" t="s">
        <v>13057</v>
      </c>
    </row>
    <row r="2698" spans="1:10" x14ac:dyDescent="0.25">
      <c r="A2698" t="s">
        <v>5019</v>
      </c>
      <c r="B2698">
        <v>229</v>
      </c>
      <c r="C2698" t="s">
        <v>5020</v>
      </c>
      <c r="E2698" s="5" t="s">
        <v>6750</v>
      </c>
      <c r="F2698" s="1" t="str">
        <f t="shared" si="63"/>
        <v>https://www.kegg.jp/dbget-bin/www_bget?ec:1.1.1.100</v>
      </c>
      <c r="G2698" s="9" t="s">
        <v>7566</v>
      </c>
      <c r="H2698" s="1" t="str">
        <f t="shared" si="68"/>
        <v>https://www.kegg.jp/entry/R04566</v>
      </c>
      <c r="I2698" t="s">
        <v>13058</v>
      </c>
      <c r="J2698" t="s">
        <v>13059</v>
      </c>
    </row>
    <row r="2699" spans="1:10" x14ac:dyDescent="0.25">
      <c r="A2699" t="s">
        <v>5019</v>
      </c>
      <c r="B2699">
        <v>229</v>
      </c>
      <c r="C2699" t="s">
        <v>5020</v>
      </c>
      <c r="E2699" s="5" t="s">
        <v>6750</v>
      </c>
      <c r="F2699" s="1" t="str">
        <f t="shared" si="63"/>
        <v>https://www.kegg.jp/dbget-bin/www_bget?ec:1.1.1.100</v>
      </c>
      <c r="G2699" s="9" t="s">
        <v>7565</v>
      </c>
      <c r="H2699" s="1" t="str">
        <f t="shared" si="68"/>
        <v>https://www.kegg.jp/entry/R04953</v>
      </c>
      <c r="I2699" t="s">
        <v>13060</v>
      </c>
      <c r="J2699" t="s">
        <v>13061</v>
      </c>
    </row>
    <row r="2700" spans="1:10" x14ac:dyDescent="0.25">
      <c r="A2700" t="s">
        <v>5019</v>
      </c>
      <c r="B2700">
        <v>229</v>
      </c>
      <c r="C2700" t="s">
        <v>5020</v>
      </c>
      <c r="E2700" s="5" t="s">
        <v>6750</v>
      </c>
      <c r="F2700" s="1" t="str">
        <f t="shared" si="63"/>
        <v>https://www.kegg.jp/dbget-bin/www_bget?ec:1.1.1.100</v>
      </c>
      <c r="G2700" s="9" t="s">
        <v>7564</v>
      </c>
      <c r="H2700" s="1" t="str">
        <f t="shared" si="68"/>
        <v>https://www.kegg.jp/entry/R04964</v>
      </c>
      <c r="I2700" t="s">
        <v>13062</v>
      </c>
      <c r="J2700" t="s">
        <v>13063</v>
      </c>
    </row>
    <row r="2701" spans="1:10" x14ac:dyDescent="0.25">
      <c r="A2701" t="s">
        <v>5019</v>
      </c>
      <c r="B2701">
        <v>229</v>
      </c>
      <c r="C2701" t="s">
        <v>5020</v>
      </c>
      <c r="E2701" s="5" t="s">
        <v>6750</v>
      </c>
      <c r="F2701" s="1" t="str">
        <f t="shared" si="63"/>
        <v>https://www.kegg.jp/dbget-bin/www_bget?ec:1.1.1.100</v>
      </c>
      <c r="G2701" s="9" t="s">
        <v>7563</v>
      </c>
      <c r="H2701" s="1" t="str">
        <f t="shared" si="68"/>
        <v>https://www.kegg.jp/entry/R07763</v>
      </c>
      <c r="I2701" t="s">
        <v>13064</v>
      </c>
      <c r="J2701" t="s">
        <v>13065</v>
      </c>
    </row>
    <row r="2702" spans="1:10" x14ac:dyDescent="0.25">
      <c r="A2702" t="s">
        <v>5019</v>
      </c>
      <c r="B2702">
        <v>229</v>
      </c>
      <c r="C2702" t="s">
        <v>5020</v>
      </c>
      <c r="E2702" s="5" t="s">
        <v>6750</v>
      </c>
      <c r="F2702" s="1" t="str">
        <f t="shared" si="63"/>
        <v>https://www.kegg.jp/dbget-bin/www_bget?ec:1.1.1.100</v>
      </c>
      <c r="G2702" s="9" t="s">
        <v>7562</v>
      </c>
      <c r="H2702" s="1" t="str">
        <f t="shared" si="68"/>
        <v>https://www.kegg.jp/entry/R10116</v>
      </c>
      <c r="I2702" t="s">
        <v>13066</v>
      </c>
      <c r="J2702" t="s">
        <v>13067</v>
      </c>
    </row>
    <row r="2703" spans="1:10" x14ac:dyDescent="0.25">
      <c r="A2703" t="s">
        <v>5019</v>
      </c>
      <c r="B2703">
        <v>229</v>
      </c>
      <c r="C2703" t="s">
        <v>5020</v>
      </c>
      <c r="E2703" s="5" t="s">
        <v>6750</v>
      </c>
      <c r="F2703" s="1" t="str">
        <f t="shared" si="63"/>
        <v>https://www.kegg.jp/dbget-bin/www_bget?ec:1.1.1.100</v>
      </c>
      <c r="G2703" s="9" t="s">
        <v>7561</v>
      </c>
      <c r="H2703" s="1" t="str">
        <f t="shared" si="68"/>
        <v>https://www.kegg.jp/entry/R10120</v>
      </c>
      <c r="I2703" t="s">
        <v>13068</v>
      </c>
      <c r="J2703" t="s">
        <v>13069</v>
      </c>
    </row>
    <row r="2704" spans="1:10" hidden="1" x14ac:dyDescent="0.25">
      <c r="A2704" t="s">
        <v>5021</v>
      </c>
      <c r="B2704">
        <v>143</v>
      </c>
      <c r="C2704" t="s">
        <v>5022</v>
      </c>
      <c r="F2704" s="1" t="str">
        <f t="shared" si="63"/>
        <v/>
      </c>
      <c r="G2704" s="3"/>
      <c r="H2704" s="1" t="str">
        <f t="shared" si="68"/>
        <v/>
      </c>
    </row>
    <row r="2705" spans="1:10" x14ac:dyDescent="0.25">
      <c r="A2705" t="s">
        <v>5023</v>
      </c>
      <c r="B2705">
        <v>184</v>
      </c>
      <c r="C2705" t="s">
        <v>5024</v>
      </c>
      <c r="E2705" s="5" t="s">
        <v>6819</v>
      </c>
      <c r="F2705" s="1" t="str">
        <f t="shared" ref="F2705:F2706" si="72">IF(E2705&lt;&gt;"", HYPERLINK("https://www.kegg.jp/dbget-bin/www_bget?ec:" &amp; E2705, "https://www.kegg.jp/dbget-bin/www_bget?ec:" &amp; E2705), "")</f>
        <v>https://www.kegg.jp/dbget-bin/www_bget?ec:2.7.1.4</v>
      </c>
      <c r="G2705" s="9" t="s">
        <v>7679</v>
      </c>
      <c r="H2705" s="1" t="str">
        <f t="shared" si="68"/>
        <v>https://www.kegg.jp/entry/R00760</v>
      </c>
      <c r="I2705" t="s">
        <v>8253</v>
      </c>
      <c r="J2705" t="s">
        <v>8526</v>
      </c>
    </row>
    <row r="2706" spans="1:10" x14ac:dyDescent="0.25">
      <c r="A2706" t="s">
        <v>5023</v>
      </c>
      <c r="B2706">
        <v>184</v>
      </c>
      <c r="C2706" t="s">
        <v>5024</v>
      </c>
      <c r="E2706" s="5" t="s">
        <v>6819</v>
      </c>
      <c r="F2706" s="1" t="str">
        <f t="shared" si="72"/>
        <v>https://www.kegg.jp/dbget-bin/www_bget?ec:2.7.1.4</v>
      </c>
      <c r="G2706" s="9" t="s">
        <v>7680</v>
      </c>
      <c r="H2706" s="1" t="str">
        <f t="shared" si="68"/>
        <v>https://www.kegg.jp/entry/R00867</v>
      </c>
      <c r="I2706" t="s">
        <v>8253</v>
      </c>
      <c r="J2706" t="s">
        <v>8527</v>
      </c>
    </row>
    <row r="2707" spans="1:10" x14ac:dyDescent="0.25">
      <c r="A2707" t="s">
        <v>5023</v>
      </c>
      <c r="B2707">
        <v>184</v>
      </c>
      <c r="C2707" t="s">
        <v>5024</v>
      </c>
      <c r="E2707" s="5" t="s">
        <v>6819</v>
      </c>
      <c r="F2707" s="1" t="str">
        <f t="shared" si="63"/>
        <v>https://www.kegg.jp/dbget-bin/www_bget?ec:2.7.1.4</v>
      </c>
      <c r="G2707" s="9" t="s">
        <v>7681</v>
      </c>
      <c r="H2707" s="1" t="str">
        <f t="shared" si="68"/>
        <v>https://www.kegg.jp/entry/R03920</v>
      </c>
      <c r="I2707" t="s">
        <v>8254</v>
      </c>
      <c r="J2707" t="s">
        <v>8527</v>
      </c>
    </row>
    <row r="2708" spans="1:10" hidden="1" x14ac:dyDescent="0.25">
      <c r="A2708" t="s">
        <v>5026</v>
      </c>
      <c r="B2708">
        <v>69</v>
      </c>
      <c r="C2708" t="s">
        <v>5027</v>
      </c>
      <c r="F2708" s="1" t="str">
        <f t="shared" si="63"/>
        <v/>
      </c>
      <c r="G2708" s="3"/>
      <c r="H2708" s="1" t="str">
        <f t="shared" si="68"/>
        <v/>
      </c>
    </row>
    <row r="2709" spans="1:10" hidden="1" x14ac:dyDescent="0.25">
      <c r="A2709" t="s">
        <v>5028</v>
      </c>
      <c r="B2709">
        <v>79</v>
      </c>
      <c r="C2709" t="s">
        <v>5029</v>
      </c>
      <c r="F2709" s="1" t="str">
        <f t="shared" ref="F2709:F2781" si="73">IF(E2709&lt;&gt;"", HYPERLINK("https://www.kegg.jp/dbget-bin/www_bget?ec:" &amp; E2709, "https://www.kegg.jp/dbget-bin/www_bget?ec:" &amp; E2709), "")</f>
        <v/>
      </c>
      <c r="G2709" s="3"/>
      <c r="H2709" s="1" t="str">
        <f t="shared" si="68"/>
        <v/>
      </c>
    </row>
    <row r="2710" spans="1:10" hidden="1" x14ac:dyDescent="0.25">
      <c r="A2710" t="s">
        <v>5030</v>
      </c>
      <c r="B2710">
        <v>59</v>
      </c>
      <c r="C2710" t="s">
        <v>5031</v>
      </c>
      <c r="F2710" s="1" t="str">
        <f t="shared" si="73"/>
        <v/>
      </c>
      <c r="G2710" s="3"/>
      <c r="H2710" s="1" t="str">
        <f t="shared" si="68"/>
        <v/>
      </c>
    </row>
    <row r="2711" spans="1:10" hidden="1" x14ac:dyDescent="0.25">
      <c r="A2711" t="s">
        <v>5033</v>
      </c>
      <c r="B2711">
        <v>854</v>
      </c>
      <c r="C2711" t="s">
        <v>5034</v>
      </c>
      <c r="F2711" s="1" t="str">
        <f t="shared" si="73"/>
        <v/>
      </c>
      <c r="G2711" s="3"/>
      <c r="H2711" s="1" t="str">
        <f t="shared" si="68"/>
        <v/>
      </c>
    </row>
    <row r="2712" spans="1:10" hidden="1" x14ac:dyDescent="0.25">
      <c r="A2712" t="s">
        <v>5036</v>
      </c>
      <c r="B2712">
        <v>129</v>
      </c>
      <c r="C2712" t="s">
        <v>5037</v>
      </c>
      <c r="F2712" s="1" t="str">
        <f t="shared" si="73"/>
        <v/>
      </c>
      <c r="G2712" s="3"/>
      <c r="H2712" s="1" t="str">
        <f t="shared" si="68"/>
        <v/>
      </c>
    </row>
    <row r="2713" spans="1:10" hidden="1" x14ac:dyDescent="0.25">
      <c r="A2713" t="s">
        <v>5038</v>
      </c>
      <c r="B2713">
        <v>394</v>
      </c>
      <c r="C2713" t="s">
        <v>5039</v>
      </c>
      <c r="F2713" s="1" t="str">
        <f t="shared" si="73"/>
        <v/>
      </c>
      <c r="G2713" s="3"/>
      <c r="H2713" s="1" t="str">
        <f t="shared" si="68"/>
        <v/>
      </c>
    </row>
    <row r="2714" spans="1:10" hidden="1" x14ac:dyDescent="0.25">
      <c r="A2714" t="s">
        <v>5041</v>
      </c>
      <c r="B2714">
        <v>137</v>
      </c>
      <c r="C2714" t="s">
        <v>5042</v>
      </c>
      <c r="F2714" s="1" t="str">
        <f t="shared" si="73"/>
        <v/>
      </c>
      <c r="G2714" s="3"/>
      <c r="H2714" s="1" t="str">
        <f t="shared" si="68"/>
        <v/>
      </c>
    </row>
    <row r="2715" spans="1:10" hidden="1" x14ac:dyDescent="0.25">
      <c r="A2715" t="s">
        <v>5043</v>
      </c>
      <c r="B2715">
        <v>228</v>
      </c>
      <c r="C2715" t="s">
        <v>5044</v>
      </c>
      <c r="F2715" s="1" t="str">
        <f t="shared" si="73"/>
        <v/>
      </c>
      <c r="G2715" s="3"/>
      <c r="H2715" s="1" t="str">
        <f t="shared" si="68"/>
        <v/>
      </c>
    </row>
    <row r="2716" spans="1:10" hidden="1" x14ac:dyDescent="0.25">
      <c r="A2716" t="s">
        <v>5045</v>
      </c>
      <c r="B2716">
        <v>139</v>
      </c>
      <c r="C2716" t="s">
        <v>5046</v>
      </c>
      <c r="F2716" s="1" t="str">
        <f t="shared" si="73"/>
        <v/>
      </c>
      <c r="G2716" s="3"/>
      <c r="H2716" s="1" t="str">
        <f t="shared" si="68"/>
        <v/>
      </c>
    </row>
    <row r="2717" spans="1:10" hidden="1" x14ac:dyDescent="0.25">
      <c r="A2717" t="s">
        <v>5047</v>
      </c>
      <c r="B2717">
        <v>137</v>
      </c>
      <c r="C2717" t="s">
        <v>5048</v>
      </c>
      <c r="F2717" s="1" t="str">
        <f t="shared" si="73"/>
        <v/>
      </c>
      <c r="G2717" s="3"/>
      <c r="H2717" s="1" t="str">
        <f t="shared" si="68"/>
        <v/>
      </c>
    </row>
    <row r="2718" spans="1:10" hidden="1" x14ac:dyDescent="0.25">
      <c r="A2718" t="s">
        <v>5049</v>
      </c>
      <c r="B2718">
        <v>148</v>
      </c>
      <c r="C2718" t="s">
        <v>5050</v>
      </c>
      <c r="F2718" s="1" t="str">
        <f t="shared" si="73"/>
        <v/>
      </c>
      <c r="G2718" s="3"/>
      <c r="H2718" s="1" t="str">
        <f t="shared" si="68"/>
        <v/>
      </c>
    </row>
    <row r="2719" spans="1:10" hidden="1" x14ac:dyDescent="0.25">
      <c r="A2719" t="s">
        <v>5051</v>
      </c>
      <c r="B2719">
        <v>139</v>
      </c>
      <c r="C2719" t="s">
        <v>5052</v>
      </c>
      <c r="F2719" s="1" t="str">
        <f t="shared" si="73"/>
        <v/>
      </c>
      <c r="G2719" s="3"/>
      <c r="H2719" s="1" t="str">
        <f t="shared" si="68"/>
        <v/>
      </c>
    </row>
    <row r="2720" spans="1:10" hidden="1" x14ac:dyDescent="0.25">
      <c r="A2720" t="s">
        <v>5053</v>
      </c>
      <c r="B2720">
        <v>157</v>
      </c>
      <c r="C2720" t="s">
        <v>5054</v>
      </c>
      <c r="F2720" s="1" t="str">
        <f t="shared" si="73"/>
        <v/>
      </c>
      <c r="G2720" s="3"/>
      <c r="H2720" s="1" t="str">
        <f t="shared" si="68"/>
        <v/>
      </c>
    </row>
    <row r="2721" spans="1:10" hidden="1" x14ac:dyDescent="0.25">
      <c r="A2721" t="s">
        <v>5056</v>
      </c>
      <c r="B2721">
        <v>377</v>
      </c>
      <c r="C2721" t="s">
        <v>5057</v>
      </c>
      <c r="F2721" s="1" t="str">
        <f t="shared" si="73"/>
        <v/>
      </c>
      <c r="G2721" s="3"/>
      <c r="H2721" s="1" t="str">
        <f t="shared" si="68"/>
        <v/>
      </c>
    </row>
    <row r="2722" spans="1:10" hidden="1" x14ac:dyDescent="0.25">
      <c r="A2722" t="s">
        <v>5059</v>
      </c>
      <c r="B2722">
        <v>278</v>
      </c>
      <c r="C2722" t="s">
        <v>5060</v>
      </c>
      <c r="F2722" s="1" t="str">
        <f t="shared" si="73"/>
        <v/>
      </c>
      <c r="G2722" s="3"/>
      <c r="H2722" s="1" t="str">
        <f t="shared" si="68"/>
        <v/>
      </c>
    </row>
    <row r="2723" spans="1:10" hidden="1" x14ac:dyDescent="0.25">
      <c r="A2723" t="s">
        <v>5062</v>
      </c>
      <c r="B2723">
        <v>210</v>
      </c>
      <c r="C2723" t="s">
        <v>5063</v>
      </c>
      <c r="F2723" s="1" t="str">
        <f t="shared" si="73"/>
        <v/>
      </c>
      <c r="G2723" s="3"/>
      <c r="H2723" s="1" t="str">
        <f t="shared" si="68"/>
        <v/>
      </c>
    </row>
    <row r="2724" spans="1:10" hidden="1" x14ac:dyDescent="0.25">
      <c r="A2724" t="s">
        <v>5065</v>
      </c>
      <c r="B2724">
        <v>144</v>
      </c>
      <c r="C2724" t="s">
        <v>5066</v>
      </c>
      <c r="F2724" s="1" t="str">
        <f t="shared" si="73"/>
        <v/>
      </c>
      <c r="G2724" s="3"/>
      <c r="H2724" s="1" t="str">
        <f t="shared" si="68"/>
        <v/>
      </c>
    </row>
    <row r="2725" spans="1:10" hidden="1" x14ac:dyDescent="0.25">
      <c r="A2725" t="s">
        <v>5068</v>
      </c>
      <c r="B2725">
        <v>384</v>
      </c>
      <c r="C2725" t="s">
        <v>5069</v>
      </c>
      <c r="F2725" s="1" t="str">
        <f t="shared" si="73"/>
        <v/>
      </c>
      <c r="G2725" s="3"/>
      <c r="H2725" s="1" t="str">
        <f t="shared" si="68"/>
        <v/>
      </c>
    </row>
    <row r="2726" spans="1:10" hidden="1" x14ac:dyDescent="0.25">
      <c r="A2726" t="s">
        <v>5070</v>
      </c>
      <c r="B2726">
        <v>534</v>
      </c>
      <c r="C2726" t="s">
        <v>5071</v>
      </c>
      <c r="F2726" s="1" t="str">
        <f t="shared" si="73"/>
        <v/>
      </c>
      <c r="G2726" s="3"/>
      <c r="H2726" s="1" t="str">
        <f t="shared" si="68"/>
        <v/>
      </c>
    </row>
    <row r="2727" spans="1:10" hidden="1" x14ac:dyDescent="0.25">
      <c r="A2727" t="s">
        <v>5073</v>
      </c>
      <c r="B2727">
        <v>444</v>
      </c>
      <c r="C2727" t="s">
        <v>5074</v>
      </c>
      <c r="F2727" s="1" t="str">
        <f t="shared" si="73"/>
        <v/>
      </c>
      <c r="G2727" s="3"/>
      <c r="H2727" s="1" t="str">
        <f t="shared" si="68"/>
        <v/>
      </c>
    </row>
    <row r="2728" spans="1:10" hidden="1" x14ac:dyDescent="0.25">
      <c r="A2728" t="s">
        <v>5076</v>
      </c>
      <c r="B2728">
        <v>182</v>
      </c>
      <c r="C2728" t="s">
        <v>5077</v>
      </c>
      <c r="F2728" s="1" t="str">
        <f t="shared" si="73"/>
        <v/>
      </c>
      <c r="G2728" s="3"/>
      <c r="H2728" s="1" t="str">
        <f t="shared" si="68"/>
        <v/>
      </c>
    </row>
    <row r="2729" spans="1:10" x14ac:dyDescent="0.25">
      <c r="A2729" t="s">
        <v>5079</v>
      </c>
      <c r="B2729">
        <v>1492</v>
      </c>
      <c r="C2729" t="s">
        <v>5080</v>
      </c>
      <c r="E2729" s="5" t="s">
        <v>7009</v>
      </c>
      <c r="F2729" s="1" t="str">
        <f t="shared" ref="F2729:F2730" si="74">IF(E2729&lt;&gt;"", HYPERLINK("https://www.kegg.jp/dbget-bin/www_bget?ec:" &amp; E2729, "https://www.kegg.jp/dbget-bin/www_bget?ec:" &amp; E2729), "")</f>
        <v>https://www.kegg.jp/dbget-bin/www_bget?ec:1.4.1.13</v>
      </c>
      <c r="G2729" s="9" t="s">
        <v>7975</v>
      </c>
      <c r="H2729" s="1" t="str">
        <f t="shared" si="68"/>
        <v>https://www.kegg.jp/entry/R00114</v>
      </c>
      <c r="I2729" t="s">
        <v>13731</v>
      </c>
      <c r="J2729" t="s">
        <v>13732</v>
      </c>
    </row>
    <row r="2730" spans="1:10" x14ac:dyDescent="0.25">
      <c r="A2730" t="s">
        <v>5079</v>
      </c>
      <c r="B2730">
        <v>1492</v>
      </c>
      <c r="C2730" t="s">
        <v>5080</v>
      </c>
      <c r="E2730" s="5" t="s">
        <v>7009</v>
      </c>
      <c r="F2730" s="1" t="str">
        <f t="shared" si="74"/>
        <v>https://www.kegg.jp/dbget-bin/www_bget?ec:1.4.1.13</v>
      </c>
      <c r="G2730" s="9" t="s">
        <v>7976</v>
      </c>
      <c r="H2730" s="1" t="str">
        <f t="shared" si="68"/>
        <v>https://www.kegg.jp/entry/R00248</v>
      </c>
      <c r="I2730" t="s">
        <v>13733</v>
      </c>
      <c r="J2730" t="s">
        <v>13734</v>
      </c>
    </row>
    <row r="2731" spans="1:10" x14ac:dyDescent="0.25">
      <c r="A2731" t="s">
        <v>5079</v>
      </c>
      <c r="B2731">
        <v>1492</v>
      </c>
      <c r="C2731" t="s">
        <v>5080</v>
      </c>
      <c r="E2731" s="5" t="s">
        <v>7009</v>
      </c>
      <c r="F2731" s="1" t="str">
        <f t="shared" si="73"/>
        <v>https://www.kegg.jp/dbget-bin/www_bget?ec:1.4.1.13</v>
      </c>
      <c r="G2731" s="9" t="s">
        <v>7423</v>
      </c>
      <c r="H2731" s="1" t="str">
        <f t="shared" ref="H2731:H2794" si="75">IF(G2731&lt;&gt;"", HYPERLINK("https://www.kegg.jp/entry/" &amp; G2731, "https://www.kegg.jp/entry/" &amp; G2731), "")</f>
        <v>https://www.kegg.jp/entry/R00256</v>
      </c>
      <c r="I2731" t="s">
        <v>12866</v>
      </c>
      <c r="J2731" t="s">
        <v>12867</v>
      </c>
    </row>
    <row r="2732" spans="1:10" hidden="1" x14ac:dyDescent="0.25">
      <c r="A2732" t="s">
        <v>5081</v>
      </c>
      <c r="B2732">
        <v>153</v>
      </c>
      <c r="C2732" t="s">
        <v>5082</v>
      </c>
      <c r="F2732" s="1" t="str">
        <f t="shared" si="73"/>
        <v/>
      </c>
      <c r="G2732" s="3"/>
      <c r="H2732" s="1" t="str">
        <f t="shared" si="75"/>
        <v/>
      </c>
    </row>
    <row r="2733" spans="1:10" hidden="1" x14ac:dyDescent="0.25">
      <c r="A2733" t="s">
        <v>5083</v>
      </c>
      <c r="B2733">
        <v>76</v>
      </c>
      <c r="C2733" t="s">
        <v>5084</v>
      </c>
      <c r="F2733" s="1" t="str">
        <f t="shared" si="73"/>
        <v/>
      </c>
      <c r="G2733" s="3"/>
      <c r="H2733" s="1" t="str">
        <f t="shared" si="75"/>
        <v/>
      </c>
    </row>
    <row r="2734" spans="1:10" x14ac:dyDescent="0.25">
      <c r="A2734" t="s">
        <v>5085</v>
      </c>
      <c r="B2734">
        <v>494</v>
      </c>
      <c r="C2734" t="s">
        <v>5086</v>
      </c>
      <c r="E2734" s="5" t="s">
        <v>6620</v>
      </c>
      <c r="F2734" s="1" t="str">
        <f t="shared" ref="F2734" si="76">IF(E2734&lt;&gt;"", HYPERLINK("https://www.kegg.jp/dbget-bin/www_bget?ec:" &amp; E2734, "https://www.kegg.jp/dbget-bin/www_bget?ec:" &amp; E2734), "")</f>
        <v>https://www.kegg.jp/dbget-bin/www_bget?ec:1.1.1.205</v>
      </c>
      <c r="G2734" s="9" t="s">
        <v>7380</v>
      </c>
      <c r="H2734" s="1" t="str">
        <f t="shared" si="75"/>
        <v>https://www.kegg.jp/entry/R01130</v>
      </c>
      <c r="I2734" t="s">
        <v>12763</v>
      </c>
      <c r="J2734" t="s">
        <v>12764</v>
      </c>
    </row>
    <row r="2735" spans="1:10" x14ac:dyDescent="0.25">
      <c r="A2735" t="s">
        <v>5085</v>
      </c>
      <c r="B2735">
        <v>494</v>
      </c>
      <c r="C2735" t="s">
        <v>5086</v>
      </c>
      <c r="E2735" s="5" t="s">
        <v>6620</v>
      </c>
      <c r="F2735" s="1" t="str">
        <f t="shared" si="73"/>
        <v>https://www.kegg.jp/dbget-bin/www_bget?ec:1.1.1.205</v>
      </c>
      <c r="G2735" s="9" t="s">
        <v>7381</v>
      </c>
      <c r="H2735" s="1" t="str">
        <f t="shared" si="75"/>
        <v>https://www.kegg.jp/entry/R08240</v>
      </c>
      <c r="I2735" t="s">
        <v>12765</v>
      </c>
      <c r="J2735" t="s">
        <v>12766</v>
      </c>
    </row>
    <row r="2736" spans="1:10" hidden="1" x14ac:dyDescent="0.25">
      <c r="C2736" t="s">
        <v>5087</v>
      </c>
      <c r="F2736" s="1" t="str">
        <f t="shared" si="73"/>
        <v/>
      </c>
      <c r="G2736" s="3"/>
      <c r="H2736" s="1" t="str">
        <f t="shared" si="75"/>
        <v/>
      </c>
    </row>
    <row r="2737" spans="1:10" hidden="1" x14ac:dyDescent="0.25">
      <c r="A2737" t="s">
        <v>5088</v>
      </c>
      <c r="B2737">
        <v>223</v>
      </c>
      <c r="C2737" t="s">
        <v>5089</v>
      </c>
      <c r="F2737" s="1" t="str">
        <f t="shared" si="73"/>
        <v/>
      </c>
      <c r="G2737" s="3"/>
      <c r="H2737" s="1" t="str">
        <f t="shared" si="75"/>
        <v/>
      </c>
    </row>
    <row r="2738" spans="1:10" hidden="1" x14ac:dyDescent="0.25">
      <c r="A2738" t="s">
        <v>5091</v>
      </c>
      <c r="B2738">
        <v>296</v>
      </c>
      <c r="C2738" t="s">
        <v>5092</v>
      </c>
      <c r="E2738" s="5" t="s">
        <v>7010</v>
      </c>
      <c r="F2738" s="1" t="str">
        <f t="shared" si="73"/>
        <v>https://www.kegg.jp/dbget-bin/www_bget?ec:2.7.13.3</v>
      </c>
      <c r="G2738" s="3"/>
      <c r="H2738" s="1" t="str">
        <f t="shared" si="75"/>
        <v/>
      </c>
    </row>
    <row r="2739" spans="1:10" hidden="1" x14ac:dyDescent="0.25">
      <c r="A2739" t="s">
        <v>5094</v>
      </c>
      <c r="B2739">
        <v>220</v>
      </c>
      <c r="C2739" t="s">
        <v>5095</v>
      </c>
      <c r="F2739" s="1" t="str">
        <f t="shared" si="73"/>
        <v/>
      </c>
      <c r="G2739" s="3"/>
      <c r="H2739" s="1" t="str">
        <f t="shared" si="75"/>
        <v/>
      </c>
    </row>
    <row r="2740" spans="1:10" hidden="1" x14ac:dyDescent="0.25">
      <c r="A2740" t="s">
        <v>5096</v>
      </c>
      <c r="B2740">
        <v>68</v>
      </c>
      <c r="C2740" t="s">
        <v>5097</v>
      </c>
      <c r="F2740" s="1" t="str">
        <f t="shared" si="73"/>
        <v/>
      </c>
      <c r="G2740" s="3"/>
      <c r="H2740" s="1" t="str">
        <f t="shared" si="75"/>
        <v/>
      </c>
    </row>
    <row r="2741" spans="1:10" hidden="1" x14ac:dyDescent="0.25">
      <c r="A2741" t="s">
        <v>5099</v>
      </c>
      <c r="B2741">
        <v>378</v>
      </c>
      <c r="C2741" t="s">
        <v>5100</v>
      </c>
      <c r="F2741" s="1" t="str">
        <f t="shared" si="73"/>
        <v/>
      </c>
      <c r="G2741" s="3"/>
      <c r="H2741" s="1" t="str">
        <f t="shared" si="75"/>
        <v/>
      </c>
    </row>
    <row r="2742" spans="1:10" hidden="1" x14ac:dyDescent="0.25">
      <c r="A2742" t="s">
        <v>5101</v>
      </c>
      <c r="B2742">
        <v>148</v>
      </c>
      <c r="C2742" t="s">
        <v>5102</v>
      </c>
      <c r="F2742" s="1" t="str">
        <f t="shared" si="73"/>
        <v/>
      </c>
      <c r="G2742" s="3"/>
      <c r="H2742" s="1" t="str">
        <f t="shared" si="75"/>
        <v/>
      </c>
    </row>
    <row r="2743" spans="1:10" hidden="1" x14ac:dyDescent="0.25">
      <c r="A2743" t="s">
        <v>5103</v>
      </c>
      <c r="B2743">
        <v>79</v>
      </c>
      <c r="C2743" t="s">
        <v>5104</v>
      </c>
      <c r="F2743" s="1" t="str">
        <f t="shared" si="73"/>
        <v/>
      </c>
      <c r="G2743" s="3"/>
      <c r="H2743" s="1" t="str">
        <f t="shared" si="75"/>
        <v/>
      </c>
    </row>
    <row r="2744" spans="1:10" hidden="1" x14ac:dyDescent="0.25">
      <c r="A2744" t="s">
        <v>5105</v>
      </c>
      <c r="B2744">
        <v>119</v>
      </c>
      <c r="C2744" t="s">
        <v>5106</v>
      </c>
      <c r="F2744" s="1" t="str">
        <f t="shared" si="73"/>
        <v/>
      </c>
      <c r="G2744" s="3"/>
      <c r="H2744" s="1" t="str">
        <f t="shared" si="75"/>
        <v/>
      </c>
    </row>
    <row r="2745" spans="1:10" hidden="1" x14ac:dyDescent="0.25">
      <c r="A2745" t="s">
        <v>5107</v>
      </c>
      <c r="B2745">
        <v>174</v>
      </c>
      <c r="C2745" t="s">
        <v>5108</v>
      </c>
      <c r="F2745" s="1" t="str">
        <f t="shared" si="73"/>
        <v/>
      </c>
      <c r="G2745" s="3"/>
      <c r="H2745" s="1" t="str">
        <f t="shared" si="75"/>
        <v/>
      </c>
    </row>
    <row r="2746" spans="1:10" hidden="1" x14ac:dyDescent="0.25">
      <c r="A2746" t="s">
        <v>5110</v>
      </c>
      <c r="B2746">
        <v>322</v>
      </c>
      <c r="C2746" t="s">
        <v>5111</v>
      </c>
      <c r="F2746" s="1" t="str">
        <f t="shared" si="73"/>
        <v/>
      </c>
      <c r="G2746" s="3"/>
      <c r="H2746" s="1" t="str">
        <f t="shared" si="75"/>
        <v/>
      </c>
    </row>
    <row r="2747" spans="1:10" hidden="1" x14ac:dyDescent="0.25">
      <c r="A2747" t="s">
        <v>5112</v>
      </c>
      <c r="B2747">
        <v>263</v>
      </c>
      <c r="C2747" t="s">
        <v>5113</v>
      </c>
      <c r="F2747" s="1" t="str">
        <f t="shared" si="73"/>
        <v/>
      </c>
      <c r="G2747" s="3"/>
      <c r="H2747" s="1" t="str">
        <f t="shared" si="75"/>
        <v/>
      </c>
    </row>
    <row r="2748" spans="1:10" x14ac:dyDescent="0.25">
      <c r="A2748" t="s">
        <v>5115</v>
      </c>
      <c r="B2748">
        <v>432</v>
      </c>
      <c r="C2748" t="s">
        <v>5116</v>
      </c>
      <c r="E2748" s="5" t="s">
        <v>7011</v>
      </c>
      <c r="F2748" s="1" t="str">
        <f t="shared" si="73"/>
        <v>https://www.kegg.jp/dbget-bin/www_bget?ec:2.5.1.7</v>
      </c>
      <c r="G2748" s="3" t="s">
        <v>7283</v>
      </c>
      <c r="H2748" s="1" t="str">
        <f t="shared" si="75"/>
        <v>https://www.kegg.jp/entry/R00660</v>
      </c>
      <c r="I2748" t="s">
        <v>13735</v>
      </c>
      <c r="J2748" t="s">
        <v>13736</v>
      </c>
    </row>
    <row r="2749" spans="1:10" hidden="1" x14ac:dyDescent="0.25">
      <c r="A2749" t="s">
        <v>5117</v>
      </c>
      <c r="B2749">
        <v>71</v>
      </c>
      <c r="C2749" t="s">
        <v>5118</v>
      </c>
      <c r="F2749" s="1" t="str">
        <f t="shared" si="73"/>
        <v/>
      </c>
      <c r="G2749" s="3"/>
      <c r="H2749" s="1" t="str">
        <f t="shared" si="75"/>
        <v/>
      </c>
    </row>
    <row r="2750" spans="1:10" hidden="1" x14ac:dyDescent="0.25">
      <c r="A2750" t="s">
        <v>5119</v>
      </c>
      <c r="B2750">
        <v>605</v>
      </c>
      <c r="C2750" t="s">
        <v>5120</v>
      </c>
      <c r="F2750" s="1" t="str">
        <f t="shared" si="73"/>
        <v/>
      </c>
      <c r="G2750" s="3"/>
      <c r="H2750" s="1" t="str">
        <f t="shared" si="75"/>
        <v/>
      </c>
    </row>
    <row r="2751" spans="1:10" hidden="1" x14ac:dyDescent="0.25">
      <c r="A2751" t="s">
        <v>5122</v>
      </c>
      <c r="B2751">
        <v>124</v>
      </c>
      <c r="C2751" t="s">
        <v>5123</v>
      </c>
      <c r="F2751" s="1" t="str">
        <f t="shared" si="73"/>
        <v/>
      </c>
      <c r="G2751" s="3"/>
      <c r="H2751" s="1" t="str">
        <f t="shared" si="75"/>
        <v/>
      </c>
    </row>
    <row r="2752" spans="1:10" hidden="1" x14ac:dyDescent="0.25">
      <c r="A2752" t="s">
        <v>5125</v>
      </c>
      <c r="B2752">
        <v>313</v>
      </c>
      <c r="C2752" t="s">
        <v>5126</v>
      </c>
      <c r="F2752" s="1" t="str">
        <f t="shared" si="73"/>
        <v/>
      </c>
      <c r="G2752" s="3"/>
      <c r="H2752" s="1" t="str">
        <f t="shared" si="75"/>
        <v/>
      </c>
    </row>
    <row r="2753" spans="1:10" hidden="1" x14ac:dyDescent="0.25">
      <c r="A2753" t="s">
        <v>5128</v>
      </c>
      <c r="B2753">
        <v>144</v>
      </c>
      <c r="C2753" t="s">
        <v>5129</v>
      </c>
      <c r="F2753" s="1" t="str">
        <f t="shared" si="73"/>
        <v/>
      </c>
      <c r="G2753" s="3"/>
      <c r="H2753" s="1" t="str">
        <f t="shared" si="75"/>
        <v/>
      </c>
    </row>
    <row r="2754" spans="1:10" hidden="1" x14ac:dyDescent="0.25">
      <c r="C2754" t="s">
        <v>5130</v>
      </c>
      <c r="F2754" s="1" t="str">
        <f t="shared" si="73"/>
        <v/>
      </c>
      <c r="G2754" s="3"/>
      <c r="H2754" s="1" t="str">
        <f t="shared" si="75"/>
        <v/>
      </c>
    </row>
    <row r="2755" spans="1:10" hidden="1" x14ac:dyDescent="0.25">
      <c r="A2755" t="s">
        <v>5132</v>
      </c>
      <c r="B2755">
        <v>158</v>
      </c>
      <c r="C2755" t="s">
        <v>5133</v>
      </c>
      <c r="F2755" s="1" t="str">
        <f t="shared" si="73"/>
        <v/>
      </c>
      <c r="G2755" s="3"/>
      <c r="H2755" s="1" t="str">
        <f t="shared" si="75"/>
        <v/>
      </c>
    </row>
    <row r="2756" spans="1:10" x14ac:dyDescent="0.25">
      <c r="A2756" t="s">
        <v>5135</v>
      </c>
      <c r="B2756">
        <v>235</v>
      </c>
      <c r="C2756" t="s">
        <v>5136</v>
      </c>
      <c r="E2756" s="5" t="s">
        <v>7012</v>
      </c>
      <c r="F2756" s="1" t="str">
        <f t="shared" ref="F2756" si="77">IF(E2756&lt;&gt;"", HYPERLINK("https://www.kegg.jp/dbget-bin/www_bget?ec:" &amp; E2756, "https://www.kegg.jp/dbget-bin/www_bget?ec:" &amp; E2756), "")</f>
        <v>https://www.kegg.jp/dbget-bin/www_bget?ec:1.1.1.140</v>
      </c>
      <c r="G2756" s="9" t="s">
        <v>7977</v>
      </c>
      <c r="H2756" s="1" t="str">
        <f t="shared" si="75"/>
        <v>https://www.kegg.jp/entry/R07133</v>
      </c>
      <c r="I2756" t="s">
        <v>13737</v>
      </c>
      <c r="J2756" t="s">
        <v>13738</v>
      </c>
    </row>
    <row r="2757" spans="1:10" x14ac:dyDescent="0.25">
      <c r="A2757" t="s">
        <v>5135</v>
      </c>
      <c r="B2757">
        <v>235</v>
      </c>
      <c r="C2757" t="s">
        <v>5136</v>
      </c>
      <c r="E2757" s="5" t="s">
        <v>7012</v>
      </c>
      <c r="F2757" s="1" t="str">
        <f t="shared" si="73"/>
        <v>https://www.kegg.jp/dbget-bin/www_bget?ec:1.1.1.140</v>
      </c>
      <c r="G2757" s="9" t="s">
        <v>7978</v>
      </c>
      <c r="H2757" s="1" t="str">
        <f t="shared" si="75"/>
        <v>https://www.kegg.jp/entry/R05607</v>
      </c>
      <c r="I2757" t="s">
        <v>13737</v>
      </c>
      <c r="J2757" t="s">
        <v>13739</v>
      </c>
    </row>
    <row r="2758" spans="1:10" hidden="1" x14ac:dyDescent="0.25">
      <c r="A2758" t="s">
        <v>5138</v>
      </c>
      <c r="B2758">
        <v>159</v>
      </c>
      <c r="C2758" t="s">
        <v>5139</v>
      </c>
      <c r="F2758" s="1" t="str">
        <f t="shared" si="73"/>
        <v/>
      </c>
      <c r="G2758" s="3"/>
      <c r="H2758" s="1" t="str">
        <f t="shared" si="75"/>
        <v/>
      </c>
    </row>
    <row r="2759" spans="1:10" hidden="1" x14ac:dyDescent="0.25">
      <c r="A2759" t="s">
        <v>5141</v>
      </c>
      <c r="B2759">
        <v>142</v>
      </c>
      <c r="C2759" t="s">
        <v>5142</v>
      </c>
      <c r="F2759" s="1" t="str">
        <f t="shared" si="73"/>
        <v/>
      </c>
      <c r="G2759" s="3"/>
      <c r="H2759" s="1" t="str">
        <f t="shared" si="75"/>
        <v/>
      </c>
    </row>
    <row r="2760" spans="1:10" hidden="1" x14ac:dyDescent="0.25">
      <c r="A2760" t="s">
        <v>5143</v>
      </c>
      <c r="B2760">
        <v>277</v>
      </c>
      <c r="C2760" t="s">
        <v>5144</v>
      </c>
      <c r="F2760" s="1" t="str">
        <f t="shared" si="73"/>
        <v/>
      </c>
      <c r="G2760" s="3"/>
      <c r="H2760" s="1" t="str">
        <f t="shared" si="75"/>
        <v/>
      </c>
    </row>
    <row r="2761" spans="1:10" x14ac:dyDescent="0.25">
      <c r="A2761" t="s">
        <v>5146</v>
      </c>
      <c r="B2761">
        <v>180</v>
      </c>
      <c r="C2761" t="s">
        <v>5147</v>
      </c>
      <c r="E2761" s="5" t="s">
        <v>7013</v>
      </c>
      <c r="F2761" s="1" t="str">
        <f t="shared" si="73"/>
        <v>https://www.kegg.jp/dbget-bin/www_bget?ec:3.5.4.13</v>
      </c>
      <c r="G2761" s="3" t="s">
        <v>7284</v>
      </c>
      <c r="H2761" s="1" t="str">
        <f t="shared" si="75"/>
        <v>https://www.kegg.jp/entry/R02325</v>
      </c>
      <c r="I2761" t="s">
        <v>13740</v>
      </c>
      <c r="J2761" t="s">
        <v>13741</v>
      </c>
    </row>
    <row r="2762" spans="1:10" x14ac:dyDescent="0.25">
      <c r="A2762" t="s">
        <v>5149</v>
      </c>
      <c r="B2762">
        <v>199</v>
      </c>
      <c r="C2762" t="s">
        <v>5150</v>
      </c>
      <c r="E2762" s="5" t="s">
        <v>6616</v>
      </c>
      <c r="F2762" s="1" t="str">
        <f t="shared" si="73"/>
        <v>https://www.kegg.jp/dbget-bin/www_bget?ec:5.2.1.8</v>
      </c>
      <c r="G2762" s="3" t="s">
        <v>7089</v>
      </c>
      <c r="H2762" s="1" t="str">
        <f t="shared" si="75"/>
        <v>https://www.kegg.jp/entry/R04273</v>
      </c>
      <c r="I2762" t="s">
        <v>8094</v>
      </c>
      <c r="J2762" t="s">
        <v>8395</v>
      </c>
    </row>
    <row r="2763" spans="1:10" x14ac:dyDescent="0.25">
      <c r="A2763" t="s">
        <v>5152</v>
      </c>
      <c r="B2763">
        <v>359</v>
      </c>
      <c r="C2763" t="s">
        <v>5153</v>
      </c>
      <c r="E2763" s="5" t="s">
        <v>7014</v>
      </c>
      <c r="F2763" s="1" t="str">
        <f t="shared" si="73"/>
        <v>https://www.kegg.jp/dbget-bin/www_bget?ec:2.4.2.17</v>
      </c>
      <c r="G2763" s="3" t="s">
        <v>7285</v>
      </c>
      <c r="H2763" s="1" t="str">
        <f t="shared" si="75"/>
        <v>https://www.kegg.jp/entry/R01071</v>
      </c>
      <c r="I2763" t="s">
        <v>13742</v>
      </c>
      <c r="J2763" t="s">
        <v>8619</v>
      </c>
    </row>
    <row r="2764" spans="1:10" x14ac:dyDescent="0.25">
      <c r="A2764" t="s">
        <v>5155</v>
      </c>
      <c r="B2764">
        <v>203</v>
      </c>
      <c r="C2764" t="s">
        <v>5156</v>
      </c>
      <c r="E2764" s="5" t="s">
        <v>7014</v>
      </c>
      <c r="F2764" s="1" t="str">
        <f t="shared" si="73"/>
        <v>https://www.kegg.jp/dbget-bin/www_bget?ec:2.4.2.17</v>
      </c>
      <c r="G2764" s="3" t="s">
        <v>7285</v>
      </c>
      <c r="H2764" s="1" t="str">
        <f t="shared" si="75"/>
        <v>https://www.kegg.jp/entry/R01071</v>
      </c>
      <c r="I2764" t="s">
        <v>13742</v>
      </c>
      <c r="J2764" t="s">
        <v>8619</v>
      </c>
    </row>
    <row r="2765" spans="1:10" x14ac:dyDescent="0.25">
      <c r="A2765" t="s">
        <v>5158</v>
      </c>
      <c r="B2765">
        <v>194</v>
      </c>
      <c r="C2765" t="s">
        <v>5159</v>
      </c>
      <c r="E2765" s="5" t="s">
        <v>7015</v>
      </c>
      <c r="F2765" s="1" t="str">
        <f t="shared" si="73"/>
        <v>https://www.kegg.jp/dbget-bin/www_bget?ec:2.1.1.34</v>
      </c>
      <c r="G2765" s="3" t="s">
        <v>7286</v>
      </c>
      <c r="H2765" s="1" t="str">
        <f t="shared" si="75"/>
        <v>https://www.kegg.jp/entry/R02917</v>
      </c>
      <c r="I2765" t="s">
        <v>8274</v>
      </c>
      <c r="J2765" t="s">
        <v>8620</v>
      </c>
    </row>
    <row r="2766" spans="1:10" hidden="1" x14ac:dyDescent="0.25">
      <c r="A2766" t="s">
        <v>5160</v>
      </c>
      <c r="B2766">
        <v>79</v>
      </c>
      <c r="C2766" t="s">
        <v>5161</v>
      </c>
      <c r="F2766" s="1" t="str">
        <f t="shared" si="73"/>
        <v/>
      </c>
      <c r="G2766" s="3"/>
      <c r="H2766" s="1" t="str">
        <f t="shared" si="75"/>
        <v/>
      </c>
    </row>
    <row r="2767" spans="1:10" hidden="1" x14ac:dyDescent="0.25">
      <c r="A2767" t="s">
        <v>5162</v>
      </c>
      <c r="B2767">
        <v>57</v>
      </c>
      <c r="C2767" t="s">
        <v>5163</v>
      </c>
      <c r="F2767" s="1" t="str">
        <f t="shared" si="73"/>
        <v/>
      </c>
      <c r="G2767" s="3"/>
      <c r="H2767" s="1" t="str">
        <f t="shared" si="75"/>
        <v/>
      </c>
    </row>
    <row r="2768" spans="1:10" x14ac:dyDescent="0.25">
      <c r="A2768" t="s">
        <v>5165</v>
      </c>
      <c r="B2768">
        <v>318</v>
      </c>
      <c r="C2768" t="s">
        <v>5166</v>
      </c>
      <c r="E2768" s="5" t="s">
        <v>7016</v>
      </c>
      <c r="F2768" s="1" t="str">
        <f t="shared" ref="F2768:F2770" si="78">IF(E2768&lt;&gt;"", HYPERLINK("https://www.kegg.jp/dbget-bin/www_bget?ec:" &amp; E2768, "https://www.kegg.jp/dbget-bin/www_bget?ec:" &amp; E2768), "")</f>
        <v>https://www.kegg.jp/dbget-bin/www_bget?ec:2.6.1.42</v>
      </c>
      <c r="G2768" s="9" t="s">
        <v>7979</v>
      </c>
      <c r="H2768" s="1" t="str">
        <f t="shared" si="75"/>
        <v>https://www.kegg.jp/entry/R01090</v>
      </c>
      <c r="I2768" t="s">
        <v>13743</v>
      </c>
      <c r="J2768" t="s">
        <v>13744</v>
      </c>
    </row>
    <row r="2769" spans="1:10" x14ac:dyDescent="0.25">
      <c r="A2769" t="s">
        <v>5165</v>
      </c>
      <c r="B2769">
        <v>318</v>
      </c>
      <c r="C2769" t="s">
        <v>5166</v>
      </c>
      <c r="E2769" s="5" t="s">
        <v>7016</v>
      </c>
      <c r="F2769" s="1" t="str">
        <f t="shared" si="78"/>
        <v>https://www.kegg.jp/dbget-bin/www_bget?ec:2.6.1.42</v>
      </c>
      <c r="G2769" s="9" t="s">
        <v>7982</v>
      </c>
      <c r="H2769" s="1" t="str">
        <f t="shared" si="75"/>
        <v>https://www.kegg.jp/entry/R01214</v>
      </c>
      <c r="I2769" t="s">
        <v>13745</v>
      </c>
      <c r="J2769" t="s">
        <v>13746</v>
      </c>
    </row>
    <row r="2770" spans="1:10" x14ac:dyDescent="0.25">
      <c r="A2770" t="s">
        <v>5165</v>
      </c>
      <c r="B2770">
        <v>318</v>
      </c>
      <c r="C2770" t="s">
        <v>5166</v>
      </c>
      <c r="E2770" s="5" t="s">
        <v>7016</v>
      </c>
      <c r="F2770" s="1" t="str">
        <f t="shared" si="78"/>
        <v>https://www.kegg.jp/dbget-bin/www_bget?ec:2.6.1.42</v>
      </c>
      <c r="G2770" s="9" t="s">
        <v>7981</v>
      </c>
      <c r="H2770" s="1" t="str">
        <f t="shared" si="75"/>
        <v>https://www.kegg.jp/entry/R02199</v>
      </c>
      <c r="I2770" t="s">
        <v>13747</v>
      </c>
      <c r="J2770" t="s">
        <v>13748</v>
      </c>
    </row>
    <row r="2771" spans="1:10" x14ac:dyDescent="0.25">
      <c r="A2771" t="s">
        <v>5165</v>
      </c>
      <c r="B2771">
        <v>318</v>
      </c>
      <c r="C2771" t="s">
        <v>5166</v>
      </c>
      <c r="E2771" s="5" t="s">
        <v>7016</v>
      </c>
      <c r="F2771" s="1" t="str">
        <f t="shared" si="73"/>
        <v>https://www.kegg.jp/dbget-bin/www_bget?ec:2.6.1.42</v>
      </c>
      <c r="G2771" s="9" t="s">
        <v>7980</v>
      </c>
      <c r="H2771" s="1" t="str">
        <f t="shared" si="75"/>
        <v>https://www.kegg.jp/entry/R10991</v>
      </c>
      <c r="I2771" t="s">
        <v>13749</v>
      </c>
      <c r="J2771" t="s">
        <v>13750</v>
      </c>
    </row>
    <row r="2772" spans="1:10" hidden="1" x14ac:dyDescent="0.25">
      <c r="A2772" t="s">
        <v>5168</v>
      </c>
      <c r="B2772">
        <v>302</v>
      </c>
      <c r="C2772" t="s">
        <v>5169</v>
      </c>
      <c r="F2772" s="1" t="str">
        <f t="shared" si="73"/>
        <v/>
      </c>
      <c r="G2772" s="3"/>
      <c r="H2772" s="1" t="str">
        <f t="shared" si="75"/>
        <v/>
      </c>
    </row>
    <row r="2773" spans="1:10" x14ac:dyDescent="0.25">
      <c r="A2773" t="s">
        <v>5171</v>
      </c>
      <c r="B2773">
        <v>302</v>
      </c>
      <c r="C2773" t="s">
        <v>5172</v>
      </c>
      <c r="E2773" s="5" t="s">
        <v>7017</v>
      </c>
      <c r="F2773" s="1" t="str">
        <f t="shared" ref="F2773:F2774" si="79">IF(E2773&lt;&gt;"", HYPERLINK("https://www.kegg.jp/dbget-bin/www_bget?ec:" &amp; E2773, "https://www.kegg.jp/dbget-bin/www_bget?ec:" &amp; E2773), "")</f>
        <v>https://www.kegg.jp/dbget-bin/www_bget?ec:1.11.1.6</v>
      </c>
      <c r="G2773" s="9" t="s">
        <v>7983</v>
      </c>
      <c r="H2773" s="1" t="str">
        <f t="shared" si="75"/>
        <v>https://www.kegg.jp/entry/R00009</v>
      </c>
      <c r="I2773" t="s">
        <v>8368</v>
      </c>
      <c r="J2773" t="s">
        <v>13751</v>
      </c>
    </row>
    <row r="2774" spans="1:10" x14ac:dyDescent="0.25">
      <c r="A2774" t="s">
        <v>5171</v>
      </c>
      <c r="B2774">
        <v>302</v>
      </c>
      <c r="C2774" t="s">
        <v>5172</v>
      </c>
      <c r="E2774" s="5" t="s">
        <v>7017</v>
      </c>
      <c r="F2774" s="1" t="str">
        <f t="shared" si="79"/>
        <v>https://www.kegg.jp/dbget-bin/www_bget?ec:1.11.1.6</v>
      </c>
      <c r="G2774" s="9" t="s">
        <v>7985</v>
      </c>
      <c r="H2774" s="1" t="str">
        <f t="shared" si="75"/>
        <v>https://www.kegg.jp/entry/R00602</v>
      </c>
      <c r="I2774" t="s">
        <v>13752</v>
      </c>
      <c r="J2774" t="s">
        <v>13753</v>
      </c>
    </row>
    <row r="2775" spans="1:10" x14ac:dyDescent="0.25">
      <c r="A2775" t="s">
        <v>5171</v>
      </c>
      <c r="B2775">
        <v>302</v>
      </c>
      <c r="C2775" t="s">
        <v>5172</v>
      </c>
      <c r="E2775" s="5" t="s">
        <v>7017</v>
      </c>
      <c r="F2775" s="1" t="str">
        <f t="shared" si="73"/>
        <v>https://www.kegg.jp/dbget-bin/www_bget?ec:1.11.1.6</v>
      </c>
      <c r="G2775" s="9" t="s">
        <v>7984</v>
      </c>
      <c r="H2775" s="1" t="str">
        <f t="shared" si="75"/>
        <v>https://www.kegg.jp/entry/R02670</v>
      </c>
      <c r="I2775" t="s">
        <v>13754</v>
      </c>
      <c r="J2775" t="s">
        <v>13755</v>
      </c>
    </row>
    <row r="2776" spans="1:10" hidden="1" x14ac:dyDescent="0.25">
      <c r="A2776" t="s">
        <v>5174</v>
      </c>
      <c r="B2776">
        <v>333</v>
      </c>
      <c r="C2776" t="s">
        <v>5175</v>
      </c>
      <c r="F2776" s="1" t="str">
        <f t="shared" si="73"/>
        <v/>
      </c>
      <c r="G2776" s="3"/>
      <c r="H2776" s="1" t="str">
        <f t="shared" si="75"/>
        <v/>
      </c>
    </row>
    <row r="2777" spans="1:10" hidden="1" x14ac:dyDescent="0.25">
      <c r="A2777" t="s">
        <v>5177</v>
      </c>
      <c r="B2777">
        <v>301</v>
      </c>
      <c r="C2777" t="s">
        <v>5178</v>
      </c>
      <c r="F2777" s="1" t="str">
        <f t="shared" si="73"/>
        <v/>
      </c>
      <c r="G2777" s="3"/>
      <c r="H2777" s="1" t="str">
        <f t="shared" si="75"/>
        <v/>
      </c>
    </row>
    <row r="2778" spans="1:10" hidden="1" x14ac:dyDescent="0.25">
      <c r="A2778" t="s">
        <v>5180</v>
      </c>
      <c r="B2778">
        <v>293</v>
      </c>
      <c r="C2778" t="s">
        <v>5181</v>
      </c>
      <c r="F2778" s="1" t="str">
        <f t="shared" si="73"/>
        <v/>
      </c>
      <c r="G2778" s="3"/>
      <c r="H2778" s="1" t="str">
        <f t="shared" si="75"/>
        <v/>
      </c>
    </row>
    <row r="2779" spans="1:10" hidden="1" x14ac:dyDescent="0.25">
      <c r="A2779" t="s">
        <v>5183</v>
      </c>
      <c r="B2779">
        <v>269</v>
      </c>
      <c r="C2779" t="s">
        <v>5184</v>
      </c>
      <c r="F2779" s="1" t="str">
        <f t="shared" si="73"/>
        <v/>
      </c>
      <c r="G2779" s="3"/>
      <c r="H2779" s="1" t="str">
        <f t="shared" si="75"/>
        <v/>
      </c>
    </row>
    <row r="2780" spans="1:10" x14ac:dyDescent="0.25">
      <c r="A2780" t="s">
        <v>5186</v>
      </c>
      <c r="B2780">
        <v>377</v>
      </c>
      <c r="C2780" t="s">
        <v>5187</v>
      </c>
      <c r="E2780" s="5" t="s">
        <v>7018</v>
      </c>
      <c r="F2780" s="1" t="str">
        <f t="shared" si="73"/>
        <v>https://www.kegg.jp/dbget-bin/www_bget?ec:2.3.3.1</v>
      </c>
      <c r="G2780" s="3" t="s">
        <v>7287</v>
      </c>
      <c r="H2780" s="1" t="str">
        <f t="shared" si="75"/>
        <v>https://www.kegg.jp/entry/R00351</v>
      </c>
      <c r="I2780" t="s">
        <v>13756</v>
      </c>
      <c r="J2780" t="s">
        <v>13757</v>
      </c>
    </row>
    <row r="2781" spans="1:10" hidden="1" x14ac:dyDescent="0.25">
      <c r="A2781" t="s">
        <v>5188</v>
      </c>
      <c r="B2781">
        <v>381</v>
      </c>
      <c r="C2781" t="s">
        <v>5189</v>
      </c>
      <c r="F2781" s="1" t="str">
        <f t="shared" si="73"/>
        <v/>
      </c>
      <c r="G2781" s="3"/>
      <c r="H2781" s="1" t="str">
        <f t="shared" si="75"/>
        <v/>
      </c>
    </row>
    <row r="2782" spans="1:10" hidden="1" x14ac:dyDescent="0.25">
      <c r="A2782" t="s">
        <v>5191</v>
      </c>
      <c r="B2782">
        <v>311</v>
      </c>
      <c r="C2782" t="s">
        <v>5192</v>
      </c>
      <c r="F2782" s="1" t="str">
        <f t="shared" ref="F2782:F2890" si="80">IF(E2782&lt;&gt;"", HYPERLINK("https://www.kegg.jp/dbget-bin/www_bget?ec:" &amp; E2782, "https://www.kegg.jp/dbget-bin/www_bget?ec:" &amp; E2782), "")</f>
        <v/>
      </c>
      <c r="G2782" s="3"/>
      <c r="H2782" s="1" t="str">
        <f t="shared" si="75"/>
        <v/>
      </c>
    </row>
    <row r="2783" spans="1:10" hidden="1" x14ac:dyDescent="0.25">
      <c r="A2783" t="s">
        <v>5193</v>
      </c>
      <c r="B2783">
        <v>134</v>
      </c>
      <c r="C2783" t="s">
        <v>5194</v>
      </c>
      <c r="F2783" s="1" t="str">
        <f t="shared" si="80"/>
        <v/>
      </c>
      <c r="G2783" s="3"/>
      <c r="H2783" s="1" t="str">
        <f t="shared" si="75"/>
        <v/>
      </c>
    </row>
    <row r="2784" spans="1:10" hidden="1" x14ac:dyDescent="0.25">
      <c r="A2784" t="s">
        <v>5196</v>
      </c>
      <c r="B2784">
        <v>392</v>
      </c>
      <c r="C2784" t="s">
        <v>5197</v>
      </c>
      <c r="F2784" s="1" t="str">
        <f t="shared" si="80"/>
        <v/>
      </c>
      <c r="G2784" s="3"/>
      <c r="H2784" s="1" t="str">
        <f t="shared" si="75"/>
        <v/>
      </c>
    </row>
    <row r="2785" spans="1:10" hidden="1" x14ac:dyDescent="0.25">
      <c r="C2785" t="s">
        <v>5198</v>
      </c>
      <c r="F2785" s="1" t="str">
        <f t="shared" si="80"/>
        <v/>
      </c>
      <c r="G2785" s="3"/>
      <c r="H2785" s="1" t="str">
        <f t="shared" si="75"/>
        <v/>
      </c>
    </row>
    <row r="2786" spans="1:10" hidden="1" x14ac:dyDescent="0.25">
      <c r="C2786" t="s">
        <v>5199</v>
      </c>
      <c r="F2786" s="1" t="str">
        <f t="shared" si="80"/>
        <v/>
      </c>
      <c r="G2786" s="3"/>
      <c r="H2786" s="1" t="str">
        <f t="shared" si="75"/>
        <v/>
      </c>
    </row>
    <row r="2787" spans="1:10" hidden="1" x14ac:dyDescent="0.25">
      <c r="C2787" t="s">
        <v>5200</v>
      </c>
      <c r="F2787" s="1" t="str">
        <f t="shared" si="80"/>
        <v/>
      </c>
      <c r="G2787" s="3"/>
      <c r="H2787" s="1" t="str">
        <f t="shared" si="75"/>
        <v/>
      </c>
    </row>
    <row r="2788" spans="1:10" hidden="1" x14ac:dyDescent="0.25">
      <c r="C2788" t="s">
        <v>5201</v>
      </c>
      <c r="F2788" s="1" t="str">
        <f t="shared" si="80"/>
        <v/>
      </c>
      <c r="G2788" s="3"/>
      <c r="H2788" s="1" t="str">
        <f t="shared" si="75"/>
        <v/>
      </c>
    </row>
    <row r="2789" spans="1:10" hidden="1" x14ac:dyDescent="0.25">
      <c r="A2789" t="s">
        <v>5202</v>
      </c>
      <c r="B2789">
        <v>90</v>
      </c>
      <c r="C2789" t="s">
        <v>5203</v>
      </c>
      <c r="F2789" s="1" t="str">
        <f t="shared" si="80"/>
        <v/>
      </c>
      <c r="G2789" s="3"/>
      <c r="H2789" s="1" t="str">
        <f t="shared" si="75"/>
        <v/>
      </c>
    </row>
    <row r="2790" spans="1:10" hidden="1" x14ac:dyDescent="0.25">
      <c r="A2790" t="s">
        <v>5204</v>
      </c>
      <c r="B2790">
        <v>521</v>
      </c>
      <c r="C2790" t="s">
        <v>5205</v>
      </c>
      <c r="F2790" s="1" t="str">
        <f t="shared" si="80"/>
        <v/>
      </c>
      <c r="G2790" s="3"/>
      <c r="H2790" s="1" t="str">
        <f t="shared" si="75"/>
        <v/>
      </c>
    </row>
    <row r="2791" spans="1:10" hidden="1" x14ac:dyDescent="0.25">
      <c r="A2791" t="s">
        <v>5207</v>
      </c>
      <c r="B2791">
        <v>113</v>
      </c>
      <c r="C2791" t="s">
        <v>5208</v>
      </c>
      <c r="F2791" s="1" t="str">
        <f t="shared" si="80"/>
        <v/>
      </c>
      <c r="G2791" s="3"/>
      <c r="H2791" s="1" t="str">
        <f t="shared" si="75"/>
        <v/>
      </c>
    </row>
    <row r="2792" spans="1:10" x14ac:dyDescent="0.25">
      <c r="A2792" t="s">
        <v>5210</v>
      </c>
      <c r="B2792">
        <v>369</v>
      </c>
      <c r="C2792" t="s">
        <v>5211</v>
      </c>
      <c r="E2792" s="5" t="s">
        <v>7019</v>
      </c>
      <c r="F2792" s="1" t="str">
        <f t="shared" ref="F2792:F2794" si="81">IF(E2792&lt;&gt;"", HYPERLINK("https://www.kegg.jp/dbget-bin/www_bget?ec:" &amp; E2792, "https://www.kegg.jp/dbget-bin/www_bget?ec:" &amp; E2792), "")</f>
        <v>https://www.kegg.jp/dbget-bin/www_bget?ec:1.4.1.1</v>
      </c>
      <c r="G2792" s="9" t="s">
        <v>7986</v>
      </c>
      <c r="H2792" s="1" t="str">
        <f t="shared" si="75"/>
        <v>https://www.kegg.jp/entry/R00396</v>
      </c>
      <c r="I2792" t="s">
        <v>13758</v>
      </c>
      <c r="J2792" t="s">
        <v>13759</v>
      </c>
    </row>
    <row r="2793" spans="1:10" x14ac:dyDescent="0.25">
      <c r="A2793" t="s">
        <v>5210</v>
      </c>
      <c r="B2793">
        <v>369</v>
      </c>
      <c r="C2793" t="s">
        <v>5211</v>
      </c>
      <c r="E2793" s="5" t="s">
        <v>7019</v>
      </c>
      <c r="F2793" s="1" t="str">
        <f t="shared" si="81"/>
        <v>https://www.kegg.jp/dbget-bin/www_bget?ec:1.4.1.1</v>
      </c>
      <c r="G2793" s="9" t="s">
        <v>7494</v>
      </c>
      <c r="H2793" s="1" t="str">
        <f t="shared" si="75"/>
        <v>https://www.kegg.jp/entry/R00145</v>
      </c>
      <c r="I2793" t="s">
        <v>12942</v>
      </c>
      <c r="J2793" t="s">
        <v>12943</v>
      </c>
    </row>
    <row r="2794" spans="1:10" x14ac:dyDescent="0.25">
      <c r="A2794" t="s">
        <v>5210</v>
      </c>
      <c r="B2794">
        <v>369</v>
      </c>
      <c r="C2794" t="s">
        <v>5211</v>
      </c>
      <c r="E2794" s="5" t="s">
        <v>7019</v>
      </c>
      <c r="F2794" s="1" t="str">
        <f t="shared" si="81"/>
        <v>https://www.kegg.jp/dbget-bin/www_bget?ec:1.4.1.1</v>
      </c>
      <c r="G2794" s="9" t="s">
        <v>7495</v>
      </c>
      <c r="H2794" s="1" t="str">
        <f t="shared" si="75"/>
        <v>https://www.kegg.jp/entry/R00146</v>
      </c>
      <c r="I2794" t="s">
        <v>12944</v>
      </c>
      <c r="J2794" t="s">
        <v>12945</v>
      </c>
    </row>
    <row r="2795" spans="1:10" x14ac:dyDescent="0.25">
      <c r="A2795" t="s">
        <v>5210</v>
      </c>
      <c r="B2795">
        <v>369</v>
      </c>
      <c r="C2795" t="s">
        <v>5211</v>
      </c>
      <c r="E2795" s="5" t="s">
        <v>7019</v>
      </c>
      <c r="F2795" s="1" t="str">
        <f t="shared" si="80"/>
        <v>https://www.kegg.jp/dbget-bin/www_bget?ec:1.4.1.1</v>
      </c>
      <c r="G2795" s="9" t="s">
        <v>7987</v>
      </c>
      <c r="H2795" s="1" t="str">
        <f t="shared" ref="H2795:H2858" si="82">IF(G2795&lt;&gt;"", HYPERLINK("https://www.kegg.jp/entry/" &amp; G2795, "https://www.kegg.jp/entry/" &amp; G2795), "")</f>
        <v>https://www.kegg.jp/entry/R00365</v>
      </c>
      <c r="I2795" t="s">
        <v>13760</v>
      </c>
      <c r="J2795" t="s">
        <v>13761</v>
      </c>
    </row>
    <row r="2796" spans="1:10" x14ac:dyDescent="0.25">
      <c r="A2796" t="s">
        <v>5213</v>
      </c>
      <c r="B2796">
        <v>312</v>
      </c>
      <c r="C2796" t="s">
        <v>5214</v>
      </c>
      <c r="E2796" s="5" t="s">
        <v>6979</v>
      </c>
      <c r="F2796" s="1" t="str">
        <f t="shared" si="80"/>
        <v>https://www.kegg.jp/dbget-bin/www_bget?ec:4.2.1.70</v>
      </c>
      <c r="G2796" s="3" t="s">
        <v>7269</v>
      </c>
      <c r="H2796" s="1" t="str">
        <f t="shared" si="82"/>
        <v>https://www.kegg.jp/entry/R01055</v>
      </c>
      <c r="I2796" t="s">
        <v>8350</v>
      </c>
      <c r="J2796" t="s">
        <v>13651</v>
      </c>
    </row>
    <row r="2797" spans="1:10" x14ac:dyDescent="0.25">
      <c r="A2797" t="s">
        <v>5216</v>
      </c>
      <c r="B2797">
        <v>262</v>
      </c>
      <c r="C2797" t="s">
        <v>5217</v>
      </c>
      <c r="E2797" s="5" t="s">
        <v>6647</v>
      </c>
      <c r="F2797" s="1" t="str">
        <f t="shared" si="80"/>
        <v>https://www.kegg.jp/dbget-bin/www_bget?ec:4.2.1.17</v>
      </c>
      <c r="G2797" s="3" t="s">
        <v>7396</v>
      </c>
      <c r="H2797" s="1" t="str">
        <f t="shared" si="82"/>
        <v>https://www.kegg.jp/entry/R02685</v>
      </c>
      <c r="I2797" t="s">
        <v>8116</v>
      </c>
      <c r="J2797" t="s">
        <v>12839</v>
      </c>
    </row>
    <row r="2798" spans="1:10" x14ac:dyDescent="0.25">
      <c r="A2798" t="s">
        <v>5216</v>
      </c>
      <c r="B2798">
        <v>262</v>
      </c>
      <c r="C2798" t="s">
        <v>5217</v>
      </c>
      <c r="E2798" s="5" t="s">
        <v>6647</v>
      </c>
      <c r="F2798" s="1" t="str">
        <f t="shared" si="80"/>
        <v>https://www.kegg.jp/dbget-bin/www_bget?ec:4.2.1.17</v>
      </c>
      <c r="G2798" s="3" t="s">
        <v>7417</v>
      </c>
      <c r="H2798" s="1" t="str">
        <f t="shared" si="82"/>
        <v>https://www.kegg.jp/entry/R03026</v>
      </c>
      <c r="I2798" t="s">
        <v>8117</v>
      </c>
      <c r="J2798" t="s">
        <v>12840</v>
      </c>
    </row>
    <row r="2799" spans="1:10" x14ac:dyDescent="0.25">
      <c r="A2799" t="s">
        <v>5216</v>
      </c>
      <c r="B2799">
        <v>262</v>
      </c>
      <c r="C2799" t="s">
        <v>5217</v>
      </c>
      <c r="E2799" s="5" t="s">
        <v>6647</v>
      </c>
      <c r="F2799" s="1" t="str">
        <f t="shared" si="80"/>
        <v>https://www.kegg.jp/dbget-bin/www_bget?ec:4.2.1.17</v>
      </c>
      <c r="G2799" s="3" t="s">
        <v>7416</v>
      </c>
      <c r="H2799" s="1" t="str">
        <f t="shared" si="82"/>
        <v>https://www.kegg.jp/entry/R03045</v>
      </c>
      <c r="I2799" t="s">
        <v>8118</v>
      </c>
      <c r="J2799" t="s">
        <v>12841</v>
      </c>
    </row>
    <row r="2800" spans="1:10" x14ac:dyDescent="0.25">
      <c r="A2800" t="s">
        <v>5216</v>
      </c>
      <c r="B2800">
        <v>262</v>
      </c>
      <c r="C2800" t="s">
        <v>5217</v>
      </c>
      <c r="E2800" s="5" t="s">
        <v>6647</v>
      </c>
      <c r="F2800" s="1" t="str">
        <f t="shared" si="80"/>
        <v>https://www.kegg.jp/dbget-bin/www_bget?ec:4.2.1.17</v>
      </c>
      <c r="G2800" s="3" t="s">
        <v>7415</v>
      </c>
      <c r="H2800" s="1" t="str">
        <f t="shared" si="82"/>
        <v>https://www.kegg.jp/entry/R04170</v>
      </c>
      <c r="I2800" t="s">
        <v>8119</v>
      </c>
      <c r="J2800" t="s">
        <v>12842</v>
      </c>
    </row>
    <row r="2801" spans="1:10" x14ac:dyDescent="0.25">
      <c r="A2801" t="s">
        <v>5216</v>
      </c>
      <c r="B2801">
        <v>262</v>
      </c>
      <c r="C2801" t="s">
        <v>5217</v>
      </c>
      <c r="E2801" s="5" t="s">
        <v>6647</v>
      </c>
      <c r="F2801" s="1" t="str">
        <f t="shared" si="80"/>
        <v>https://www.kegg.jp/dbget-bin/www_bget?ec:4.2.1.17</v>
      </c>
      <c r="G2801" s="3" t="s">
        <v>7414</v>
      </c>
      <c r="H2801" s="1" t="str">
        <f t="shared" si="82"/>
        <v>https://www.kegg.jp/entry/R04204</v>
      </c>
      <c r="I2801" t="s">
        <v>8120</v>
      </c>
      <c r="J2801" t="s">
        <v>12843</v>
      </c>
    </row>
    <row r="2802" spans="1:10" x14ac:dyDescent="0.25">
      <c r="A2802" t="s">
        <v>5216</v>
      </c>
      <c r="B2802">
        <v>262</v>
      </c>
      <c r="C2802" t="s">
        <v>5217</v>
      </c>
      <c r="E2802" s="5" t="s">
        <v>6647</v>
      </c>
      <c r="F2802" s="1" t="str">
        <f t="shared" si="80"/>
        <v>https://www.kegg.jp/dbget-bin/www_bget?ec:4.2.1.17</v>
      </c>
      <c r="G2802" s="3" t="s">
        <v>7413</v>
      </c>
      <c r="H2802" s="1" t="str">
        <f t="shared" si="82"/>
        <v>https://www.kegg.jp/entry/R04224</v>
      </c>
      <c r="I2802" t="s">
        <v>12844</v>
      </c>
      <c r="J2802" t="s">
        <v>8410</v>
      </c>
    </row>
    <row r="2803" spans="1:10" x14ac:dyDescent="0.25">
      <c r="A2803" t="s">
        <v>5216</v>
      </c>
      <c r="B2803">
        <v>262</v>
      </c>
      <c r="C2803" t="s">
        <v>5217</v>
      </c>
      <c r="E2803" s="5" t="s">
        <v>6647</v>
      </c>
      <c r="F2803" s="1" t="str">
        <f t="shared" si="80"/>
        <v>https://www.kegg.jp/dbget-bin/www_bget?ec:4.2.1.17</v>
      </c>
      <c r="G2803" s="3" t="s">
        <v>7412</v>
      </c>
      <c r="H2803" s="1" t="str">
        <f t="shared" si="82"/>
        <v>https://www.kegg.jp/entry/R04738</v>
      </c>
      <c r="I2803" t="s">
        <v>8121</v>
      </c>
      <c r="J2803" t="s">
        <v>12845</v>
      </c>
    </row>
    <row r="2804" spans="1:10" x14ac:dyDescent="0.25">
      <c r="A2804" t="s">
        <v>5216</v>
      </c>
      <c r="B2804">
        <v>262</v>
      </c>
      <c r="C2804" t="s">
        <v>5217</v>
      </c>
      <c r="E2804" s="5" t="s">
        <v>6647</v>
      </c>
      <c r="F2804" s="1" t="str">
        <f t="shared" si="80"/>
        <v>https://www.kegg.jp/dbget-bin/www_bget?ec:4.2.1.17</v>
      </c>
      <c r="G2804" s="3" t="s">
        <v>7411</v>
      </c>
      <c r="H2804" s="1" t="str">
        <f t="shared" si="82"/>
        <v>https://www.kegg.jp/entry/R04740</v>
      </c>
      <c r="I2804" t="s">
        <v>8122</v>
      </c>
      <c r="J2804" t="s">
        <v>12846</v>
      </c>
    </row>
    <row r="2805" spans="1:10" x14ac:dyDescent="0.25">
      <c r="A2805" t="s">
        <v>5216</v>
      </c>
      <c r="B2805">
        <v>262</v>
      </c>
      <c r="C2805" t="s">
        <v>5217</v>
      </c>
      <c r="E2805" s="5" t="s">
        <v>6647</v>
      </c>
      <c r="F2805" s="1" t="str">
        <f t="shared" si="80"/>
        <v>https://www.kegg.jp/dbget-bin/www_bget?ec:4.2.1.17</v>
      </c>
      <c r="G2805" s="3" t="s">
        <v>7410</v>
      </c>
      <c r="H2805" s="1" t="str">
        <f t="shared" si="82"/>
        <v>https://www.kegg.jp/entry/R04744</v>
      </c>
      <c r="I2805" t="s">
        <v>8123</v>
      </c>
      <c r="J2805" t="s">
        <v>12847</v>
      </c>
    </row>
    <row r="2806" spans="1:10" x14ac:dyDescent="0.25">
      <c r="A2806" t="s">
        <v>5216</v>
      </c>
      <c r="B2806">
        <v>262</v>
      </c>
      <c r="C2806" t="s">
        <v>5217</v>
      </c>
      <c r="E2806" s="5" t="s">
        <v>6647</v>
      </c>
      <c r="F2806" s="1" t="str">
        <f t="shared" si="80"/>
        <v>https://www.kegg.jp/dbget-bin/www_bget?ec:4.2.1.17</v>
      </c>
      <c r="G2806" s="3" t="s">
        <v>7409</v>
      </c>
      <c r="H2806" s="1" t="str">
        <f t="shared" si="82"/>
        <v>https://www.kegg.jp/entry/R04746</v>
      </c>
      <c r="I2806" t="s">
        <v>8124</v>
      </c>
      <c r="J2806" t="s">
        <v>12848</v>
      </c>
    </row>
    <row r="2807" spans="1:10" x14ac:dyDescent="0.25">
      <c r="A2807" t="s">
        <v>5216</v>
      </c>
      <c r="B2807">
        <v>262</v>
      </c>
      <c r="C2807" t="s">
        <v>5217</v>
      </c>
      <c r="E2807" s="5" t="s">
        <v>6647</v>
      </c>
      <c r="F2807" s="1" t="str">
        <f t="shared" si="80"/>
        <v>https://www.kegg.jp/dbget-bin/www_bget?ec:4.2.1.17</v>
      </c>
      <c r="G2807" s="3" t="s">
        <v>7408</v>
      </c>
      <c r="H2807" s="1" t="str">
        <f t="shared" si="82"/>
        <v>https://www.kegg.jp/entry/R04749</v>
      </c>
      <c r="I2807" t="s">
        <v>8125</v>
      </c>
      <c r="J2807" t="s">
        <v>12849</v>
      </c>
    </row>
    <row r="2808" spans="1:10" x14ac:dyDescent="0.25">
      <c r="A2808" t="s">
        <v>5216</v>
      </c>
      <c r="B2808">
        <v>262</v>
      </c>
      <c r="C2808" t="s">
        <v>5217</v>
      </c>
      <c r="E2808" s="5" t="s">
        <v>6647</v>
      </c>
      <c r="F2808" s="1" t="str">
        <f t="shared" si="80"/>
        <v>https://www.kegg.jp/dbget-bin/www_bget?ec:4.2.1.17</v>
      </c>
      <c r="G2808" s="3" t="s">
        <v>7407</v>
      </c>
      <c r="H2808" s="1" t="str">
        <f t="shared" si="82"/>
        <v>https://www.kegg.jp/entry/R07889</v>
      </c>
      <c r="I2808" t="s">
        <v>8126</v>
      </c>
      <c r="J2808" t="s">
        <v>12850</v>
      </c>
    </row>
    <row r="2809" spans="1:10" x14ac:dyDescent="0.25">
      <c r="A2809" t="s">
        <v>5216</v>
      </c>
      <c r="B2809">
        <v>262</v>
      </c>
      <c r="C2809" t="s">
        <v>5217</v>
      </c>
      <c r="E2809" s="5" t="s">
        <v>6647</v>
      </c>
      <c r="F2809" s="1" t="str">
        <f t="shared" si="80"/>
        <v>https://www.kegg.jp/dbget-bin/www_bget?ec:4.2.1.17</v>
      </c>
      <c r="G2809" s="3" t="s">
        <v>7406</v>
      </c>
      <c r="H2809" s="1" t="str">
        <f t="shared" si="82"/>
        <v>https://www.kegg.jp/entry/R07893</v>
      </c>
      <c r="I2809" t="s">
        <v>8127</v>
      </c>
      <c r="J2809" t="s">
        <v>12851</v>
      </c>
    </row>
    <row r="2810" spans="1:10" x14ac:dyDescent="0.25">
      <c r="A2810" t="s">
        <v>5216</v>
      </c>
      <c r="B2810">
        <v>262</v>
      </c>
      <c r="C2810" t="s">
        <v>5217</v>
      </c>
      <c r="E2810" s="5" t="s">
        <v>6647</v>
      </c>
      <c r="F2810" s="1" t="str">
        <f t="shared" si="80"/>
        <v>https://www.kegg.jp/dbget-bin/www_bget?ec:4.2.1.17</v>
      </c>
      <c r="G2810" s="3" t="s">
        <v>7405</v>
      </c>
      <c r="H2810" s="1" t="str">
        <f t="shared" si="82"/>
        <v>https://www.kegg.jp/entry/R07897</v>
      </c>
      <c r="I2810" t="s">
        <v>8128</v>
      </c>
      <c r="J2810" t="s">
        <v>12852</v>
      </c>
    </row>
    <row r="2811" spans="1:10" x14ac:dyDescent="0.25">
      <c r="A2811" t="s">
        <v>5216</v>
      </c>
      <c r="B2811">
        <v>262</v>
      </c>
      <c r="C2811" t="s">
        <v>5217</v>
      </c>
      <c r="E2811" s="5" t="s">
        <v>6647</v>
      </c>
      <c r="F2811" s="1" t="str">
        <f t="shared" si="80"/>
        <v>https://www.kegg.jp/dbget-bin/www_bget?ec:4.2.1.17</v>
      </c>
      <c r="G2811" s="3" t="s">
        <v>7404</v>
      </c>
      <c r="H2811" s="1" t="str">
        <f t="shared" si="82"/>
        <v>https://www.kegg.jp/entry/R07314</v>
      </c>
      <c r="I2811" t="s">
        <v>8116</v>
      </c>
      <c r="J2811" t="s">
        <v>12853</v>
      </c>
    </row>
    <row r="2812" spans="1:10" x14ac:dyDescent="0.25">
      <c r="A2812" t="s">
        <v>5216</v>
      </c>
      <c r="B2812">
        <v>262</v>
      </c>
      <c r="C2812" t="s">
        <v>5217</v>
      </c>
      <c r="E2812" s="5" t="s">
        <v>6647</v>
      </c>
      <c r="F2812" s="1" t="str">
        <f t="shared" si="80"/>
        <v>https://www.kegg.jp/dbget-bin/www_bget?ec:4.2.1.17</v>
      </c>
      <c r="G2812" s="3" t="s">
        <v>7403</v>
      </c>
      <c r="H2812" s="1" t="str">
        <f t="shared" si="82"/>
        <v>https://www.kegg.jp/entry/R03224</v>
      </c>
      <c r="I2812" t="s">
        <v>8129</v>
      </c>
      <c r="J2812" t="s">
        <v>12854</v>
      </c>
    </row>
    <row r="2813" spans="1:10" x14ac:dyDescent="0.25">
      <c r="A2813" t="s">
        <v>5216</v>
      </c>
      <c r="B2813">
        <v>262</v>
      </c>
      <c r="C2813" t="s">
        <v>5217</v>
      </c>
      <c r="E2813" s="5" t="s">
        <v>6647</v>
      </c>
      <c r="F2813" s="1" t="str">
        <f t="shared" si="80"/>
        <v>https://www.kegg.jp/dbget-bin/www_bget?ec:4.2.1.17</v>
      </c>
      <c r="G2813" s="3" t="s">
        <v>7402</v>
      </c>
      <c r="H2813" s="1" t="str">
        <f t="shared" si="82"/>
        <v>https://www.kegg.jp/entry/R04137</v>
      </c>
      <c r="I2813" t="s">
        <v>8130</v>
      </c>
      <c r="J2813" t="s">
        <v>12855</v>
      </c>
    </row>
    <row r="2814" spans="1:10" x14ac:dyDescent="0.25">
      <c r="A2814" t="s">
        <v>5216</v>
      </c>
      <c r="B2814">
        <v>262</v>
      </c>
      <c r="C2814" t="s">
        <v>5217</v>
      </c>
      <c r="E2814" s="5" t="s">
        <v>6647</v>
      </c>
      <c r="F2814" s="1" t="str">
        <f t="shared" si="80"/>
        <v>https://www.kegg.jp/dbget-bin/www_bget?ec:4.2.1.17</v>
      </c>
      <c r="G2814" s="3" t="s">
        <v>7401</v>
      </c>
      <c r="H2814" s="1" t="str">
        <f t="shared" si="82"/>
        <v>https://www.kegg.jp/entry/R05595</v>
      </c>
      <c r="I2814" t="s">
        <v>12840</v>
      </c>
      <c r="J2814" t="s">
        <v>8411</v>
      </c>
    </row>
    <row r="2815" spans="1:10" x14ac:dyDescent="0.25">
      <c r="A2815" t="s">
        <v>5216</v>
      </c>
      <c r="B2815">
        <v>262</v>
      </c>
      <c r="C2815" t="s">
        <v>5217</v>
      </c>
      <c r="E2815" s="5" t="s">
        <v>6647</v>
      </c>
      <c r="F2815" s="1" t="str">
        <f t="shared" si="80"/>
        <v>https://www.kegg.jp/dbget-bin/www_bget?ec:4.2.1.17</v>
      </c>
      <c r="G2815" s="3" t="s">
        <v>7400</v>
      </c>
      <c r="H2815" s="1" t="str">
        <f t="shared" si="82"/>
        <v>https://www.kegg.jp/entry/R06411</v>
      </c>
      <c r="I2815" t="s">
        <v>12856</v>
      </c>
      <c r="J2815" t="s">
        <v>8412</v>
      </c>
    </row>
    <row r="2816" spans="1:10" x14ac:dyDescent="0.25">
      <c r="A2816" t="s">
        <v>5216</v>
      </c>
      <c r="B2816">
        <v>262</v>
      </c>
      <c r="C2816" t="s">
        <v>5217</v>
      </c>
      <c r="E2816" s="5" t="s">
        <v>6647</v>
      </c>
      <c r="F2816" s="1" t="str">
        <f t="shared" si="80"/>
        <v>https://www.kegg.jp/dbget-bin/www_bget?ec:4.2.1.17</v>
      </c>
      <c r="G2816" s="3" t="s">
        <v>7399</v>
      </c>
      <c r="H2816" s="1" t="str">
        <f t="shared" si="82"/>
        <v>https://www.kegg.jp/entry/R06412</v>
      </c>
      <c r="I2816" t="s">
        <v>12857</v>
      </c>
      <c r="J2816" t="s">
        <v>8412</v>
      </c>
    </row>
    <row r="2817" spans="1:10" x14ac:dyDescent="0.25">
      <c r="A2817" t="s">
        <v>5216</v>
      </c>
      <c r="B2817">
        <v>262</v>
      </c>
      <c r="C2817" t="s">
        <v>5217</v>
      </c>
      <c r="E2817" s="5" t="s">
        <v>6647</v>
      </c>
      <c r="F2817" s="1" t="str">
        <f t="shared" si="80"/>
        <v>https://www.kegg.jp/dbget-bin/www_bget?ec:4.2.1.17</v>
      </c>
      <c r="G2817" s="3" t="s">
        <v>7398</v>
      </c>
      <c r="H2817" s="1" t="str">
        <f t="shared" si="82"/>
        <v>https://www.kegg.jp/entry/R06942</v>
      </c>
      <c r="I2817" t="s">
        <v>12858</v>
      </c>
      <c r="J2817" t="s">
        <v>8413</v>
      </c>
    </row>
    <row r="2818" spans="1:10" x14ac:dyDescent="0.25">
      <c r="A2818" t="s">
        <v>5216</v>
      </c>
      <c r="B2818">
        <v>262</v>
      </c>
      <c r="C2818" t="s">
        <v>5217</v>
      </c>
      <c r="E2818" s="5" t="s">
        <v>6647</v>
      </c>
      <c r="F2818" s="1" t="str">
        <f t="shared" si="80"/>
        <v>https://www.kegg.jp/dbget-bin/www_bget?ec:4.2.1.17</v>
      </c>
      <c r="G2818" s="3" t="s">
        <v>7397</v>
      </c>
      <c r="H2818" s="1" t="str">
        <f t="shared" si="82"/>
        <v>https://www.kegg.jp/entry/R08093</v>
      </c>
      <c r="I2818" t="s">
        <v>12859</v>
      </c>
      <c r="J2818" t="s">
        <v>8414</v>
      </c>
    </row>
    <row r="2819" spans="1:10" x14ac:dyDescent="0.25">
      <c r="A2819" t="s">
        <v>5219</v>
      </c>
      <c r="B2819">
        <v>235</v>
      </c>
      <c r="C2819" t="s">
        <v>5220</v>
      </c>
      <c r="E2819" s="5" t="s">
        <v>6979</v>
      </c>
      <c r="F2819" s="1" t="str">
        <f t="shared" si="80"/>
        <v>https://www.kegg.jp/dbget-bin/www_bget?ec:4.2.1.70</v>
      </c>
      <c r="G2819" s="3" t="s">
        <v>7269</v>
      </c>
      <c r="H2819" s="1" t="str">
        <f t="shared" si="82"/>
        <v>https://www.kegg.jp/entry/R01055</v>
      </c>
      <c r="I2819" t="s">
        <v>8350</v>
      </c>
      <c r="J2819" t="s">
        <v>13651</v>
      </c>
    </row>
    <row r="2820" spans="1:10" x14ac:dyDescent="0.25">
      <c r="A2820" t="s">
        <v>5222</v>
      </c>
      <c r="B2820">
        <v>181</v>
      </c>
      <c r="C2820" t="s">
        <v>5223</v>
      </c>
      <c r="E2820" s="5" t="s">
        <v>7020</v>
      </c>
      <c r="F2820" s="1" t="str">
        <f t="shared" ref="F2820:F2824" si="83">IF(E2820&lt;&gt;"", HYPERLINK("https://www.kegg.jp/dbget-bin/www_bget?ec:" &amp; E2820, "https://www.kegg.jp/dbget-bin/www_bget?ec:" &amp; E2820), "")</f>
        <v>https://www.kegg.jp/dbget-bin/www_bget?ec:2.4.2.8</v>
      </c>
      <c r="G2820" s="9" t="s">
        <v>7988</v>
      </c>
      <c r="H2820" s="1" t="str">
        <f t="shared" si="82"/>
        <v>https://www.kegg.jp/entry/R01132</v>
      </c>
      <c r="I2820" t="s">
        <v>13762</v>
      </c>
      <c r="J2820" t="s">
        <v>13763</v>
      </c>
    </row>
    <row r="2821" spans="1:10" x14ac:dyDescent="0.25">
      <c r="A2821" t="s">
        <v>5222</v>
      </c>
      <c r="B2821">
        <v>181</v>
      </c>
      <c r="C2821" t="s">
        <v>5223</v>
      </c>
      <c r="E2821" s="5" t="s">
        <v>7020</v>
      </c>
      <c r="F2821" s="1" t="str">
        <f t="shared" si="83"/>
        <v>https://www.kegg.jp/dbget-bin/www_bget?ec:2.4.2.8</v>
      </c>
      <c r="G2821" s="9" t="s">
        <v>7993</v>
      </c>
      <c r="H2821" s="1" t="str">
        <f t="shared" si="82"/>
        <v>https://www.kegg.jp/entry/R01229</v>
      </c>
      <c r="I2821" t="s">
        <v>13764</v>
      </c>
      <c r="J2821" t="s">
        <v>13765</v>
      </c>
    </row>
    <row r="2822" spans="1:10" x14ac:dyDescent="0.25">
      <c r="A2822" t="s">
        <v>5222</v>
      </c>
      <c r="B2822">
        <v>181</v>
      </c>
      <c r="C2822" t="s">
        <v>5223</v>
      </c>
      <c r="E2822" s="5" t="s">
        <v>7020</v>
      </c>
      <c r="F2822" s="1" t="str">
        <f t="shared" si="83"/>
        <v>https://www.kegg.jp/dbget-bin/www_bget?ec:2.4.2.8</v>
      </c>
      <c r="G2822" s="9" t="s">
        <v>7992</v>
      </c>
      <c r="H2822" s="1" t="str">
        <f t="shared" si="82"/>
        <v>https://www.kegg.jp/entry/R02142</v>
      </c>
      <c r="I2822" t="s">
        <v>13766</v>
      </c>
      <c r="J2822" t="s">
        <v>13767</v>
      </c>
    </row>
    <row r="2823" spans="1:10" x14ac:dyDescent="0.25">
      <c r="A2823" t="s">
        <v>5222</v>
      </c>
      <c r="B2823">
        <v>181</v>
      </c>
      <c r="C2823" t="s">
        <v>5223</v>
      </c>
      <c r="E2823" s="5" t="s">
        <v>7020</v>
      </c>
      <c r="F2823" s="1" t="str">
        <f t="shared" si="83"/>
        <v>https://www.kegg.jp/dbget-bin/www_bget?ec:2.4.2.8</v>
      </c>
      <c r="G2823" s="9" t="s">
        <v>7991</v>
      </c>
      <c r="H2823" s="1" t="str">
        <f t="shared" si="82"/>
        <v>https://www.kegg.jp/entry/R08237</v>
      </c>
      <c r="I2823" t="s">
        <v>13768</v>
      </c>
      <c r="J2823" t="s">
        <v>13769</v>
      </c>
    </row>
    <row r="2824" spans="1:10" x14ac:dyDescent="0.25">
      <c r="A2824" t="s">
        <v>5222</v>
      </c>
      <c r="B2824">
        <v>181</v>
      </c>
      <c r="C2824" t="s">
        <v>5223</v>
      </c>
      <c r="E2824" s="5" t="s">
        <v>7020</v>
      </c>
      <c r="F2824" s="1" t="str">
        <f t="shared" si="83"/>
        <v>https://www.kegg.jp/dbget-bin/www_bget?ec:2.4.2.8</v>
      </c>
      <c r="G2824" s="9" t="s">
        <v>7990</v>
      </c>
      <c r="H2824" s="1" t="str">
        <f t="shared" si="82"/>
        <v>https://www.kegg.jp/entry/R08238</v>
      </c>
      <c r="I2824" t="s">
        <v>13770</v>
      </c>
      <c r="J2824" t="s">
        <v>13771</v>
      </c>
    </row>
    <row r="2825" spans="1:10" x14ac:dyDescent="0.25">
      <c r="A2825" t="s">
        <v>5222</v>
      </c>
      <c r="B2825">
        <v>181</v>
      </c>
      <c r="C2825" t="s">
        <v>5223</v>
      </c>
      <c r="E2825" s="5" t="s">
        <v>7020</v>
      </c>
      <c r="F2825" s="1" t="str">
        <f t="shared" si="80"/>
        <v>https://www.kegg.jp/dbget-bin/www_bget?ec:2.4.2.8</v>
      </c>
      <c r="G2825" s="9" t="s">
        <v>7989</v>
      </c>
      <c r="H2825" s="1" t="str">
        <f t="shared" si="82"/>
        <v>https://www.kegg.jp/entry/R08245</v>
      </c>
      <c r="I2825" t="s">
        <v>13772</v>
      </c>
      <c r="J2825" t="s">
        <v>13773</v>
      </c>
    </row>
    <row r="2826" spans="1:10" hidden="1" x14ac:dyDescent="0.25">
      <c r="A2826" t="s">
        <v>5225</v>
      </c>
      <c r="B2826">
        <v>222</v>
      </c>
      <c r="C2826" t="s">
        <v>5226</v>
      </c>
      <c r="F2826" s="1" t="str">
        <f t="shared" si="80"/>
        <v/>
      </c>
      <c r="G2826" s="3"/>
      <c r="H2826" s="1" t="str">
        <f t="shared" si="82"/>
        <v/>
      </c>
    </row>
    <row r="2827" spans="1:10" x14ac:dyDescent="0.25">
      <c r="A2827" t="s">
        <v>5228</v>
      </c>
      <c r="B2827">
        <v>294</v>
      </c>
      <c r="C2827" t="s">
        <v>5229</v>
      </c>
      <c r="E2827" s="5" t="s">
        <v>7021</v>
      </c>
      <c r="F2827" s="1" t="str">
        <f t="shared" ref="F2827:F2828" si="84">IF(E2827&lt;&gt;"", HYPERLINK("https://www.kegg.jp/dbget-bin/www_bget?ec:" &amp; E2827, "https://www.kegg.jp/dbget-bin/www_bget?ec:" &amp; E2827), "")</f>
        <v>https://www.kegg.jp/dbget-bin/www_bget?ec:1.1.1.122</v>
      </c>
      <c r="G2827" s="9" t="s">
        <v>7994</v>
      </c>
      <c r="H2827" s="1" t="str">
        <f t="shared" si="82"/>
        <v>https://www.kegg.jp/entry/R07148</v>
      </c>
      <c r="I2827" t="s">
        <v>13774</v>
      </c>
      <c r="J2827" t="s">
        <v>13775</v>
      </c>
    </row>
    <row r="2828" spans="1:10" x14ac:dyDescent="0.25">
      <c r="A2828" t="s">
        <v>5228</v>
      </c>
      <c r="B2828">
        <v>294</v>
      </c>
      <c r="C2828" t="s">
        <v>5229</v>
      </c>
      <c r="E2828" s="5" t="s">
        <v>7021</v>
      </c>
      <c r="F2828" s="1" t="str">
        <f t="shared" si="84"/>
        <v>https://www.kegg.jp/dbget-bin/www_bget?ec:1.1.1.122</v>
      </c>
      <c r="G2828" s="9" t="s">
        <v>7996</v>
      </c>
      <c r="H2828" s="1" t="str">
        <f t="shared" si="82"/>
        <v>https://www.kegg.jp/entry/R08926</v>
      </c>
      <c r="I2828" t="s">
        <v>13776</v>
      </c>
      <c r="J2828" t="s">
        <v>13777</v>
      </c>
    </row>
    <row r="2829" spans="1:10" x14ac:dyDescent="0.25">
      <c r="A2829" t="s">
        <v>5228</v>
      </c>
      <c r="B2829">
        <v>294</v>
      </c>
      <c r="C2829" t="s">
        <v>5229</v>
      </c>
      <c r="E2829" s="5" t="s">
        <v>7021</v>
      </c>
      <c r="F2829" s="1" t="str">
        <f t="shared" si="80"/>
        <v>https://www.kegg.jp/dbget-bin/www_bget?ec:1.1.1.122</v>
      </c>
      <c r="G2829" s="9" t="s">
        <v>7995</v>
      </c>
      <c r="H2829" s="1" t="str">
        <f t="shared" si="82"/>
        <v>https://www.kegg.jp/entry/R07675</v>
      </c>
      <c r="I2829" t="s">
        <v>13778</v>
      </c>
      <c r="J2829" t="s">
        <v>13779</v>
      </c>
    </row>
    <row r="2830" spans="1:10" x14ac:dyDescent="0.25">
      <c r="A2830" t="s">
        <v>5231</v>
      </c>
      <c r="B2830">
        <v>390</v>
      </c>
      <c r="C2830" t="s">
        <v>5232</v>
      </c>
      <c r="E2830" s="5" t="s">
        <v>7022</v>
      </c>
      <c r="F2830" s="1" t="str">
        <f t="shared" si="80"/>
        <v>https://www.kegg.jp/dbget-bin/www_bget?ec:6.3.4.4</v>
      </c>
      <c r="G2830" s="3" t="s">
        <v>7288</v>
      </c>
      <c r="H2830" s="1" t="str">
        <f t="shared" si="82"/>
        <v>https://www.kegg.jp/entry/R01135</v>
      </c>
      <c r="I2830" t="s">
        <v>13780</v>
      </c>
      <c r="J2830" t="s">
        <v>13781</v>
      </c>
    </row>
    <row r="2831" spans="1:10" hidden="1" x14ac:dyDescent="0.25">
      <c r="A2831" t="s">
        <v>5233</v>
      </c>
      <c r="B2831">
        <v>183</v>
      </c>
      <c r="C2831" t="s">
        <v>5234</v>
      </c>
      <c r="F2831" s="1" t="str">
        <f t="shared" si="80"/>
        <v/>
      </c>
      <c r="G2831" s="3"/>
      <c r="H2831" s="1" t="str">
        <f t="shared" si="82"/>
        <v/>
      </c>
    </row>
    <row r="2832" spans="1:10" x14ac:dyDescent="0.25">
      <c r="A2832" t="s">
        <v>5236</v>
      </c>
      <c r="B2832">
        <v>329</v>
      </c>
      <c r="C2832" t="s">
        <v>5237</v>
      </c>
      <c r="E2832" s="5" t="s">
        <v>7023</v>
      </c>
      <c r="F2832" s="1" t="str">
        <f t="shared" si="80"/>
        <v>https://www.kegg.jp/dbget-bin/www_bget?ec:2.4.2.18</v>
      </c>
      <c r="G2832" s="3" t="s">
        <v>7289</v>
      </c>
      <c r="H2832" s="1" t="str">
        <f t="shared" si="82"/>
        <v>https://www.kegg.jp/entry/R01073</v>
      </c>
      <c r="I2832" t="s">
        <v>13782</v>
      </c>
      <c r="J2832" t="s">
        <v>8621</v>
      </c>
    </row>
    <row r="2833" spans="1:10" x14ac:dyDescent="0.25">
      <c r="A2833" t="s">
        <v>5239</v>
      </c>
      <c r="B2833">
        <v>193</v>
      </c>
      <c r="C2833" t="s">
        <v>5240</v>
      </c>
      <c r="E2833" s="5" t="s">
        <v>7024</v>
      </c>
      <c r="F2833" s="1" t="str">
        <f t="shared" ref="F2833" si="85">IF(E2833&lt;&gt;"", HYPERLINK("https://www.kegg.jp/dbget-bin/www_bget?ec:" &amp; E2833, "https://www.kegg.jp/dbget-bin/www_bget?ec:" &amp; E2833), "")</f>
        <v>https://www.kegg.jp/dbget-bin/www_bget?ec:4.1.3.27</v>
      </c>
      <c r="G2833" s="9" t="s">
        <v>7997</v>
      </c>
      <c r="H2833" s="1" t="str">
        <f t="shared" si="82"/>
        <v>https://www.kegg.jp/entry/R00986</v>
      </c>
      <c r="I2833" t="s">
        <v>13373</v>
      </c>
      <c r="J2833" t="s">
        <v>13783</v>
      </c>
    </row>
    <row r="2834" spans="1:10" x14ac:dyDescent="0.25">
      <c r="A2834" t="s">
        <v>5239</v>
      </c>
      <c r="B2834">
        <v>193</v>
      </c>
      <c r="C2834" t="s">
        <v>5240</v>
      </c>
      <c r="E2834" s="5" t="s">
        <v>7024</v>
      </c>
      <c r="F2834" s="1" t="str">
        <f t="shared" si="80"/>
        <v>https://www.kegg.jp/dbget-bin/www_bget?ec:4.1.3.27</v>
      </c>
      <c r="G2834" s="9" t="s">
        <v>7998</v>
      </c>
      <c r="H2834" s="1" t="str">
        <f t="shared" si="82"/>
        <v>https://www.kegg.jp/entry/R00985</v>
      </c>
      <c r="I2834" t="s">
        <v>13375</v>
      </c>
      <c r="J2834" t="s">
        <v>13784</v>
      </c>
    </row>
    <row r="2835" spans="1:10" x14ac:dyDescent="0.25">
      <c r="A2835" t="s">
        <v>5242</v>
      </c>
      <c r="B2835">
        <v>462</v>
      </c>
      <c r="C2835" t="s">
        <v>5243</v>
      </c>
      <c r="E2835" s="5" t="s">
        <v>7024</v>
      </c>
      <c r="F2835" s="1" t="str">
        <f t="shared" ref="F2835" si="86">IF(E2835&lt;&gt;"", HYPERLINK("https://www.kegg.jp/dbget-bin/www_bget?ec:" &amp; E2835, "https://www.kegg.jp/dbget-bin/www_bget?ec:" &amp; E2835), "")</f>
        <v>https://www.kegg.jp/dbget-bin/www_bget?ec:4.1.3.27</v>
      </c>
      <c r="G2835" s="9" t="s">
        <v>7997</v>
      </c>
      <c r="H2835" s="1" t="str">
        <f t="shared" si="82"/>
        <v>https://www.kegg.jp/entry/R00986</v>
      </c>
      <c r="I2835" t="s">
        <v>13373</v>
      </c>
      <c r="J2835" t="s">
        <v>13783</v>
      </c>
    </row>
    <row r="2836" spans="1:10" x14ac:dyDescent="0.25">
      <c r="A2836" t="s">
        <v>5242</v>
      </c>
      <c r="B2836">
        <v>462</v>
      </c>
      <c r="C2836" t="s">
        <v>5243</v>
      </c>
      <c r="E2836" s="5" t="s">
        <v>7024</v>
      </c>
      <c r="F2836" s="1" t="str">
        <f t="shared" si="80"/>
        <v>https://www.kegg.jp/dbget-bin/www_bget?ec:4.1.3.27</v>
      </c>
      <c r="G2836" s="9" t="s">
        <v>7998</v>
      </c>
      <c r="H2836" s="1" t="str">
        <f t="shared" si="82"/>
        <v>https://www.kegg.jp/entry/R00985</v>
      </c>
      <c r="I2836" t="s">
        <v>13375</v>
      </c>
      <c r="J2836" t="s">
        <v>13784</v>
      </c>
    </row>
    <row r="2837" spans="1:10" x14ac:dyDescent="0.25">
      <c r="A2837" t="s">
        <v>5245</v>
      </c>
      <c r="B2837">
        <v>516</v>
      </c>
      <c r="C2837" t="s">
        <v>5246</v>
      </c>
      <c r="E2837" s="5" t="s">
        <v>7025</v>
      </c>
      <c r="F2837" s="1" t="str">
        <f t="shared" ref="F2837:F2842" si="87">IF(E2837&lt;&gt;"", HYPERLINK("https://www.kegg.jp/dbget-bin/www_bget?ec:" &amp; E2837, "https://www.kegg.jp/dbget-bin/www_bget?ec:" &amp; E2837), "")</f>
        <v>https://www.kegg.jp/dbget-bin/www_bget?ec:1.2.1.88</v>
      </c>
      <c r="G2837" s="9" t="s">
        <v>7999</v>
      </c>
      <c r="H2837" s="1" t="str">
        <f t="shared" si="82"/>
        <v>https://www.kegg.jp/entry/R00245</v>
      </c>
      <c r="I2837" t="s">
        <v>13785</v>
      </c>
      <c r="J2837" t="s">
        <v>13786</v>
      </c>
    </row>
    <row r="2838" spans="1:10" x14ac:dyDescent="0.25">
      <c r="A2838" t="s">
        <v>5245</v>
      </c>
      <c r="B2838">
        <v>516</v>
      </c>
      <c r="C2838" t="s">
        <v>5246</v>
      </c>
      <c r="E2838" s="5" t="s">
        <v>7025</v>
      </c>
      <c r="F2838" s="1" t="str">
        <f t="shared" si="87"/>
        <v>https://www.kegg.jp/dbget-bin/www_bget?ec:1.2.1.88</v>
      </c>
      <c r="G2838" s="9" t="s">
        <v>8005</v>
      </c>
      <c r="H2838" s="1" t="str">
        <f t="shared" si="82"/>
        <v>https://www.kegg.jp/entry/R00707</v>
      </c>
      <c r="I2838" t="s">
        <v>13787</v>
      </c>
      <c r="J2838" t="s">
        <v>13786</v>
      </c>
    </row>
    <row r="2839" spans="1:10" x14ac:dyDescent="0.25">
      <c r="A2839" t="s">
        <v>5245</v>
      </c>
      <c r="B2839">
        <v>516</v>
      </c>
      <c r="C2839" t="s">
        <v>5246</v>
      </c>
      <c r="E2839" s="5" t="s">
        <v>7025</v>
      </c>
      <c r="F2839" s="1" t="str">
        <f t="shared" si="87"/>
        <v>https://www.kegg.jp/dbget-bin/www_bget?ec:1.2.1.88</v>
      </c>
      <c r="G2839" s="9" t="s">
        <v>8004</v>
      </c>
      <c r="H2839" s="1" t="str">
        <f t="shared" si="82"/>
        <v>https://www.kegg.jp/entry/R00708</v>
      </c>
      <c r="I2839" t="s">
        <v>13788</v>
      </c>
      <c r="J2839" t="s">
        <v>13789</v>
      </c>
    </row>
    <row r="2840" spans="1:10" x14ac:dyDescent="0.25">
      <c r="A2840" t="s">
        <v>5245</v>
      </c>
      <c r="B2840">
        <v>516</v>
      </c>
      <c r="C2840" t="s">
        <v>5246</v>
      </c>
      <c r="E2840" s="5" t="s">
        <v>7025</v>
      </c>
      <c r="F2840" s="1" t="str">
        <f t="shared" si="87"/>
        <v>https://www.kegg.jp/dbget-bin/www_bget?ec:1.2.1.88</v>
      </c>
      <c r="G2840" s="9" t="s">
        <v>8003</v>
      </c>
      <c r="H2840" s="1" t="str">
        <f t="shared" si="82"/>
        <v>https://www.kegg.jp/entry/R04444</v>
      </c>
      <c r="I2840" t="s">
        <v>13790</v>
      </c>
      <c r="J2840" t="s">
        <v>13791</v>
      </c>
    </row>
    <row r="2841" spans="1:10" x14ac:dyDescent="0.25">
      <c r="A2841" t="s">
        <v>5245</v>
      </c>
      <c r="B2841">
        <v>516</v>
      </c>
      <c r="C2841" t="s">
        <v>5246</v>
      </c>
      <c r="E2841" s="5" t="s">
        <v>7025</v>
      </c>
      <c r="F2841" s="1" t="str">
        <f t="shared" si="87"/>
        <v>https://www.kegg.jp/dbget-bin/www_bget?ec:1.2.1.88</v>
      </c>
      <c r="G2841" s="9" t="s">
        <v>8002</v>
      </c>
      <c r="H2841" s="1" t="str">
        <f t="shared" si="82"/>
        <v>https://www.kegg.jp/entry/R04445</v>
      </c>
      <c r="I2841" t="s">
        <v>13792</v>
      </c>
      <c r="J2841" t="s">
        <v>13793</v>
      </c>
    </row>
    <row r="2842" spans="1:10" x14ac:dyDescent="0.25">
      <c r="A2842" t="s">
        <v>5245</v>
      </c>
      <c r="B2842">
        <v>516</v>
      </c>
      <c r="C2842" t="s">
        <v>5246</v>
      </c>
      <c r="E2842" s="5" t="s">
        <v>7025</v>
      </c>
      <c r="F2842" s="1" t="str">
        <f t="shared" si="87"/>
        <v>https://www.kegg.jp/dbget-bin/www_bget?ec:1.2.1.88</v>
      </c>
      <c r="G2842" s="9" t="s">
        <v>8001</v>
      </c>
      <c r="H2842" s="1" t="str">
        <f t="shared" si="82"/>
        <v>https://www.kegg.jp/entry/R05051</v>
      </c>
      <c r="I2842" t="s">
        <v>13791</v>
      </c>
      <c r="J2842" t="s">
        <v>13794</v>
      </c>
    </row>
    <row r="2843" spans="1:10" x14ac:dyDescent="0.25">
      <c r="A2843" t="s">
        <v>5245</v>
      </c>
      <c r="B2843">
        <v>516</v>
      </c>
      <c r="C2843" t="s">
        <v>5246</v>
      </c>
      <c r="E2843" s="5" t="s">
        <v>7025</v>
      </c>
      <c r="F2843" s="1" t="str">
        <f t="shared" si="80"/>
        <v>https://www.kegg.jp/dbget-bin/www_bget?ec:1.2.1.88</v>
      </c>
      <c r="G2843" s="9" t="s">
        <v>8000</v>
      </c>
      <c r="H2843" s="1" t="str">
        <f t="shared" si="82"/>
        <v>https://www.kegg.jp/entry/R13148</v>
      </c>
      <c r="I2843" t="s">
        <v>13795</v>
      </c>
      <c r="J2843" t="s">
        <v>13789</v>
      </c>
    </row>
    <row r="2844" spans="1:10" x14ac:dyDescent="0.25">
      <c r="A2844" t="s">
        <v>5248</v>
      </c>
      <c r="B2844">
        <v>307</v>
      </c>
      <c r="C2844" t="s">
        <v>5249</v>
      </c>
      <c r="E2844" s="5" t="s">
        <v>7026</v>
      </c>
      <c r="F2844" s="1" t="str">
        <f t="shared" si="80"/>
        <v>https://www.kegg.jp/dbget-bin/www_bget?ec:1.5.5.2</v>
      </c>
      <c r="G2844" s="3" t="s">
        <v>7290</v>
      </c>
      <c r="H2844" s="1" t="str">
        <f t="shared" si="82"/>
        <v>https://www.kegg.jp/entry/R01253</v>
      </c>
      <c r="I2844" t="s">
        <v>13796</v>
      </c>
      <c r="J2844" t="s">
        <v>13797</v>
      </c>
    </row>
    <row r="2845" spans="1:10" hidden="1" x14ac:dyDescent="0.25">
      <c r="A2845" t="s">
        <v>5251</v>
      </c>
      <c r="B2845">
        <v>219</v>
      </c>
      <c r="C2845" t="s">
        <v>5252</v>
      </c>
      <c r="F2845" s="1" t="str">
        <f t="shared" si="80"/>
        <v/>
      </c>
      <c r="G2845" s="3"/>
      <c r="H2845" s="1" t="str">
        <f t="shared" si="82"/>
        <v/>
      </c>
    </row>
    <row r="2846" spans="1:10" hidden="1" x14ac:dyDescent="0.25">
      <c r="A2846" t="s">
        <v>5253</v>
      </c>
      <c r="B2846">
        <v>168</v>
      </c>
      <c r="C2846" t="s">
        <v>5254</v>
      </c>
      <c r="F2846" s="1" t="str">
        <f t="shared" si="80"/>
        <v/>
      </c>
      <c r="G2846" s="3"/>
      <c r="H2846" s="1" t="str">
        <f t="shared" si="82"/>
        <v/>
      </c>
    </row>
    <row r="2847" spans="1:10" hidden="1" x14ac:dyDescent="0.25">
      <c r="A2847" t="s">
        <v>5255</v>
      </c>
      <c r="B2847">
        <v>296</v>
      </c>
      <c r="C2847" t="s">
        <v>5256</v>
      </c>
      <c r="F2847" s="1" t="str">
        <f t="shared" si="80"/>
        <v/>
      </c>
      <c r="G2847" s="3"/>
      <c r="H2847" s="1" t="str">
        <f t="shared" si="82"/>
        <v/>
      </c>
    </row>
    <row r="2848" spans="1:10" x14ac:dyDescent="0.25">
      <c r="A2848" t="s">
        <v>5258</v>
      </c>
      <c r="B2848">
        <v>393</v>
      </c>
      <c r="C2848" t="s">
        <v>5259</v>
      </c>
      <c r="E2848" s="5" t="s">
        <v>7027</v>
      </c>
      <c r="F2848" s="1" t="str">
        <f t="shared" si="80"/>
        <v>https://www.kegg.jp/dbget-bin/www_bget?ec:2.3.1.29</v>
      </c>
      <c r="G2848" s="3" t="s">
        <v>7291</v>
      </c>
      <c r="H2848" s="1" t="str">
        <f t="shared" si="82"/>
        <v>https://www.kegg.jp/entry/R00371</v>
      </c>
      <c r="I2848" t="s">
        <v>13798</v>
      </c>
      <c r="J2848" t="s">
        <v>13799</v>
      </c>
    </row>
    <row r="2849" spans="1:10" x14ac:dyDescent="0.25">
      <c r="A2849" t="s">
        <v>5261</v>
      </c>
      <c r="B2849">
        <v>421</v>
      </c>
      <c r="C2849" t="s">
        <v>5262</v>
      </c>
      <c r="E2849" s="5" t="s">
        <v>6781</v>
      </c>
      <c r="F2849" s="1" t="str">
        <f t="shared" si="80"/>
        <v>https://www.kegg.jp/dbget-bin/www_bget?ec:2.1.1.72</v>
      </c>
      <c r="G2849" s="3" t="s">
        <v>7173</v>
      </c>
      <c r="H2849" s="1" t="str">
        <f t="shared" si="82"/>
        <v>https://www.kegg.jp/entry/R02961</v>
      </c>
      <c r="I2849" t="s">
        <v>8226</v>
      </c>
      <c r="J2849" t="s">
        <v>8502</v>
      </c>
    </row>
    <row r="2850" spans="1:10" hidden="1" x14ac:dyDescent="0.25">
      <c r="A2850" t="s">
        <v>5263</v>
      </c>
      <c r="B2850">
        <v>128</v>
      </c>
      <c r="C2850" t="s">
        <v>5264</v>
      </c>
      <c r="F2850" s="1" t="str">
        <f t="shared" si="80"/>
        <v/>
      </c>
      <c r="G2850" s="3"/>
      <c r="H2850" s="1" t="str">
        <f t="shared" si="82"/>
        <v/>
      </c>
    </row>
    <row r="2851" spans="1:10" hidden="1" x14ac:dyDescent="0.25">
      <c r="A2851" t="s">
        <v>5266</v>
      </c>
      <c r="B2851">
        <v>641</v>
      </c>
      <c r="C2851" t="s">
        <v>5267</v>
      </c>
      <c r="D2851" t="s">
        <v>6733</v>
      </c>
      <c r="E2851" s="5" t="s">
        <v>7541</v>
      </c>
      <c r="F2851" s="1" t="str">
        <f t="shared" si="80"/>
        <v>https://www.kegg.jp/dbget-bin/www_bget?ec:5.6.2.2</v>
      </c>
      <c r="G2851" s="3"/>
      <c r="H2851" s="1" t="str">
        <f t="shared" si="82"/>
        <v/>
      </c>
    </row>
    <row r="2852" spans="1:10" hidden="1" x14ac:dyDescent="0.25">
      <c r="A2852" t="s">
        <v>5269</v>
      </c>
      <c r="B2852">
        <v>753</v>
      </c>
      <c r="C2852" t="s">
        <v>5270</v>
      </c>
      <c r="F2852" s="1" t="str">
        <f t="shared" si="80"/>
        <v/>
      </c>
      <c r="G2852" s="3"/>
      <c r="H2852" s="1" t="str">
        <f t="shared" si="82"/>
        <v/>
      </c>
    </row>
    <row r="2853" spans="1:10" hidden="1" x14ac:dyDescent="0.25">
      <c r="A2853" t="s">
        <v>5271</v>
      </c>
      <c r="B2853">
        <v>142</v>
      </c>
      <c r="C2853" t="s">
        <v>5272</v>
      </c>
      <c r="F2853" s="1" t="str">
        <f t="shared" si="80"/>
        <v/>
      </c>
      <c r="G2853" s="3"/>
      <c r="H2853" s="1" t="str">
        <f t="shared" si="82"/>
        <v/>
      </c>
    </row>
    <row r="2854" spans="1:10" hidden="1" x14ac:dyDescent="0.25">
      <c r="A2854" t="s">
        <v>5273</v>
      </c>
      <c r="B2854">
        <v>130</v>
      </c>
      <c r="C2854" t="s">
        <v>5274</v>
      </c>
      <c r="F2854" s="1" t="str">
        <f t="shared" si="80"/>
        <v/>
      </c>
      <c r="G2854" s="3"/>
      <c r="H2854" s="1" t="str">
        <f t="shared" si="82"/>
        <v/>
      </c>
    </row>
    <row r="2855" spans="1:10" hidden="1" x14ac:dyDescent="0.25">
      <c r="A2855" t="s">
        <v>5276</v>
      </c>
      <c r="B2855">
        <v>344</v>
      </c>
      <c r="C2855" t="s">
        <v>5277</v>
      </c>
      <c r="F2855" s="1" t="str">
        <f t="shared" si="80"/>
        <v/>
      </c>
      <c r="G2855" s="3"/>
      <c r="H2855" s="1" t="str">
        <f t="shared" si="82"/>
        <v/>
      </c>
    </row>
    <row r="2856" spans="1:10" hidden="1" x14ac:dyDescent="0.25">
      <c r="A2856" t="s">
        <v>5278</v>
      </c>
      <c r="B2856">
        <v>137</v>
      </c>
      <c r="C2856" t="s">
        <v>5279</v>
      </c>
      <c r="F2856" s="1" t="str">
        <f t="shared" si="80"/>
        <v/>
      </c>
      <c r="G2856" s="3"/>
      <c r="H2856" s="1" t="str">
        <f t="shared" si="82"/>
        <v/>
      </c>
    </row>
    <row r="2857" spans="1:10" hidden="1" x14ac:dyDescent="0.25">
      <c r="A2857" t="s">
        <v>5280</v>
      </c>
      <c r="B2857">
        <v>336</v>
      </c>
      <c r="C2857" t="s">
        <v>5281</v>
      </c>
      <c r="F2857" s="1" t="str">
        <f t="shared" si="80"/>
        <v/>
      </c>
      <c r="G2857" s="3"/>
      <c r="H2857" s="1" t="str">
        <f t="shared" si="82"/>
        <v/>
      </c>
    </row>
    <row r="2858" spans="1:10" hidden="1" x14ac:dyDescent="0.25">
      <c r="A2858" t="s">
        <v>5282</v>
      </c>
      <c r="B2858">
        <v>347</v>
      </c>
      <c r="C2858" t="s">
        <v>5283</v>
      </c>
      <c r="F2858" s="1" t="str">
        <f t="shared" si="80"/>
        <v/>
      </c>
      <c r="G2858" s="3"/>
      <c r="H2858" s="1" t="str">
        <f t="shared" si="82"/>
        <v/>
      </c>
    </row>
    <row r="2859" spans="1:10" hidden="1" x14ac:dyDescent="0.25">
      <c r="A2859" t="s">
        <v>5284</v>
      </c>
      <c r="B2859">
        <v>823</v>
      </c>
      <c r="C2859" t="s">
        <v>5285</v>
      </c>
      <c r="F2859" s="1" t="str">
        <f t="shared" si="80"/>
        <v/>
      </c>
      <c r="G2859" s="3"/>
      <c r="H2859" s="1" t="str">
        <f t="shared" ref="H2859:H2922" si="88">IF(G2859&lt;&gt;"", HYPERLINK("https://www.kegg.jp/entry/" &amp; G2859, "https://www.kegg.jp/entry/" &amp; G2859), "")</f>
        <v/>
      </c>
    </row>
    <row r="2860" spans="1:10" hidden="1" x14ac:dyDescent="0.25">
      <c r="A2860" t="s">
        <v>5286</v>
      </c>
      <c r="B2860">
        <v>324</v>
      </c>
      <c r="C2860" t="s">
        <v>5287</v>
      </c>
      <c r="F2860" s="1" t="str">
        <f t="shared" si="80"/>
        <v/>
      </c>
      <c r="G2860" s="3"/>
      <c r="H2860" s="1" t="str">
        <f t="shared" si="88"/>
        <v/>
      </c>
    </row>
    <row r="2861" spans="1:10" hidden="1" x14ac:dyDescent="0.25">
      <c r="A2861" t="s">
        <v>5288</v>
      </c>
      <c r="B2861">
        <v>227</v>
      </c>
      <c r="C2861" t="s">
        <v>5289</v>
      </c>
      <c r="F2861" s="1" t="str">
        <f t="shared" si="80"/>
        <v/>
      </c>
      <c r="G2861" s="3"/>
      <c r="H2861" s="1" t="str">
        <f t="shared" si="88"/>
        <v/>
      </c>
    </row>
    <row r="2862" spans="1:10" hidden="1" x14ac:dyDescent="0.25">
      <c r="A2862" t="s">
        <v>5290</v>
      </c>
      <c r="B2862">
        <v>118</v>
      </c>
      <c r="C2862" t="s">
        <v>5291</v>
      </c>
      <c r="F2862" s="1" t="str">
        <f t="shared" si="80"/>
        <v/>
      </c>
      <c r="G2862" s="3"/>
      <c r="H2862" s="1" t="str">
        <f t="shared" si="88"/>
        <v/>
      </c>
    </row>
    <row r="2863" spans="1:10" hidden="1" x14ac:dyDescent="0.25">
      <c r="A2863" t="s">
        <v>5293</v>
      </c>
      <c r="B2863">
        <v>130</v>
      </c>
      <c r="C2863" t="s">
        <v>5294</v>
      </c>
      <c r="F2863" s="1" t="str">
        <f t="shared" si="80"/>
        <v/>
      </c>
      <c r="G2863" s="3"/>
      <c r="H2863" s="1" t="str">
        <f t="shared" si="88"/>
        <v/>
      </c>
    </row>
    <row r="2864" spans="1:10" hidden="1" x14ac:dyDescent="0.25">
      <c r="A2864" t="s">
        <v>5296</v>
      </c>
      <c r="B2864">
        <v>540</v>
      </c>
      <c r="C2864" t="s">
        <v>5297</v>
      </c>
      <c r="F2864" s="1" t="str">
        <f t="shared" si="80"/>
        <v/>
      </c>
      <c r="G2864" s="3"/>
      <c r="H2864" s="1" t="str">
        <f t="shared" si="88"/>
        <v/>
      </c>
    </row>
    <row r="2865" spans="1:10" hidden="1" x14ac:dyDescent="0.25">
      <c r="A2865" t="s">
        <v>5298</v>
      </c>
      <c r="B2865">
        <v>313</v>
      </c>
      <c r="C2865" t="s">
        <v>5299</v>
      </c>
      <c r="F2865" s="1" t="str">
        <f t="shared" si="80"/>
        <v/>
      </c>
      <c r="G2865" s="3"/>
      <c r="H2865" s="1" t="str">
        <f t="shared" si="88"/>
        <v/>
      </c>
    </row>
    <row r="2866" spans="1:10" x14ac:dyDescent="0.25">
      <c r="A2866" t="s">
        <v>5301</v>
      </c>
      <c r="B2866">
        <v>359</v>
      </c>
      <c r="C2866" t="s">
        <v>5302</v>
      </c>
      <c r="E2866" s="5" t="s">
        <v>6848</v>
      </c>
      <c r="F2866" s="1" t="str">
        <f t="shared" si="80"/>
        <v>https://www.kegg.jp/dbget-bin/www_bget?ec:5.4.99.5</v>
      </c>
      <c r="G2866" s="3" t="s">
        <v>7204</v>
      </c>
      <c r="H2866" s="1" t="str">
        <f t="shared" si="88"/>
        <v>https://www.kegg.jp/entry/R01715</v>
      </c>
      <c r="I2866" t="s">
        <v>8267</v>
      </c>
      <c r="J2866" t="s">
        <v>8537</v>
      </c>
    </row>
    <row r="2867" spans="1:10" hidden="1" x14ac:dyDescent="0.25">
      <c r="A2867" t="s">
        <v>5304</v>
      </c>
      <c r="B2867">
        <v>247</v>
      </c>
      <c r="C2867" t="s">
        <v>5305</v>
      </c>
      <c r="F2867" s="1" t="str">
        <f t="shared" si="80"/>
        <v/>
      </c>
      <c r="G2867" s="3"/>
      <c r="H2867" s="1" t="str">
        <f t="shared" si="88"/>
        <v/>
      </c>
    </row>
    <row r="2868" spans="1:10" hidden="1" x14ac:dyDescent="0.25">
      <c r="A2868" t="s">
        <v>5306</v>
      </c>
      <c r="B2868">
        <v>68</v>
      </c>
      <c r="C2868" t="s">
        <v>5307</v>
      </c>
      <c r="F2868" s="1" t="str">
        <f t="shared" si="80"/>
        <v/>
      </c>
      <c r="G2868" s="3"/>
      <c r="H2868" s="1" t="str">
        <f t="shared" si="88"/>
        <v/>
      </c>
    </row>
    <row r="2869" spans="1:10" x14ac:dyDescent="0.25">
      <c r="A2869" t="s">
        <v>5309</v>
      </c>
      <c r="B2869">
        <v>453</v>
      </c>
      <c r="C2869" t="s">
        <v>5310</v>
      </c>
      <c r="E2869" s="5" t="s">
        <v>7028</v>
      </c>
      <c r="F2869" s="1" t="str">
        <f t="shared" si="80"/>
        <v>https://www.kegg.jp/dbget-bin/www_bget?ec:2.7.7.23</v>
      </c>
      <c r="G2869" s="3" t="s">
        <v>7292</v>
      </c>
      <c r="H2869" s="1" t="str">
        <f t="shared" si="88"/>
        <v>https://www.kegg.jp/entry/R00416</v>
      </c>
      <c r="I2869" t="s">
        <v>13800</v>
      </c>
      <c r="J2869" t="s">
        <v>13801</v>
      </c>
    </row>
    <row r="2870" spans="1:10" hidden="1" x14ac:dyDescent="0.25">
      <c r="A2870" t="s">
        <v>5312</v>
      </c>
      <c r="B2870">
        <v>280</v>
      </c>
      <c r="C2870" t="s">
        <v>5313</v>
      </c>
      <c r="E2870" s="5" t="s">
        <v>7029</v>
      </c>
      <c r="F2870" s="1" t="str">
        <f t="shared" si="80"/>
        <v>https://www.kegg.jp/dbget-bin/www_bget?ec:2.4.99.-</v>
      </c>
      <c r="G2870" s="3"/>
      <c r="H2870" s="1" t="str">
        <f t="shared" si="88"/>
        <v/>
      </c>
    </row>
    <row r="2871" spans="1:10" hidden="1" x14ac:dyDescent="0.25">
      <c r="A2871" t="s">
        <v>5314</v>
      </c>
      <c r="B2871">
        <v>79</v>
      </c>
      <c r="C2871" t="s">
        <v>5315</v>
      </c>
      <c r="F2871" s="1" t="str">
        <f t="shared" si="80"/>
        <v/>
      </c>
      <c r="G2871" s="3"/>
      <c r="H2871" s="1" t="str">
        <f t="shared" si="88"/>
        <v/>
      </c>
    </row>
    <row r="2872" spans="1:10" hidden="1" x14ac:dyDescent="0.25">
      <c r="A2872" t="s">
        <v>5317</v>
      </c>
      <c r="B2872">
        <v>159</v>
      </c>
      <c r="C2872" t="s">
        <v>5318</v>
      </c>
      <c r="F2872" s="1" t="str">
        <f t="shared" si="80"/>
        <v/>
      </c>
      <c r="G2872" s="3"/>
      <c r="H2872" s="1" t="str">
        <f t="shared" si="88"/>
        <v/>
      </c>
    </row>
    <row r="2873" spans="1:10" x14ac:dyDescent="0.25">
      <c r="A2873" t="s">
        <v>5319</v>
      </c>
      <c r="B2873">
        <v>353</v>
      </c>
      <c r="C2873" t="s">
        <v>5320</v>
      </c>
      <c r="E2873" s="5" t="s">
        <v>7019</v>
      </c>
      <c r="F2873" s="1" t="str">
        <f t="shared" ref="F2873:F2875" si="89">IF(E2873&lt;&gt;"", HYPERLINK("https://www.kegg.jp/dbget-bin/www_bget?ec:" &amp; E2873, "https://www.kegg.jp/dbget-bin/www_bget?ec:" &amp; E2873), "")</f>
        <v>https://www.kegg.jp/dbget-bin/www_bget?ec:1.4.1.1</v>
      </c>
      <c r="G2873" s="9" t="s">
        <v>7986</v>
      </c>
      <c r="H2873" s="1" t="str">
        <f t="shared" si="88"/>
        <v>https://www.kegg.jp/entry/R00396</v>
      </c>
      <c r="I2873" t="s">
        <v>13758</v>
      </c>
      <c r="J2873" t="s">
        <v>13759</v>
      </c>
    </row>
    <row r="2874" spans="1:10" x14ac:dyDescent="0.25">
      <c r="A2874" t="s">
        <v>5319</v>
      </c>
      <c r="B2874">
        <v>353</v>
      </c>
      <c r="C2874" t="s">
        <v>5320</v>
      </c>
      <c r="E2874" s="5" t="s">
        <v>7019</v>
      </c>
      <c r="F2874" s="1" t="str">
        <f t="shared" si="89"/>
        <v>https://www.kegg.jp/dbget-bin/www_bget?ec:1.4.1.1</v>
      </c>
      <c r="G2874" s="9" t="s">
        <v>7494</v>
      </c>
      <c r="H2874" s="1" t="str">
        <f t="shared" si="88"/>
        <v>https://www.kegg.jp/entry/R00145</v>
      </c>
      <c r="I2874" t="s">
        <v>12942</v>
      </c>
      <c r="J2874" t="s">
        <v>12943</v>
      </c>
    </row>
    <row r="2875" spans="1:10" x14ac:dyDescent="0.25">
      <c r="A2875" t="s">
        <v>5319</v>
      </c>
      <c r="B2875">
        <v>353</v>
      </c>
      <c r="C2875" t="s">
        <v>5320</v>
      </c>
      <c r="E2875" s="5" t="s">
        <v>7019</v>
      </c>
      <c r="F2875" s="1" t="str">
        <f t="shared" si="89"/>
        <v>https://www.kegg.jp/dbget-bin/www_bget?ec:1.4.1.1</v>
      </c>
      <c r="G2875" s="9" t="s">
        <v>7495</v>
      </c>
      <c r="H2875" s="1" t="str">
        <f t="shared" si="88"/>
        <v>https://www.kegg.jp/entry/R00146</v>
      </c>
      <c r="I2875" t="s">
        <v>12944</v>
      </c>
      <c r="J2875" t="s">
        <v>12945</v>
      </c>
    </row>
    <row r="2876" spans="1:10" x14ac:dyDescent="0.25">
      <c r="A2876" t="s">
        <v>5319</v>
      </c>
      <c r="B2876">
        <v>353</v>
      </c>
      <c r="C2876" t="s">
        <v>5320</v>
      </c>
      <c r="E2876" s="5" t="s">
        <v>7019</v>
      </c>
      <c r="F2876" s="1" t="str">
        <f t="shared" si="80"/>
        <v>https://www.kegg.jp/dbget-bin/www_bget?ec:1.4.1.1</v>
      </c>
      <c r="G2876" s="9" t="s">
        <v>7987</v>
      </c>
      <c r="H2876" s="1" t="str">
        <f t="shared" si="88"/>
        <v>https://www.kegg.jp/entry/R00365</v>
      </c>
      <c r="I2876" t="s">
        <v>13760</v>
      </c>
      <c r="J2876" t="s">
        <v>13761</v>
      </c>
    </row>
    <row r="2877" spans="1:10" hidden="1" x14ac:dyDescent="0.25">
      <c r="A2877" t="s">
        <v>5322</v>
      </c>
      <c r="B2877">
        <v>440</v>
      </c>
      <c r="C2877" t="s">
        <v>5323</v>
      </c>
      <c r="F2877" s="1" t="str">
        <f t="shared" si="80"/>
        <v/>
      </c>
      <c r="G2877" s="3"/>
      <c r="H2877" s="1" t="str">
        <f t="shared" si="88"/>
        <v/>
      </c>
    </row>
    <row r="2878" spans="1:10" hidden="1" x14ac:dyDescent="0.25">
      <c r="A2878" t="s">
        <v>5325</v>
      </c>
      <c r="B2878">
        <v>833</v>
      </c>
      <c r="C2878" t="s">
        <v>5326</v>
      </c>
      <c r="D2878" t="s">
        <v>7030</v>
      </c>
      <c r="E2878" s="5" t="s">
        <v>8006</v>
      </c>
      <c r="F2878" s="1" t="str">
        <f t="shared" si="80"/>
        <v>https://www.kegg.jp/dbget-bin/www_bget?ec:5.6.2.1</v>
      </c>
      <c r="G2878" s="3"/>
      <c r="H2878" s="1" t="str">
        <f t="shared" si="88"/>
        <v/>
      </c>
    </row>
    <row r="2879" spans="1:10" hidden="1" x14ac:dyDescent="0.25">
      <c r="A2879" t="s">
        <v>5328</v>
      </c>
      <c r="B2879">
        <v>392</v>
      </c>
      <c r="C2879" t="s">
        <v>5329</v>
      </c>
      <c r="F2879" s="1" t="str">
        <f t="shared" si="80"/>
        <v/>
      </c>
      <c r="G2879" s="3"/>
      <c r="H2879" s="1" t="str">
        <f t="shared" si="88"/>
        <v/>
      </c>
    </row>
    <row r="2880" spans="1:10" x14ac:dyDescent="0.25">
      <c r="A2880" t="s">
        <v>5331</v>
      </c>
      <c r="B2880">
        <v>236</v>
      </c>
      <c r="C2880" t="s">
        <v>5332</v>
      </c>
      <c r="E2880" s="5" t="s">
        <v>6979</v>
      </c>
      <c r="F2880" s="1" t="str">
        <f t="shared" si="80"/>
        <v>https://www.kegg.jp/dbget-bin/www_bget?ec:4.2.1.70</v>
      </c>
      <c r="G2880" s="3" t="s">
        <v>7269</v>
      </c>
      <c r="H2880" s="1" t="str">
        <f t="shared" si="88"/>
        <v>https://www.kegg.jp/entry/R01055</v>
      </c>
      <c r="I2880" t="s">
        <v>8350</v>
      </c>
      <c r="J2880" t="s">
        <v>13651</v>
      </c>
    </row>
    <row r="2881" spans="1:10" hidden="1" x14ac:dyDescent="0.25">
      <c r="A2881" t="s">
        <v>5333</v>
      </c>
      <c r="B2881">
        <v>109</v>
      </c>
      <c r="C2881" t="s">
        <v>5334</v>
      </c>
      <c r="F2881" s="1" t="str">
        <f t="shared" si="80"/>
        <v/>
      </c>
      <c r="G2881" s="3"/>
      <c r="H2881" s="1" t="str">
        <f t="shared" si="88"/>
        <v/>
      </c>
    </row>
    <row r="2882" spans="1:10" hidden="1" x14ac:dyDescent="0.25">
      <c r="A2882" t="s">
        <v>5335</v>
      </c>
      <c r="B2882">
        <v>55</v>
      </c>
      <c r="C2882" t="s">
        <v>5336</v>
      </c>
      <c r="F2882" s="1" t="str">
        <f t="shared" si="80"/>
        <v/>
      </c>
      <c r="G2882" s="3"/>
      <c r="H2882" s="1" t="str">
        <f t="shared" si="88"/>
        <v/>
      </c>
    </row>
    <row r="2883" spans="1:10" hidden="1" x14ac:dyDescent="0.25">
      <c r="A2883" t="s">
        <v>5338</v>
      </c>
      <c r="B2883">
        <v>375</v>
      </c>
      <c r="C2883" t="s">
        <v>5339</v>
      </c>
      <c r="F2883" s="1" t="str">
        <f t="shared" si="80"/>
        <v/>
      </c>
      <c r="G2883" s="3"/>
      <c r="H2883" s="1" t="str">
        <f t="shared" si="88"/>
        <v/>
      </c>
    </row>
    <row r="2884" spans="1:10" hidden="1" x14ac:dyDescent="0.25">
      <c r="A2884" t="s">
        <v>5341</v>
      </c>
      <c r="B2884">
        <v>256</v>
      </c>
      <c r="C2884" t="s">
        <v>5342</v>
      </c>
      <c r="F2884" s="1" t="str">
        <f t="shared" si="80"/>
        <v/>
      </c>
      <c r="G2884" s="3"/>
      <c r="H2884" s="1" t="str">
        <f t="shared" si="88"/>
        <v/>
      </c>
    </row>
    <row r="2885" spans="1:10" x14ac:dyDescent="0.25">
      <c r="A2885" t="s">
        <v>5343</v>
      </c>
      <c r="B2885">
        <v>177</v>
      </c>
      <c r="C2885" t="s">
        <v>5344</v>
      </c>
      <c r="E2885" s="5" t="s">
        <v>6897</v>
      </c>
      <c r="F2885" s="1" t="str">
        <f t="shared" ref="F2885:F2887" si="90">IF(E2885&lt;&gt;"", HYPERLINK("https://www.kegg.jp/dbget-bin/www_bget?ec:" &amp; E2885, "https://www.kegg.jp/dbget-bin/www_bget?ec:" &amp; E2885), "")</f>
        <v>https://www.kegg.jp/dbget-bin/www_bget?ec:1.8.1.9</v>
      </c>
      <c r="G2885" s="9" t="s">
        <v>7804</v>
      </c>
      <c r="H2885" s="1" t="str">
        <f t="shared" si="88"/>
        <v>https://www.kegg.jp/entry/R02016</v>
      </c>
      <c r="I2885" t="s">
        <v>13456</v>
      </c>
      <c r="J2885" t="s">
        <v>13457</v>
      </c>
    </row>
    <row r="2886" spans="1:10" x14ac:dyDescent="0.25">
      <c r="A2886" t="s">
        <v>5343</v>
      </c>
      <c r="B2886">
        <v>177</v>
      </c>
      <c r="C2886" t="s">
        <v>5344</v>
      </c>
      <c r="E2886" s="5" t="s">
        <v>6897</v>
      </c>
      <c r="F2886" s="1" t="str">
        <f t="shared" si="90"/>
        <v>https://www.kegg.jp/dbget-bin/www_bget?ec:1.8.1.9</v>
      </c>
      <c r="G2886" s="9" t="s">
        <v>7807</v>
      </c>
      <c r="H2886" s="1" t="str">
        <f t="shared" si="88"/>
        <v>https://www.kegg.jp/entry/R00900</v>
      </c>
      <c r="I2886" t="s">
        <v>13458</v>
      </c>
      <c r="J2886" t="s">
        <v>13459</v>
      </c>
    </row>
    <row r="2887" spans="1:10" x14ac:dyDescent="0.25">
      <c r="A2887" t="s">
        <v>5343</v>
      </c>
      <c r="B2887">
        <v>177</v>
      </c>
      <c r="C2887" t="s">
        <v>5344</v>
      </c>
      <c r="E2887" s="5" t="s">
        <v>6897</v>
      </c>
      <c r="F2887" s="1" t="str">
        <f t="shared" si="90"/>
        <v>https://www.kegg.jp/dbget-bin/www_bget?ec:1.8.1.9</v>
      </c>
      <c r="G2887" s="9" t="s">
        <v>7806</v>
      </c>
      <c r="H2887" s="1" t="str">
        <f t="shared" si="88"/>
        <v>https://www.kegg.jp/entry/R03596</v>
      </c>
      <c r="I2887" t="s">
        <v>13460</v>
      </c>
      <c r="J2887" t="s">
        <v>13461</v>
      </c>
    </row>
    <row r="2888" spans="1:10" x14ac:dyDescent="0.25">
      <c r="A2888" t="s">
        <v>5343</v>
      </c>
      <c r="B2888">
        <v>177</v>
      </c>
      <c r="C2888" t="s">
        <v>5344</v>
      </c>
      <c r="E2888" s="5" t="s">
        <v>6897</v>
      </c>
      <c r="F2888" s="1" t="str">
        <f t="shared" si="80"/>
        <v>https://www.kegg.jp/dbget-bin/www_bget?ec:1.8.1.9</v>
      </c>
      <c r="G2888" s="9" t="s">
        <v>7805</v>
      </c>
      <c r="H2888" s="1" t="str">
        <f t="shared" si="88"/>
        <v>https://www.kegg.jp/entry/R09372</v>
      </c>
      <c r="I2888" t="s">
        <v>8303</v>
      </c>
      <c r="J2888" t="s">
        <v>13462</v>
      </c>
    </row>
    <row r="2889" spans="1:10" hidden="1" x14ac:dyDescent="0.25">
      <c r="A2889" t="s">
        <v>5345</v>
      </c>
      <c r="B2889">
        <v>438</v>
      </c>
      <c r="C2889" t="s">
        <v>5346</v>
      </c>
      <c r="F2889" s="1" t="str">
        <f t="shared" si="80"/>
        <v/>
      </c>
      <c r="G2889" s="3"/>
      <c r="H2889" s="1" t="str">
        <f t="shared" si="88"/>
        <v/>
      </c>
    </row>
    <row r="2890" spans="1:10" hidden="1" x14ac:dyDescent="0.25">
      <c r="A2890" t="s">
        <v>5348</v>
      </c>
      <c r="B2890">
        <v>112</v>
      </c>
      <c r="C2890" t="s">
        <v>5349</v>
      </c>
      <c r="F2890" s="1" t="str">
        <f t="shared" si="80"/>
        <v/>
      </c>
      <c r="G2890" s="3"/>
      <c r="H2890" s="1" t="str">
        <f t="shared" si="88"/>
        <v/>
      </c>
    </row>
    <row r="2891" spans="1:10" hidden="1" x14ac:dyDescent="0.25">
      <c r="A2891" t="s">
        <v>5351</v>
      </c>
      <c r="B2891">
        <v>595</v>
      </c>
      <c r="C2891" t="s">
        <v>5352</v>
      </c>
      <c r="F2891" s="1" t="str">
        <f t="shared" ref="F2891:F2979" si="91">IF(E2891&lt;&gt;"", HYPERLINK("https://www.kegg.jp/dbget-bin/www_bget?ec:" &amp; E2891, "https://www.kegg.jp/dbget-bin/www_bget?ec:" &amp; E2891), "")</f>
        <v/>
      </c>
      <c r="G2891" s="3"/>
      <c r="H2891" s="1" t="str">
        <f t="shared" si="88"/>
        <v/>
      </c>
    </row>
    <row r="2892" spans="1:10" hidden="1" x14ac:dyDescent="0.25">
      <c r="A2892" t="s">
        <v>5353</v>
      </c>
      <c r="B2892">
        <v>315</v>
      </c>
      <c r="C2892" t="s">
        <v>5354</v>
      </c>
      <c r="F2892" s="1" t="str">
        <f t="shared" si="91"/>
        <v/>
      </c>
      <c r="G2892" s="3"/>
      <c r="H2892" s="1" t="str">
        <f t="shared" si="88"/>
        <v/>
      </c>
    </row>
    <row r="2893" spans="1:10" hidden="1" x14ac:dyDescent="0.25">
      <c r="A2893" t="s">
        <v>5355</v>
      </c>
      <c r="B2893">
        <v>183</v>
      </c>
      <c r="C2893" t="s">
        <v>5356</v>
      </c>
      <c r="F2893" s="1" t="str">
        <f t="shared" si="91"/>
        <v/>
      </c>
      <c r="G2893" s="3"/>
      <c r="H2893" s="1" t="str">
        <f t="shared" si="88"/>
        <v/>
      </c>
    </row>
    <row r="2894" spans="1:10" x14ac:dyDescent="0.25">
      <c r="A2894" t="s">
        <v>5358</v>
      </c>
      <c r="B2894">
        <v>311</v>
      </c>
      <c r="C2894" t="s">
        <v>5359</v>
      </c>
      <c r="E2894" s="5" t="s">
        <v>7031</v>
      </c>
      <c r="F2894" s="1" t="str">
        <f t="shared" si="91"/>
        <v>https://www.kegg.jp/dbget-bin/www_bget?ec:2.1.1.33</v>
      </c>
      <c r="G2894" s="3" t="s">
        <v>7293</v>
      </c>
      <c r="H2894" s="1" t="str">
        <f t="shared" si="88"/>
        <v>https://www.kegg.jp/entry/R00600</v>
      </c>
      <c r="I2894" t="s">
        <v>8274</v>
      </c>
      <c r="J2894" t="s">
        <v>13802</v>
      </c>
    </row>
    <row r="2895" spans="1:10" x14ac:dyDescent="0.25">
      <c r="A2895" t="s">
        <v>5360</v>
      </c>
      <c r="B2895">
        <v>356</v>
      </c>
      <c r="C2895" t="s">
        <v>5361</v>
      </c>
      <c r="E2895" s="5" t="s">
        <v>6854</v>
      </c>
      <c r="F2895" s="1" t="str">
        <f t="shared" si="91"/>
        <v>https://www.kegg.jp/dbget-bin/www_bget?ec:2.6.1.1</v>
      </c>
      <c r="G2895" s="3" t="s">
        <v>7735</v>
      </c>
      <c r="H2895" s="1" t="str">
        <f t="shared" si="88"/>
        <v>https://www.kegg.jp/entry/R00355</v>
      </c>
      <c r="I2895" t="s">
        <v>13353</v>
      </c>
      <c r="J2895" t="s">
        <v>13354</v>
      </c>
    </row>
    <row r="2896" spans="1:10" x14ac:dyDescent="0.25">
      <c r="A2896" t="s">
        <v>5360</v>
      </c>
      <c r="B2896">
        <v>356</v>
      </c>
      <c r="C2896" t="s">
        <v>5361</v>
      </c>
      <c r="E2896" s="5" t="s">
        <v>6854</v>
      </c>
      <c r="F2896" s="1" t="str">
        <f t="shared" si="91"/>
        <v>https://www.kegg.jp/dbget-bin/www_bget?ec:2.6.1.1</v>
      </c>
      <c r="G2896" s="3" t="s">
        <v>7742</v>
      </c>
      <c r="H2896" s="1" t="str">
        <f t="shared" si="88"/>
        <v>https://www.kegg.jp/entry/R00694</v>
      </c>
      <c r="I2896" t="s">
        <v>13355</v>
      </c>
      <c r="J2896" t="s">
        <v>13356</v>
      </c>
    </row>
    <row r="2897" spans="1:10" x14ac:dyDescent="0.25">
      <c r="A2897" t="s">
        <v>5360</v>
      </c>
      <c r="B2897">
        <v>356</v>
      </c>
      <c r="C2897" t="s">
        <v>5361</v>
      </c>
      <c r="E2897" s="5" t="s">
        <v>6854</v>
      </c>
      <c r="F2897" s="1" t="str">
        <f t="shared" si="91"/>
        <v>https://www.kegg.jp/dbget-bin/www_bget?ec:2.6.1.1</v>
      </c>
      <c r="G2897" s="3" t="s">
        <v>7741</v>
      </c>
      <c r="H2897" s="1" t="str">
        <f t="shared" si="88"/>
        <v>https://www.kegg.jp/entry/R00734</v>
      </c>
      <c r="I2897" t="s">
        <v>13357</v>
      </c>
      <c r="J2897" t="s">
        <v>13358</v>
      </c>
    </row>
    <row r="2898" spans="1:10" x14ac:dyDescent="0.25">
      <c r="A2898" t="s">
        <v>5360</v>
      </c>
      <c r="B2898">
        <v>356</v>
      </c>
      <c r="C2898" t="s">
        <v>5361</v>
      </c>
      <c r="E2898" s="5" t="s">
        <v>6854</v>
      </c>
      <c r="F2898" s="1" t="str">
        <f t="shared" si="91"/>
        <v>https://www.kegg.jp/dbget-bin/www_bget?ec:2.6.1.1</v>
      </c>
      <c r="G2898" s="3" t="s">
        <v>7740</v>
      </c>
      <c r="H2898" s="1" t="str">
        <f t="shared" si="88"/>
        <v>https://www.kegg.jp/entry/R00895</v>
      </c>
      <c r="I2898" t="s">
        <v>13359</v>
      </c>
      <c r="J2898" t="s">
        <v>13360</v>
      </c>
    </row>
    <row r="2899" spans="1:10" x14ac:dyDescent="0.25">
      <c r="A2899" t="s">
        <v>5360</v>
      </c>
      <c r="B2899">
        <v>356</v>
      </c>
      <c r="C2899" t="s">
        <v>5361</v>
      </c>
      <c r="E2899" s="5" t="s">
        <v>6854</v>
      </c>
      <c r="F2899" s="1" t="str">
        <f t="shared" si="91"/>
        <v>https://www.kegg.jp/dbget-bin/www_bget?ec:2.6.1.1</v>
      </c>
      <c r="G2899" s="3" t="s">
        <v>7739</v>
      </c>
      <c r="H2899" s="1" t="str">
        <f t="shared" si="88"/>
        <v>https://www.kegg.jp/entry/R00896</v>
      </c>
      <c r="I2899" t="s">
        <v>13359</v>
      </c>
      <c r="J2899" t="s">
        <v>13361</v>
      </c>
    </row>
    <row r="2900" spans="1:10" x14ac:dyDescent="0.25">
      <c r="A2900" t="s">
        <v>5360</v>
      </c>
      <c r="B2900">
        <v>356</v>
      </c>
      <c r="C2900" t="s">
        <v>5361</v>
      </c>
      <c r="E2900" s="5" t="s">
        <v>6854</v>
      </c>
      <c r="F2900" s="1" t="str">
        <f t="shared" si="91"/>
        <v>https://www.kegg.jp/dbget-bin/www_bget?ec:2.6.1.1</v>
      </c>
      <c r="G2900" s="3" t="s">
        <v>7738</v>
      </c>
      <c r="H2900" s="1" t="str">
        <f t="shared" si="88"/>
        <v>https://www.kegg.jp/entry/R02433</v>
      </c>
      <c r="I2900" t="s">
        <v>13362</v>
      </c>
      <c r="J2900" t="s">
        <v>13363</v>
      </c>
    </row>
    <row r="2901" spans="1:10" x14ac:dyDescent="0.25">
      <c r="A2901" t="s">
        <v>5360</v>
      </c>
      <c r="B2901">
        <v>356</v>
      </c>
      <c r="C2901" t="s">
        <v>5361</v>
      </c>
      <c r="E2901" s="5" t="s">
        <v>6854</v>
      </c>
      <c r="F2901" s="1" t="str">
        <f t="shared" si="91"/>
        <v>https://www.kegg.jp/dbget-bin/www_bget?ec:2.6.1.1</v>
      </c>
      <c r="G2901" s="3" t="s">
        <v>7737</v>
      </c>
      <c r="H2901" s="1" t="str">
        <f t="shared" si="88"/>
        <v>https://www.kegg.jp/entry/R02619</v>
      </c>
      <c r="I2901" t="s">
        <v>13364</v>
      </c>
      <c r="J2901" t="s">
        <v>13365</v>
      </c>
    </row>
    <row r="2902" spans="1:10" x14ac:dyDescent="0.25">
      <c r="A2902" t="s">
        <v>5360</v>
      </c>
      <c r="B2902">
        <v>356</v>
      </c>
      <c r="C2902" t="s">
        <v>5361</v>
      </c>
      <c r="E2902" s="5" t="s">
        <v>6854</v>
      </c>
      <c r="F2902" s="1" t="str">
        <f t="shared" si="91"/>
        <v>https://www.kegg.jp/dbget-bin/www_bget?ec:2.6.1.1</v>
      </c>
      <c r="G2902" s="3" t="s">
        <v>7736</v>
      </c>
      <c r="H2902" s="1" t="str">
        <f t="shared" si="88"/>
        <v>https://www.kegg.jp/entry/R05052</v>
      </c>
      <c r="I2902" t="s">
        <v>13366</v>
      </c>
      <c r="J2902" t="s">
        <v>13367</v>
      </c>
    </row>
    <row r="2903" spans="1:10" hidden="1" x14ac:dyDescent="0.25">
      <c r="A2903" t="s">
        <v>5362</v>
      </c>
      <c r="B2903">
        <v>154</v>
      </c>
      <c r="C2903" t="s">
        <v>5363</v>
      </c>
      <c r="F2903" s="1" t="str">
        <f t="shared" si="91"/>
        <v/>
      </c>
      <c r="G2903" s="3"/>
      <c r="H2903" s="1" t="str">
        <f t="shared" si="88"/>
        <v/>
      </c>
    </row>
    <row r="2904" spans="1:10" x14ac:dyDescent="0.25">
      <c r="A2904" t="s">
        <v>5364</v>
      </c>
      <c r="B2904">
        <v>230</v>
      </c>
      <c r="C2904" t="s">
        <v>5365</v>
      </c>
      <c r="E2904" s="5" t="s">
        <v>6858</v>
      </c>
      <c r="F2904" s="1" t="str">
        <f t="shared" si="91"/>
        <v>https://www.kegg.jp/dbget-bin/www_bget?ec:2.8.1.1</v>
      </c>
      <c r="G2904" s="3" t="s">
        <v>7211</v>
      </c>
      <c r="H2904" s="1" t="str">
        <f t="shared" si="88"/>
        <v>https://www.kegg.jp/entry/R01931</v>
      </c>
      <c r="I2904" t="s">
        <v>13370</v>
      </c>
      <c r="J2904" t="s">
        <v>8542</v>
      </c>
    </row>
    <row r="2905" spans="1:10" x14ac:dyDescent="0.25">
      <c r="A2905" t="s">
        <v>5367</v>
      </c>
      <c r="B2905">
        <v>207</v>
      </c>
      <c r="C2905" t="s">
        <v>5368</v>
      </c>
      <c r="E2905" s="5" t="s">
        <v>7032</v>
      </c>
      <c r="F2905" s="1" t="str">
        <f t="shared" ref="F2905" si="92">IF(E2905&lt;&gt;"", HYPERLINK("https://www.kegg.jp/dbget-bin/www_bget?ec:" &amp; E2905, "https://www.kegg.jp/dbget-bin/www_bget?ec:" &amp; E2905), "")</f>
        <v>https://www.kegg.jp/dbget-bin/www_bget?ec:3.1.2.6</v>
      </c>
      <c r="G2905" s="9" t="s">
        <v>8007</v>
      </c>
      <c r="H2905" s="1" t="str">
        <f t="shared" si="88"/>
        <v>https://www.kegg.jp/entry/R04090</v>
      </c>
      <c r="I2905" t="s">
        <v>13803</v>
      </c>
      <c r="J2905" t="s">
        <v>13804</v>
      </c>
    </row>
    <row r="2906" spans="1:10" x14ac:dyDescent="0.25">
      <c r="A2906" t="s">
        <v>5367</v>
      </c>
      <c r="B2906">
        <v>207</v>
      </c>
      <c r="C2906" t="s">
        <v>5368</v>
      </c>
      <c r="E2906" s="5" t="s">
        <v>7032</v>
      </c>
      <c r="F2906" s="1" t="str">
        <f t="shared" si="91"/>
        <v>https://www.kegg.jp/dbget-bin/www_bget?ec:3.1.2.6</v>
      </c>
      <c r="G2906" s="9" t="s">
        <v>8008</v>
      </c>
      <c r="H2906" s="1" t="str">
        <f t="shared" si="88"/>
        <v>https://www.kegg.jp/entry/R01736</v>
      </c>
      <c r="I2906" t="s">
        <v>13805</v>
      </c>
      <c r="J2906" t="s">
        <v>13806</v>
      </c>
    </row>
    <row r="2907" spans="1:10" hidden="1" x14ac:dyDescent="0.25">
      <c r="A2907" t="s">
        <v>5370</v>
      </c>
      <c r="B2907">
        <v>243</v>
      </c>
      <c r="C2907" t="s">
        <v>5371</v>
      </c>
      <c r="F2907" s="1" t="str">
        <f t="shared" si="91"/>
        <v/>
      </c>
      <c r="G2907" s="3"/>
      <c r="H2907" s="1" t="str">
        <f t="shared" si="88"/>
        <v/>
      </c>
    </row>
    <row r="2908" spans="1:10" hidden="1" x14ac:dyDescent="0.25">
      <c r="A2908" t="s">
        <v>5373</v>
      </c>
      <c r="B2908">
        <v>142</v>
      </c>
      <c r="C2908" t="s">
        <v>5374</v>
      </c>
      <c r="F2908" s="1" t="str">
        <f t="shared" si="91"/>
        <v/>
      </c>
      <c r="G2908" s="3"/>
      <c r="H2908" s="1" t="str">
        <f t="shared" si="88"/>
        <v/>
      </c>
    </row>
    <row r="2909" spans="1:10" hidden="1" x14ac:dyDescent="0.25">
      <c r="A2909" t="s">
        <v>5376</v>
      </c>
      <c r="B2909">
        <v>258</v>
      </c>
      <c r="C2909" t="s">
        <v>5377</v>
      </c>
      <c r="F2909" s="1" t="str">
        <f t="shared" si="91"/>
        <v/>
      </c>
      <c r="G2909" s="3"/>
      <c r="H2909" s="1" t="str">
        <f t="shared" si="88"/>
        <v/>
      </c>
    </row>
    <row r="2910" spans="1:10" hidden="1" x14ac:dyDescent="0.25">
      <c r="A2910" t="s">
        <v>5379</v>
      </c>
      <c r="B2910">
        <v>331</v>
      </c>
      <c r="C2910" t="s">
        <v>5380</v>
      </c>
      <c r="F2910" s="1" t="str">
        <f t="shared" si="91"/>
        <v/>
      </c>
      <c r="G2910" s="3"/>
      <c r="H2910" s="1" t="str">
        <f t="shared" si="88"/>
        <v/>
      </c>
    </row>
    <row r="2911" spans="1:10" hidden="1" x14ac:dyDescent="0.25">
      <c r="A2911" t="s">
        <v>5382</v>
      </c>
      <c r="B2911">
        <v>515</v>
      </c>
      <c r="C2911" t="s">
        <v>5383</v>
      </c>
      <c r="F2911" s="1" t="str">
        <f t="shared" si="91"/>
        <v/>
      </c>
      <c r="G2911" s="3"/>
      <c r="H2911" s="1" t="str">
        <f t="shared" si="88"/>
        <v/>
      </c>
    </row>
    <row r="2912" spans="1:10" hidden="1" x14ac:dyDescent="0.25">
      <c r="A2912" t="s">
        <v>5385</v>
      </c>
      <c r="B2912">
        <v>345</v>
      </c>
      <c r="C2912" t="s">
        <v>5386</v>
      </c>
      <c r="F2912" s="1" t="str">
        <f t="shared" si="91"/>
        <v/>
      </c>
      <c r="G2912" s="3"/>
      <c r="H2912" s="1" t="str">
        <f t="shared" si="88"/>
        <v/>
      </c>
    </row>
    <row r="2913" spans="1:10" x14ac:dyDescent="0.25">
      <c r="A2913" t="s">
        <v>5388</v>
      </c>
      <c r="B2913">
        <v>259</v>
      </c>
      <c r="C2913" t="s">
        <v>5389</v>
      </c>
      <c r="E2913" s="5" t="s">
        <v>6979</v>
      </c>
      <c r="F2913" s="1" t="str">
        <f t="shared" si="91"/>
        <v>https://www.kegg.jp/dbget-bin/www_bget?ec:4.2.1.70</v>
      </c>
      <c r="G2913" s="3" t="s">
        <v>7269</v>
      </c>
      <c r="H2913" s="1" t="str">
        <f t="shared" si="88"/>
        <v>https://www.kegg.jp/entry/R01055</v>
      </c>
      <c r="I2913" t="s">
        <v>8350</v>
      </c>
      <c r="J2913" t="s">
        <v>13651</v>
      </c>
    </row>
    <row r="2914" spans="1:10" hidden="1" x14ac:dyDescent="0.25">
      <c r="A2914" t="s">
        <v>5390</v>
      </c>
      <c r="B2914">
        <v>396</v>
      </c>
      <c r="C2914" t="s">
        <v>5391</v>
      </c>
      <c r="F2914" s="1" t="str">
        <f t="shared" si="91"/>
        <v/>
      </c>
      <c r="G2914" s="3"/>
      <c r="H2914" s="1" t="str">
        <f t="shared" si="88"/>
        <v/>
      </c>
    </row>
    <row r="2915" spans="1:10" hidden="1" x14ac:dyDescent="0.25">
      <c r="A2915" t="s">
        <v>5392</v>
      </c>
      <c r="B2915">
        <v>336</v>
      </c>
      <c r="C2915" t="s">
        <v>5393</v>
      </c>
      <c r="F2915" s="1" t="str">
        <f t="shared" si="91"/>
        <v/>
      </c>
      <c r="G2915" s="3"/>
      <c r="H2915" s="1" t="str">
        <f t="shared" si="88"/>
        <v/>
      </c>
    </row>
    <row r="2916" spans="1:10" hidden="1" x14ac:dyDescent="0.25">
      <c r="A2916" t="s">
        <v>5395</v>
      </c>
      <c r="B2916">
        <v>615</v>
      </c>
      <c r="C2916" t="s">
        <v>5396</v>
      </c>
      <c r="F2916" s="1" t="str">
        <f t="shared" si="91"/>
        <v/>
      </c>
      <c r="G2916" s="3"/>
      <c r="H2916" s="1" t="str">
        <f t="shared" si="88"/>
        <v/>
      </c>
    </row>
    <row r="2917" spans="1:10" hidden="1" x14ac:dyDescent="0.25">
      <c r="A2917" t="s">
        <v>5398</v>
      </c>
      <c r="B2917">
        <v>126</v>
      </c>
      <c r="C2917" t="s">
        <v>5399</v>
      </c>
      <c r="F2917" s="1" t="str">
        <f t="shared" si="91"/>
        <v/>
      </c>
      <c r="G2917" s="3"/>
      <c r="H2917" s="1" t="str">
        <f t="shared" si="88"/>
        <v/>
      </c>
    </row>
    <row r="2918" spans="1:10" hidden="1" x14ac:dyDescent="0.25">
      <c r="A2918" t="s">
        <v>5400</v>
      </c>
      <c r="B2918">
        <v>376</v>
      </c>
      <c r="C2918" t="s">
        <v>5401</v>
      </c>
      <c r="F2918" s="1" t="str">
        <f t="shared" si="91"/>
        <v/>
      </c>
      <c r="G2918" s="3"/>
      <c r="H2918" s="1" t="str">
        <f t="shared" si="88"/>
        <v/>
      </c>
    </row>
    <row r="2919" spans="1:10" x14ac:dyDescent="0.25">
      <c r="A2919" t="s">
        <v>5402</v>
      </c>
      <c r="B2919">
        <v>310</v>
      </c>
      <c r="C2919" t="s">
        <v>5403</v>
      </c>
      <c r="E2919" s="5" t="s">
        <v>6986</v>
      </c>
      <c r="F2919" s="1" t="str">
        <f t="shared" si="91"/>
        <v>https://www.kegg.jp/dbget-bin/www_bget?ec:2.7.6.1</v>
      </c>
      <c r="G2919" s="3" t="s">
        <v>7274</v>
      </c>
      <c r="H2919" s="1" t="str">
        <f t="shared" si="88"/>
        <v>https://www.kegg.jp/entry/R01049</v>
      </c>
      <c r="I2919" t="s">
        <v>8357</v>
      </c>
      <c r="J2919" t="s">
        <v>8606</v>
      </c>
    </row>
    <row r="2920" spans="1:10" hidden="1" x14ac:dyDescent="0.25">
      <c r="A2920" t="s">
        <v>5404</v>
      </c>
      <c r="B2920">
        <v>226</v>
      </c>
      <c r="C2920" t="s">
        <v>5405</v>
      </c>
      <c r="F2920" s="1" t="str">
        <f t="shared" si="91"/>
        <v/>
      </c>
      <c r="G2920" s="3"/>
      <c r="H2920" s="1" t="str">
        <f t="shared" si="88"/>
        <v/>
      </c>
    </row>
    <row r="2921" spans="1:10" hidden="1" x14ac:dyDescent="0.25">
      <c r="A2921" t="s">
        <v>5406</v>
      </c>
      <c r="B2921">
        <v>195</v>
      </c>
      <c r="C2921" t="s">
        <v>5407</v>
      </c>
      <c r="F2921" s="1" t="str">
        <f t="shared" si="91"/>
        <v/>
      </c>
      <c r="G2921" s="3"/>
      <c r="H2921" s="1" t="str">
        <f t="shared" si="88"/>
        <v/>
      </c>
    </row>
    <row r="2922" spans="1:10" x14ac:dyDescent="0.25">
      <c r="A2922" t="s">
        <v>5409</v>
      </c>
      <c r="B2922">
        <v>630</v>
      </c>
      <c r="C2922" t="s">
        <v>5410</v>
      </c>
      <c r="E2922" s="5" t="s">
        <v>7033</v>
      </c>
      <c r="F2922" s="1" t="str">
        <f t="shared" si="91"/>
        <v>https://www.kegg.jp/dbget-bin/www_bget?ec:4.1.1.19</v>
      </c>
      <c r="G2922" s="3" t="s">
        <v>7294</v>
      </c>
      <c r="H2922" s="1" t="str">
        <f t="shared" si="88"/>
        <v>https://www.kegg.jp/entry/R00566</v>
      </c>
      <c r="I2922" t="s">
        <v>9983</v>
      </c>
      <c r="J2922" t="s">
        <v>13807</v>
      </c>
    </row>
    <row r="2923" spans="1:10" hidden="1" x14ac:dyDescent="0.25">
      <c r="A2923" t="s">
        <v>5411</v>
      </c>
      <c r="B2923">
        <v>794</v>
      </c>
      <c r="C2923" t="s">
        <v>5412</v>
      </c>
      <c r="F2923" s="1" t="str">
        <f t="shared" si="91"/>
        <v/>
      </c>
      <c r="G2923" s="3"/>
      <c r="H2923" s="1" t="str">
        <f t="shared" ref="H2923:H2986" si="93">IF(G2923&lt;&gt;"", HYPERLINK("https://www.kegg.jp/entry/" &amp; G2923, "https://www.kegg.jp/entry/" &amp; G2923), "")</f>
        <v/>
      </c>
    </row>
    <row r="2924" spans="1:10" x14ac:dyDescent="0.25">
      <c r="A2924" t="s">
        <v>5414</v>
      </c>
      <c r="B2924">
        <v>392</v>
      </c>
      <c r="C2924" t="s">
        <v>5415</v>
      </c>
      <c r="E2924" s="5" t="s">
        <v>7034</v>
      </c>
      <c r="F2924" s="1" t="str">
        <f t="shared" ref="F2924" si="94">IF(E2924&lt;&gt;"", HYPERLINK("https://www.kegg.jp/dbget-bin/www_bget?ec:" &amp; E2924, "https://www.kegg.jp/dbget-bin/www_bget?ec:" &amp; E2924), "")</f>
        <v>https://www.kegg.jp/dbget-bin/www_bget?ec:2.5.1.6</v>
      </c>
      <c r="G2924" s="9" t="s">
        <v>8009</v>
      </c>
      <c r="H2924" s="1" t="str">
        <f t="shared" si="93"/>
        <v>https://www.kegg.jp/entry/R00177</v>
      </c>
      <c r="I2924" t="s">
        <v>13808</v>
      </c>
      <c r="J2924" t="s">
        <v>13809</v>
      </c>
    </row>
    <row r="2925" spans="1:10" x14ac:dyDescent="0.25">
      <c r="A2925" t="s">
        <v>5414</v>
      </c>
      <c r="B2925">
        <v>392</v>
      </c>
      <c r="C2925" t="s">
        <v>5415</v>
      </c>
      <c r="E2925" s="5" t="s">
        <v>7034</v>
      </c>
      <c r="F2925" s="1" t="str">
        <f t="shared" si="91"/>
        <v>https://www.kegg.jp/dbget-bin/www_bget?ec:2.5.1.6</v>
      </c>
      <c r="G2925" s="9" t="s">
        <v>8010</v>
      </c>
      <c r="H2925" s="1" t="str">
        <f t="shared" si="93"/>
        <v>https://www.kegg.jp/entry/R04771</v>
      </c>
      <c r="I2925" t="s">
        <v>13810</v>
      </c>
      <c r="J2925" t="s">
        <v>13811</v>
      </c>
    </row>
    <row r="2926" spans="1:10" x14ac:dyDescent="0.25">
      <c r="A2926" t="s">
        <v>5417</v>
      </c>
      <c r="B2926">
        <v>257</v>
      </c>
      <c r="C2926" t="s">
        <v>5418</v>
      </c>
      <c r="E2926" s="5" t="s">
        <v>7035</v>
      </c>
      <c r="F2926" s="1" t="str">
        <f t="shared" si="91"/>
        <v>https://www.kegg.jp/dbget-bin/www_bget?ec:5.1.1.3</v>
      </c>
      <c r="G2926" s="3" t="s">
        <v>7295</v>
      </c>
      <c r="H2926" s="1" t="str">
        <f t="shared" si="93"/>
        <v>https://www.kegg.jp/entry/R00260</v>
      </c>
      <c r="I2926" t="s">
        <v>9888</v>
      </c>
      <c r="J2926" t="s">
        <v>10401</v>
      </c>
    </row>
    <row r="2927" spans="1:10" hidden="1" x14ac:dyDescent="0.25">
      <c r="A2927" t="s">
        <v>5419</v>
      </c>
      <c r="B2927">
        <v>97</v>
      </c>
      <c r="C2927" t="s">
        <v>5420</v>
      </c>
      <c r="F2927" s="1" t="str">
        <f t="shared" si="91"/>
        <v/>
      </c>
      <c r="G2927" s="3"/>
      <c r="H2927" s="1" t="str">
        <f t="shared" si="93"/>
        <v/>
      </c>
    </row>
    <row r="2928" spans="1:10" x14ac:dyDescent="0.25">
      <c r="A2928" t="s">
        <v>5422</v>
      </c>
      <c r="B2928">
        <v>203</v>
      </c>
      <c r="C2928" t="s">
        <v>5423</v>
      </c>
      <c r="E2928" s="5" t="s">
        <v>7036</v>
      </c>
      <c r="F2928" s="1" t="str">
        <f t="shared" ref="F2928:F2929" si="95">IF(E2928&lt;&gt;"", HYPERLINK("https://www.kegg.jp/dbget-bin/www_bget?ec:" &amp; E2928, "https://www.kegg.jp/dbget-bin/www_bget?ec:" &amp; E2928), "")</f>
        <v>https://www.kegg.jp/dbget-bin/www_bget?ec:3.6.1.15</v>
      </c>
      <c r="G2928" s="9" t="s">
        <v>8011</v>
      </c>
      <c r="H2928" s="1" t="str">
        <f t="shared" si="93"/>
        <v>https://www.kegg.jp/entry/R02319</v>
      </c>
      <c r="I2928" t="s">
        <v>13812</v>
      </c>
      <c r="J2928" t="s">
        <v>13813</v>
      </c>
    </row>
    <row r="2929" spans="1:10" x14ac:dyDescent="0.25">
      <c r="A2929" t="s">
        <v>5422</v>
      </c>
      <c r="B2929">
        <v>203</v>
      </c>
      <c r="C2929" t="s">
        <v>5423</v>
      </c>
      <c r="E2929" s="5" t="s">
        <v>7036</v>
      </c>
      <c r="F2929" s="1" t="str">
        <f t="shared" si="95"/>
        <v>https://www.kegg.jp/dbget-bin/www_bget?ec:3.6.1.15</v>
      </c>
      <c r="G2929" s="9" t="s">
        <v>8013</v>
      </c>
      <c r="H2929" s="1" t="str">
        <f t="shared" si="93"/>
        <v>https://www.kegg.jp/entry/R00086</v>
      </c>
      <c r="I2929" t="s">
        <v>13814</v>
      </c>
      <c r="J2929" t="s">
        <v>13815</v>
      </c>
    </row>
    <row r="2930" spans="1:10" x14ac:dyDescent="0.25">
      <c r="A2930" t="s">
        <v>5422</v>
      </c>
      <c r="B2930">
        <v>203</v>
      </c>
      <c r="C2930" t="s">
        <v>5423</v>
      </c>
      <c r="E2930" s="5" t="s">
        <v>7036</v>
      </c>
      <c r="F2930" s="1" t="str">
        <f t="shared" si="91"/>
        <v>https://www.kegg.jp/dbget-bin/www_bget?ec:3.6.1.15</v>
      </c>
      <c r="G2930" s="9" t="s">
        <v>8012</v>
      </c>
      <c r="H2930" s="1" t="str">
        <f t="shared" si="93"/>
        <v>https://www.kegg.jp/entry/R00615</v>
      </c>
      <c r="I2930" t="s">
        <v>13816</v>
      </c>
      <c r="J2930" t="s">
        <v>13817</v>
      </c>
    </row>
    <row r="2931" spans="1:10" hidden="1" x14ac:dyDescent="0.25">
      <c r="A2931" t="s">
        <v>5424</v>
      </c>
      <c r="B2931">
        <v>343</v>
      </c>
      <c r="C2931" t="s">
        <v>5425</v>
      </c>
      <c r="F2931" s="1" t="str">
        <f t="shared" si="91"/>
        <v/>
      </c>
      <c r="G2931" s="3"/>
      <c r="H2931" s="1" t="str">
        <f t="shared" si="93"/>
        <v/>
      </c>
    </row>
    <row r="2932" spans="1:10" hidden="1" x14ac:dyDescent="0.25">
      <c r="A2932" t="s">
        <v>5426</v>
      </c>
      <c r="B2932">
        <v>398</v>
      </c>
      <c r="C2932" t="s">
        <v>5427</v>
      </c>
      <c r="F2932" s="1" t="str">
        <f t="shared" si="91"/>
        <v/>
      </c>
      <c r="G2932" s="3"/>
      <c r="H2932" s="1" t="str">
        <f t="shared" si="93"/>
        <v/>
      </c>
    </row>
    <row r="2933" spans="1:10" hidden="1" x14ac:dyDescent="0.25">
      <c r="A2933" t="s">
        <v>5428</v>
      </c>
      <c r="B2933">
        <v>442</v>
      </c>
      <c r="C2933" t="s">
        <v>5429</v>
      </c>
      <c r="F2933" s="1" t="str">
        <f t="shared" si="91"/>
        <v/>
      </c>
      <c r="G2933" s="3"/>
      <c r="H2933" s="1" t="str">
        <f t="shared" si="93"/>
        <v/>
      </c>
    </row>
    <row r="2934" spans="1:10" hidden="1" x14ac:dyDescent="0.25">
      <c r="A2934" t="s">
        <v>5430</v>
      </c>
      <c r="B2934">
        <v>439</v>
      </c>
      <c r="C2934" t="s">
        <v>5431</v>
      </c>
      <c r="F2934" s="1" t="str">
        <f t="shared" si="91"/>
        <v/>
      </c>
      <c r="G2934" s="3"/>
      <c r="H2934" s="1" t="str">
        <f t="shared" si="93"/>
        <v/>
      </c>
    </row>
    <row r="2935" spans="1:10" x14ac:dyDescent="0.25">
      <c r="A2935" t="s">
        <v>5432</v>
      </c>
      <c r="B2935">
        <v>569</v>
      </c>
      <c r="C2935" t="s">
        <v>5433</v>
      </c>
      <c r="E2935" s="5" t="s">
        <v>6701</v>
      </c>
      <c r="F2935" s="1" t="str">
        <f t="shared" ref="F2935:F2939" si="96">IF(E2935&lt;&gt;"", HYPERLINK("https://www.kegg.jp/dbget-bin/www_bget?ec:" &amp; E2935, "https://www.kegg.jp/dbget-bin/www_bget?ec:" &amp; E2935), "")</f>
        <v>https://www.kegg.jp/dbget-bin/www_bget?ec:3.2.1.20</v>
      </c>
      <c r="G2935" s="9" t="s">
        <v>7503</v>
      </c>
      <c r="H2935" s="1" t="str">
        <f t="shared" si="93"/>
        <v>https://www.kegg.jp/entry/R00028</v>
      </c>
      <c r="I2935" t="s">
        <v>12960</v>
      </c>
      <c r="J2935" t="s">
        <v>8307</v>
      </c>
    </row>
    <row r="2936" spans="1:10" x14ac:dyDescent="0.25">
      <c r="A2936" t="s">
        <v>5432</v>
      </c>
      <c r="B2936">
        <v>569</v>
      </c>
      <c r="C2936" t="s">
        <v>5433</v>
      </c>
      <c r="E2936" s="5" t="s">
        <v>6701</v>
      </c>
      <c r="F2936" s="1" t="str">
        <f t="shared" si="96"/>
        <v>https://www.kegg.jp/dbget-bin/www_bget?ec:3.2.1.20</v>
      </c>
      <c r="G2936" s="9" t="s">
        <v>7508</v>
      </c>
      <c r="H2936" s="1" t="str">
        <f t="shared" si="93"/>
        <v>https://www.kegg.jp/entry/R00801</v>
      </c>
      <c r="I2936" t="s">
        <v>12961</v>
      </c>
      <c r="J2936" t="s">
        <v>12962</v>
      </c>
    </row>
    <row r="2937" spans="1:10" x14ac:dyDescent="0.25">
      <c r="A2937" t="s">
        <v>5432</v>
      </c>
      <c r="B2937">
        <v>569</v>
      </c>
      <c r="C2937" t="s">
        <v>5433</v>
      </c>
      <c r="E2937" s="5" t="s">
        <v>6701</v>
      </c>
      <c r="F2937" s="1" t="str">
        <f t="shared" si="96"/>
        <v>https://www.kegg.jp/dbget-bin/www_bget?ec:3.2.1.20</v>
      </c>
      <c r="G2937" s="9" t="s">
        <v>7507</v>
      </c>
      <c r="H2937" s="1" t="str">
        <f t="shared" si="93"/>
        <v>https://www.kegg.jp/entry/R00802</v>
      </c>
      <c r="I2937" t="s">
        <v>12961</v>
      </c>
      <c r="J2937" t="s">
        <v>12963</v>
      </c>
    </row>
    <row r="2938" spans="1:10" x14ac:dyDescent="0.25">
      <c r="A2938" t="s">
        <v>5432</v>
      </c>
      <c r="B2938">
        <v>569</v>
      </c>
      <c r="C2938" t="s">
        <v>5433</v>
      </c>
      <c r="E2938" s="5" t="s">
        <v>6701</v>
      </c>
      <c r="F2938" s="1" t="str">
        <f t="shared" si="96"/>
        <v>https://www.kegg.jp/dbget-bin/www_bget?ec:3.2.1.20</v>
      </c>
      <c r="G2938" s="9" t="s">
        <v>7506</v>
      </c>
      <c r="H2938" s="1" t="str">
        <f t="shared" si="93"/>
        <v>https://www.kegg.jp/entry/R06084</v>
      </c>
      <c r="I2938" t="s">
        <v>12964</v>
      </c>
      <c r="J2938" t="s">
        <v>8454</v>
      </c>
    </row>
    <row r="2939" spans="1:10" x14ac:dyDescent="0.25">
      <c r="A2939" t="s">
        <v>5432</v>
      </c>
      <c r="B2939">
        <v>569</v>
      </c>
      <c r="C2939" t="s">
        <v>5433</v>
      </c>
      <c r="E2939" s="5" t="s">
        <v>6701</v>
      </c>
      <c r="F2939" s="1" t="str">
        <f t="shared" si="96"/>
        <v>https://www.kegg.jp/dbget-bin/www_bget?ec:3.2.1.20</v>
      </c>
      <c r="G2939" s="9" t="s">
        <v>7505</v>
      </c>
      <c r="H2939" s="1" t="str">
        <f t="shared" si="93"/>
        <v>https://www.kegg.jp/entry/R06087</v>
      </c>
      <c r="I2939" t="s">
        <v>12965</v>
      </c>
      <c r="J2939" t="s">
        <v>12962</v>
      </c>
    </row>
    <row r="2940" spans="1:10" x14ac:dyDescent="0.25">
      <c r="A2940" t="s">
        <v>5432</v>
      </c>
      <c r="B2940">
        <v>569</v>
      </c>
      <c r="C2940" t="s">
        <v>5433</v>
      </c>
      <c r="E2940" s="5" t="s">
        <v>6701</v>
      </c>
      <c r="F2940" s="1" t="str">
        <f t="shared" si="91"/>
        <v>https://www.kegg.jp/dbget-bin/www_bget?ec:3.2.1.20</v>
      </c>
      <c r="G2940" s="9" t="s">
        <v>7504</v>
      </c>
      <c r="H2940" s="1" t="str">
        <f t="shared" si="93"/>
        <v>https://www.kegg.jp/entry/R06088</v>
      </c>
      <c r="I2940" t="s">
        <v>12965</v>
      </c>
      <c r="J2940" t="s">
        <v>12963</v>
      </c>
    </row>
    <row r="2941" spans="1:10" hidden="1" x14ac:dyDescent="0.25">
      <c r="A2941" t="s">
        <v>5434</v>
      </c>
      <c r="B2941">
        <v>97</v>
      </c>
      <c r="C2941" t="s">
        <v>5435</v>
      </c>
      <c r="F2941" s="1" t="str">
        <f t="shared" si="91"/>
        <v/>
      </c>
      <c r="G2941" s="3"/>
      <c r="H2941" s="1" t="str">
        <f t="shared" si="93"/>
        <v/>
      </c>
    </row>
    <row r="2942" spans="1:10" hidden="1" x14ac:dyDescent="0.25">
      <c r="A2942" t="s">
        <v>5437</v>
      </c>
      <c r="B2942">
        <v>752</v>
      </c>
      <c r="C2942" t="s">
        <v>5438</v>
      </c>
      <c r="F2942" s="1" t="str">
        <f t="shared" si="91"/>
        <v/>
      </c>
      <c r="G2942" s="3"/>
      <c r="H2942" s="1" t="str">
        <f t="shared" si="93"/>
        <v/>
      </c>
    </row>
    <row r="2943" spans="1:10" hidden="1" x14ac:dyDescent="0.25">
      <c r="A2943" t="s">
        <v>5439</v>
      </c>
      <c r="B2943">
        <v>155</v>
      </c>
      <c r="C2943" t="s">
        <v>5440</v>
      </c>
      <c r="F2943" s="1" t="str">
        <f t="shared" si="91"/>
        <v/>
      </c>
      <c r="G2943" s="3"/>
      <c r="H2943" s="1" t="str">
        <f t="shared" si="93"/>
        <v/>
      </c>
    </row>
    <row r="2944" spans="1:10" hidden="1" x14ac:dyDescent="0.25">
      <c r="A2944" t="s">
        <v>5442</v>
      </c>
      <c r="B2944">
        <v>139</v>
      </c>
      <c r="C2944" t="s">
        <v>5443</v>
      </c>
      <c r="F2944" s="1" t="str">
        <f t="shared" si="91"/>
        <v/>
      </c>
      <c r="G2944" s="3"/>
      <c r="H2944" s="1" t="str">
        <f t="shared" si="93"/>
        <v/>
      </c>
    </row>
    <row r="2945" spans="1:10" hidden="1" x14ac:dyDescent="0.25">
      <c r="A2945" t="s">
        <v>5444</v>
      </c>
      <c r="B2945">
        <v>564</v>
      </c>
      <c r="C2945" t="s">
        <v>5445</v>
      </c>
      <c r="F2945" s="1" t="str">
        <f t="shared" si="91"/>
        <v/>
      </c>
      <c r="G2945" s="3"/>
      <c r="H2945" s="1" t="str">
        <f t="shared" si="93"/>
        <v/>
      </c>
    </row>
    <row r="2946" spans="1:10" x14ac:dyDescent="0.25">
      <c r="A2946" t="s">
        <v>5447</v>
      </c>
      <c r="B2946">
        <v>150</v>
      </c>
      <c r="C2946" t="s">
        <v>5448</v>
      </c>
      <c r="E2946" s="5" t="s">
        <v>7037</v>
      </c>
      <c r="F2946" s="1" t="str">
        <f t="shared" si="91"/>
        <v>https://www.kegg.jp/dbget-bin/www_bget?ec:1.20.4.1</v>
      </c>
      <c r="G2946" s="3" t="s">
        <v>7296</v>
      </c>
      <c r="H2946" s="1" t="str">
        <f t="shared" si="93"/>
        <v>https://www.kegg.jp/entry/R05747</v>
      </c>
      <c r="I2946" t="s">
        <v>13818</v>
      </c>
      <c r="J2946" t="s">
        <v>13819</v>
      </c>
    </row>
    <row r="2947" spans="1:10" x14ac:dyDescent="0.25">
      <c r="A2947" t="s">
        <v>5450</v>
      </c>
      <c r="B2947">
        <v>233</v>
      </c>
      <c r="C2947" t="s">
        <v>5451</v>
      </c>
      <c r="E2947" s="5" t="s">
        <v>7038</v>
      </c>
      <c r="F2947" s="1" t="str">
        <f t="shared" si="91"/>
        <v>https://www.kegg.jp/dbget-bin/www_bget?ec:2.1.1.163</v>
      </c>
      <c r="G2947" s="3" t="s">
        <v>7297</v>
      </c>
      <c r="H2947" s="1" t="str">
        <f t="shared" si="93"/>
        <v>https://www.kegg.jp/entry/R09736</v>
      </c>
      <c r="I2947" t="s">
        <v>13820</v>
      </c>
      <c r="J2947" t="s">
        <v>13821</v>
      </c>
    </row>
    <row r="2948" spans="1:10" hidden="1" x14ac:dyDescent="0.25">
      <c r="A2948" t="s">
        <v>5452</v>
      </c>
      <c r="B2948">
        <v>609</v>
      </c>
      <c r="C2948" t="s">
        <v>5453</v>
      </c>
      <c r="F2948" s="1" t="str">
        <f t="shared" si="91"/>
        <v/>
      </c>
      <c r="G2948" s="3"/>
      <c r="H2948" s="1" t="str">
        <f t="shared" si="93"/>
        <v/>
      </c>
    </row>
    <row r="2949" spans="1:10" hidden="1" x14ac:dyDescent="0.25">
      <c r="A2949" t="s">
        <v>5455</v>
      </c>
      <c r="B2949">
        <v>303</v>
      </c>
      <c r="C2949" t="s">
        <v>5456</v>
      </c>
      <c r="F2949" s="1" t="str">
        <f t="shared" si="91"/>
        <v/>
      </c>
      <c r="G2949" s="3"/>
      <c r="H2949" s="1" t="str">
        <f t="shared" si="93"/>
        <v/>
      </c>
    </row>
    <row r="2950" spans="1:10" hidden="1" x14ac:dyDescent="0.25">
      <c r="A2950" t="s">
        <v>5457</v>
      </c>
      <c r="B2950">
        <v>86</v>
      </c>
      <c r="C2950" t="s">
        <v>5458</v>
      </c>
      <c r="F2950" s="1" t="str">
        <f t="shared" si="91"/>
        <v/>
      </c>
      <c r="G2950" s="3"/>
      <c r="H2950" s="1" t="str">
        <f t="shared" si="93"/>
        <v/>
      </c>
    </row>
    <row r="2951" spans="1:10" hidden="1" x14ac:dyDescent="0.25">
      <c r="A2951" t="s">
        <v>5459</v>
      </c>
      <c r="B2951">
        <v>178</v>
      </c>
      <c r="C2951" t="s">
        <v>5460</v>
      </c>
      <c r="F2951" s="1" t="str">
        <f t="shared" si="91"/>
        <v/>
      </c>
      <c r="G2951" s="3"/>
      <c r="H2951" s="1" t="str">
        <f t="shared" si="93"/>
        <v/>
      </c>
    </row>
    <row r="2952" spans="1:10" hidden="1" x14ac:dyDescent="0.25">
      <c r="A2952" t="s">
        <v>5462</v>
      </c>
      <c r="B2952">
        <v>255</v>
      </c>
      <c r="C2952" t="s">
        <v>5463</v>
      </c>
      <c r="F2952" s="1" t="str">
        <f t="shared" si="91"/>
        <v/>
      </c>
      <c r="G2952" s="3"/>
      <c r="H2952" s="1" t="str">
        <f t="shared" si="93"/>
        <v/>
      </c>
    </row>
    <row r="2953" spans="1:10" x14ac:dyDescent="0.25">
      <c r="A2953" t="s">
        <v>5465</v>
      </c>
      <c r="B2953">
        <v>269</v>
      </c>
      <c r="C2953" t="s">
        <v>5466</v>
      </c>
      <c r="E2953" s="5" t="s">
        <v>6611</v>
      </c>
      <c r="F2953" s="1" t="str">
        <f>IF(E2953&lt;&gt;"", HYPERLINK("https://www.kegg.jp/dbget-bin/www_bget?ec:" &amp; E2953, "https://www.kegg.jp/dbget-bin/www_bget?ec:" &amp; E2953), "")</f>
        <v>https://www.kegg.jp/dbget-bin/www_bget?ec:2.7.7.7</v>
      </c>
      <c r="G2953" s="3" t="s">
        <v>7218</v>
      </c>
      <c r="H2953" s="1" t="str">
        <f t="shared" si="93"/>
        <v>https://www.kegg.jp/entry/R00379</v>
      </c>
      <c r="I2953" t="s">
        <v>12705</v>
      </c>
      <c r="J2953" t="s">
        <v>7080</v>
      </c>
    </row>
    <row r="2954" spans="1:10" x14ac:dyDescent="0.25">
      <c r="A2954" t="s">
        <v>5465</v>
      </c>
      <c r="B2954">
        <v>269</v>
      </c>
      <c r="C2954" t="s">
        <v>5466</v>
      </c>
      <c r="E2954" s="5" t="s">
        <v>6611</v>
      </c>
      <c r="F2954" s="1" t="str">
        <f t="shared" ref="F2954:F2958" si="97">IF(E2954&lt;&gt;"", HYPERLINK("https://www.kegg.jp/dbget-bin/www_bget?ec:" &amp; E2954, "https://www.kegg.jp/dbget-bin/www_bget?ec:" &amp; E2954), "")</f>
        <v>https://www.kegg.jp/dbget-bin/www_bget?ec:2.7.7.7</v>
      </c>
      <c r="G2954" s="3" t="s">
        <v>7315</v>
      </c>
      <c r="H2954" s="1" t="str">
        <f t="shared" si="93"/>
        <v>https://www.kegg.jp/entry/R00375</v>
      </c>
      <c r="I2954" t="s">
        <v>12706</v>
      </c>
      <c r="J2954" t="s">
        <v>7080</v>
      </c>
    </row>
    <row r="2955" spans="1:10" x14ac:dyDescent="0.25">
      <c r="A2955" t="s">
        <v>5465</v>
      </c>
      <c r="B2955">
        <v>269</v>
      </c>
      <c r="C2955" t="s">
        <v>5466</v>
      </c>
      <c r="E2955" s="5" t="s">
        <v>6611</v>
      </c>
      <c r="F2955" s="1" t="str">
        <f t="shared" si="97"/>
        <v>https://www.kegg.jp/dbget-bin/www_bget?ec:2.7.7.7</v>
      </c>
      <c r="G2955" s="3" t="s">
        <v>7316</v>
      </c>
      <c r="H2955" s="1" t="str">
        <f t="shared" si="93"/>
        <v>https://www.kegg.jp/entry/R00376</v>
      </c>
      <c r="I2955" t="s">
        <v>12707</v>
      </c>
      <c r="J2955" t="s">
        <v>7080</v>
      </c>
    </row>
    <row r="2956" spans="1:10" x14ac:dyDescent="0.25">
      <c r="A2956" t="s">
        <v>5465</v>
      </c>
      <c r="B2956">
        <v>269</v>
      </c>
      <c r="C2956" t="s">
        <v>5466</v>
      </c>
      <c r="E2956" s="5" t="s">
        <v>6611</v>
      </c>
      <c r="F2956" s="1" t="str">
        <f t="shared" si="97"/>
        <v>https://www.kegg.jp/dbget-bin/www_bget?ec:2.7.7.7</v>
      </c>
      <c r="G2956" s="3" t="s">
        <v>7317</v>
      </c>
      <c r="H2956" s="1" t="str">
        <f t="shared" si="93"/>
        <v>https://www.kegg.jp/entry/R00377</v>
      </c>
      <c r="I2956" t="s">
        <v>12708</v>
      </c>
      <c r="J2956" t="s">
        <v>7080</v>
      </c>
    </row>
    <row r="2957" spans="1:10" x14ac:dyDescent="0.25">
      <c r="A2957" t="s">
        <v>5465</v>
      </c>
      <c r="B2957">
        <v>269</v>
      </c>
      <c r="C2957" t="s">
        <v>5466</v>
      </c>
      <c r="E2957" s="5" t="s">
        <v>6611</v>
      </c>
      <c r="F2957" s="1" t="str">
        <f t="shared" si="97"/>
        <v>https://www.kegg.jp/dbget-bin/www_bget?ec:2.7.7.7</v>
      </c>
      <c r="G2957" s="3" t="s">
        <v>7318</v>
      </c>
      <c r="H2957" s="1" t="str">
        <f t="shared" si="93"/>
        <v>https://www.kegg.jp/entry/R00378</v>
      </c>
      <c r="I2957" t="s">
        <v>12709</v>
      </c>
      <c r="J2957" t="s">
        <v>7080</v>
      </c>
    </row>
    <row r="2958" spans="1:10" x14ac:dyDescent="0.25">
      <c r="A2958" t="s">
        <v>5465</v>
      </c>
      <c r="B2958">
        <v>269</v>
      </c>
      <c r="C2958" t="s">
        <v>5466</v>
      </c>
      <c r="E2958" s="5" t="s">
        <v>6611</v>
      </c>
      <c r="F2958" s="1" t="str">
        <f t="shared" si="97"/>
        <v>https://www.kegg.jp/dbget-bin/www_bget?ec:2.7.7.7</v>
      </c>
      <c r="G2958" s="3" t="s">
        <v>7319</v>
      </c>
      <c r="H2958" s="1" t="str">
        <f t="shared" si="93"/>
        <v>https://www.kegg.jp/entry/R11029</v>
      </c>
      <c r="I2958" t="s">
        <v>8088</v>
      </c>
      <c r="J2958" t="s">
        <v>8391</v>
      </c>
    </row>
    <row r="2959" spans="1:10" x14ac:dyDescent="0.25">
      <c r="A2959" t="s">
        <v>5468</v>
      </c>
      <c r="B2959">
        <v>240</v>
      </c>
      <c r="C2959" t="s">
        <v>5469</v>
      </c>
      <c r="E2959" s="5" t="s">
        <v>6721</v>
      </c>
      <c r="F2959" s="1" t="str">
        <f t="shared" si="91"/>
        <v>https://www.kegg.jp/dbget-bin/www_bget?ec:3.1.3.16</v>
      </c>
      <c r="G2959" s="3" t="s">
        <v>7137</v>
      </c>
      <c r="H2959" s="1" t="str">
        <f t="shared" si="93"/>
        <v>https://www.kegg.jp/entry/R00164</v>
      </c>
      <c r="I2959" t="s">
        <v>13010</v>
      </c>
      <c r="J2959" t="s">
        <v>13011</v>
      </c>
    </row>
    <row r="2960" spans="1:10" hidden="1" x14ac:dyDescent="0.25">
      <c r="A2960" t="s">
        <v>5470</v>
      </c>
      <c r="B2960">
        <v>207</v>
      </c>
      <c r="C2960" t="s">
        <v>5471</v>
      </c>
      <c r="F2960" s="1" t="str">
        <f t="shared" si="91"/>
        <v/>
      </c>
      <c r="G2960" s="3"/>
      <c r="H2960" s="1" t="str">
        <f t="shared" si="93"/>
        <v/>
      </c>
    </row>
    <row r="2961" spans="1:10" hidden="1" x14ac:dyDescent="0.25">
      <c r="A2961" t="s">
        <v>5472</v>
      </c>
      <c r="B2961">
        <v>66</v>
      </c>
      <c r="C2961" t="s">
        <v>5473</v>
      </c>
      <c r="F2961" s="1" t="str">
        <f t="shared" si="91"/>
        <v/>
      </c>
      <c r="G2961" s="3"/>
      <c r="H2961" s="1" t="str">
        <f t="shared" si="93"/>
        <v/>
      </c>
    </row>
    <row r="2962" spans="1:10" hidden="1" x14ac:dyDescent="0.25">
      <c r="A2962" t="s">
        <v>5474</v>
      </c>
      <c r="B2962">
        <v>140</v>
      </c>
      <c r="C2962" t="s">
        <v>5475</v>
      </c>
      <c r="F2962" s="1" t="str">
        <f t="shared" si="91"/>
        <v/>
      </c>
      <c r="G2962" s="3"/>
      <c r="H2962" s="1" t="str">
        <f t="shared" si="93"/>
        <v/>
      </c>
    </row>
    <row r="2963" spans="1:10" hidden="1" x14ac:dyDescent="0.25">
      <c r="A2963" t="s">
        <v>5476</v>
      </c>
      <c r="B2963">
        <v>319</v>
      </c>
      <c r="C2963" t="s">
        <v>5477</v>
      </c>
      <c r="F2963" s="1" t="str">
        <f t="shared" si="91"/>
        <v/>
      </c>
      <c r="G2963" s="3"/>
      <c r="H2963" s="1" t="str">
        <f t="shared" si="93"/>
        <v/>
      </c>
    </row>
    <row r="2964" spans="1:10" hidden="1" x14ac:dyDescent="0.25">
      <c r="A2964" t="s">
        <v>5479</v>
      </c>
      <c r="B2964">
        <v>407</v>
      </c>
      <c r="C2964" t="s">
        <v>5480</v>
      </c>
      <c r="F2964" s="1" t="str">
        <f t="shared" si="91"/>
        <v/>
      </c>
      <c r="G2964" s="3"/>
      <c r="H2964" s="1" t="str">
        <f t="shared" si="93"/>
        <v/>
      </c>
    </row>
    <row r="2965" spans="1:10" hidden="1" x14ac:dyDescent="0.25">
      <c r="A2965" t="s">
        <v>5481</v>
      </c>
      <c r="B2965">
        <v>57</v>
      </c>
      <c r="C2965" t="s">
        <v>5482</v>
      </c>
      <c r="F2965" s="1" t="str">
        <f t="shared" si="91"/>
        <v/>
      </c>
      <c r="G2965" s="3"/>
      <c r="H2965" s="1" t="str">
        <f t="shared" si="93"/>
        <v/>
      </c>
    </row>
    <row r="2966" spans="1:10" hidden="1" x14ac:dyDescent="0.25">
      <c r="A2966" t="s">
        <v>5483</v>
      </c>
      <c r="B2966">
        <v>43</v>
      </c>
      <c r="C2966" t="s">
        <v>5484</v>
      </c>
      <c r="F2966" s="1" t="str">
        <f t="shared" si="91"/>
        <v/>
      </c>
      <c r="G2966" s="3"/>
      <c r="H2966" s="1" t="str">
        <f t="shared" si="93"/>
        <v/>
      </c>
    </row>
    <row r="2967" spans="1:10" hidden="1" x14ac:dyDescent="0.25">
      <c r="A2967" t="s">
        <v>5485</v>
      </c>
      <c r="B2967">
        <v>87</v>
      </c>
      <c r="C2967" t="s">
        <v>5486</v>
      </c>
      <c r="F2967" s="1" t="str">
        <f t="shared" si="91"/>
        <v/>
      </c>
      <c r="G2967" s="3"/>
      <c r="H2967" s="1" t="str">
        <f t="shared" si="93"/>
        <v/>
      </c>
    </row>
    <row r="2968" spans="1:10" hidden="1" x14ac:dyDescent="0.25">
      <c r="A2968" t="s">
        <v>5487</v>
      </c>
      <c r="B2968">
        <v>52</v>
      </c>
      <c r="C2968" t="s">
        <v>5488</v>
      </c>
      <c r="F2968" s="1" t="str">
        <f t="shared" si="91"/>
        <v/>
      </c>
      <c r="G2968" s="3"/>
      <c r="H2968" s="1" t="str">
        <f t="shared" si="93"/>
        <v/>
      </c>
    </row>
    <row r="2969" spans="1:10" hidden="1" x14ac:dyDescent="0.25">
      <c r="A2969" t="s">
        <v>5489</v>
      </c>
      <c r="B2969">
        <v>51</v>
      </c>
      <c r="C2969" t="s">
        <v>5490</v>
      </c>
      <c r="F2969" s="1" t="str">
        <f t="shared" si="91"/>
        <v/>
      </c>
      <c r="G2969" s="3"/>
      <c r="H2969" s="1" t="str">
        <f t="shared" si="93"/>
        <v/>
      </c>
    </row>
    <row r="2970" spans="1:10" x14ac:dyDescent="0.25">
      <c r="A2970" t="s">
        <v>5492</v>
      </c>
      <c r="B2970">
        <v>326</v>
      </c>
      <c r="C2970" t="s">
        <v>5493</v>
      </c>
      <c r="E2970" s="5" t="s">
        <v>7039</v>
      </c>
      <c r="F2970" s="1" t="str">
        <f t="shared" ref="F2970" si="98">IF(E2970&lt;&gt;"", HYPERLINK("https://www.kegg.jp/dbget-bin/www_bget?ec:" &amp; E2970, "https://www.kegg.jp/dbget-bin/www_bget?ec:" &amp; E2970), "")</f>
        <v>https://www.kegg.jp/dbget-bin/www_bget?ec:3.5.1.1</v>
      </c>
      <c r="G2970" s="9" t="s">
        <v>8014</v>
      </c>
      <c r="H2970" s="1" t="str">
        <f t="shared" si="93"/>
        <v>https://www.kegg.jp/entry/R00485</v>
      </c>
      <c r="I2970" t="s">
        <v>13822</v>
      </c>
      <c r="J2970" t="s">
        <v>13823</v>
      </c>
    </row>
    <row r="2971" spans="1:10" x14ac:dyDescent="0.25">
      <c r="A2971" t="s">
        <v>5492</v>
      </c>
      <c r="B2971">
        <v>326</v>
      </c>
      <c r="C2971" t="s">
        <v>5493</v>
      </c>
      <c r="E2971" s="5" t="s">
        <v>7039</v>
      </c>
      <c r="F2971" s="1" t="str">
        <f t="shared" si="91"/>
        <v>https://www.kegg.jp/dbget-bin/www_bget?ec:3.5.1.1</v>
      </c>
      <c r="G2971" s="9" t="s">
        <v>7356</v>
      </c>
      <c r="H2971" s="1" t="str">
        <f t="shared" si="93"/>
        <v>https://www.kegg.jp/entry/R06134</v>
      </c>
      <c r="I2971" t="s">
        <v>12774</v>
      </c>
      <c r="J2971" t="s">
        <v>12775</v>
      </c>
    </row>
    <row r="2972" spans="1:10" hidden="1" x14ac:dyDescent="0.25">
      <c r="A2972" t="s">
        <v>5494</v>
      </c>
      <c r="B2972">
        <v>90</v>
      </c>
      <c r="C2972" t="s">
        <v>5495</v>
      </c>
      <c r="F2972" s="1" t="str">
        <f t="shared" si="91"/>
        <v/>
      </c>
      <c r="G2972" s="3"/>
      <c r="H2972" s="1" t="str">
        <f t="shared" si="93"/>
        <v/>
      </c>
    </row>
    <row r="2973" spans="1:10" hidden="1" x14ac:dyDescent="0.25">
      <c r="A2973" t="s">
        <v>5497</v>
      </c>
      <c r="B2973">
        <v>220</v>
      </c>
      <c r="C2973" t="s">
        <v>5498</v>
      </c>
      <c r="F2973" s="1" t="str">
        <f t="shared" si="91"/>
        <v/>
      </c>
      <c r="G2973" s="3"/>
      <c r="H2973" s="1" t="str">
        <f t="shared" si="93"/>
        <v/>
      </c>
    </row>
    <row r="2974" spans="1:10" hidden="1" x14ac:dyDescent="0.25">
      <c r="A2974" t="s">
        <v>5500</v>
      </c>
      <c r="B2974">
        <v>185</v>
      </c>
      <c r="C2974" t="s">
        <v>5501</v>
      </c>
      <c r="F2974" s="1" t="str">
        <f t="shared" si="91"/>
        <v/>
      </c>
      <c r="G2974" s="3"/>
      <c r="H2974" s="1" t="str">
        <f t="shared" si="93"/>
        <v/>
      </c>
    </row>
    <row r="2975" spans="1:10" x14ac:dyDescent="0.25">
      <c r="A2975" t="s">
        <v>5502</v>
      </c>
      <c r="B2975">
        <v>607</v>
      </c>
      <c r="C2975" t="s">
        <v>5503</v>
      </c>
      <c r="E2975" s="5" t="s">
        <v>6836</v>
      </c>
      <c r="F2975" s="1" t="str">
        <f t="shared" ref="F2975" si="99">IF(E2975&lt;&gt;"", HYPERLINK("https://www.kegg.jp/dbget-bin/www_bget?ec:" &amp; E2975, "https://www.kegg.jp/dbget-bin/www_bget?ec:" &amp; E2975), "")</f>
        <v>https://www.kegg.jp/dbget-bin/www_bget?ec:1.2.7.5</v>
      </c>
      <c r="G2975" s="9" t="s">
        <v>7717</v>
      </c>
      <c r="H2975" s="1" t="str">
        <f t="shared" si="93"/>
        <v>https://www.kegg.jp/entry/R07158</v>
      </c>
      <c r="I2975" t="s">
        <v>13324</v>
      </c>
      <c r="J2975" t="s">
        <v>13325</v>
      </c>
    </row>
    <row r="2976" spans="1:10" x14ac:dyDescent="0.25">
      <c r="A2976" t="s">
        <v>5502</v>
      </c>
      <c r="B2976">
        <v>607</v>
      </c>
      <c r="C2976" t="s">
        <v>5503</v>
      </c>
      <c r="E2976" s="5" t="s">
        <v>6836</v>
      </c>
      <c r="F2976" s="1" t="str">
        <f t="shared" si="91"/>
        <v>https://www.kegg.jp/dbget-bin/www_bget?ec:1.2.7.5</v>
      </c>
      <c r="G2976" s="9" t="s">
        <v>7718</v>
      </c>
      <c r="H2976" s="1" t="str">
        <f t="shared" si="93"/>
        <v>https://www.kegg.jp/entry/R08571</v>
      </c>
      <c r="I2976" t="s">
        <v>13326</v>
      </c>
      <c r="J2976" t="s">
        <v>13327</v>
      </c>
    </row>
    <row r="2977" spans="1:10" x14ac:dyDescent="0.25">
      <c r="A2977" t="s">
        <v>5504</v>
      </c>
      <c r="B2977">
        <v>300</v>
      </c>
      <c r="C2977" t="s">
        <v>5505</v>
      </c>
      <c r="E2977" s="5" t="s">
        <v>6819</v>
      </c>
      <c r="F2977" s="1" t="str">
        <f t="shared" ref="F2977:F2978" si="100">IF(E2977&lt;&gt;"", HYPERLINK("https://www.kegg.jp/dbget-bin/www_bget?ec:" &amp; E2977, "https://www.kegg.jp/dbget-bin/www_bget?ec:" &amp; E2977), "")</f>
        <v>https://www.kegg.jp/dbget-bin/www_bget?ec:2.7.1.4</v>
      </c>
      <c r="G2977" s="9" t="s">
        <v>7679</v>
      </c>
      <c r="H2977" s="1" t="str">
        <f t="shared" si="93"/>
        <v>https://www.kegg.jp/entry/R00760</v>
      </c>
      <c r="I2977" t="s">
        <v>8253</v>
      </c>
      <c r="J2977" t="s">
        <v>8526</v>
      </c>
    </row>
    <row r="2978" spans="1:10" x14ac:dyDescent="0.25">
      <c r="A2978" t="s">
        <v>5504</v>
      </c>
      <c r="B2978">
        <v>300</v>
      </c>
      <c r="C2978" t="s">
        <v>5505</v>
      </c>
      <c r="E2978" s="5" t="s">
        <v>6819</v>
      </c>
      <c r="F2978" s="1" t="str">
        <f t="shared" si="100"/>
        <v>https://www.kegg.jp/dbget-bin/www_bget?ec:2.7.1.4</v>
      </c>
      <c r="G2978" s="9" t="s">
        <v>7680</v>
      </c>
      <c r="H2978" s="1" t="str">
        <f t="shared" si="93"/>
        <v>https://www.kegg.jp/entry/R00867</v>
      </c>
      <c r="I2978" t="s">
        <v>8253</v>
      </c>
      <c r="J2978" t="s">
        <v>8527</v>
      </c>
    </row>
    <row r="2979" spans="1:10" x14ac:dyDescent="0.25">
      <c r="A2979" t="s">
        <v>5504</v>
      </c>
      <c r="B2979">
        <v>300</v>
      </c>
      <c r="C2979" t="s">
        <v>5505</v>
      </c>
      <c r="E2979" s="5" t="s">
        <v>6819</v>
      </c>
      <c r="F2979" s="1" t="str">
        <f t="shared" si="91"/>
        <v>https://www.kegg.jp/dbget-bin/www_bget?ec:2.7.1.4</v>
      </c>
      <c r="G2979" s="9" t="s">
        <v>7681</v>
      </c>
      <c r="H2979" s="1" t="str">
        <f t="shared" si="93"/>
        <v>https://www.kegg.jp/entry/R03920</v>
      </c>
      <c r="I2979" t="s">
        <v>8254</v>
      </c>
      <c r="J2979" t="s">
        <v>8527</v>
      </c>
    </row>
    <row r="2980" spans="1:10" x14ac:dyDescent="0.25">
      <c r="A2980" t="s">
        <v>5507</v>
      </c>
      <c r="B2980">
        <v>314</v>
      </c>
      <c r="C2980" t="s">
        <v>5508</v>
      </c>
      <c r="E2980" s="5" t="s">
        <v>6882</v>
      </c>
      <c r="F2980" s="1" t="str">
        <f t="shared" ref="F2980:F3076" si="101">IF(E2980&lt;&gt;"", HYPERLINK("https://www.kegg.jp/dbget-bin/www_bget?ec:" &amp; E2980, "https://www.kegg.jp/dbget-bin/www_bget?ec:" &amp; E2980), "")</f>
        <v>https://www.kegg.jp/dbget-bin/www_bget?ec:1.6.5.5</v>
      </c>
      <c r="G2980" s="3" t="s">
        <v>7221</v>
      </c>
      <c r="H2980" s="1" t="str">
        <f t="shared" si="93"/>
        <v>https://www.kegg.jp/entry/R02364</v>
      </c>
      <c r="I2980" t="s">
        <v>13419</v>
      </c>
      <c r="J2980" t="s">
        <v>13420</v>
      </c>
    </row>
    <row r="2981" spans="1:10" hidden="1" x14ac:dyDescent="0.25">
      <c r="A2981" t="s">
        <v>5509</v>
      </c>
      <c r="B2981">
        <v>139</v>
      </c>
      <c r="C2981" t="s">
        <v>5510</v>
      </c>
      <c r="F2981" s="1" t="str">
        <f t="shared" si="101"/>
        <v/>
      </c>
      <c r="G2981" s="3"/>
      <c r="H2981" s="1" t="str">
        <f t="shared" si="93"/>
        <v/>
      </c>
    </row>
    <row r="2982" spans="1:10" hidden="1" x14ac:dyDescent="0.25">
      <c r="A2982" t="s">
        <v>5511</v>
      </c>
      <c r="B2982">
        <v>183</v>
      </c>
      <c r="C2982" t="s">
        <v>5512</v>
      </c>
      <c r="F2982" s="1" t="str">
        <f t="shared" si="101"/>
        <v/>
      </c>
      <c r="G2982" s="3"/>
      <c r="H2982" s="1" t="str">
        <f t="shared" si="93"/>
        <v/>
      </c>
    </row>
    <row r="2983" spans="1:10" hidden="1" x14ac:dyDescent="0.25">
      <c r="A2983" t="s">
        <v>5514</v>
      </c>
      <c r="B2983">
        <v>96</v>
      </c>
      <c r="C2983" t="s">
        <v>5515</v>
      </c>
      <c r="F2983" s="1" t="str">
        <f t="shared" si="101"/>
        <v/>
      </c>
      <c r="G2983" s="3"/>
      <c r="H2983" s="1" t="str">
        <f t="shared" si="93"/>
        <v/>
      </c>
    </row>
    <row r="2984" spans="1:10" hidden="1" x14ac:dyDescent="0.25">
      <c r="A2984" t="s">
        <v>5517</v>
      </c>
      <c r="B2984">
        <v>349</v>
      </c>
      <c r="C2984" t="s">
        <v>5518</v>
      </c>
      <c r="F2984" s="1" t="str">
        <f t="shared" si="101"/>
        <v/>
      </c>
      <c r="G2984" s="3"/>
      <c r="H2984" s="1" t="str">
        <f t="shared" si="93"/>
        <v/>
      </c>
    </row>
    <row r="2985" spans="1:10" hidden="1" x14ac:dyDescent="0.25">
      <c r="A2985" t="s">
        <v>5520</v>
      </c>
      <c r="B2985">
        <v>977</v>
      </c>
      <c r="C2985" t="s">
        <v>5521</v>
      </c>
      <c r="F2985" s="1" t="str">
        <f t="shared" si="101"/>
        <v/>
      </c>
      <c r="G2985" s="3"/>
      <c r="H2985" s="1" t="str">
        <f t="shared" si="93"/>
        <v/>
      </c>
    </row>
    <row r="2986" spans="1:10" hidden="1" x14ac:dyDescent="0.25">
      <c r="A2986" t="s">
        <v>5522</v>
      </c>
      <c r="B2986">
        <v>221</v>
      </c>
      <c r="C2986" t="s">
        <v>5523</v>
      </c>
      <c r="F2986" s="1" t="str">
        <f t="shared" si="101"/>
        <v/>
      </c>
      <c r="G2986" s="3"/>
      <c r="H2986" s="1" t="str">
        <f t="shared" si="93"/>
        <v/>
      </c>
    </row>
    <row r="2987" spans="1:10" hidden="1" x14ac:dyDescent="0.25">
      <c r="A2987" t="s">
        <v>5525</v>
      </c>
      <c r="B2987">
        <v>156</v>
      </c>
      <c r="C2987" t="s">
        <v>5526</v>
      </c>
      <c r="F2987" s="1" t="str">
        <f t="shared" si="101"/>
        <v/>
      </c>
      <c r="G2987" s="3"/>
      <c r="H2987" s="1" t="str">
        <f t="shared" ref="H2987:H3050" si="102">IF(G2987&lt;&gt;"", HYPERLINK("https://www.kegg.jp/entry/" &amp; G2987, "https://www.kegg.jp/entry/" &amp; G2987), "")</f>
        <v/>
      </c>
    </row>
    <row r="2988" spans="1:10" hidden="1" x14ac:dyDescent="0.25">
      <c r="A2988" t="s">
        <v>5528</v>
      </c>
      <c r="B2988">
        <v>354</v>
      </c>
      <c r="C2988" t="s">
        <v>5529</v>
      </c>
      <c r="F2988" s="1" t="str">
        <f t="shared" si="101"/>
        <v/>
      </c>
      <c r="G2988" s="3"/>
      <c r="H2988" s="1" t="str">
        <f t="shared" si="102"/>
        <v/>
      </c>
    </row>
    <row r="2989" spans="1:10" hidden="1" x14ac:dyDescent="0.25">
      <c r="A2989" t="s">
        <v>5531</v>
      </c>
      <c r="B2989">
        <v>265</v>
      </c>
      <c r="C2989" t="s">
        <v>5532</v>
      </c>
      <c r="F2989" s="1" t="str">
        <f t="shared" si="101"/>
        <v/>
      </c>
      <c r="G2989" s="3"/>
      <c r="H2989" s="1" t="str">
        <f t="shared" si="102"/>
        <v/>
      </c>
    </row>
    <row r="2990" spans="1:10" hidden="1" x14ac:dyDescent="0.25">
      <c r="A2990" t="s">
        <v>5533</v>
      </c>
      <c r="B2990">
        <v>108</v>
      </c>
      <c r="C2990" t="s">
        <v>5534</v>
      </c>
      <c r="F2990" s="1" t="str">
        <f t="shared" si="101"/>
        <v/>
      </c>
      <c r="G2990" s="3"/>
      <c r="H2990" s="1" t="str">
        <f t="shared" si="102"/>
        <v/>
      </c>
    </row>
    <row r="2991" spans="1:10" hidden="1" x14ac:dyDescent="0.25">
      <c r="A2991" t="s">
        <v>5536</v>
      </c>
      <c r="B2991">
        <v>200</v>
      </c>
      <c r="C2991" t="s">
        <v>5537</v>
      </c>
      <c r="F2991" s="1" t="str">
        <f t="shared" si="101"/>
        <v/>
      </c>
      <c r="G2991" s="3"/>
      <c r="H2991" s="1" t="str">
        <f t="shared" si="102"/>
        <v/>
      </c>
    </row>
    <row r="2992" spans="1:10" hidden="1" x14ac:dyDescent="0.25">
      <c r="A2992" t="s">
        <v>5539</v>
      </c>
      <c r="B2992">
        <v>139</v>
      </c>
      <c r="C2992" t="s">
        <v>5540</v>
      </c>
      <c r="F2992" s="1" t="str">
        <f t="shared" si="101"/>
        <v/>
      </c>
      <c r="G2992" s="3"/>
      <c r="H2992" s="1" t="str">
        <f t="shared" si="102"/>
        <v/>
      </c>
    </row>
    <row r="2993" spans="1:10" hidden="1" x14ac:dyDescent="0.25">
      <c r="A2993" t="s">
        <v>5542</v>
      </c>
      <c r="B2993">
        <v>399</v>
      </c>
      <c r="C2993" t="s">
        <v>5543</v>
      </c>
      <c r="F2993" s="1" t="str">
        <f t="shared" si="101"/>
        <v/>
      </c>
      <c r="G2993" s="3"/>
      <c r="H2993" s="1" t="str">
        <f t="shared" si="102"/>
        <v/>
      </c>
    </row>
    <row r="2994" spans="1:10" hidden="1" x14ac:dyDescent="0.25">
      <c r="A2994" t="s">
        <v>5544</v>
      </c>
      <c r="B2994">
        <v>226</v>
      </c>
      <c r="C2994" t="s">
        <v>5545</v>
      </c>
      <c r="F2994" s="1" t="str">
        <f t="shared" si="101"/>
        <v/>
      </c>
      <c r="G2994" s="3"/>
      <c r="H2994" s="1" t="str">
        <f t="shared" si="102"/>
        <v/>
      </c>
    </row>
    <row r="2995" spans="1:10" hidden="1" x14ac:dyDescent="0.25">
      <c r="A2995" t="s">
        <v>5546</v>
      </c>
      <c r="B2995">
        <v>234</v>
      </c>
      <c r="C2995" t="s">
        <v>5547</v>
      </c>
      <c r="F2995" s="1" t="str">
        <f t="shared" si="101"/>
        <v/>
      </c>
      <c r="G2995" s="3"/>
      <c r="H2995" s="1" t="str">
        <f t="shared" si="102"/>
        <v/>
      </c>
    </row>
    <row r="2996" spans="1:10" hidden="1" x14ac:dyDescent="0.25">
      <c r="A2996" t="s">
        <v>5548</v>
      </c>
      <c r="B2996">
        <v>112</v>
      </c>
      <c r="C2996" t="s">
        <v>5549</v>
      </c>
      <c r="F2996" s="1" t="str">
        <f t="shared" si="101"/>
        <v/>
      </c>
      <c r="G2996" s="3"/>
      <c r="H2996" s="1" t="str">
        <f t="shared" si="102"/>
        <v/>
      </c>
    </row>
    <row r="2997" spans="1:10" hidden="1" x14ac:dyDescent="0.25">
      <c r="A2997" t="s">
        <v>5550</v>
      </c>
      <c r="B2997">
        <v>168</v>
      </c>
      <c r="C2997" t="s">
        <v>5551</v>
      </c>
      <c r="F2997" s="1" t="str">
        <f t="shared" si="101"/>
        <v/>
      </c>
      <c r="G2997" s="3"/>
      <c r="H2997" s="1" t="str">
        <f t="shared" si="102"/>
        <v/>
      </c>
    </row>
    <row r="2998" spans="1:10" hidden="1" x14ac:dyDescent="0.25">
      <c r="A2998" t="s">
        <v>5552</v>
      </c>
      <c r="B2998">
        <v>249</v>
      </c>
      <c r="C2998" t="s">
        <v>5553</v>
      </c>
      <c r="F2998" s="1" t="str">
        <f t="shared" si="101"/>
        <v/>
      </c>
      <c r="G2998" s="3"/>
      <c r="H2998" s="1" t="str">
        <f t="shared" si="102"/>
        <v/>
      </c>
    </row>
    <row r="2999" spans="1:10" hidden="1" x14ac:dyDescent="0.25">
      <c r="A2999" t="s">
        <v>5554</v>
      </c>
      <c r="B2999">
        <v>148</v>
      </c>
      <c r="C2999" t="s">
        <v>5555</v>
      </c>
      <c r="F2999" s="1" t="str">
        <f t="shared" si="101"/>
        <v/>
      </c>
      <c r="G2999" s="3"/>
      <c r="H2999" s="1" t="str">
        <f t="shared" si="102"/>
        <v/>
      </c>
    </row>
    <row r="3000" spans="1:10" x14ac:dyDescent="0.25">
      <c r="A3000" t="s">
        <v>5557</v>
      </c>
      <c r="B3000">
        <v>197</v>
      </c>
      <c r="C3000" t="s">
        <v>5558</v>
      </c>
      <c r="E3000" s="5" t="s">
        <v>7040</v>
      </c>
      <c r="F3000" s="1" t="str">
        <f t="shared" ref="F3000" si="103">IF(E3000&lt;&gt;"", HYPERLINK("https://www.kegg.jp/dbget-bin/www_bget?ec:" &amp; E3000, "https://www.kegg.jp/dbget-bin/www_bget?ec:" &amp; E3000), "")</f>
        <v>https://www.kegg.jp/dbget-bin/www_bget?ec:3.6.1.8</v>
      </c>
      <c r="G3000" s="9" t="s">
        <v>8015</v>
      </c>
      <c r="H3000" s="1" t="str">
        <f t="shared" si="102"/>
        <v>https://www.kegg.jp/entry/R00087</v>
      </c>
      <c r="I3000" t="s">
        <v>13814</v>
      </c>
      <c r="J3000" t="s">
        <v>13004</v>
      </c>
    </row>
    <row r="3001" spans="1:10" x14ac:dyDescent="0.25">
      <c r="A3001" t="s">
        <v>5557</v>
      </c>
      <c r="B3001">
        <v>197</v>
      </c>
      <c r="C3001" t="s">
        <v>5558</v>
      </c>
      <c r="E3001" s="5" t="s">
        <v>7040</v>
      </c>
      <c r="F3001" s="1" t="str">
        <f t="shared" si="101"/>
        <v>https://www.kegg.jp/dbget-bin/www_bget?ec:3.6.1.8</v>
      </c>
      <c r="G3001" s="9" t="s">
        <v>8013</v>
      </c>
      <c r="H3001" s="1" t="str">
        <f t="shared" si="102"/>
        <v>https://www.kegg.jp/entry/R00086</v>
      </c>
      <c r="I3001" t="s">
        <v>13814</v>
      </c>
      <c r="J3001" t="s">
        <v>13815</v>
      </c>
    </row>
    <row r="3002" spans="1:10" hidden="1" x14ac:dyDescent="0.25">
      <c r="A3002" t="s">
        <v>5560</v>
      </c>
      <c r="B3002">
        <v>156</v>
      </c>
      <c r="C3002" t="s">
        <v>5561</v>
      </c>
      <c r="F3002" s="1" t="str">
        <f t="shared" si="101"/>
        <v/>
      </c>
      <c r="G3002" s="3"/>
      <c r="H3002" s="1" t="str">
        <f t="shared" si="102"/>
        <v/>
      </c>
    </row>
    <row r="3003" spans="1:10" hidden="1" x14ac:dyDescent="0.25">
      <c r="A3003" t="s">
        <v>5563</v>
      </c>
      <c r="B3003">
        <v>55</v>
      </c>
      <c r="C3003" t="s">
        <v>5564</v>
      </c>
      <c r="F3003" s="1" t="str">
        <f t="shared" si="101"/>
        <v/>
      </c>
      <c r="G3003" s="3"/>
      <c r="H3003" s="1" t="str">
        <f t="shared" si="102"/>
        <v/>
      </c>
    </row>
    <row r="3004" spans="1:10" x14ac:dyDescent="0.25">
      <c r="A3004" t="s">
        <v>5566</v>
      </c>
      <c r="B3004">
        <v>249</v>
      </c>
      <c r="C3004" t="s">
        <v>5567</v>
      </c>
      <c r="E3004" s="5" t="s">
        <v>7041</v>
      </c>
      <c r="F3004" s="1" t="str">
        <f t="shared" si="101"/>
        <v>https://www.kegg.jp/dbget-bin/www_bget?ec:2.7.2.8</v>
      </c>
      <c r="G3004" s="3" t="s">
        <v>7298</v>
      </c>
      <c r="H3004" s="1" t="str">
        <f t="shared" si="102"/>
        <v>https://www.kegg.jp/entry/R02649</v>
      </c>
      <c r="I3004" t="s">
        <v>13824</v>
      </c>
      <c r="J3004" t="s">
        <v>13825</v>
      </c>
    </row>
    <row r="3005" spans="1:10" hidden="1" x14ac:dyDescent="0.25">
      <c r="A3005" t="s">
        <v>5568</v>
      </c>
      <c r="B3005">
        <v>162</v>
      </c>
      <c r="C3005" t="s">
        <v>5569</v>
      </c>
      <c r="F3005" s="1" t="str">
        <f t="shared" si="101"/>
        <v/>
      </c>
      <c r="G3005" s="3"/>
      <c r="H3005" s="1" t="str">
        <f t="shared" si="102"/>
        <v/>
      </c>
    </row>
    <row r="3006" spans="1:10" x14ac:dyDescent="0.25">
      <c r="A3006" t="s">
        <v>5571</v>
      </c>
      <c r="B3006">
        <v>543</v>
      </c>
      <c r="C3006" t="s">
        <v>5572</v>
      </c>
      <c r="E3006" s="5" t="s">
        <v>6611</v>
      </c>
      <c r="F3006" s="1" t="str">
        <f>IF(E3006&lt;&gt;"", HYPERLINK("https://www.kegg.jp/dbget-bin/www_bget?ec:" &amp; E3006, "https://www.kegg.jp/dbget-bin/www_bget?ec:" &amp; E3006), "")</f>
        <v>https://www.kegg.jp/dbget-bin/www_bget?ec:2.7.7.7</v>
      </c>
      <c r="G3006" s="3" t="s">
        <v>7218</v>
      </c>
      <c r="H3006" s="1" t="str">
        <f t="shared" si="102"/>
        <v>https://www.kegg.jp/entry/R00379</v>
      </c>
      <c r="I3006" t="s">
        <v>12705</v>
      </c>
      <c r="J3006" t="s">
        <v>7080</v>
      </c>
    </row>
    <row r="3007" spans="1:10" x14ac:dyDescent="0.25">
      <c r="A3007" t="s">
        <v>5571</v>
      </c>
      <c r="B3007">
        <v>543</v>
      </c>
      <c r="C3007" t="s">
        <v>5572</v>
      </c>
      <c r="E3007" s="5" t="s">
        <v>6611</v>
      </c>
      <c r="F3007" s="1" t="str">
        <f t="shared" ref="F3007:F3011" si="104">IF(E3007&lt;&gt;"", HYPERLINK("https://www.kegg.jp/dbget-bin/www_bget?ec:" &amp; E3007, "https://www.kegg.jp/dbget-bin/www_bget?ec:" &amp; E3007), "")</f>
        <v>https://www.kegg.jp/dbget-bin/www_bget?ec:2.7.7.7</v>
      </c>
      <c r="G3007" s="3" t="s">
        <v>7315</v>
      </c>
      <c r="H3007" s="1" t="str">
        <f t="shared" si="102"/>
        <v>https://www.kegg.jp/entry/R00375</v>
      </c>
      <c r="I3007" t="s">
        <v>12706</v>
      </c>
      <c r="J3007" t="s">
        <v>7080</v>
      </c>
    </row>
    <row r="3008" spans="1:10" x14ac:dyDescent="0.25">
      <c r="A3008" t="s">
        <v>5571</v>
      </c>
      <c r="B3008">
        <v>543</v>
      </c>
      <c r="C3008" t="s">
        <v>5572</v>
      </c>
      <c r="E3008" s="5" t="s">
        <v>6611</v>
      </c>
      <c r="F3008" s="1" t="str">
        <f t="shared" si="104"/>
        <v>https://www.kegg.jp/dbget-bin/www_bget?ec:2.7.7.7</v>
      </c>
      <c r="G3008" s="3" t="s">
        <v>7316</v>
      </c>
      <c r="H3008" s="1" t="str">
        <f t="shared" si="102"/>
        <v>https://www.kegg.jp/entry/R00376</v>
      </c>
      <c r="I3008" t="s">
        <v>12707</v>
      </c>
      <c r="J3008" t="s">
        <v>7080</v>
      </c>
    </row>
    <row r="3009" spans="1:10" x14ac:dyDescent="0.25">
      <c r="A3009" t="s">
        <v>5571</v>
      </c>
      <c r="B3009">
        <v>543</v>
      </c>
      <c r="C3009" t="s">
        <v>5572</v>
      </c>
      <c r="E3009" s="5" t="s">
        <v>6611</v>
      </c>
      <c r="F3009" s="1" t="str">
        <f t="shared" si="104"/>
        <v>https://www.kegg.jp/dbget-bin/www_bget?ec:2.7.7.7</v>
      </c>
      <c r="G3009" s="3" t="s">
        <v>7317</v>
      </c>
      <c r="H3009" s="1" t="str">
        <f t="shared" si="102"/>
        <v>https://www.kegg.jp/entry/R00377</v>
      </c>
      <c r="I3009" t="s">
        <v>12708</v>
      </c>
      <c r="J3009" t="s">
        <v>7080</v>
      </c>
    </row>
    <row r="3010" spans="1:10" x14ac:dyDescent="0.25">
      <c r="A3010" t="s">
        <v>5571</v>
      </c>
      <c r="B3010">
        <v>543</v>
      </c>
      <c r="C3010" t="s">
        <v>5572</v>
      </c>
      <c r="E3010" s="5" t="s">
        <v>6611</v>
      </c>
      <c r="F3010" s="1" t="str">
        <f t="shared" si="104"/>
        <v>https://www.kegg.jp/dbget-bin/www_bget?ec:2.7.7.7</v>
      </c>
      <c r="G3010" s="3" t="s">
        <v>7318</v>
      </c>
      <c r="H3010" s="1" t="str">
        <f t="shared" si="102"/>
        <v>https://www.kegg.jp/entry/R00378</v>
      </c>
      <c r="I3010" t="s">
        <v>12709</v>
      </c>
      <c r="J3010" t="s">
        <v>7080</v>
      </c>
    </row>
    <row r="3011" spans="1:10" x14ac:dyDescent="0.25">
      <c r="A3011" t="s">
        <v>5571</v>
      </c>
      <c r="B3011">
        <v>543</v>
      </c>
      <c r="C3011" t="s">
        <v>5572</v>
      </c>
      <c r="E3011" s="5" t="s">
        <v>6611</v>
      </c>
      <c r="F3011" s="1" t="str">
        <f t="shared" si="104"/>
        <v>https://www.kegg.jp/dbget-bin/www_bget?ec:2.7.7.7</v>
      </c>
      <c r="G3011" s="3" t="s">
        <v>7319</v>
      </c>
      <c r="H3011" s="1" t="str">
        <f t="shared" si="102"/>
        <v>https://www.kegg.jp/entry/R11029</v>
      </c>
      <c r="I3011" t="s">
        <v>8088</v>
      </c>
      <c r="J3011" t="s">
        <v>8391</v>
      </c>
    </row>
    <row r="3012" spans="1:10" hidden="1" x14ac:dyDescent="0.25">
      <c r="A3012" t="s">
        <v>5573</v>
      </c>
      <c r="B3012">
        <v>93</v>
      </c>
      <c r="C3012" t="s">
        <v>5574</v>
      </c>
      <c r="F3012" s="1" t="str">
        <f t="shared" si="101"/>
        <v/>
      </c>
      <c r="G3012" s="3"/>
      <c r="H3012" s="1" t="str">
        <f t="shared" si="102"/>
        <v/>
      </c>
    </row>
    <row r="3013" spans="1:10" hidden="1" x14ac:dyDescent="0.25">
      <c r="A3013" t="s">
        <v>5575</v>
      </c>
      <c r="B3013">
        <v>154</v>
      </c>
      <c r="C3013" t="s">
        <v>5576</v>
      </c>
      <c r="F3013" s="1" t="str">
        <f t="shared" si="101"/>
        <v/>
      </c>
      <c r="G3013" s="3"/>
      <c r="H3013" s="1" t="str">
        <f t="shared" si="102"/>
        <v/>
      </c>
    </row>
    <row r="3014" spans="1:10" x14ac:dyDescent="0.25">
      <c r="A3014" t="s">
        <v>5578</v>
      </c>
      <c r="B3014">
        <v>616</v>
      </c>
      <c r="C3014" t="s">
        <v>5579</v>
      </c>
      <c r="E3014" s="5" t="s">
        <v>7042</v>
      </c>
      <c r="F3014" s="1" t="str">
        <f t="shared" si="101"/>
        <v>https://www.kegg.jp/dbget-bin/www_bget?ec:1.2.7.3</v>
      </c>
      <c r="G3014" s="3" t="s">
        <v>7299</v>
      </c>
      <c r="H3014" s="1" t="str">
        <f t="shared" si="102"/>
        <v>https://www.kegg.jp/entry/R01197</v>
      </c>
      <c r="I3014" t="s">
        <v>13826</v>
      </c>
      <c r="J3014" t="s">
        <v>13827</v>
      </c>
    </row>
    <row r="3015" spans="1:10" x14ac:dyDescent="0.25">
      <c r="A3015" t="s">
        <v>5581</v>
      </c>
      <c r="B3015">
        <v>304</v>
      </c>
      <c r="C3015" t="s">
        <v>5582</v>
      </c>
      <c r="E3015" s="5" t="s">
        <v>7042</v>
      </c>
      <c r="F3015" s="1" t="str">
        <f t="shared" si="101"/>
        <v>https://www.kegg.jp/dbget-bin/www_bget?ec:1.2.7.3</v>
      </c>
      <c r="G3015" s="3" t="s">
        <v>7299</v>
      </c>
      <c r="H3015" s="1" t="str">
        <f t="shared" si="102"/>
        <v>https://www.kegg.jp/entry/R01197</v>
      </c>
      <c r="I3015" t="s">
        <v>13826</v>
      </c>
      <c r="J3015" t="s">
        <v>13827</v>
      </c>
    </row>
    <row r="3016" spans="1:10" hidden="1" x14ac:dyDescent="0.25">
      <c r="A3016" t="s">
        <v>5584</v>
      </c>
      <c r="B3016">
        <v>157</v>
      </c>
      <c r="C3016" t="s">
        <v>5585</v>
      </c>
      <c r="F3016" s="1" t="str">
        <f t="shared" si="101"/>
        <v/>
      </c>
      <c r="G3016" s="3"/>
      <c r="H3016" s="1" t="str">
        <f t="shared" si="102"/>
        <v/>
      </c>
    </row>
    <row r="3017" spans="1:10" hidden="1" x14ac:dyDescent="0.25">
      <c r="A3017" t="s">
        <v>5586</v>
      </c>
      <c r="B3017">
        <v>112</v>
      </c>
      <c r="C3017" t="s">
        <v>5587</v>
      </c>
      <c r="F3017" s="1" t="str">
        <f t="shared" si="101"/>
        <v/>
      </c>
      <c r="G3017" s="3"/>
      <c r="H3017" s="1" t="str">
        <f t="shared" si="102"/>
        <v/>
      </c>
    </row>
    <row r="3018" spans="1:10" hidden="1" x14ac:dyDescent="0.25">
      <c r="A3018" t="s">
        <v>5588</v>
      </c>
      <c r="B3018">
        <v>317</v>
      </c>
      <c r="C3018" t="s">
        <v>5589</v>
      </c>
      <c r="F3018" s="1" t="str">
        <f t="shared" si="101"/>
        <v/>
      </c>
      <c r="G3018" s="3"/>
      <c r="H3018" s="1" t="str">
        <f t="shared" si="102"/>
        <v/>
      </c>
    </row>
    <row r="3019" spans="1:10" hidden="1" x14ac:dyDescent="0.25">
      <c r="A3019" t="s">
        <v>5591</v>
      </c>
      <c r="B3019">
        <v>486</v>
      </c>
      <c r="C3019" t="s">
        <v>5592</v>
      </c>
      <c r="F3019" s="1" t="str">
        <f t="shared" si="101"/>
        <v/>
      </c>
      <c r="G3019" s="3"/>
      <c r="H3019" s="1" t="str">
        <f t="shared" si="102"/>
        <v/>
      </c>
    </row>
    <row r="3020" spans="1:10" hidden="1" x14ac:dyDescent="0.25">
      <c r="A3020" t="s">
        <v>5594</v>
      </c>
      <c r="B3020">
        <v>476</v>
      </c>
      <c r="C3020" t="s">
        <v>5595</v>
      </c>
      <c r="F3020" s="1" t="str">
        <f t="shared" si="101"/>
        <v/>
      </c>
      <c r="G3020" s="3"/>
      <c r="H3020" s="1" t="str">
        <f t="shared" si="102"/>
        <v/>
      </c>
    </row>
    <row r="3021" spans="1:10" hidden="1" x14ac:dyDescent="0.25">
      <c r="A3021" t="s">
        <v>5597</v>
      </c>
      <c r="B3021">
        <v>308</v>
      </c>
      <c r="C3021" t="s">
        <v>5598</v>
      </c>
      <c r="F3021" s="1" t="str">
        <f t="shared" si="101"/>
        <v/>
      </c>
      <c r="G3021" s="3"/>
      <c r="H3021" s="1" t="str">
        <f t="shared" si="102"/>
        <v/>
      </c>
    </row>
    <row r="3022" spans="1:10" x14ac:dyDescent="0.25">
      <c r="A3022" t="s">
        <v>5600</v>
      </c>
      <c r="B3022">
        <v>137</v>
      </c>
      <c r="C3022" t="s">
        <v>5601</v>
      </c>
      <c r="E3022" s="5" t="s">
        <v>7043</v>
      </c>
      <c r="F3022" s="1" t="str">
        <f t="shared" ref="F3022:F3036" si="105">IF(E3022&lt;&gt;"", HYPERLINK("https://www.kegg.jp/dbget-bin/www_bget?ec:" &amp; E3022, "https://www.kegg.jp/dbget-bin/www_bget?ec:" &amp; E3022), "")</f>
        <v>https://www.kegg.jp/dbget-bin/www_bget?ec:2.7.4.6</v>
      </c>
      <c r="G3022" s="9" t="s">
        <v>8016</v>
      </c>
      <c r="H3022" s="1" t="str">
        <f t="shared" si="102"/>
        <v>https://www.kegg.jp/entry/R00331</v>
      </c>
      <c r="I3022" t="s">
        <v>13828</v>
      </c>
      <c r="J3022" t="s">
        <v>13829</v>
      </c>
    </row>
    <row r="3023" spans="1:10" x14ac:dyDescent="0.25">
      <c r="A3023" t="s">
        <v>5600</v>
      </c>
      <c r="B3023">
        <v>137</v>
      </c>
      <c r="C3023" t="s">
        <v>5601</v>
      </c>
      <c r="E3023" s="5" t="s">
        <v>7043</v>
      </c>
      <c r="F3023" s="1" t="str">
        <f t="shared" si="105"/>
        <v>https://www.kegg.jp/dbget-bin/www_bget?ec:2.7.4.6</v>
      </c>
      <c r="G3023" s="9" t="s">
        <v>8031</v>
      </c>
      <c r="H3023" s="1" t="str">
        <f t="shared" si="102"/>
        <v>https://www.kegg.jp/entry/R00124</v>
      </c>
      <c r="I3023" t="s">
        <v>13830</v>
      </c>
      <c r="J3023" t="s">
        <v>13830</v>
      </c>
    </row>
    <row r="3024" spans="1:10" x14ac:dyDescent="0.25">
      <c r="A3024" t="s">
        <v>5600</v>
      </c>
      <c r="B3024">
        <v>137</v>
      </c>
      <c r="C3024" t="s">
        <v>5601</v>
      </c>
      <c r="E3024" s="5" t="s">
        <v>7043</v>
      </c>
      <c r="F3024" s="1" t="str">
        <f t="shared" si="105"/>
        <v>https://www.kegg.jp/dbget-bin/www_bget?ec:2.7.4.6</v>
      </c>
      <c r="G3024" s="9" t="s">
        <v>8030</v>
      </c>
      <c r="H3024" s="1" t="str">
        <f t="shared" si="102"/>
        <v>https://www.kegg.jp/entry/R00139</v>
      </c>
      <c r="I3024" t="s">
        <v>13831</v>
      </c>
      <c r="J3024" t="s">
        <v>13832</v>
      </c>
    </row>
    <row r="3025" spans="1:10" x14ac:dyDescent="0.25">
      <c r="A3025" t="s">
        <v>5600</v>
      </c>
      <c r="B3025">
        <v>137</v>
      </c>
      <c r="C3025" t="s">
        <v>5601</v>
      </c>
      <c r="E3025" s="5" t="s">
        <v>7043</v>
      </c>
      <c r="F3025" s="1" t="str">
        <f t="shared" si="105"/>
        <v>https://www.kegg.jp/dbget-bin/www_bget?ec:2.7.4.6</v>
      </c>
      <c r="G3025" s="9" t="s">
        <v>8029</v>
      </c>
      <c r="H3025" s="1" t="str">
        <f t="shared" si="102"/>
        <v>https://www.kegg.jp/entry/R00156</v>
      </c>
      <c r="I3025" t="s">
        <v>13833</v>
      </c>
      <c r="J3025" t="s">
        <v>13834</v>
      </c>
    </row>
    <row r="3026" spans="1:10" x14ac:dyDescent="0.25">
      <c r="A3026" t="s">
        <v>5600</v>
      </c>
      <c r="B3026">
        <v>137</v>
      </c>
      <c r="C3026" t="s">
        <v>5601</v>
      </c>
      <c r="E3026" s="5" t="s">
        <v>7043</v>
      </c>
      <c r="F3026" s="1" t="str">
        <f t="shared" si="105"/>
        <v>https://www.kegg.jp/dbget-bin/www_bget?ec:2.7.4.6</v>
      </c>
      <c r="G3026" s="9" t="s">
        <v>8028</v>
      </c>
      <c r="H3026" s="1" t="str">
        <f t="shared" si="102"/>
        <v>https://www.kegg.jp/entry/R00330</v>
      </c>
      <c r="I3026" t="s">
        <v>13835</v>
      </c>
      <c r="J3026" t="s">
        <v>13836</v>
      </c>
    </row>
    <row r="3027" spans="1:10" x14ac:dyDescent="0.25">
      <c r="A3027" t="s">
        <v>5600</v>
      </c>
      <c r="B3027">
        <v>137</v>
      </c>
      <c r="C3027" t="s">
        <v>5601</v>
      </c>
      <c r="E3027" s="5" t="s">
        <v>7043</v>
      </c>
      <c r="F3027" s="1" t="str">
        <f t="shared" si="105"/>
        <v>https://www.kegg.jp/dbget-bin/www_bget?ec:2.7.4.6</v>
      </c>
      <c r="G3027" s="9" t="s">
        <v>8027</v>
      </c>
      <c r="H3027" s="1" t="str">
        <f t="shared" si="102"/>
        <v>https://www.kegg.jp/entry/R00570</v>
      </c>
      <c r="I3027" t="s">
        <v>13837</v>
      </c>
      <c r="J3027" t="s">
        <v>13838</v>
      </c>
    </row>
    <row r="3028" spans="1:10" x14ac:dyDescent="0.25">
      <c r="A3028" t="s">
        <v>5600</v>
      </c>
      <c r="B3028">
        <v>137</v>
      </c>
      <c r="C3028" t="s">
        <v>5601</v>
      </c>
      <c r="E3028" s="5" t="s">
        <v>7043</v>
      </c>
      <c r="F3028" s="1" t="str">
        <f t="shared" si="105"/>
        <v>https://www.kegg.jp/dbget-bin/www_bget?ec:2.7.4.6</v>
      </c>
      <c r="G3028" s="9" t="s">
        <v>8026</v>
      </c>
      <c r="H3028" s="1" t="str">
        <f t="shared" si="102"/>
        <v>https://www.kegg.jp/entry/R00722</v>
      </c>
      <c r="I3028" t="s">
        <v>13839</v>
      </c>
      <c r="J3028" t="s">
        <v>13840</v>
      </c>
    </row>
    <row r="3029" spans="1:10" x14ac:dyDescent="0.25">
      <c r="A3029" t="s">
        <v>5600</v>
      </c>
      <c r="B3029">
        <v>137</v>
      </c>
      <c r="C3029" t="s">
        <v>5601</v>
      </c>
      <c r="E3029" s="5" t="s">
        <v>7043</v>
      </c>
      <c r="F3029" s="1" t="str">
        <f t="shared" si="105"/>
        <v>https://www.kegg.jp/dbget-bin/www_bget?ec:2.7.4.6</v>
      </c>
      <c r="G3029" s="9" t="s">
        <v>8025</v>
      </c>
      <c r="H3029" s="1" t="str">
        <f t="shared" si="102"/>
        <v>https://www.kegg.jp/entry/R01137</v>
      </c>
      <c r="I3029" t="s">
        <v>13841</v>
      </c>
      <c r="J3029" t="s">
        <v>13842</v>
      </c>
    </row>
    <row r="3030" spans="1:10" x14ac:dyDescent="0.25">
      <c r="A3030" t="s">
        <v>5600</v>
      </c>
      <c r="B3030">
        <v>137</v>
      </c>
      <c r="C3030" t="s">
        <v>5601</v>
      </c>
      <c r="E3030" s="5" t="s">
        <v>7043</v>
      </c>
      <c r="F3030" s="1" t="str">
        <f t="shared" si="105"/>
        <v>https://www.kegg.jp/dbget-bin/www_bget?ec:2.7.4.6</v>
      </c>
      <c r="G3030" s="9" t="s">
        <v>8024</v>
      </c>
      <c r="H3030" s="1" t="str">
        <f t="shared" si="102"/>
        <v>https://www.kegg.jp/entry/R01857</v>
      </c>
      <c r="I3030" t="s">
        <v>13843</v>
      </c>
      <c r="J3030" t="s">
        <v>13844</v>
      </c>
    </row>
    <row r="3031" spans="1:10" x14ac:dyDescent="0.25">
      <c r="A3031" t="s">
        <v>5600</v>
      </c>
      <c r="B3031">
        <v>137</v>
      </c>
      <c r="C3031" t="s">
        <v>5601</v>
      </c>
      <c r="E3031" s="5" t="s">
        <v>7043</v>
      </c>
      <c r="F3031" s="1" t="str">
        <f t="shared" si="105"/>
        <v>https://www.kegg.jp/dbget-bin/www_bget?ec:2.7.4.6</v>
      </c>
      <c r="G3031" s="9" t="s">
        <v>8023</v>
      </c>
      <c r="H3031" s="1" t="str">
        <f t="shared" si="102"/>
        <v>https://www.kegg.jp/entry/R02093</v>
      </c>
      <c r="I3031" t="s">
        <v>13845</v>
      </c>
      <c r="J3031" t="s">
        <v>13846</v>
      </c>
    </row>
    <row r="3032" spans="1:10" x14ac:dyDescent="0.25">
      <c r="A3032" t="s">
        <v>5600</v>
      </c>
      <c r="B3032">
        <v>137</v>
      </c>
      <c r="C3032" t="s">
        <v>5601</v>
      </c>
      <c r="E3032" s="5" t="s">
        <v>7043</v>
      </c>
      <c r="F3032" s="1" t="str">
        <f t="shared" si="105"/>
        <v>https://www.kegg.jp/dbget-bin/www_bget?ec:2.7.4.6</v>
      </c>
      <c r="G3032" s="9" t="s">
        <v>8022</v>
      </c>
      <c r="H3032" s="1" t="str">
        <f t="shared" si="102"/>
        <v>https://www.kegg.jp/entry/R02326</v>
      </c>
      <c r="I3032" t="s">
        <v>13847</v>
      </c>
      <c r="J3032" t="s">
        <v>13848</v>
      </c>
    </row>
    <row r="3033" spans="1:10" x14ac:dyDescent="0.25">
      <c r="A3033" t="s">
        <v>5600</v>
      </c>
      <c r="B3033">
        <v>137</v>
      </c>
      <c r="C3033" t="s">
        <v>5601</v>
      </c>
      <c r="E3033" s="5" t="s">
        <v>7043</v>
      </c>
      <c r="F3033" s="1" t="str">
        <f t="shared" si="105"/>
        <v>https://www.kegg.jp/dbget-bin/www_bget?ec:2.7.4.6</v>
      </c>
      <c r="G3033" s="9" t="s">
        <v>8021</v>
      </c>
      <c r="H3033" s="1" t="str">
        <f t="shared" si="102"/>
        <v>https://www.kegg.jp/entry/R02331</v>
      </c>
      <c r="I3033" t="s">
        <v>13849</v>
      </c>
      <c r="J3033" t="s">
        <v>13850</v>
      </c>
    </row>
    <row r="3034" spans="1:10" x14ac:dyDescent="0.25">
      <c r="A3034" t="s">
        <v>5600</v>
      </c>
      <c r="B3034">
        <v>137</v>
      </c>
      <c r="C3034" t="s">
        <v>5601</v>
      </c>
      <c r="E3034" s="5" t="s">
        <v>7043</v>
      </c>
      <c r="F3034" s="1" t="str">
        <f t="shared" si="105"/>
        <v>https://www.kegg.jp/dbget-bin/www_bget?ec:2.7.4.6</v>
      </c>
      <c r="G3034" s="9" t="s">
        <v>8020</v>
      </c>
      <c r="H3034" s="1" t="str">
        <f t="shared" si="102"/>
        <v>https://www.kegg.jp/entry/R03530</v>
      </c>
      <c r="I3034" t="s">
        <v>13851</v>
      </c>
      <c r="J3034" t="s">
        <v>13852</v>
      </c>
    </row>
    <row r="3035" spans="1:10" x14ac:dyDescent="0.25">
      <c r="A3035" t="s">
        <v>5600</v>
      </c>
      <c r="B3035">
        <v>137</v>
      </c>
      <c r="C3035" t="s">
        <v>5601</v>
      </c>
      <c r="E3035" s="5" t="s">
        <v>7043</v>
      </c>
      <c r="F3035" s="1" t="str">
        <f t="shared" si="105"/>
        <v>https://www.kegg.jp/dbget-bin/www_bget?ec:2.7.4.6</v>
      </c>
      <c r="G3035" s="9" t="s">
        <v>8019</v>
      </c>
      <c r="H3035" s="1" t="str">
        <f t="shared" si="102"/>
        <v>https://www.kegg.jp/entry/R12853</v>
      </c>
      <c r="I3035" t="s">
        <v>13853</v>
      </c>
      <c r="J3035" t="s">
        <v>13854</v>
      </c>
    </row>
    <row r="3036" spans="1:10" x14ac:dyDescent="0.25">
      <c r="A3036" t="s">
        <v>5600</v>
      </c>
      <c r="B3036">
        <v>137</v>
      </c>
      <c r="C3036" t="s">
        <v>5601</v>
      </c>
      <c r="E3036" s="5" t="s">
        <v>7043</v>
      </c>
      <c r="F3036" s="1" t="str">
        <f t="shared" si="105"/>
        <v>https://www.kegg.jp/dbget-bin/www_bget?ec:2.7.4.6</v>
      </c>
      <c r="G3036" s="9" t="s">
        <v>8018</v>
      </c>
      <c r="H3036" s="1" t="str">
        <f t="shared" si="102"/>
        <v>https://www.kegg.jp/entry/R11894</v>
      </c>
      <c r="I3036" t="s">
        <v>13855</v>
      </c>
      <c r="J3036" t="s">
        <v>13856</v>
      </c>
    </row>
    <row r="3037" spans="1:10" x14ac:dyDescent="0.25">
      <c r="A3037" t="s">
        <v>5600</v>
      </c>
      <c r="B3037">
        <v>137</v>
      </c>
      <c r="C3037" t="s">
        <v>5601</v>
      </c>
      <c r="E3037" s="5" t="s">
        <v>7043</v>
      </c>
      <c r="F3037" s="1" t="str">
        <f t="shared" si="101"/>
        <v>https://www.kegg.jp/dbget-bin/www_bget?ec:2.7.4.6</v>
      </c>
      <c r="G3037" s="9" t="s">
        <v>8017</v>
      </c>
      <c r="H3037" s="1" t="str">
        <f t="shared" si="102"/>
        <v>https://www.kegg.jp/entry/R11895</v>
      </c>
      <c r="I3037" t="s">
        <v>13857</v>
      </c>
      <c r="J3037" t="s">
        <v>13858</v>
      </c>
    </row>
    <row r="3038" spans="1:10" hidden="1" x14ac:dyDescent="0.25">
      <c r="A3038" t="s">
        <v>5602</v>
      </c>
      <c r="B3038">
        <v>181</v>
      </c>
      <c r="C3038" t="s">
        <v>5603</v>
      </c>
      <c r="F3038" s="1" t="str">
        <f t="shared" si="101"/>
        <v/>
      </c>
      <c r="G3038" s="3"/>
      <c r="H3038" s="1" t="str">
        <f t="shared" si="102"/>
        <v/>
      </c>
    </row>
    <row r="3039" spans="1:10" hidden="1" x14ac:dyDescent="0.25">
      <c r="A3039" t="s">
        <v>5604</v>
      </c>
      <c r="B3039">
        <v>44</v>
      </c>
      <c r="C3039" t="s">
        <v>5605</v>
      </c>
      <c r="F3039" s="1" t="str">
        <f t="shared" si="101"/>
        <v/>
      </c>
      <c r="G3039" s="3"/>
      <c r="H3039" s="1" t="str">
        <f t="shared" si="102"/>
        <v/>
      </c>
    </row>
    <row r="3040" spans="1:10" x14ac:dyDescent="0.25">
      <c r="A3040" t="s">
        <v>5607</v>
      </c>
      <c r="B3040">
        <v>118</v>
      </c>
      <c r="C3040" t="s">
        <v>5608</v>
      </c>
      <c r="E3040" s="5" t="s">
        <v>7044</v>
      </c>
      <c r="F3040" s="1" t="str">
        <f t="shared" si="101"/>
        <v>https://www.kegg.jp/dbget-bin/www_bget?ec:4.1.2.25</v>
      </c>
      <c r="G3040" s="3" t="s">
        <v>7300</v>
      </c>
      <c r="H3040" s="1" t="str">
        <f t="shared" si="102"/>
        <v>https://www.kegg.jp/entry/R03504</v>
      </c>
      <c r="I3040" t="s">
        <v>10288</v>
      </c>
      <c r="J3040" t="s">
        <v>13859</v>
      </c>
    </row>
    <row r="3041" spans="1:10" x14ac:dyDescent="0.25">
      <c r="A3041" t="s">
        <v>5610</v>
      </c>
      <c r="B3041">
        <v>272</v>
      </c>
      <c r="C3041" t="s">
        <v>5611</v>
      </c>
      <c r="E3041" s="5" t="s">
        <v>7045</v>
      </c>
      <c r="F3041" s="1" t="str">
        <f t="shared" si="101"/>
        <v>https://www.kegg.jp/dbget-bin/www_bget?ec:2.5.1.15</v>
      </c>
      <c r="G3041" s="9" t="s">
        <v>8032</v>
      </c>
      <c r="H3041" s="1" t="str">
        <f t="shared" si="102"/>
        <v>https://www.kegg.jp/entry/R03067</v>
      </c>
      <c r="I3041" t="s">
        <v>13860</v>
      </c>
      <c r="J3041" t="s">
        <v>13861</v>
      </c>
    </row>
    <row r="3042" spans="1:10" x14ac:dyDescent="0.25">
      <c r="A3042" t="s">
        <v>5610</v>
      </c>
      <c r="B3042">
        <v>272</v>
      </c>
      <c r="C3042" t="s">
        <v>5611</v>
      </c>
      <c r="E3042" s="5" t="s">
        <v>7045</v>
      </c>
      <c r="F3042" s="1" t="str">
        <f t="shared" ref="F3042:F3043" si="106">IF(E3042&lt;&gt;"", HYPERLINK("https://www.kegg.jp/dbget-bin/www_bget?ec:" &amp; E3042, "https://www.kegg.jp/dbget-bin/www_bget?ec:" &amp; E3042), "")</f>
        <v>https://www.kegg.jp/dbget-bin/www_bget?ec:2.5.1.15</v>
      </c>
      <c r="G3042" s="9" t="s">
        <v>8033</v>
      </c>
      <c r="H3042" s="1" t="str">
        <f t="shared" si="102"/>
        <v>https://www.kegg.jp/entry/R03066</v>
      </c>
      <c r="I3042" t="s">
        <v>13862</v>
      </c>
      <c r="J3042" t="s">
        <v>13863</v>
      </c>
    </row>
    <row r="3043" spans="1:10" x14ac:dyDescent="0.25">
      <c r="A3043" t="s">
        <v>5610</v>
      </c>
      <c r="B3043">
        <v>272</v>
      </c>
      <c r="C3043" t="s">
        <v>5611</v>
      </c>
      <c r="E3043" s="5" t="s">
        <v>7045</v>
      </c>
      <c r="F3043" s="1" t="str">
        <f t="shared" si="106"/>
        <v>https://www.kegg.jp/dbget-bin/www_bget?ec:2.5.1.15</v>
      </c>
      <c r="G3043" s="9" t="s">
        <v>8032</v>
      </c>
      <c r="H3043" s="1" t="str">
        <f t="shared" si="102"/>
        <v>https://www.kegg.jp/entry/R03067</v>
      </c>
      <c r="I3043" t="s">
        <v>13860</v>
      </c>
      <c r="J3043" t="s">
        <v>13861</v>
      </c>
    </row>
    <row r="3044" spans="1:10" x14ac:dyDescent="0.25">
      <c r="A3044" t="s">
        <v>5610</v>
      </c>
      <c r="B3044">
        <v>272</v>
      </c>
      <c r="C3044" t="s">
        <v>5611</v>
      </c>
      <c r="E3044" s="5" t="s">
        <v>7045</v>
      </c>
      <c r="F3044" s="1" t="str">
        <f t="shared" si="101"/>
        <v>https://www.kegg.jp/dbget-bin/www_bget?ec:2.5.1.15</v>
      </c>
      <c r="G3044" s="9" t="s">
        <v>8033</v>
      </c>
      <c r="H3044" s="1" t="str">
        <f t="shared" si="102"/>
        <v>https://www.kegg.jp/entry/R03066</v>
      </c>
      <c r="I3044" t="s">
        <v>13862</v>
      </c>
      <c r="J3044" t="s">
        <v>13863</v>
      </c>
    </row>
    <row r="3045" spans="1:10" hidden="1" x14ac:dyDescent="0.25">
      <c r="A3045" t="s">
        <v>5612</v>
      </c>
      <c r="B3045">
        <v>85</v>
      </c>
      <c r="C3045" t="s">
        <v>5613</v>
      </c>
      <c r="F3045" s="1" t="str">
        <f t="shared" si="101"/>
        <v/>
      </c>
      <c r="G3045" s="3"/>
      <c r="H3045" s="1" t="str">
        <f t="shared" si="102"/>
        <v/>
      </c>
    </row>
    <row r="3046" spans="1:10" hidden="1" x14ac:dyDescent="0.25">
      <c r="A3046" t="s">
        <v>5614</v>
      </c>
      <c r="B3046">
        <v>402</v>
      </c>
      <c r="C3046" t="s">
        <v>5615</v>
      </c>
      <c r="F3046" s="1" t="str">
        <f t="shared" si="101"/>
        <v/>
      </c>
      <c r="G3046" s="3"/>
      <c r="H3046" s="1" t="str">
        <f t="shared" si="102"/>
        <v/>
      </c>
    </row>
    <row r="3047" spans="1:10" hidden="1" x14ac:dyDescent="0.25">
      <c r="A3047" t="s">
        <v>5617</v>
      </c>
      <c r="B3047">
        <v>179</v>
      </c>
      <c r="C3047" t="s">
        <v>5618</v>
      </c>
      <c r="F3047" s="1" t="str">
        <f t="shared" si="101"/>
        <v/>
      </c>
      <c r="G3047" s="3"/>
      <c r="H3047" s="1" t="str">
        <f t="shared" si="102"/>
        <v/>
      </c>
    </row>
    <row r="3048" spans="1:10" hidden="1" x14ac:dyDescent="0.25">
      <c r="A3048" t="s">
        <v>5620</v>
      </c>
      <c r="B3048">
        <v>497</v>
      </c>
      <c r="C3048" t="s">
        <v>5621</v>
      </c>
      <c r="F3048" s="1" t="str">
        <f t="shared" si="101"/>
        <v/>
      </c>
      <c r="G3048" s="3"/>
      <c r="H3048" s="1" t="str">
        <f t="shared" si="102"/>
        <v/>
      </c>
    </row>
    <row r="3049" spans="1:10" hidden="1" x14ac:dyDescent="0.25">
      <c r="A3049" t="s">
        <v>5622</v>
      </c>
      <c r="B3049">
        <v>359</v>
      </c>
      <c r="C3049" t="s">
        <v>5623</v>
      </c>
      <c r="F3049" s="1" t="str">
        <f t="shared" si="101"/>
        <v/>
      </c>
      <c r="G3049" s="3"/>
      <c r="H3049" s="1" t="str">
        <f t="shared" si="102"/>
        <v/>
      </c>
    </row>
    <row r="3050" spans="1:10" hidden="1" x14ac:dyDescent="0.25">
      <c r="A3050" t="s">
        <v>5624</v>
      </c>
      <c r="B3050">
        <v>157</v>
      </c>
      <c r="C3050" t="s">
        <v>5625</v>
      </c>
      <c r="F3050" s="1" t="str">
        <f t="shared" si="101"/>
        <v/>
      </c>
      <c r="G3050" s="3"/>
      <c r="H3050" s="1" t="str">
        <f t="shared" si="102"/>
        <v/>
      </c>
    </row>
    <row r="3051" spans="1:10" hidden="1" x14ac:dyDescent="0.25">
      <c r="A3051" t="s">
        <v>5627</v>
      </c>
      <c r="B3051">
        <v>200</v>
      </c>
      <c r="C3051" t="s">
        <v>5628</v>
      </c>
      <c r="E3051" s="5" t="s">
        <v>6990</v>
      </c>
      <c r="F3051" s="1" t="str">
        <f t="shared" si="101"/>
        <v>https://www.kegg.jp/dbget-bin/www_bget?ec:3.1.26.4</v>
      </c>
      <c r="G3051" s="3"/>
      <c r="H3051" s="1" t="str">
        <f t="shared" ref="H3051:H3114" si="107">IF(G3051&lt;&gt;"", HYPERLINK("https://www.kegg.jp/entry/" &amp; G3051, "https://www.kegg.jp/entry/" &amp; G3051), "")</f>
        <v/>
      </c>
    </row>
    <row r="3052" spans="1:10" hidden="1" x14ac:dyDescent="0.25">
      <c r="A3052" t="s">
        <v>5630</v>
      </c>
      <c r="B3052">
        <v>495</v>
      </c>
      <c r="C3052" t="s">
        <v>5631</v>
      </c>
      <c r="F3052" s="1" t="str">
        <f t="shared" si="101"/>
        <v/>
      </c>
      <c r="G3052" s="3"/>
      <c r="H3052" s="1" t="str">
        <f t="shared" si="107"/>
        <v/>
      </c>
    </row>
    <row r="3053" spans="1:10" hidden="1" x14ac:dyDescent="0.25">
      <c r="A3053" t="s">
        <v>5632</v>
      </c>
      <c r="B3053">
        <v>667</v>
      </c>
      <c r="C3053" t="s">
        <v>5633</v>
      </c>
      <c r="F3053" s="1" t="str">
        <f t="shared" si="101"/>
        <v/>
      </c>
      <c r="G3053" s="3"/>
      <c r="H3053" s="1" t="str">
        <f t="shared" si="107"/>
        <v/>
      </c>
    </row>
    <row r="3054" spans="1:10" hidden="1" x14ac:dyDescent="0.25">
      <c r="A3054" t="s">
        <v>5634</v>
      </c>
      <c r="B3054">
        <v>136</v>
      </c>
      <c r="C3054" t="s">
        <v>5635</v>
      </c>
      <c r="F3054" s="1" t="str">
        <f t="shared" si="101"/>
        <v/>
      </c>
      <c r="G3054" s="3"/>
      <c r="H3054" s="1" t="str">
        <f t="shared" si="107"/>
        <v/>
      </c>
    </row>
    <row r="3055" spans="1:10" hidden="1" x14ac:dyDescent="0.25">
      <c r="A3055" t="s">
        <v>5637</v>
      </c>
      <c r="B3055">
        <v>406</v>
      </c>
      <c r="C3055" t="s">
        <v>5638</v>
      </c>
      <c r="F3055" s="1" t="str">
        <f t="shared" si="101"/>
        <v/>
      </c>
      <c r="G3055" s="3"/>
      <c r="H3055" s="1" t="str">
        <f t="shared" si="107"/>
        <v/>
      </c>
    </row>
    <row r="3056" spans="1:10" hidden="1" x14ac:dyDescent="0.25">
      <c r="A3056" t="s">
        <v>5640</v>
      </c>
      <c r="B3056">
        <v>434</v>
      </c>
      <c r="C3056" t="s">
        <v>5641</v>
      </c>
      <c r="F3056" s="1" t="str">
        <f t="shared" si="101"/>
        <v/>
      </c>
      <c r="G3056" s="3"/>
      <c r="H3056" s="1" t="str">
        <f t="shared" si="107"/>
        <v/>
      </c>
    </row>
    <row r="3057" spans="1:10" hidden="1" x14ac:dyDescent="0.25">
      <c r="A3057" t="s">
        <v>5643</v>
      </c>
      <c r="B3057">
        <v>396</v>
      </c>
      <c r="C3057" t="s">
        <v>5644</v>
      </c>
      <c r="F3057" s="1" t="str">
        <f t="shared" si="101"/>
        <v/>
      </c>
      <c r="G3057" s="3"/>
      <c r="H3057" s="1" t="str">
        <f t="shared" si="107"/>
        <v/>
      </c>
    </row>
    <row r="3058" spans="1:10" x14ac:dyDescent="0.25">
      <c r="A3058" t="s">
        <v>5646</v>
      </c>
      <c r="B3058">
        <v>202</v>
      </c>
      <c r="C3058" t="s">
        <v>5647</v>
      </c>
      <c r="D3058" s="5" t="s">
        <v>7046</v>
      </c>
      <c r="E3058" s="5" t="s">
        <v>8034</v>
      </c>
      <c r="F3058" s="1" t="str">
        <f t="shared" ref="F3058" si="108">IF(E3058&lt;&gt;"", HYPERLINK("https://www.kegg.jp/dbget-bin/www_bget?ec:" &amp; E3058, "https://www.kegg.jp/dbget-bin/www_bget?ec:" &amp; E3058), "")</f>
        <v>https://www.kegg.jp/dbget-bin/www_bget?ec:2.3.1.266</v>
      </c>
      <c r="G3058" s="9" t="s">
        <v>8036</v>
      </c>
      <c r="H3058" s="1" t="str">
        <f t="shared" si="107"/>
        <v>https://www.kegg.jp/entry/R04316</v>
      </c>
      <c r="I3058" t="s">
        <v>13864</v>
      </c>
      <c r="J3058" t="s">
        <v>13865</v>
      </c>
    </row>
    <row r="3059" spans="1:10" x14ac:dyDescent="0.25">
      <c r="A3059" t="s">
        <v>5646</v>
      </c>
      <c r="B3059">
        <v>202</v>
      </c>
      <c r="C3059" t="s">
        <v>5647</v>
      </c>
      <c r="D3059" s="5" t="s">
        <v>7046</v>
      </c>
      <c r="E3059" s="5" t="s">
        <v>8035</v>
      </c>
      <c r="F3059" s="1" t="str">
        <f t="shared" si="101"/>
        <v>https://www.kegg.jp/dbget-bin/www_bget?ec:2.3.1.267</v>
      </c>
      <c r="G3059" s="9" t="s">
        <v>8036</v>
      </c>
      <c r="H3059" s="1" t="str">
        <f t="shared" si="107"/>
        <v>https://www.kegg.jp/entry/R04316</v>
      </c>
      <c r="I3059" t="s">
        <v>13864</v>
      </c>
      <c r="J3059" t="s">
        <v>13865</v>
      </c>
    </row>
    <row r="3060" spans="1:10" hidden="1" x14ac:dyDescent="0.25">
      <c r="A3060" t="s">
        <v>5649</v>
      </c>
      <c r="B3060">
        <v>347</v>
      </c>
      <c r="C3060" t="s">
        <v>5650</v>
      </c>
      <c r="F3060" s="1" t="str">
        <f t="shared" si="101"/>
        <v/>
      </c>
      <c r="G3060" s="3"/>
      <c r="H3060" s="1" t="str">
        <f t="shared" si="107"/>
        <v/>
      </c>
    </row>
    <row r="3061" spans="1:10" hidden="1" x14ac:dyDescent="0.25">
      <c r="A3061" t="s">
        <v>5652</v>
      </c>
      <c r="B3061">
        <v>164</v>
      </c>
      <c r="C3061" t="s">
        <v>5653</v>
      </c>
      <c r="F3061" s="1" t="str">
        <f t="shared" si="101"/>
        <v/>
      </c>
      <c r="G3061" s="3"/>
      <c r="H3061" s="1" t="str">
        <f t="shared" si="107"/>
        <v/>
      </c>
    </row>
    <row r="3062" spans="1:10" x14ac:dyDescent="0.25">
      <c r="A3062" t="s">
        <v>5654</v>
      </c>
      <c r="B3062">
        <v>377</v>
      </c>
      <c r="C3062" t="s">
        <v>5655</v>
      </c>
      <c r="E3062" s="5" t="s">
        <v>6854</v>
      </c>
      <c r="F3062" s="1" t="str">
        <f t="shared" si="101"/>
        <v>https://www.kegg.jp/dbget-bin/www_bget?ec:2.6.1.1</v>
      </c>
      <c r="G3062" s="3" t="s">
        <v>7735</v>
      </c>
      <c r="H3062" s="1" t="str">
        <f t="shared" si="107"/>
        <v>https://www.kegg.jp/entry/R00355</v>
      </c>
      <c r="I3062" t="s">
        <v>13353</v>
      </c>
      <c r="J3062" t="s">
        <v>13354</v>
      </c>
    </row>
    <row r="3063" spans="1:10" x14ac:dyDescent="0.25">
      <c r="A3063" t="s">
        <v>5654</v>
      </c>
      <c r="B3063">
        <v>377</v>
      </c>
      <c r="C3063" t="s">
        <v>5655</v>
      </c>
      <c r="E3063" s="5" t="s">
        <v>6854</v>
      </c>
      <c r="F3063" s="1" t="str">
        <f t="shared" si="101"/>
        <v>https://www.kegg.jp/dbget-bin/www_bget?ec:2.6.1.1</v>
      </c>
      <c r="G3063" s="3" t="s">
        <v>7742</v>
      </c>
      <c r="H3063" s="1" t="str">
        <f t="shared" si="107"/>
        <v>https://www.kegg.jp/entry/R00694</v>
      </c>
      <c r="I3063" t="s">
        <v>13355</v>
      </c>
      <c r="J3063" t="s">
        <v>13356</v>
      </c>
    </row>
    <row r="3064" spans="1:10" x14ac:dyDescent="0.25">
      <c r="A3064" t="s">
        <v>5654</v>
      </c>
      <c r="B3064">
        <v>377</v>
      </c>
      <c r="C3064" t="s">
        <v>5655</v>
      </c>
      <c r="E3064" s="5" t="s">
        <v>6854</v>
      </c>
      <c r="F3064" s="1" t="str">
        <f t="shared" si="101"/>
        <v>https://www.kegg.jp/dbget-bin/www_bget?ec:2.6.1.1</v>
      </c>
      <c r="G3064" s="3" t="s">
        <v>7741</v>
      </c>
      <c r="H3064" s="1" t="str">
        <f t="shared" si="107"/>
        <v>https://www.kegg.jp/entry/R00734</v>
      </c>
      <c r="I3064" t="s">
        <v>13357</v>
      </c>
      <c r="J3064" t="s">
        <v>13358</v>
      </c>
    </row>
    <row r="3065" spans="1:10" x14ac:dyDescent="0.25">
      <c r="A3065" t="s">
        <v>5654</v>
      </c>
      <c r="B3065">
        <v>377</v>
      </c>
      <c r="C3065" t="s">
        <v>5655</v>
      </c>
      <c r="E3065" s="5" t="s">
        <v>6854</v>
      </c>
      <c r="F3065" s="1" t="str">
        <f t="shared" si="101"/>
        <v>https://www.kegg.jp/dbget-bin/www_bget?ec:2.6.1.1</v>
      </c>
      <c r="G3065" s="3" t="s">
        <v>7740</v>
      </c>
      <c r="H3065" s="1" t="str">
        <f t="shared" si="107"/>
        <v>https://www.kegg.jp/entry/R00895</v>
      </c>
      <c r="I3065" t="s">
        <v>13359</v>
      </c>
      <c r="J3065" t="s">
        <v>13360</v>
      </c>
    </row>
    <row r="3066" spans="1:10" x14ac:dyDescent="0.25">
      <c r="A3066" t="s">
        <v>5654</v>
      </c>
      <c r="B3066">
        <v>377</v>
      </c>
      <c r="C3066" t="s">
        <v>5655</v>
      </c>
      <c r="E3066" s="5" t="s">
        <v>6854</v>
      </c>
      <c r="F3066" s="1" t="str">
        <f t="shared" si="101"/>
        <v>https://www.kegg.jp/dbget-bin/www_bget?ec:2.6.1.1</v>
      </c>
      <c r="G3066" s="3" t="s">
        <v>7739</v>
      </c>
      <c r="H3066" s="1" t="str">
        <f t="shared" si="107"/>
        <v>https://www.kegg.jp/entry/R00896</v>
      </c>
      <c r="I3066" t="s">
        <v>13359</v>
      </c>
      <c r="J3066" t="s">
        <v>13361</v>
      </c>
    </row>
    <row r="3067" spans="1:10" x14ac:dyDescent="0.25">
      <c r="A3067" t="s">
        <v>5654</v>
      </c>
      <c r="B3067">
        <v>377</v>
      </c>
      <c r="C3067" t="s">
        <v>5655</v>
      </c>
      <c r="E3067" s="5" t="s">
        <v>6854</v>
      </c>
      <c r="F3067" s="1" t="str">
        <f t="shared" si="101"/>
        <v>https://www.kegg.jp/dbget-bin/www_bget?ec:2.6.1.1</v>
      </c>
      <c r="G3067" s="3" t="s">
        <v>7738</v>
      </c>
      <c r="H3067" s="1" t="str">
        <f t="shared" si="107"/>
        <v>https://www.kegg.jp/entry/R02433</v>
      </c>
      <c r="I3067" t="s">
        <v>13362</v>
      </c>
      <c r="J3067" t="s">
        <v>13363</v>
      </c>
    </row>
    <row r="3068" spans="1:10" x14ac:dyDescent="0.25">
      <c r="A3068" t="s">
        <v>5654</v>
      </c>
      <c r="B3068">
        <v>377</v>
      </c>
      <c r="C3068" t="s">
        <v>5655</v>
      </c>
      <c r="E3068" s="5" t="s">
        <v>6854</v>
      </c>
      <c r="F3068" s="1" t="str">
        <f t="shared" si="101"/>
        <v>https://www.kegg.jp/dbget-bin/www_bget?ec:2.6.1.1</v>
      </c>
      <c r="G3068" s="3" t="s">
        <v>7737</v>
      </c>
      <c r="H3068" s="1" t="str">
        <f t="shared" si="107"/>
        <v>https://www.kegg.jp/entry/R02619</v>
      </c>
      <c r="I3068" t="s">
        <v>13364</v>
      </c>
      <c r="J3068" t="s">
        <v>13365</v>
      </c>
    </row>
    <row r="3069" spans="1:10" x14ac:dyDescent="0.25">
      <c r="A3069" t="s">
        <v>5654</v>
      </c>
      <c r="B3069">
        <v>377</v>
      </c>
      <c r="C3069" t="s">
        <v>5655</v>
      </c>
      <c r="E3069" s="5" t="s">
        <v>6854</v>
      </c>
      <c r="F3069" s="1" t="str">
        <f t="shared" si="101"/>
        <v>https://www.kegg.jp/dbget-bin/www_bget?ec:2.6.1.1</v>
      </c>
      <c r="G3069" s="3" t="s">
        <v>7736</v>
      </c>
      <c r="H3069" s="1" t="str">
        <f t="shared" si="107"/>
        <v>https://www.kegg.jp/entry/R05052</v>
      </c>
      <c r="I3069" t="s">
        <v>13366</v>
      </c>
      <c r="J3069" t="s">
        <v>13367</v>
      </c>
    </row>
    <row r="3070" spans="1:10" hidden="1" x14ac:dyDescent="0.25">
      <c r="A3070" t="s">
        <v>5657</v>
      </c>
      <c r="B3070">
        <v>69</v>
      </c>
      <c r="C3070" t="s">
        <v>5658</v>
      </c>
      <c r="F3070" s="1" t="str">
        <f t="shared" si="101"/>
        <v/>
      </c>
      <c r="G3070" s="3"/>
      <c r="H3070" s="1" t="str">
        <f t="shared" si="107"/>
        <v/>
      </c>
    </row>
    <row r="3071" spans="1:10" hidden="1" x14ac:dyDescent="0.25">
      <c r="A3071" t="s">
        <v>5659</v>
      </c>
      <c r="B3071">
        <v>281</v>
      </c>
      <c r="C3071" t="s">
        <v>5660</v>
      </c>
      <c r="F3071" s="1" t="str">
        <f t="shared" si="101"/>
        <v/>
      </c>
      <c r="G3071" s="3"/>
      <c r="H3071" s="1" t="str">
        <f t="shared" si="107"/>
        <v/>
      </c>
    </row>
    <row r="3072" spans="1:10" hidden="1" x14ac:dyDescent="0.25">
      <c r="A3072" t="s">
        <v>5661</v>
      </c>
      <c r="B3072">
        <v>542</v>
      </c>
      <c r="C3072" t="s">
        <v>5662</v>
      </c>
      <c r="F3072" s="1" t="str">
        <f t="shared" si="101"/>
        <v/>
      </c>
      <c r="G3072" s="3"/>
      <c r="H3072" s="1" t="str">
        <f t="shared" si="107"/>
        <v/>
      </c>
    </row>
    <row r="3073" spans="1:10" hidden="1" x14ac:dyDescent="0.25">
      <c r="A3073" t="s">
        <v>5664</v>
      </c>
      <c r="B3073">
        <v>434</v>
      </c>
      <c r="C3073" t="s">
        <v>5665</v>
      </c>
      <c r="F3073" s="1" t="str">
        <f t="shared" si="101"/>
        <v/>
      </c>
      <c r="G3073" s="3"/>
      <c r="H3073" s="1" t="str">
        <f t="shared" si="107"/>
        <v/>
      </c>
    </row>
    <row r="3074" spans="1:10" hidden="1" x14ac:dyDescent="0.25">
      <c r="A3074" t="s">
        <v>5667</v>
      </c>
      <c r="B3074">
        <v>559</v>
      </c>
      <c r="C3074" t="s">
        <v>5668</v>
      </c>
      <c r="F3074" s="1" t="str">
        <f t="shared" si="101"/>
        <v/>
      </c>
      <c r="G3074" s="3"/>
      <c r="H3074" s="1" t="str">
        <f t="shared" si="107"/>
        <v/>
      </c>
    </row>
    <row r="3075" spans="1:10" x14ac:dyDescent="0.25">
      <c r="A3075" t="s">
        <v>5669</v>
      </c>
      <c r="B3075">
        <v>414</v>
      </c>
      <c r="C3075" t="s">
        <v>5670</v>
      </c>
      <c r="E3075" s="5" t="s">
        <v>6736</v>
      </c>
      <c r="F3075" s="1" t="str">
        <f t="shared" ref="F3075" si="109">IF(E3075&lt;&gt;"", HYPERLINK("https://www.kegg.jp/dbget-bin/www_bget?ec:" &amp; E3075, "https://www.kegg.jp/dbget-bin/www_bget?ec:" &amp; E3075), "")</f>
        <v>https://www.kegg.jp/dbget-bin/www_bget?ec:6.3.2.12</v>
      </c>
      <c r="G3075" s="9" t="s">
        <v>7542</v>
      </c>
      <c r="H3075" s="1" t="str">
        <f t="shared" si="107"/>
        <v>https://www.kegg.jp/entry/R02237</v>
      </c>
      <c r="I3075" t="s">
        <v>13025</v>
      </c>
      <c r="J3075" t="s">
        <v>8473</v>
      </c>
    </row>
    <row r="3076" spans="1:10" x14ac:dyDescent="0.25">
      <c r="A3076" t="s">
        <v>5669</v>
      </c>
      <c r="B3076">
        <v>414</v>
      </c>
      <c r="C3076" t="s">
        <v>5670</v>
      </c>
      <c r="E3076" s="5" t="s">
        <v>6736</v>
      </c>
      <c r="F3076" s="1" t="str">
        <f t="shared" si="101"/>
        <v>https://www.kegg.jp/dbget-bin/www_bget?ec:6.3.2.12</v>
      </c>
      <c r="G3076" s="9" t="s">
        <v>7543</v>
      </c>
      <c r="H3076" s="1" t="str">
        <f t="shared" si="107"/>
        <v>https://www.kegg.jp/entry/R01654</v>
      </c>
      <c r="I3076" t="s">
        <v>13026</v>
      </c>
      <c r="J3076" t="s">
        <v>8474</v>
      </c>
    </row>
    <row r="3077" spans="1:10" hidden="1" x14ac:dyDescent="0.25">
      <c r="A3077" t="s">
        <v>5672</v>
      </c>
      <c r="B3077">
        <v>118</v>
      </c>
      <c r="C3077" t="s">
        <v>5673</v>
      </c>
      <c r="F3077" s="1" t="str">
        <f t="shared" ref="F3077:F3151" si="110">IF(E3077&lt;&gt;"", HYPERLINK("https://www.kegg.jp/dbget-bin/www_bget?ec:" &amp; E3077, "https://www.kegg.jp/dbget-bin/www_bget?ec:" &amp; E3077), "")</f>
        <v/>
      </c>
      <c r="G3077" s="3"/>
      <c r="H3077" s="1" t="str">
        <f t="shared" si="107"/>
        <v/>
      </c>
    </row>
    <row r="3078" spans="1:10" x14ac:dyDescent="0.25">
      <c r="A3078" t="s">
        <v>5675</v>
      </c>
      <c r="B3078">
        <v>303</v>
      </c>
      <c r="C3078" t="s">
        <v>5676</v>
      </c>
      <c r="E3078" s="5" t="s">
        <v>7047</v>
      </c>
      <c r="F3078" s="1" t="str">
        <f t="shared" si="110"/>
        <v>https://www.kegg.jp/dbget-bin/www_bget?ec:2.5.1.61</v>
      </c>
      <c r="G3078" s="3" t="s">
        <v>7301</v>
      </c>
      <c r="H3078" s="1" t="str">
        <f t="shared" si="107"/>
        <v>https://www.kegg.jp/entry/R00084</v>
      </c>
      <c r="I3078" t="s">
        <v>13009</v>
      </c>
      <c r="J3078" t="s">
        <v>13866</v>
      </c>
    </row>
    <row r="3079" spans="1:10" x14ac:dyDescent="0.25">
      <c r="A3079" t="s">
        <v>5678</v>
      </c>
      <c r="B3079">
        <v>443</v>
      </c>
      <c r="C3079" t="s">
        <v>5679</v>
      </c>
      <c r="E3079" s="5" t="s">
        <v>7048</v>
      </c>
      <c r="F3079" s="1" t="str">
        <f t="shared" si="110"/>
        <v>https://www.kegg.jp/dbget-bin/www_bget?ec:2.3.1.12</v>
      </c>
      <c r="G3079" s="3" t="s">
        <v>7302</v>
      </c>
      <c r="H3079" s="1" t="str">
        <f t="shared" si="107"/>
        <v>https://www.kegg.jp/entry/R02569</v>
      </c>
      <c r="I3079" t="s">
        <v>13867</v>
      </c>
      <c r="J3079" t="s">
        <v>13868</v>
      </c>
    </row>
    <row r="3080" spans="1:10" x14ac:dyDescent="0.25">
      <c r="A3080" t="s">
        <v>5681</v>
      </c>
      <c r="B3080">
        <v>905</v>
      </c>
      <c r="C3080" t="s">
        <v>5682</v>
      </c>
      <c r="E3080" s="5" t="s">
        <v>7049</v>
      </c>
      <c r="F3080" s="1" t="str">
        <f t="shared" si="110"/>
        <v>https://www.kegg.jp/dbget-bin/www_bget?ec:1.2.4.1</v>
      </c>
      <c r="G3080" s="9" t="s">
        <v>8037</v>
      </c>
      <c r="H3080" s="1" t="str">
        <f t="shared" si="107"/>
        <v>https://www.kegg.jp/entry/R01699</v>
      </c>
      <c r="I3080" t="s">
        <v>13869</v>
      </c>
      <c r="J3080" t="s">
        <v>13870</v>
      </c>
    </row>
    <row r="3081" spans="1:10" x14ac:dyDescent="0.25">
      <c r="A3081" t="s">
        <v>5681</v>
      </c>
      <c r="B3081">
        <v>905</v>
      </c>
      <c r="C3081" t="s">
        <v>5682</v>
      </c>
      <c r="E3081" s="5" t="s">
        <v>7049</v>
      </c>
      <c r="F3081" s="1" t="str">
        <f t="shared" si="110"/>
        <v>https://www.kegg.jp/dbget-bin/www_bget?ec:1.2.4.1</v>
      </c>
      <c r="G3081" s="9" t="s">
        <v>7802</v>
      </c>
      <c r="H3081" s="1" t="str">
        <f t="shared" si="107"/>
        <v>https://www.kegg.jp/entry/R00014</v>
      </c>
      <c r="I3081" t="s">
        <v>8300</v>
      </c>
      <c r="J3081" t="s">
        <v>13450</v>
      </c>
    </row>
    <row r="3082" spans="1:10" x14ac:dyDescent="0.25">
      <c r="A3082" t="s">
        <v>5681</v>
      </c>
      <c r="B3082">
        <v>905</v>
      </c>
      <c r="C3082" t="s">
        <v>5682</v>
      </c>
      <c r="E3082" s="5" t="s">
        <v>7049</v>
      </c>
      <c r="F3082" s="1" t="str">
        <f>IF(E3082&lt;&gt;"", HYPERLINK("https://www.kegg.jp/dbget-bin/www_bget?ec:" &amp; E3082, "https://www.kegg.jp/dbget-bin/www_bget?ec:" &amp; E3082), "")</f>
        <v>https://www.kegg.jp/dbget-bin/www_bget?ec:1.2.4.1</v>
      </c>
      <c r="G3082" s="9" t="s">
        <v>8038</v>
      </c>
      <c r="H3082" s="1" t="str">
        <f t="shared" si="107"/>
        <v>https://www.kegg.jp/entry/R03270</v>
      </c>
      <c r="I3082" t="s">
        <v>13871</v>
      </c>
      <c r="J3082" t="s">
        <v>13872</v>
      </c>
    </row>
    <row r="3083" spans="1:10" hidden="1" x14ac:dyDescent="0.25">
      <c r="A3083" t="s">
        <v>5684</v>
      </c>
      <c r="B3083">
        <v>285</v>
      </c>
      <c r="C3083" t="s">
        <v>5685</v>
      </c>
      <c r="F3083" s="1" t="str">
        <f t="shared" si="110"/>
        <v/>
      </c>
      <c r="G3083" s="3"/>
      <c r="H3083" s="1" t="str">
        <f t="shared" si="107"/>
        <v/>
      </c>
    </row>
    <row r="3084" spans="1:10" hidden="1" x14ac:dyDescent="0.25">
      <c r="A3084" t="s">
        <v>5686</v>
      </c>
      <c r="B3084">
        <v>85</v>
      </c>
      <c r="C3084" t="s">
        <v>5687</v>
      </c>
      <c r="F3084" s="1" t="str">
        <f t="shared" si="110"/>
        <v/>
      </c>
      <c r="G3084" s="3"/>
      <c r="H3084" s="1" t="str">
        <f t="shared" si="107"/>
        <v/>
      </c>
    </row>
    <row r="3085" spans="1:10" hidden="1" x14ac:dyDescent="0.25">
      <c r="A3085" t="s">
        <v>5688</v>
      </c>
      <c r="B3085">
        <v>87</v>
      </c>
      <c r="C3085" t="s">
        <v>5689</v>
      </c>
      <c r="F3085" s="1" t="str">
        <f t="shared" si="110"/>
        <v/>
      </c>
      <c r="G3085" s="3"/>
      <c r="H3085" s="1" t="str">
        <f t="shared" si="107"/>
        <v/>
      </c>
    </row>
    <row r="3086" spans="1:10" hidden="1" x14ac:dyDescent="0.25">
      <c r="A3086" t="s">
        <v>5691</v>
      </c>
      <c r="B3086">
        <v>147</v>
      </c>
      <c r="C3086" t="s">
        <v>5692</v>
      </c>
      <c r="F3086" s="1" t="str">
        <f t="shared" si="110"/>
        <v/>
      </c>
      <c r="G3086" s="3"/>
      <c r="H3086" s="1" t="str">
        <f t="shared" si="107"/>
        <v/>
      </c>
    </row>
    <row r="3087" spans="1:10" x14ac:dyDescent="0.25">
      <c r="A3087" t="s">
        <v>5694</v>
      </c>
      <c r="B3087">
        <v>451</v>
      </c>
      <c r="C3087" t="s">
        <v>5695</v>
      </c>
      <c r="E3087" s="5" t="s">
        <v>7050</v>
      </c>
      <c r="F3087" s="1" t="str">
        <f t="shared" ref="F3087" si="111">IF(E3087&lt;&gt;"", HYPERLINK("https://www.kegg.jp/dbget-bin/www_bget?ec:" &amp; E3087, "https://www.kegg.jp/dbget-bin/www_bget?ec:" &amp; E3087), "")</f>
        <v>https://www.kegg.jp/dbget-bin/www_bget?ec:3.4.11.1</v>
      </c>
      <c r="G3087" s="9" t="s">
        <v>8039</v>
      </c>
      <c r="H3087" s="1" t="str">
        <f t="shared" si="107"/>
        <v>https://www.kegg.jp/entry/R00899</v>
      </c>
      <c r="I3087" t="s">
        <v>13873</v>
      </c>
      <c r="J3087" t="s">
        <v>13874</v>
      </c>
    </row>
    <row r="3088" spans="1:10" x14ac:dyDescent="0.25">
      <c r="A3088" t="s">
        <v>5694</v>
      </c>
      <c r="B3088">
        <v>451</v>
      </c>
      <c r="C3088" t="s">
        <v>5695</v>
      </c>
      <c r="E3088" s="5" t="s">
        <v>7050</v>
      </c>
      <c r="F3088" s="1" t="str">
        <f t="shared" si="110"/>
        <v>https://www.kegg.jp/dbget-bin/www_bget?ec:3.4.11.1</v>
      </c>
      <c r="G3088" s="9" t="s">
        <v>8040</v>
      </c>
      <c r="H3088" s="1" t="str">
        <f t="shared" si="107"/>
        <v>https://www.kegg.jp/entry/R04951</v>
      </c>
      <c r="I3088" t="s">
        <v>13875</v>
      </c>
      <c r="J3088" t="s">
        <v>13876</v>
      </c>
    </row>
    <row r="3089" spans="1:8" hidden="1" x14ac:dyDescent="0.25">
      <c r="A3089" t="s">
        <v>5696</v>
      </c>
      <c r="B3089">
        <v>272</v>
      </c>
      <c r="C3089" t="s">
        <v>5697</v>
      </c>
      <c r="F3089" s="1" t="str">
        <f t="shared" si="110"/>
        <v/>
      </c>
      <c r="G3089" s="3"/>
      <c r="H3089" s="1" t="str">
        <f t="shared" si="107"/>
        <v/>
      </c>
    </row>
    <row r="3090" spans="1:8" hidden="1" x14ac:dyDescent="0.25">
      <c r="A3090" t="s">
        <v>5699</v>
      </c>
      <c r="B3090">
        <v>371</v>
      </c>
      <c r="C3090" t="s">
        <v>5700</v>
      </c>
      <c r="F3090" s="1" t="str">
        <f t="shared" si="110"/>
        <v/>
      </c>
      <c r="G3090" s="3"/>
      <c r="H3090" s="1" t="str">
        <f t="shared" si="107"/>
        <v/>
      </c>
    </row>
    <row r="3091" spans="1:8" hidden="1" x14ac:dyDescent="0.25">
      <c r="A3091" t="s">
        <v>5702</v>
      </c>
      <c r="B3091">
        <v>323</v>
      </c>
      <c r="C3091" t="s">
        <v>5703</v>
      </c>
      <c r="F3091" s="1" t="str">
        <f t="shared" si="110"/>
        <v/>
      </c>
      <c r="G3091" s="3"/>
      <c r="H3091" s="1" t="str">
        <f t="shared" si="107"/>
        <v/>
      </c>
    </row>
    <row r="3092" spans="1:8" hidden="1" x14ac:dyDescent="0.25">
      <c r="A3092" t="s">
        <v>5705</v>
      </c>
      <c r="B3092">
        <v>317</v>
      </c>
      <c r="C3092" t="s">
        <v>5706</v>
      </c>
      <c r="F3092" s="1" t="str">
        <f t="shared" si="110"/>
        <v/>
      </c>
      <c r="G3092" s="3"/>
      <c r="H3092" s="1" t="str">
        <f t="shared" si="107"/>
        <v/>
      </c>
    </row>
    <row r="3093" spans="1:8" hidden="1" x14ac:dyDescent="0.25">
      <c r="A3093" t="s">
        <v>5708</v>
      </c>
      <c r="B3093">
        <v>401</v>
      </c>
      <c r="C3093" t="s">
        <v>5709</v>
      </c>
      <c r="F3093" s="1" t="str">
        <f t="shared" si="110"/>
        <v/>
      </c>
      <c r="G3093" s="3"/>
      <c r="H3093" s="1" t="str">
        <f t="shared" si="107"/>
        <v/>
      </c>
    </row>
    <row r="3094" spans="1:8" hidden="1" x14ac:dyDescent="0.25">
      <c r="A3094" t="s">
        <v>5711</v>
      </c>
      <c r="B3094">
        <v>270</v>
      </c>
      <c r="C3094" t="s">
        <v>5712</v>
      </c>
      <c r="F3094" s="1" t="str">
        <f t="shared" si="110"/>
        <v/>
      </c>
      <c r="G3094" s="3"/>
      <c r="H3094" s="1" t="str">
        <f t="shared" si="107"/>
        <v/>
      </c>
    </row>
    <row r="3095" spans="1:8" hidden="1" x14ac:dyDescent="0.25">
      <c r="A3095" t="s">
        <v>5714</v>
      </c>
      <c r="B3095">
        <v>390</v>
      </c>
      <c r="C3095" t="s">
        <v>5715</v>
      </c>
      <c r="F3095" s="1" t="str">
        <f t="shared" si="110"/>
        <v/>
      </c>
      <c r="G3095" s="3"/>
      <c r="H3095" s="1" t="str">
        <f t="shared" si="107"/>
        <v/>
      </c>
    </row>
    <row r="3096" spans="1:8" hidden="1" x14ac:dyDescent="0.25">
      <c r="A3096" t="s">
        <v>5717</v>
      </c>
      <c r="B3096">
        <v>343</v>
      </c>
      <c r="C3096" t="s">
        <v>5718</v>
      </c>
      <c r="F3096" s="1" t="str">
        <f t="shared" si="110"/>
        <v/>
      </c>
      <c r="G3096" s="3"/>
      <c r="H3096" s="1" t="str">
        <f t="shared" si="107"/>
        <v/>
      </c>
    </row>
    <row r="3097" spans="1:8" hidden="1" x14ac:dyDescent="0.25">
      <c r="A3097" t="s">
        <v>5720</v>
      </c>
      <c r="B3097">
        <v>252</v>
      </c>
      <c r="C3097" t="s">
        <v>5721</v>
      </c>
      <c r="F3097" s="1" t="str">
        <f t="shared" si="110"/>
        <v/>
      </c>
      <c r="G3097" s="3"/>
      <c r="H3097" s="1" t="str">
        <f t="shared" si="107"/>
        <v/>
      </c>
    </row>
    <row r="3098" spans="1:8" hidden="1" x14ac:dyDescent="0.25">
      <c r="A3098" t="s">
        <v>5723</v>
      </c>
      <c r="B3098">
        <v>64</v>
      </c>
      <c r="C3098" t="s">
        <v>5724</v>
      </c>
      <c r="F3098" s="1" t="str">
        <f t="shared" si="110"/>
        <v/>
      </c>
      <c r="G3098" s="3"/>
      <c r="H3098" s="1" t="str">
        <f t="shared" si="107"/>
        <v/>
      </c>
    </row>
    <row r="3099" spans="1:8" hidden="1" x14ac:dyDescent="0.25">
      <c r="A3099" t="s">
        <v>5725</v>
      </c>
      <c r="B3099">
        <v>73</v>
      </c>
      <c r="C3099" t="s">
        <v>5726</v>
      </c>
      <c r="F3099" s="1" t="str">
        <f t="shared" si="110"/>
        <v/>
      </c>
      <c r="G3099" s="3"/>
      <c r="H3099" s="1" t="str">
        <f t="shared" si="107"/>
        <v/>
      </c>
    </row>
    <row r="3100" spans="1:8" hidden="1" x14ac:dyDescent="0.25">
      <c r="A3100" t="s">
        <v>5727</v>
      </c>
      <c r="B3100">
        <v>68</v>
      </c>
      <c r="C3100" t="s">
        <v>5728</v>
      </c>
      <c r="F3100" s="1" t="str">
        <f t="shared" si="110"/>
        <v/>
      </c>
      <c r="G3100" s="3"/>
      <c r="H3100" s="1" t="str">
        <f t="shared" si="107"/>
        <v/>
      </c>
    </row>
    <row r="3101" spans="1:8" hidden="1" x14ac:dyDescent="0.25">
      <c r="A3101" t="s">
        <v>5729</v>
      </c>
      <c r="B3101">
        <v>254</v>
      </c>
      <c r="C3101" t="s">
        <v>5730</v>
      </c>
      <c r="F3101" s="1" t="str">
        <f t="shared" si="110"/>
        <v/>
      </c>
      <c r="G3101" s="3"/>
      <c r="H3101" s="1" t="str">
        <f t="shared" si="107"/>
        <v/>
      </c>
    </row>
    <row r="3102" spans="1:8" hidden="1" x14ac:dyDescent="0.25">
      <c r="A3102" t="s">
        <v>5731</v>
      </c>
      <c r="B3102">
        <v>71</v>
      </c>
      <c r="C3102" t="s">
        <v>5732</v>
      </c>
      <c r="F3102" s="1" t="str">
        <f t="shared" si="110"/>
        <v/>
      </c>
      <c r="G3102" s="3"/>
      <c r="H3102" s="1" t="str">
        <f t="shared" si="107"/>
        <v/>
      </c>
    </row>
    <row r="3103" spans="1:8" hidden="1" x14ac:dyDescent="0.25">
      <c r="A3103" t="s">
        <v>5733</v>
      </c>
      <c r="B3103">
        <v>298</v>
      </c>
      <c r="C3103" t="s">
        <v>5734</v>
      </c>
      <c r="F3103" s="1" t="str">
        <f t="shared" si="110"/>
        <v/>
      </c>
      <c r="G3103" s="3"/>
      <c r="H3103" s="1" t="str">
        <f t="shared" si="107"/>
        <v/>
      </c>
    </row>
    <row r="3104" spans="1:8" hidden="1" x14ac:dyDescent="0.25">
      <c r="A3104" t="s">
        <v>5735</v>
      </c>
      <c r="B3104">
        <v>573</v>
      </c>
      <c r="C3104" t="s">
        <v>5736</v>
      </c>
      <c r="F3104" s="1" t="str">
        <f t="shared" si="110"/>
        <v/>
      </c>
      <c r="G3104" s="3"/>
      <c r="H3104" s="1" t="str">
        <f t="shared" si="107"/>
        <v/>
      </c>
    </row>
    <row r="3105" spans="1:10" hidden="1" x14ac:dyDescent="0.25">
      <c r="A3105" t="s">
        <v>5737</v>
      </c>
      <c r="B3105">
        <v>203</v>
      </c>
      <c r="C3105" t="s">
        <v>5738</v>
      </c>
      <c r="F3105" s="1" t="str">
        <f t="shared" si="110"/>
        <v/>
      </c>
      <c r="G3105" s="3"/>
      <c r="H3105" s="1" t="str">
        <f t="shared" si="107"/>
        <v/>
      </c>
    </row>
    <row r="3106" spans="1:10" hidden="1" x14ac:dyDescent="0.25">
      <c r="A3106" t="s">
        <v>5739</v>
      </c>
      <c r="B3106">
        <v>85</v>
      </c>
      <c r="C3106" t="s">
        <v>5740</v>
      </c>
      <c r="F3106" s="1" t="str">
        <f t="shared" si="110"/>
        <v/>
      </c>
      <c r="G3106" s="3"/>
      <c r="H3106" s="1" t="str">
        <f t="shared" si="107"/>
        <v/>
      </c>
    </row>
    <row r="3107" spans="1:10" hidden="1" x14ac:dyDescent="0.25">
      <c r="A3107" t="s">
        <v>5741</v>
      </c>
      <c r="B3107">
        <v>147</v>
      </c>
      <c r="C3107" t="s">
        <v>5742</v>
      </c>
      <c r="F3107" s="1" t="str">
        <f t="shared" si="110"/>
        <v/>
      </c>
      <c r="G3107" s="3"/>
      <c r="H3107" s="1" t="str">
        <f t="shared" si="107"/>
        <v/>
      </c>
    </row>
    <row r="3108" spans="1:10" hidden="1" x14ac:dyDescent="0.25">
      <c r="A3108" t="s">
        <v>5743</v>
      </c>
      <c r="B3108">
        <v>99</v>
      </c>
      <c r="C3108" t="s">
        <v>5744</v>
      </c>
      <c r="F3108" s="1" t="str">
        <f t="shared" si="110"/>
        <v/>
      </c>
      <c r="G3108" s="3"/>
      <c r="H3108" s="1" t="str">
        <f t="shared" si="107"/>
        <v/>
      </c>
    </row>
    <row r="3109" spans="1:10" hidden="1" x14ac:dyDescent="0.25">
      <c r="A3109" t="s">
        <v>5746</v>
      </c>
      <c r="B3109">
        <v>229</v>
      </c>
      <c r="C3109" t="s">
        <v>5747</v>
      </c>
      <c r="F3109" s="1" t="str">
        <f t="shared" si="110"/>
        <v/>
      </c>
      <c r="G3109" s="3"/>
      <c r="H3109" s="1" t="str">
        <f t="shared" si="107"/>
        <v/>
      </c>
    </row>
    <row r="3110" spans="1:10" hidden="1" x14ac:dyDescent="0.25">
      <c r="A3110" t="s">
        <v>5748</v>
      </c>
      <c r="B3110">
        <v>77</v>
      </c>
      <c r="C3110" t="s">
        <v>5749</v>
      </c>
      <c r="F3110" s="1" t="str">
        <f t="shared" si="110"/>
        <v/>
      </c>
      <c r="G3110" s="3"/>
      <c r="H3110" s="1" t="str">
        <f t="shared" si="107"/>
        <v/>
      </c>
    </row>
    <row r="3111" spans="1:10" hidden="1" x14ac:dyDescent="0.25">
      <c r="A3111" t="s">
        <v>5750</v>
      </c>
      <c r="B3111">
        <v>43</v>
      </c>
      <c r="C3111" t="s">
        <v>5751</v>
      </c>
      <c r="F3111" s="1" t="str">
        <f t="shared" si="110"/>
        <v/>
      </c>
      <c r="G3111" s="3"/>
      <c r="H3111" s="1" t="str">
        <f t="shared" si="107"/>
        <v/>
      </c>
    </row>
    <row r="3112" spans="1:10" hidden="1" x14ac:dyDescent="0.25">
      <c r="A3112" t="s">
        <v>5752</v>
      </c>
      <c r="B3112">
        <v>391</v>
      </c>
      <c r="C3112" t="s">
        <v>5753</v>
      </c>
      <c r="F3112" s="1" t="str">
        <f t="shared" si="110"/>
        <v/>
      </c>
      <c r="G3112" s="3"/>
      <c r="H3112" s="1" t="str">
        <f t="shared" si="107"/>
        <v/>
      </c>
    </row>
    <row r="3113" spans="1:10" hidden="1" x14ac:dyDescent="0.25">
      <c r="C3113" t="s">
        <v>5754</v>
      </c>
      <c r="F3113" s="1" t="str">
        <f t="shared" si="110"/>
        <v/>
      </c>
      <c r="G3113" s="3"/>
      <c r="H3113" s="1" t="str">
        <f t="shared" si="107"/>
        <v/>
      </c>
    </row>
    <row r="3114" spans="1:10" hidden="1" x14ac:dyDescent="0.25">
      <c r="C3114" t="s">
        <v>5756</v>
      </c>
      <c r="F3114" s="1" t="str">
        <f t="shared" si="110"/>
        <v/>
      </c>
      <c r="G3114" s="3"/>
      <c r="H3114" s="1" t="str">
        <f t="shared" si="107"/>
        <v/>
      </c>
    </row>
    <row r="3115" spans="1:10" hidden="1" x14ac:dyDescent="0.25">
      <c r="C3115" t="s">
        <v>5757</v>
      </c>
      <c r="F3115" s="1" t="str">
        <f t="shared" si="110"/>
        <v/>
      </c>
      <c r="G3115" s="3"/>
      <c r="H3115" s="1" t="str">
        <f t="shared" ref="H3115:H3178" si="112">IF(G3115&lt;&gt;"", HYPERLINK("https://www.kegg.jp/entry/" &amp; G3115, "https://www.kegg.jp/entry/" &amp; G3115), "")</f>
        <v/>
      </c>
    </row>
    <row r="3116" spans="1:10" hidden="1" x14ac:dyDescent="0.25">
      <c r="A3116" t="s">
        <v>5758</v>
      </c>
      <c r="B3116">
        <v>229</v>
      </c>
      <c r="C3116" t="s">
        <v>5759</v>
      </c>
      <c r="F3116" s="1" t="str">
        <f t="shared" si="110"/>
        <v/>
      </c>
      <c r="G3116" s="3"/>
      <c r="H3116" s="1" t="str">
        <f t="shared" si="112"/>
        <v/>
      </c>
    </row>
    <row r="3117" spans="1:10" x14ac:dyDescent="0.25">
      <c r="A3117" t="s">
        <v>5761</v>
      </c>
      <c r="B3117">
        <v>791</v>
      </c>
      <c r="C3117" t="s">
        <v>5762</v>
      </c>
      <c r="D3117" s="5" t="s">
        <v>6768</v>
      </c>
      <c r="E3117" s="5" t="s">
        <v>7587</v>
      </c>
      <c r="F3117" s="1" t="str">
        <f t="shared" ref="F3117" si="113">IF(E3117&lt;&gt;"", HYPERLINK("https://www.kegg.jp/dbget-bin/www_bget?ec:" &amp; E3117, "https://www.kegg.jp/dbget-bin/www_bget?ec:" &amp; E3117), "")</f>
        <v>https://www.kegg.jp/dbget-bin/www_bget?ec:7.1.1.9</v>
      </c>
      <c r="G3117" s="9" t="s">
        <v>7588</v>
      </c>
      <c r="H3117" s="1" t="str">
        <f t="shared" si="112"/>
        <v>https://www.kegg.jp/entry/R00081</v>
      </c>
      <c r="I3117" t="s">
        <v>13097</v>
      </c>
      <c r="J3117" t="s">
        <v>13098</v>
      </c>
    </row>
    <row r="3118" spans="1:10" x14ac:dyDescent="0.25">
      <c r="A3118" t="s">
        <v>5761</v>
      </c>
      <c r="B3118">
        <v>791</v>
      </c>
      <c r="C3118" t="s">
        <v>5762</v>
      </c>
      <c r="D3118" s="5" t="s">
        <v>6768</v>
      </c>
      <c r="E3118" s="5" t="s">
        <v>7587</v>
      </c>
      <c r="F3118" s="1" t="str">
        <f t="shared" si="110"/>
        <v>https://www.kegg.jp/dbget-bin/www_bget?ec:7.1.1.9</v>
      </c>
      <c r="G3118" s="9" t="s">
        <v>7588</v>
      </c>
      <c r="H3118" s="1" t="str">
        <f t="shared" si="112"/>
        <v>https://www.kegg.jp/entry/R00081</v>
      </c>
      <c r="I3118" t="s">
        <v>13097</v>
      </c>
      <c r="J3118" t="s">
        <v>13098</v>
      </c>
    </row>
    <row r="3119" spans="1:10" x14ac:dyDescent="0.25">
      <c r="A3119" t="s">
        <v>5764</v>
      </c>
      <c r="B3119">
        <v>337</v>
      </c>
      <c r="C3119" t="s">
        <v>5765</v>
      </c>
      <c r="D3119" s="5" t="s">
        <v>6768</v>
      </c>
      <c r="E3119" s="5" t="s">
        <v>7587</v>
      </c>
      <c r="F3119" s="1" t="str">
        <f t="shared" ref="F3119" si="114">IF(E3119&lt;&gt;"", HYPERLINK("https://www.kegg.jp/dbget-bin/www_bget?ec:" &amp; E3119, "https://www.kegg.jp/dbget-bin/www_bget?ec:" &amp; E3119), "")</f>
        <v>https://www.kegg.jp/dbget-bin/www_bget?ec:7.1.1.9</v>
      </c>
      <c r="G3119" s="9" t="s">
        <v>7588</v>
      </c>
      <c r="H3119" s="1" t="str">
        <f t="shared" si="112"/>
        <v>https://www.kegg.jp/entry/R00081</v>
      </c>
      <c r="I3119" t="s">
        <v>13097</v>
      </c>
      <c r="J3119" t="s">
        <v>13098</v>
      </c>
    </row>
    <row r="3120" spans="1:10" x14ac:dyDescent="0.25">
      <c r="A3120" t="s">
        <v>5764</v>
      </c>
      <c r="B3120">
        <v>337</v>
      </c>
      <c r="C3120" t="s">
        <v>5765</v>
      </c>
      <c r="D3120" s="5" t="s">
        <v>6768</v>
      </c>
      <c r="E3120" s="5" t="s">
        <v>7587</v>
      </c>
      <c r="F3120" s="1" t="str">
        <f t="shared" si="110"/>
        <v>https://www.kegg.jp/dbget-bin/www_bget?ec:7.1.1.9</v>
      </c>
      <c r="G3120" s="9" t="s">
        <v>7588</v>
      </c>
      <c r="H3120" s="1" t="str">
        <f t="shared" si="112"/>
        <v>https://www.kegg.jp/entry/R00081</v>
      </c>
      <c r="I3120" t="s">
        <v>13097</v>
      </c>
      <c r="J3120" t="s">
        <v>13098</v>
      </c>
    </row>
    <row r="3121" spans="1:10" hidden="1" x14ac:dyDescent="0.25">
      <c r="A3121" t="s">
        <v>5767</v>
      </c>
      <c r="B3121">
        <v>635</v>
      </c>
      <c r="C3121" t="s">
        <v>5768</v>
      </c>
      <c r="F3121" s="1" t="str">
        <f t="shared" si="110"/>
        <v/>
      </c>
      <c r="G3121" s="3"/>
      <c r="H3121" s="1" t="str">
        <f t="shared" si="112"/>
        <v/>
      </c>
    </row>
    <row r="3122" spans="1:10" x14ac:dyDescent="0.25">
      <c r="A3122" t="s">
        <v>5770</v>
      </c>
      <c r="B3122">
        <v>529</v>
      </c>
      <c r="C3122" t="s">
        <v>5771</v>
      </c>
      <c r="E3122" s="5" t="s">
        <v>7051</v>
      </c>
      <c r="F3122" s="1" t="str">
        <f t="shared" si="110"/>
        <v>https://www.kegg.jp/dbget-bin/www_bget?ec:4.1.1.49</v>
      </c>
      <c r="G3122" s="3" t="s">
        <v>7303</v>
      </c>
      <c r="H3122" s="1" t="str">
        <f t="shared" si="112"/>
        <v>https://www.kegg.jp/entry/R00341</v>
      </c>
      <c r="I3122" t="s">
        <v>13877</v>
      </c>
      <c r="J3122" t="s">
        <v>13878</v>
      </c>
    </row>
    <row r="3123" spans="1:10" x14ac:dyDescent="0.25">
      <c r="A3123" t="s">
        <v>5773</v>
      </c>
      <c r="B3123">
        <v>417</v>
      </c>
      <c r="C3123" t="s">
        <v>5774</v>
      </c>
      <c r="E3123" s="5" t="s">
        <v>7052</v>
      </c>
      <c r="F3123" s="1" t="str">
        <f t="shared" ref="F3123:F3126" si="115">IF(E3123&lt;&gt;"", HYPERLINK("https://www.kegg.jp/dbget-bin/www_bget?ec:" &amp; E3123, "https://www.kegg.jp/dbget-bin/www_bget?ec:" &amp; E3123), "")</f>
        <v>https://www.kegg.jp/dbget-bin/www_bget?ec:5.3.1.9</v>
      </c>
      <c r="G3123" s="9" t="s">
        <v>8041</v>
      </c>
      <c r="H3123" s="1" t="str">
        <f t="shared" si="112"/>
        <v>https://www.kegg.jp/entry/R02740</v>
      </c>
      <c r="I3123" t="s">
        <v>8369</v>
      </c>
      <c r="J3123" t="s">
        <v>8524</v>
      </c>
    </row>
    <row r="3124" spans="1:10" x14ac:dyDescent="0.25">
      <c r="A3124" t="s">
        <v>5773</v>
      </c>
      <c r="B3124">
        <v>417</v>
      </c>
      <c r="C3124" t="s">
        <v>5774</v>
      </c>
      <c r="E3124" s="5" t="s">
        <v>7052</v>
      </c>
      <c r="F3124" s="1" t="str">
        <f t="shared" si="115"/>
        <v>https://www.kegg.jp/dbget-bin/www_bget?ec:5.3.1.9</v>
      </c>
      <c r="G3124" s="9" t="s">
        <v>8045</v>
      </c>
      <c r="H3124" s="1" t="str">
        <f t="shared" si="112"/>
        <v>https://www.kegg.jp/entry/R00771</v>
      </c>
      <c r="I3124" t="s">
        <v>8396</v>
      </c>
      <c r="J3124" t="s">
        <v>8523</v>
      </c>
    </row>
    <row r="3125" spans="1:10" x14ac:dyDescent="0.25">
      <c r="A3125" t="s">
        <v>5773</v>
      </c>
      <c r="B3125">
        <v>417</v>
      </c>
      <c r="C3125" t="s">
        <v>5774</v>
      </c>
      <c r="E3125" s="5" t="s">
        <v>7052</v>
      </c>
      <c r="F3125" s="1" t="str">
        <f t="shared" si="115"/>
        <v>https://www.kegg.jp/dbget-bin/www_bget?ec:5.3.1.9</v>
      </c>
      <c r="G3125" s="9" t="s">
        <v>8044</v>
      </c>
      <c r="H3125" s="1" t="str">
        <f t="shared" si="112"/>
        <v>https://www.kegg.jp/entry/R02739</v>
      </c>
      <c r="I3125" t="s">
        <v>8369</v>
      </c>
      <c r="J3125" t="s">
        <v>10609</v>
      </c>
    </row>
    <row r="3126" spans="1:10" x14ac:dyDescent="0.25">
      <c r="A3126" t="s">
        <v>5773</v>
      </c>
      <c r="B3126">
        <v>417</v>
      </c>
      <c r="C3126" t="s">
        <v>5774</v>
      </c>
      <c r="E3126" s="5" t="s">
        <v>7052</v>
      </c>
      <c r="F3126" s="1" t="str">
        <f t="shared" si="115"/>
        <v>https://www.kegg.jp/dbget-bin/www_bget?ec:5.3.1.9</v>
      </c>
      <c r="G3126" s="9" t="s">
        <v>8043</v>
      </c>
      <c r="H3126" s="1" t="str">
        <f t="shared" si="112"/>
        <v>https://www.kegg.jp/entry/R03321</v>
      </c>
      <c r="I3126" t="s">
        <v>10609</v>
      </c>
      <c r="J3126" t="s">
        <v>8524</v>
      </c>
    </row>
    <row r="3127" spans="1:10" x14ac:dyDescent="0.25">
      <c r="A3127" t="s">
        <v>5773</v>
      </c>
      <c r="B3127">
        <v>417</v>
      </c>
      <c r="C3127" t="s">
        <v>5774</v>
      </c>
      <c r="E3127" s="5" t="s">
        <v>7052</v>
      </c>
      <c r="F3127" s="1" t="str">
        <f t="shared" si="110"/>
        <v>https://www.kegg.jp/dbget-bin/www_bget?ec:5.3.1.9</v>
      </c>
      <c r="G3127" s="9" t="s">
        <v>8042</v>
      </c>
      <c r="H3127" s="1" t="str">
        <f t="shared" si="112"/>
        <v>https://www.kegg.jp/entry/R13199</v>
      </c>
      <c r="I3127" t="s">
        <v>8369</v>
      </c>
      <c r="J3127" t="s">
        <v>8523</v>
      </c>
    </row>
    <row r="3128" spans="1:10" hidden="1" x14ac:dyDescent="0.25">
      <c r="A3128" t="s">
        <v>5775</v>
      </c>
      <c r="B3128">
        <v>133</v>
      </c>
      <c r="C3128" t="s">
        <v>5776</v>
      </c>
      <c r="F3128" s="1" t="str">
        <f t="shared" si="110"/>
        <v/>
      </c>
      <c r="G3128" s="3"/>
      <c r="H3128" s="1" t="str">
        <f t="shared" si="112"/>
        <v/>
      </c>
    </row>
    <row r="3129" spans="1:10" hidden="1" x14ac:dyDescent="0.25">
      <c r="A3129" t="s">
        <v>5777</v>
      </c>
      <c r="B3129">
        <v>395</v>
      </c>
      <c r="C3129" t="s">
        <v>5778</v>
      </c>
      <c r="F3129" s="1" t="str">
        <f t="shared" si="110"/>
        <v/>
      </c>
      <c r="G3129" s="3"/>
      <c r="H3129" s="1" t="str">
        <f t="shared" si="112"/>
        <v/>
      </c>
    </row>
    <row r="3130" spans="1:10" hidden="1" x14ac:dyDescent="0.25">
      <c r="A3130" t="s">
        <v>5779</v>
      </c>
      <c r="B3130">
        <v>290</v>
      </c>
      <c r="C3130" t="s">
        <v>5780</v>
      </c>
      <c r="F3130" s="1" t="str">
        <f t="shared" si="110"/>
        <v/>
      </c>
      <c r="G3130" s="3"/>
      <c r="H3130" s="1" t="str">
        <f t="shared" si="112"/>
        <v/>
      </c>
    </row>
    <row r="3131" spans="1:10" hidden="1" x14ac:dyDescent="0.25">
      <c r="A3131" t="s">
        <v>5781</v>
      </c>
      <c r="B3131">
        <v>143</v>
      </c>
      <c r="C3131" t="s">
        <v>5782</v>
      </c>
      <c r="F3131" s="1" t="str">
        <f t="shared" si="110"/>
        <v/>
      </c>
      <c r="G3131" s="3"/>
      <c r="H3131" s="1" t="str">
        <f t="shared" si="112"/>
        <v/>
      </c>
    </row>
    <row r="3132" spans="1:10" hidden="1" x14ac:dyDescent="0.25">
      <c r="A3132" t="s">
        <v>5783</v>
      </c>
      <c r="B3132">
        <v>393</v>
      </c>
      <c r="C3132" t="s">
        <v>5784</v>
      </c>
      <c r="F3132" s="1" t="str">
        <f t="shared" si="110"/>
        <v/>
      </c>
      <c r="G3132" s="3"/>
      <c r="H3132" s="1" t="str">
        <f t="shared" si="112"/>
        <v/>
      </c>
    </row>
    <row r="3133" spans="1:10" hidden="1" x14ac:dyDescent="0.25">
      <c r="A3133" t="s">
        <v>5785</v>
      </c>
      <c r="B3133">
        <v>315</v>
      </c>
      <c r="C3133" t="s">
        <v>5786</v>
      </c>
      <c r="F3133" s="1" t="str">
        <f t="shared" si="110"/>
        <v/>
      </c>
      <c r="G3133" s="3"/>
      <c r="H3133" s="1" t="str">
        <f t="shared" si="112"/>
        <v/>
      </c>
    </row>
    <row r="3134" spans="1:10" hidden="1" x14ac:dyDescent="0.25">
      <c r="A3134" t="s">
        <v>5787</v>
      </c>
      <c r="B3134">
        <v>134</v>
      </c>
      <c r="C3134" t="s">
        <v>5788</v>
      </c>
      <c r="F3134" s="1" t="str">
        <f t="shared" si="110"/>
        <v/>
      </c>
      <c r="G3134" s="3"/>
      <c r="H3134" s="1" t="str">
        <f t="shared" si="112"/>
        <v/>
      </c>
    </row>
    <row r="3135" spans="1:10" hidden="1" x14ac:dyDescent="0.25">
      <c r="A3135" t="s">
        <v>5789</v>
      </c>
      <c r="B3135">
        <v>56</v>
      </c>
      <c r="C3135" t="s">
        <v>5790</v>
      </c>
      <c r="F3135" s="1" t="str">
        <f t="shared" si="110"/>
        <v/>
      </c>
      <c r="G3135" s="3"/>
      <c r="H3135" s="1" t="str">
        <f t="shared" si="112"/>
        <v/>
      </c>
    </row>
    <row r="3136" spans="1:10" x14ac:dyDescent="0.25">
      <c r="A3136" t="s">
        <v>5792</v>
      </c>
      <c r="B3136">
        <v>660</v>
      </c>
      <c r="C3136" t="s">
        <v>5793</v>
      </c>
      <c r="E3136" s="5" t="s">
        <v>7053</v>
      </c>
      <c r="F3136" s="1" t="str">
        <f t="shared" si="110"/>
        <v>https://www.kegg.jp/dbget-bin/www_bget?ec:6.1.1.3</v>
      </c>
      <c r="G3136" s="3" t="s">
        <v>7304</v>
      </c>
      <c r="H3136" s="1" t="str">
        <f t="shared" si="112"/>
        <v>https://www.kegg.jp/entry/R03663</v>
      </c>
      <c r="I3136" t="s">
        <v>8370</v>
      </c>
      <c r="J3136" t="s">
        <v>13879</v>
      </c>
    </row>
    <row r="3137" spans="1:10" hidden="1" x14ac:dyDescent="0.25">
      <c r="A3137" t="s">
        <v>5795</v>
      </c>
      <c r="B3137">
        <v>259</v>
      </c>
      <c r="C3137" t="s">
        <v>5796</v>
      </c>
      <c r="F3137" s="1" t="str">
        <f t="shared" si="110"/>
        <v/>
      </c>
      <c r="G3137" s="3"/>
      <c r="H3137" s="1" t="str">
        <f t="shared" si="112"/>
        <v/>
      </c>
    </row>
    <row r="3138" spans="1:10" hidden="1" x14ac:dyDescent="0.25">
      <c r="A3138" t="s">
        <v>5797</v>
      </c>
      <c r="B3138">
        <v>395</v>
      </c>
      <c r="C3138" t="s">
        <v>5798</v>
      </c>
      <c r="F3138" s="1" t="str">
        <f t="shared" si="110"/>
        <v/>
      </c>
      <c r="G3138" s="3"/>
      <c r="H3138" s="1" t="str">
        <f t="shared" si="112"/>
        <v/>
      </c>
    </row>
    <row r="3139" spans="1:10" hidden="1" x14ac:dyDescent="0.25">
      <c r="A3139" t="s">
        <v>5799</v>
      </c>
      <c r="B3139">
        <v>398</v>
      </c>
      <c r="C3139" t="s">
        <v>5800</v>
      </c>
      <c r="F3139" s="1" t="str">
        <f t="shared" si="110"/>
        <v/>
      </c>
      <c r="G3139" s="3"/>
      <c r="H3139" s="1" t="str">
        <f t="shared" si="112"/>
        <v/>
      </c>
    </row>
    <row r="3140" spans="1:10" hidden="1" x14ac:dyDescent="0.25">
      <c r="A3140" t="s">
        <v>5802</v>
      </c>
      <c r="B3140">
        <v>253</v>
      </c>
      <c r="C3140" t="s">
        <v>5803</v>
      </c>
      <c r="F3140" s="1" t="str">
        <f t="shared" si="110"/>
        <v/>
      </c>
      <c r="G3140" s="3"/>
      <c r="H3140" s="1" t="str">
        <f t="shared" si="112"/>
        <v/>
      </c>
    </row>
    <row r="3141" spans="1:10" hidden="1" x14ac:dyDescent="0.25">
      <c r="A3141" t="s">
        <v>5805</v>
      </c>
      <c r="B3141">
        <v>240</v>
      </c>
      <c r="C3141" t="s">
        <v>5806</v>
      </c>
      <c r="F3141" s="1" t="str">
        <f t="shared" si="110"/>
        <v/>
      </c>
      <c r="G3141" s="3"/>
      <c r="H3141" s="1" t="str">
        <f t="shared" si="112"/>
        <v/>
      </c>
    </row>
    <row r="3142" spans="1:10" hidden="1" x14ac:dyDescent="0.25">
      <c r="A3142" t="s">
        <v>5807</v>
      </c>
      <c r="B3142">
        <v>160</v>
      </c>
      <c r="C3142" t="s">
        <v>5808</v>
      </c>
      <c r="F3142" s="1" t="str">
        <f t="shared" si="110"/>
        <v/>
      </c>
      <c r="G3142" s="3"/>
      <c r="H3142" s="1" t="str">
        <f t="shared" si="112"/>
        <v/>
      </c>
    </row>
    <row r="3143" spans="1:10" x14ac:dyDescent="0.25">
      <c r="A3143" t="s">
        <v>5810</v>
      </c>
      <c r="B3143">
        <v>209</v>
      </c>
      <c r="C3143" t="s">
        <v>5811</v>
      </c>
      <c r="D3143" s="5" t="s">
        <v>7054</v>
      </c>
      <c r="E3143" s="5" t="s">
        <v>8046</v>
      </c>
      <c r="F3143" s="1" t="str">
        <f t="shared" ref="F3143" si="116">IF(E3143&lt;&gt;"", HYPERLINK("https://www.kegg.jp/dbget-bin/www_bget?ec:" &amp; E3143, "https://www.kegg.jp/dbget-bin/www_bget?ec:" &amp; E3143), "")</f>
        <v>https://www.kegg.jp/dbget-bin/www_bget?ec:7.1.1.8</v>
      </c>
      <c r="G3143" s="9" t="s">
        <v>8047</v>
      </c>
      <c r="H3143" s="1" t="str">
        <f t="shared" si="112"/>
        <v>https://www.kegg.jp/entry/R13224</v>
      </c>
      <c r="I3143" t="s">
        <v>13880</v>
      </c>
      <c r="J3143" t="s">
        <v>13881</v>
      </c>
    </row>
    <row r="3144" spans="1:10" x14ac:dyDescent="0.25">
      <c r="A3144" t="s">
        <v>5810</v>
      </c>
      <c r="B3144">
        <v>209</v>
      </c>
      <c r="C3144" t="s">
        <v>5811</v>
      </c>
      <c r="D3144" s="5" t="s">
        <v>7054</v>
      </c>
      <c r="E3144" s="5" t="s">
        <v>8046</v>
      </c>
      <c r="F3144" s="1" t="str">
        <f t="shared" si="110"/>
        <v>https://www.kegg.jp/dbget-bin/www_bget?ec:7.1.1.8</v>
      </c>
      <c r="G3144" s="9" t="s">
        <v>8048</v>
      </c>
      <c r="H3144" s="1" t="str">
        <f t="shared" si="112"/>
        <v>https://www.kegg.jp/entry/R02161</v>
      </c>
      <c r="I3144" t="s">
        <v>13882</v>
      </c>
      <c r="J3144" t="s">
        <v>13883</v>
      </c>
    </row>
    <row r="3145" spans="1:10" x14ac:dyDescent="0.25">
      <c r="A3145" t="s">
        <v>5813</v>
      </c>
      <c r="B3145">
        <v>420</v>
      </c>
      <c r="C3145" t="s">
        <v>5814</v>
      </c>
      <c r="D3145" s="5" t="s">
        <v>7054</v>
      </c>
      <c r="E3145" s="5" t="s">
        <v>8046</v>
      </c>
      <c r="F3145" s="1" t="str">
        <f t="shared" ref="F3145" si="117">IF(E3145&lt;&gt;"", HYPERLINK("https://www.kegg.jp/dbget-bin/www_bget?ec:" &amp; E3145, "https://www.kegg.jp/dbget-bin/www_bget?ec:" &amp; E3145), "")</f>
        <v>https://www.kegg.jp/dbget-bin/www_bget?ec:7.1.1.8</v>
      </c>
      <c r="G3145" s="9" t="s">
        <v>8047</v>
      </c>
      <c r="H3145" s="1" t="str">
        <f t="shared" si="112"/>
        <v>https://www.kegg.jp/entry/R13224</v>
      </c>
      <c r="I3145" t="s">
        <v>13880</v>
      </c>
      <c r="J3145" t="s">
        <v>13881</v>
      </c>
    </row>
    <row r="3146" spans="1:10" x14ac:dyDescent="0.25">
      <c r="A3146" t="s">
        <v>5813</v>
      </c>
      <c r="B3146">
        <v>420</v>
      </c>
      <c r="C3146" t="s">
        <v>5814</v>
      </c>
      <c r="D3146" s="5" t="s">
        <v>7054</v>
      </c>
      <c r="E3146" s="5" t="s">
        <v>8046</v>
      </c>
      <c r="F3146" s="1" t="str">
        <f t="shared" si="110"/>
        <v>https://www.kegg.jp/dbget-bin/www_bget?ec:7.1.1.8</v>
      </c>
      <c r="G3146" s="9" t="s">
        <v>8048</v>
      </c>
      <c r="H3146" s="1" t="str">
        <f t="shared" si="112"/>
        <v>https://www.kegg.jp/entry/R02161</v>
      </c>
      <c r="I3146" t="s">
        <v>13882</v>
      </c>
      <c r="J3146" t="s">
        <v>13883</v>
      </c>
    </row>
    <row r="3147" spans="1:10" hidden="1" x14ac:dyDescent="0.25">
      <c r="A3147" t="s">
        <v>5816</v>
      </c>
      <c r="B3147">
        <v>530</v>
      </c>
      <c r="C3147" t="s">
        <v>5817</v>
      </c>
      <c r="F3147" s="1" t="str">
        <f t="shared" si="110"/>
        <v/>
      </c>
      <c r="G3147" s="3"/>
      <c r="H3147" s="1" t="str">
        <f t="shared" si="112"/>
        <v/>
      </c>
    </row>
    <row r="3148" spans="1:10" hidden="1" x14ac:dyDescent="0.25">
      <c r="A3148" t="s">
        <v>5819</v>
      </c>
      <c r="B3148">
        <v>371</v>
      </c>
      <c r="C3148" t="s">
        <v>5820</v>
      </c>
      <c r="E3148" s="5" t="s">
        <v>7055</v>
      </c>
      <c r="F3148" s="1" t="str">
        <f t="shared" si="110"/>
        <v>https://www.kegg.jp/dbget-bin/www_bget?ec:3.4.17.11</v>
      </c>
      <c r="G3148" s="3"/>
      <c r="H3148" s="1" t="str">
        <f t="shared" si="112"/>
        <v/>
      </c>
    </row>
    <row r="3149" spans="1:10" hidden="1" x14ac:dyDescent="0.25">
      <c r="A3149" t="s">
        <v>5821</v>
      </c>
      <c r="B3149">
        <v>105</v>
      </c>
      <c r="C3149" t="s">
        <v>5822</v>
      </c>
      <c r="F3149" s="1" t="str">
        <f t="shared" si="110"/>
        <v/>
      </c>
      <c r="G3149" s="3"/>
      <c r="H3149" s="1" t="str">
        <f t="shared" si="112"/>
        <v/>
      </c>
    </row>
    <row r="3150" spans="1:10" hidden="1" x14ac:dyDescent="0.25">
      <c r="A3150" t="s">
        <v>5823</v>
      </c>
      <c r="B3150">
        <v>91</v>
      </c>
      <c r="C3150" t="s">
        <v>5824</v>
      </c>
      <c r="F3150" s="1" t="str">
        <f t="shared" si="110"/>
        <v/>
      </c>
      <c r="G3150" s="3"/>
      <c r="H3150" s="1" t="str">
        <f t="shared" si="112"/>
        <v/>
      </c>
    </row>
    <row r="3151" spans="1:10" hidden="1" x14ac:dyDescent="0.25">
      <c r="A3151" t="s">
        <v>5825</v>
      </c>
      <c r="B3151">
        <v>94</v>
      </c>
      <c r="C3151" t="s">
        <v>5826</v>
      </c>
      <c r="F3151" s="1" t="str">
        <f t="shared" si="110"/>
        <v/>
      </c>
      <c r="G3151" s="3"/>
      <c r="H3151" s="1" t="str">
        <f t="shared" si="112"/>
        <v/>
      </c>
    </row>
    <row r="3152" spans="1:10" hidden="1" x14ac:dyDescent="0.25">
      <c r="A3152" t="s">
        <v>5827</v>
      </c>
      <c r="B3152">
        <v>132</v>
      </c>
      <c r="C3152" t="s">
        <v>5828</v>
      </c>
      <c r="F3152" s="1" t="str">
        <f t="shared" ref="F3152:F3238" si="118">IF(E3152&lt;&gt;"", HYPERLINK("https://www.kegg.jp/dbget-bin/www_bget?ec:" &amp; E3152, "https://www.kegg.jp/dbget-bin/www_bget?ec:" &amp; E3152), "")</f>
        <v/>
      </c>
      <c r="G3152" s="3"/>
      <c r="H3152" s="1" t="str">
        <f t="shared" si="112"/>
        <v/>
      </c>
    </row>
    <row r="3153" spans="1:8" hidden="1" x14ac:dyDescent="0.25">
      <c r="A3153" t="s">
        <v>5830</v>
      </c>
      <c r="B3153">
        <v>451</v>
      </c>
      <c r="C3153" t="s">
        <v>5831</v>
      </c>
      <c r="F3153" s="1" t="str">
        <f t="shared" si="118"/>
        <v/>
      </c>
      <c r="G3153" s="3"/>
      <c r="H3153" s="1" t="str">
        <f t="shared" si="112"/>
        <v/>
      </c>
    </row>
    <row r="3154" spans="1:8" hidden="1" x14ac:dyDescent="0.25">
      <c r="A3154" t="s">
        <v>5832</v>
      </c>
      <c r="B3154">
        <v>266</v>
      </c>
      <c r="C3154" t="s">
        <v>5833</v>
      </c>
      <c r="F3154" s="1" t="str">
        <f t="shared" si="118"/>
        <v/>
      </c>
      <c r="G3154" s="3"/>
      <c r="H3154" s="1" t="str">
        <f t="shared" si="112"/>
        <v/>
      </c>
    </row>
    <row r="3155" spans="1:8" hidden="1" x14ac:dyDescent="0.25">
      <c r="A3155" t="s">
        <v>5835</v>
      </c>
      <c r="B3155">
        <v>230</v>
      </c>
      <c r="C3155" t="s">
        <v>5836</v>
      </c>
      <c r="F3155" s="1" t="str">
        <f t="shared" si="118"/>
        <v/>
      </c>
      <c r="G3155" s="3"/>
      <c r="H3155" s="1" t="str">
        <f t="shared" si="112"/>
        <v/>
      </c>
    </row>
    <row r="3156" spans="1:8" hidden="1" x14ac:dyDescent="0.25">
      <c r="A3156" t="s">
        <v>5838</v>
      </c>
      <c r="B3156">
        <v>248</v>
      </c>
      <c r="C3156" t="s">
        <v>5839</v>
      </c>
      <c r="F3156" s="1" t="str">
        <f t="shared" si="118"/>
        <v/>
      </c>
      <c r="G3156" s="3"/>
      <c r="H3156" s="1" t="str">
        <f t="shared" si="112"/>
        <v/>
      </c>
    </row>
    <row r="3157" spans="1:8" hidden="1" x14ac:dyDescent="0.25">
      <c r="A3157" t="s">
        <v>5841</v>
      </c>
      <c r="B3157">
        <v>220</v>
      </c>
      <c r="C3157" t="s">
        <v>5842</v>
      </c>
      <c r="F3157" s="1" t="str">
        <f t="shared" si="118"/>
        <v/>
      </c>
      <c r="G3157" s="3"/>
      <c r="H3157" s="1" t="str">
        <f t="shared" si="112"/>
        <v/>
      </c>
    </row>
    <row r="3158" spans="1:8" hidden="1" x14ac:dyDescent="0.25">
      <c r="C3158" t="s">
        <v>5843</v>
      </c>
      <c r="F3158" s="1" t="str">
        <f t="shared" si="118"/>
        <v/>
      </c>
      <c r="G3158" s="3"/>
      <c r="H3158" s="1" t="str">
        <f t="shared" si="112"/>
        <v/>
      </c>
    </row>
    <row r="3159" spans="1:8" hidden="1" x14ac:dyDescent="0.25">
      <c r="C3159" t="s">
        <v>5844</v>
      </c>
      <c r="F3159" s="1" t="str">
        <f t="shared" si="118"/>
        <v/>
      </c>
      <c r="G3159" s="3"/>
      <c r="H3159" s="1" t="str">
        <f t="shared" si="112"/>
        <v/>
      </c>
    </row>
    <row r="3160" spans="1:8" hidden="1" x14ac:dyDescent="0.25">
      <c r="A3160" t="s">
        <v>5845</v>
      </c>
      <c r="B3160">
        <v>296</v>
      </c>
      <c r="C3160" t="s">
        <v>5846</v>
      </c>
      <c r="F3160" s="1" t="str">
        <f t="shared" si="118"/>
        <v/>
      </c>
      <c r="G3160" s="3"/>
      <c r="H3160" s="1" t="str">
        <f t="shared" si="112"/>
        <v/>
      </c>
    </row>
    <row r="3161" spans="1:8" hidden="1" x14ac:dyDescent="0.25">
      <c r="A3161" t="s">
        <v>5848</v>
      </c>
      <c r="B3161">
        <v>338</v>
      </c>
      <c r="C3161" t="s">
        <v>5849</v>
      </c>
      <c r="F3161" s="1" t="str">
        <f t="shared" si="118"/>
        <v/>
      </c>
      <c r="G3161" s="3"/>
      <c r="H3161" s="1" t="str">
        <f t="shared" si="112"/>
        <v/>
      </c>
    </row>
    <row r="3162" spans="1:8" hidden="1" x14ac:dyDescent="0.25">
      <c r="A3162" t="s">
        <v>5850</v>
      </c>
      <c r="B3162">
        <v>469</v>
      </c>
      <c r="C3162" t="s">
        <v>5851</v>
      </c>
      <c r="F3162" s="1" t="str">
        <f t="shared" si="118"/>
        <v/>
      </c>
      <c r="G3162" s="3"/>
      <c r="H3162" s="1" t="str">
        <f t="shared" si="112"/>
        <v/>
      </c>
    </row>
    <row r="3163" spans="1:8" hidden="1" x14ac:dyDescent="0.25">
      <c r="A3163" t="s">
        <v>5853</v>
      </c>
      <c r="B3163">
        <v>350</v>
      </c>
      <c r="C3163" t="s">
        <v>5854</v>
      </c>
      <c r="F3163" s="1" t="str">
        <f t="shared" si="118"/>
        <v/>
      </c>
      <c r="G3163" s="3"/>
      <c r="H3163" s="1" t="str">
        <f t="shared" si="112"/>
        <v/>
      </c>
    </row>
    <row r="3164" spans="1:8" hidden="1" x14ac:dyDescent="0.25">
      <c r="A3164" t="s">
        <v>5855</v>
      </c>
      <c r="B3164">
        <v>264</v>
      </c>
      <c r="C3164" t="s">
        <v>5856</v>
      </c>
      <c r="F3164" s="1" t="str">
        <f t="shared" si="118"/>
        <v/>
      </c>
      <c r="G3164" s="3"/>
      <c r="H3164" s="1" t="str">
        <f t="shared" si="112"/>
        <v/>
      </c>
    </row>
    <row r="3165" spans="1:8" hidden="1" x14ac:dyDescent="0.25">
      <c r="A3165" t="s">
        <v>5857</v>
      </c>
      <c r="B3165">
        <v>184</v>
      </c>
      <c r="C3165" t="s">
        <v>5858</v>
      </c>
      <c r="F3165" s="1" t="str">
        <f t="shared" si="118"/>
        <v/>
      </c>
      <c r="G3165" s="3"/>
      <c r="H3165" s="1" t="str">
        <f t="shared" si="112"/>
        <v/>
      </c>
    </row>
    <row r="3166" spans="1:8" hidden="1" x14ac:dyDescent="0.25">
      <c r="A3166" t="s">
        <v>5859</v>
      </c>
      <c r="B3166">
        <v>129</v>
      </c>
      <c r="C3166" t="s">
        <v>5860</v>
      </c>
      <c r="F3166" s="1" t="str">
        <f t="shared" si="118"/>
        <v/>
      </c>
      <c r="G3166" s="3"/>
      <c r="H3166" s="1" t="str">
        <f t="shared" si="112"/>
        <v/>
      </c>
    </row>
    <row r="3167" spans="1:8" hidden="1" x14ac:dyDescent="0.25">
      <c r="A3167" t="s">
        <v>5862</v>
      </c>
      <c r="B3167">
        <v>249</v>
      </c>
      <c r="C3167" t="s">
        <v>5863</v>
      </c>
      <c r="F3167" s="1" t="str">
        <f t="shared" si="118"/>
        <v/>
      </c>
      <c r="G3167" s="3"/>
      <c r="H3167" s="1" t="str">
        <f t="shared" si="112"/>
        <v/>
      </c>
    </row>
    <row r="3168" spans="1:8" hidden="1" x14ac:dyDescent="0.25">
      <c r="A3168" t="s">
        <v>5864</v>
      </c>
      <c r="B3168">
        <v>122</v>
      </c>
      <c r="C3168" t="s">
        <v>5865</v>
      </c>
      <c r="F3168" s="1" t="str">
        <f t="shared" si="118"/>
        <v/>
      </c>
      <c r="G3168" s="3"/>
      <c r="H3168" s="1" t="str">
        <f t="shared" si="112"/>
        <v/>
      </c>
    </row>
    <row r="3169" spans="1:10" hidden="1" x14ac:dyDescent="0.25">
      <c r="A3169" t="s">
        <v>5866</v>
      </c>
      <c r="B3169">
        <v>171</v>
      </c>
      <c r="C3169" t="s">
        <v>5867</v>
      </c>
      <c r="F3169" s="1" t="str">
        <f t="shared" si="118"/>
        <v/>
      </c>
      <c r="G3169" s="3"/>
      <c r="H3169" s="1" t="str">
        <f t="shared" si="112"/>
        <v/>
      </c>
    </row>
    <row r="3170" spans="1:10" hidden="1" x14ac:dyDescent="0.25">
      <c r="A3170" t="s">
        <v>5868</v>
      </c>
      <c r="B3170">
        <v>144</v>
      </c>
      <c r="C3170" t="s">
        <v>5869</v>
      </c>
      <c r="F3170" s="1" t="str">
        <f t="shared" si="118"/>
        <v/>
      </c>
      <c r="G3170" s="3"/>
      <c r="H3170" s="1" t="str">
        <f t="shared" si="112"/>
        <v/>
      </c>
    </row>
    <row r="3171" spans="1:10" hidden="1" x14ac:dyDescent="0.25">
      <c r="A3171" t="s">
        <v>5871</v>
      </c>
      <c r="B3171">
        <v>238</v>
      </c>
      <c r="C3171" t="s">
        <v>5872</v>
      </c>
      <c r="F3171" s="1" t="str">
        <f t="shared" si="118"/>
        <v/>
      </c>
      <c r="G3171" s="3"/>
      <c r="H3171" s="1" t="str">
        <f t="shared" si="112"/>
        <v/>
      </c>
    </row>
    <row r="3172" spans="1:10" x14ac:dyDescent="0.25">
      <c r="A3172" t="s">
        <v>5874</v>
      </c>
      <c r="B3172">
        <v>356</v>
      </c>
      <c r="C3172" t="s">
        <v>5875</v>
      </c>
      <c r="E3172" s="5" t="s">
        <v>7056</v>
      </c>
      <c r="F3172" s="1" t="str">
        <f t="shared" ref="F3172" si="119">IF(E3172&lt;&gt;"", HYPERLINK("https://www.kegg.jp/dbget-bin/www_bget?ec:" &amp; E3172, "https://www.kegg.jp/dbget-bin/www_bget?ec:" &amp; E3172), "")</f>
        <v>https://www.kegg.jp/dbget-bin/www_bget?ec:3.5.1.16</v>
      </c>
      <c r="G3172" s="9" t="s">
        <v>8049</v>
      </c>
      <c r="H3172" s="1" t="str">
        <f t="shared" si="112"/>
        <v>https://www.kegg.jp/entry/R00669</v>
      </c>
      <c r="I3172" t="s">
        <v>13884</v>
      </c>
      <c r="J3172" t="s">
        <v>8622</v>
      </c>
    </row>
    <row r="3173" spans="1:10" x14ac:dyDescent="0.25">
      <c r="A3173" t="s">
        <v>5874</v>
      </c>
      <c r="B3173">
        <v>356</v>
      </c>
      <c r="C3173" t="s">
        <v>5875</v>
      </c>
      <c r="E3173" s="5" t="s">
        <v>7056</v>
      </c>
      <c r="F3173" s="1" t="str">
        <f t="shared" si="118"/>
        <v>https://www.kegg.jp/dbget-bin/www_bget?ec:3.5.1.16</v>
      </c>
      <c r="G3173" s="9" t="s">
        <v>8050</v>
      </c>
      <c r="H3173" s="1" t="str">
        <f t="shared" si="112"/>
        <v>https://www.kegg.jp/entry/R09107</v>
      </c>
      <c r="I3173" t="s">
        <v>13885</v>
      </c>
      <c r="J3173" t="s">
        <v>8623</v>
      </c>
    </row>
    <row r="3174" spans="1:10" hidden="1" x14ac:dyDescent="0.25">
      <c r="A3174" t="s">
        <v>5876</v>
      </c>
      <c r="B3174">
        <v>78</v>
      </c>
      <c r="C3174" t="s">
        <v>5877</v>
      </c>
      <c r="F3174" s="1" t="str">
        <f t="shared" si="118"/>
        <v/>
      </c>
      <c r="G3174" s="3"/>
      <c r="H3174" s="1" t="str">
        <f t="shared" si="112"/>
        <v/>
      </c>
    </row>
    <row r="3175" spans="1:10" x14ac:dyDescent="0.25">
      <c r="A3175" t="s">
        <v>5879</v>
      </c>
      <c r="B3175">
        <v>302</v>
      </c>
      <c r="C3175" t="s">
        <v>5880</v>
      </c>
      <c r="E3175" s="5" t="s">
        <v>7057</v>
      </c>
      <c r="F3175" s="1" t="str">
        <f t="shared" ref="F3175:F3176" si="120">IF(E3175&lt;&gt;"", HYPERLINK("https://www.kegg.jp/dbget-bin/www_bget?ec:" &amp; E3175, "https://www.kegg.jp/dbget-bin/www_bget?ec:" &amp; E3175), "")</f>
        <v>https://www.kegg.jp/dbget-bin/www_bget?ec:2.7.1.2</v>
      </c>
      <c r="G3175" s="9" t="s">
        <v>8051</v>
      </c>
      <c r="H3175" s="1" t="str">
        <f t="shared" si="112"/>
        <v>https://www.kegg.jp/entry/R00299</v>
      </c>
      <c r="I3175" t="s">
        <v>8371</v>
      </c>
      <c r="J3175" t="s">
        <v>8624</v>
      </c>
    </row>
    <row r="3176" spans="1:10" x14ac:dyDescent="0.25">
      <c r="A3176" t="s">
        <v>5879</v>
      </c>
      <c r="B3176">
        <v>302</v>
      </c>
      <c r="C3176" t="s">
        <v>5880</v>
      </c>
      <c r="E3176" s="5" t="s">
        <v>7057</v>
      </c>
      <c r="F3176" s="1" t="str">
        <f t="shared" si="120"/>
        <v>https://www.kegg.jp/dbget-bin/www_bget?ec:2.7.1.2</v>
      </c>
      <c r="G3176" s="9" t="s">
        <v>8053</v>
      </c>
      <c r="H3176" s="1" t="str">
        <f t="shared" si="112"/>
        <v>https://www.kegg.jp/entry/R01600</v>
      </c>
      <c r="I3176" t="s">
        <v>8372</v>
      </c>
      <c r="J3176" t="s">
        <v>8625</v>
      </c>
    </row>
    <row r="3177" spans="1:10" x14ac:dyDescent="0.25">
      <c r="A3177" t="s">
        <v>5879</v>
      </c>
      <c r="B3177">
        <v>302</v>
      </c>
      <c r="C3177" t="s">
        <v>5880</v>
      </c>
      <c r="E3177" s="5" t="s">
        <v>7057</v>
      </c>
      <c r="F3177" s="1" t="str">
        <f t="shared" si="118"/>
        <v>https://www.kegg.jp/dbget-bin/www_bget?ec:2.7.1.2</v>
      </c>
      <c r="G3177" s="9" t="s">
        <v>8052</v>
      </c>
      <c r="H3177" s="1" t="str">
        <f t="shared" si="112"/>
        <v>https://www.kegg.jp/entry/R01786</v>
      </c>
      <c r="I3177" t="s">
        <v>8373</v>
      </c>
      <c r="J3177" t="s">
        <v>8626</v>
      </c>
    </row>
    <row r="3178" spans="1:10" hidden="1" x14ac:dyDescent="0.25">
      <c r="A3178" t="s">
        <v>5881</v>
      </c>
      <c r="B3178">
        <v>70</v>
      </c>
      <c r="C3178" t="s">
        <v>5882</v>
      </c>
      <c r="F3178" s="1" t="str">
        <f t="shared" si="118"/>
        <v/>
      </c>
      <c r="G3178" s="3"/>
      <c r="H3178" s="1" t="str">
        <f t="shared" si="112"/>
        <v/>
      </c>
    </row>
    <row r="3179" spans="1:10" x14ac:dyDescent="0.25">
      <c r="A3179" t="s">
        <v>5884</v>
      </c>
      <c r="B3179">
        <v>204</v>
      </c>
      <c r="C3179" t="s">
        <v>5885</v>
      </c>
      <c r="E3179" s="5" t="s">
        <v>7058</v>
      </c>
      <c r="F3179" s="1" t="str">
        <f t="shared" ref="F3179:F3182" si="121">IF(E3179&lt;&gt;"", HYPERLINK("https://www.kegg.jp/dbget-bin/www_bget?ec:" &amp; E3179, "https://www.kegg.jp/dbget-bin/www_bget?ec:" &amp; E3179), "")</f>
        <v>https://www.kegg.jp/dbget-bin/www_bget?ec:3.5.4.16</v>
      </c>
      <c r="G3179" s="9" t="s">
        <v>8054</v>
      </c>
      <c r="H3179" s="1" t="str">
        <f t="shared" ref="H3179:H3242" si="122">IF(G3179&lt;&gt;"", HYPERLINK("https://www.kegg.jp/entry/" &amp; G3179, "https://www.kegg.jp/entry/" &amp; G3179), "")</f>
        <v>https://www.kegg.jp/entry/R00424</v>
      </c>
      <c r="I3179" t="s">
        <v>13886</v>
      </c>
      <c r="J3179" t="s">
        <v>13887</v>
      </c>
    </row>
    <row r="3180" spans="1:10" x14ac:dyDescent="0.25">
      <c r="A3180" t="s">
        <v>5884</v>
      </c>
      <c r="B3180">
        <v>204</v>
      </c>
      <c r="C3180" t="s">
        <v>5885</v>
      </c>
      <c r="E3180" s="5" t="s">
        <v>7058</v>
      </c>
      <c r="F3180" s="1" t="str">
        <f t="shared" si="121"/>
        <v>https://www.kegg.jp/dbget-bin/www_bget?ec:3.5.4.16</v>
      </c>
      <c r="G3180" s="9" t="s">
        <v>8058</v>
      </c>
      <c r="H3180" s="1" t="str">
        <f t="shared" si="122"/>
        <v>https://www.kegg.jp/entry/R00428</v>
      </c>
      <c r="I3180" t="s">
        <v>13886</v>
      </c>
      <c r="J3180" t="s">
        <v>8627</v>
      </c>
    </row>
    <row r="3181" spans="1:10" x14ac:dyDescent="0.25">
      <c r="A3181" t="s">
        <v>5884</v>
      </c>
      <c r="B3181">
        <v>204</v>
      </c>
      <c r="C3181" t="s">
        <v>5885</v>
      </c>
      <c r="E3181" s="5" t="s">
        <v>7058</v>
      </c>
      <c r="F3181" s="1" t="str">
        <f t="shared" si="121"/>
        <v>https://www.kegg.jp/dbget-bin/www_bget?ec:3.5.4.16</v>
      </c>
      <c r="G3181" s="9" t="s">
        <v>8057</v>
      </c>
      <c r="H3181" s="1" t="str">
        <f t="shared" si="122"/>
        <v>https://www.kegg.jp/entry/R04639</v>
      </c>
      <c r="I3181" t="s">
        <v>13243</v>
      </c>
      <c r="J3181" t="s">
        <v>8628</v>
      </c>
    </row>
    <row r="3182" spans="1:10" x14ac:dyDescent="0.25">
      <c r="A3182" t="s">
        <v>5884</v>
      </c>
      <c r="B3182">
        <v>204</v>
      </c>
      <c r="C3182" t="s">
        <v>5885</v>
      </c>
      <c r="E3182" s="5" t="s">
        <v>7058</v>
      </c>
      <c r="F3182" s="1" t="str">
        <f t="shared" si="121"/>
        <v>https://www.kegg.jp/dbget-bin/www_bget?ec:3.5.4.16</v>
      </c>
      <c r="G3182" s="9" t="s">
        <v>8056</v>
      </c>
      <c r="H3182" s="1" t="str">
        <f t="shared" si="122"/>
        <v>https://www.kegg.jp/entry/R05046</v>
      </c>
      <c r="I3182" t="s">
        <v>13888</v>
      </c>
      <c r="J3182" t="s">
        <v>13889</v>
      </c>
    </row>
    <row r="3183" spans="1:10" x14ac:dyDescent="0.25">
      <c r="A3183" t="s">
        <v>5884</v>
      </c>
      <c r="B3183">
        <v>204</v>
      </c>
      <c r="C3183" t="s">
        <v>5885</v>
      </c>
      <c r="E3183" s="5" t="s">
        <v>7058</v>
      </c>
      <c r="F3183" s="1" t="str">
        <f t="shared" si="118"/>
        <v>https://www.kegg.jp/dbget-bin/www_bget?ec:3.5.4.16</v>
      </c>
      <c r="G3183" s="9" t="s">
        <v>8055</v>
      </c>
      <c r="H3183" s="1" t="str">
        <f t="shared" si="122"/>
        <v>https://www.kegg.jp/entry/R05048</v>
      </c>
      <c r="I3183" t="s">
        <v>8374</v>
      </c>
      <c r="J3183" t="s">
        <v>8628</v>
      </c>
    </row>
    <row r="3184" spans="1:10" hidden="1" x14ac:dyDescent="0.25">
      <c r="A3184" t="s">
        <v>5887</v>
      </c>
      <c r="B3184">
        <v>229</v>
      </c>
      <c r="C3184" t="s">
        <v>5888</v>
      </c>
      <c r="F3184" s="1" t="str">
        <f t="shared" si="118"/>
        <v/>
      </c>
      <c r="G3184" s="3"/>
      <c r="H3184" s="1" t="str">
        <f t="shared" si="122"/>
        <v/>
      </c>
    </row>
    <row r="3185" spans="1:10" x14ac:dyDescent="0.25">
      <c r="A3185" t="s">
        <v>5890</v>
      </c>
      <c r="B3185">
        <v>126</v>
      </c>
      <c r="C3185" t="s">
        <v>5891</v>
      </c>
      <c r="E3185" s="5" t="s">
        <v>7059</v>
      </c>
      <c r="F3185" s="1" t="str">
        <f t="shared" ref="F3185:F3187" si="123">IF(E3185&lt;&gt;"", HYPERLINK("https://www.kegg.jp/dbget-bin/www_bget?ec:" &amp; E3185, "https://www.kegg.jp/dbget-bin/www_bget?ec:" &amp; E3185), "")</f>
        <v>https://www.kegg.jp/dbget-bin/www_bget?ec:3.6.1.17</v>
      </c>
      <c r="G3185" s="9" t="s">
        <v>8059</v>
      </c>
      <c r="H3185" s="1" t="str">
        <f t="shared" si="122"/>
        <v>https://www.kegg.jp/entry/R01232</v>
      </c>
      <c r="I3185" t="s">
        <v>13890</v>
      </c>
      <c r="J3185" t="s">
        <v>8629</v>
      </c>
    </row>
    <row r="3186" spans="1:10" x14ac:dyDescent="0.25">
      <c r="A3186" t="s">
        <v>5890</v>
      </c>
      <c r="B3186">
        <v>126</v>
      </c>
      <c r="C3186" t="s">
        <v>5891</v>
      </c>
      <c r="E3186" s="5" t="s">
        <v>7059</v>
      </c>
      <c r="F3186" s="1" t="str">
        <f t="shared" si="123"/>
        <v>https://www.kegg.jp/dbget-bin/www_bget?ec:3.6.1.17</v>
      </c>
      <c r="G3186" s="9" t="s">
        <v>8062</v>
      </c>
      <c r="H3186" s="1" t="str">
        <f t="shared" si="122"/>
        <v>https://www.kegg.jp/entry/R00184</v>
      </c>
      <c r="I3186" t="s">
        <v>13891</v>
      </c>
      <c r="J3186" t="s">
        <v>8180</v>
      </c>
    </row>
    <row r="3187" spans="1:10" x14ac:dyDescent="0.25">
      <c r="A3187" t="s">
        <v>5890</v>
      </c>
      <c r="B3187">
        <v>126</v>
      </c>
      <c r="C3187" t="s">
        <v>5891</v>
      </c>
      <c r="E3187" s="5" t="s">
        <v>7059</v>
      </c>
      <c r="F3187" s="1" t="str">
        <f t="shared" si="123"/>
        <v>https://www.kegg.jp/dbget-bin/www_bget?ec:3.6.1.17</v>
      </c>
      <c r="G3187" s="9" t="s">
        <v>8061</v>
      </c>
      <c r="H3187" s="1" t="str">
        <f t="shared" si="122"/>
        <v>https://www.kegg.jp/entry/R00969</v>
      </c>
      <c r="I3187" t="s">
        <v>13892</v>
      </c>
      <c r="J3187" t="s">
        <v>8630</v>
      </c>
    </row>
    <row r="3188" spans="1:10" x14ac:dyDescent="0.25">
      <c r="A3188" t="s">
        <v>5890</v>
      </c>
      <c r="B3188">
        <v>126</v>
      </c>
      <c r="C3188" t="s">
        <v>5891</v>
      </c>
      <c r="E3188" s="5" t="s">
        <v>7059</v>
      </c>
      <c r="F3188" s="1" t="str">
        <f t="shared" si="118"/>
        <v>https://www.kegg.jp/dbget-bin/www_bget?ec:3.6.1.17</v>
      </c>
      <c r="G3188" s="9" t="s">
        <v>8060</v>
      </c>
      <c r="H3188" s="1" t="str">
        <f t="shared" si="122"/>
        <v>https://www.kegg.jp/entry/R02805</v>
      </c>
      <c r="I3188" t="s">
        <v>13893</v>
      </c>
      <c r="J3188" t="s">
        <v>13894</v>
      </c>
    </row>
    <row r="3189" spans="1:10" hidden="1" x14ac:dyDescent="0.25">
      <c r="A3189" t="s">
        <v>5892</v>
      </c>
      <c r="B3189">
        <v>287</v>
      </c>
      <c r="C3189" t="s">
        <v>5893</v>
      </c>
      <c r="F3189" s="1" t="str">
        <f t="shared" si="118"/>
        <v/>
      </c>
      <c r="G3189" s="3"/>
      <c r="H3189" s="1" t="str">
        <f t="shared" si="122"/>
        <v/>
      </c>
    </row>
    <row r="3190" spans="1:10" hidden="1" x14ac:dyDescent="0.25">
      <c r="A3190" t="s">
        <v>5895</v>
      </c>
      <c r="B3190">
        <v>587</v>
      </c>
      <c r="C3190" t="s">
        <v>5896</v>
      </c>
      <c r="F3190" s="1" t="str">
        <f t="shared" si="118"/>
        <v/>
      </c>
      <c r="G3190" s="3"/>
      <c r="H3190" s="1" t="str">
        <f t="shared" si="122"/>
        <v/>
      </c>
    </row>
    <row r="3191" spans="1:10" hidden="1" x14ac:dyDescent="0.25">
      <c r="A3191" t="s">
        <v>5897</v>
      </c>
      <c r="B3191">
        <v>227</v>
      </c>
      <c r="C3191" t="s">
        <v>5898</v>
      </c>
      <c r="F3191" s="1" t="str">
        <f t="shared" si="118"/>
        <v/>
      </c>
      <c r="G3191" s="3"/>
      <c r="H3191" s="1" t="str">
        <f t="shared" si="122"/>
        <v/>
      </c>
    </row>
    <row r="3192" spans="1:10" hidden="1" x14ac:dyDescent="0.25">
      <c r="A3192" t="s">
        <v>5900</v>
      </c>
      <c r="B3192">
        <v>419</v>
      </c>
      <c r="C3192" t="s">
        <v>5901</v>
      </c>
      <c r="F3192" s="1" t="str">
        <f t="shared" si="118"/>
        <v/>
      </c>
      <c r="G3192" s="3"/>
      <c r="H3192" s="1" t="str">
        <f t="shared" si="122"/>
        <v/>
      </c>
    </row>
    <row r="3193" spans="1:10" hidden="1" x14ac:dyDescent="0.25">
      <c r="A3193" t="s">
        <v>5902</v>
      </c>
      <c r="B3193">
        <v>261</v>
      </c>
      <c r="C3193" t="s">
        <v>5903</v>
      </c>
      <c r="F3193" s="1" t="str">
        <f t="shared" si="118"/>
        <v/>
      </c>
      <c r="G3193" s="3"/>
      <c r="H3193" s="1" t="str">
        <f t="shared" si="122"/>
        <v/>
      </c>
    </row>
    <row r="3194" spans="1:10" hidden="1" x14ac:dyDescent="0.25">
      <c r="A3194" t="s">
        <v>5905</v>
      </c>
      <c r="B3194">
        <v>121</v>
      </c>
      <c r="C3194" t="s">
        <v>5906</v>
      </c>
      <c r="F3194" s="1" t="str">
        <f t="shared" si="118"/>
        <v/>
      </c>
      <c r="G3194" s="3"/>
      <c r="H3194" s="1" t="str">
        <f t="shared" si="122"/>
        <v/>
      </c>
    </row>
    <row r="3195" spans="1:10" hidden="1" x14ac:dyDescent="0.25">
      <c r="A3195" t="s">
        <v>5907</v>
      </c>
      <c r="B3195">
        <v>106</v>
      </c>
      <c r="C3195" t="s">
        <v>5908</v>
      </c>
      <c r="F3195" s="1" t="str">
        <f t="shared" si="118"/>
        <v/>
      </c>
      <c r="G3195" s="3"/>
      <c r="H3195" s="1" t="str">
        <f t="shared" si="122"/>
        <v/>
      </c>
    </row>
    <row r="3196" spans="1:10" hidden="1" x14ac:dyDescent="0.25">
      <c r="A3196" t="s">
        <v>5910</v>
      </c>
      <c r="B3196">
        <v>402</v>
      </c>
      <c r="C3196" t="s">
        <v>5911</v>
      </c>
      <c r="F3196" s="1" t="str">
        <f t="shared" si="118"/>
        <v/>
      </c>
      <c r="G3196" s="3"/>
      <c r="H3196" s="1" t="str">
        <f t="shared" si="122"/>
        <v/>
      </c>
    </row>
    <row r="3197" spans="1:10" hidden="1" x14ac:dyDescent="0.25">
      <c r="A3197" t="s">
        <v>5912</v>
      </c>
      <c r="B3197">
        <v>292</v>
      </c>
      <c r="C3197" t="s">
        <v>5913</v>
      </c>
      <c r="F3197" s="1" t="str">
        <f t="shared" si="118"/>
        <v/>
      </c>
      <c r="G3197" s="3"/>
      <c r="H3197" s="1" t="str">
        <f t="shared" si="122"/>
        <v/>
      </c>
    </row>
    <row r="3198" spans="1:10" hidden="1" x14ac:dyDescent="0.25">
      <c r="A3198" t="s">
        <v>5914</v>
      </c>
      <c r="B3198">
        <v>256</v>
      </c>
      <c r="C3198" t="s">
        <v>5915</v>
      </c>
      <c r="F3198" s="1" t="str">
        <f t="shared" si="118"/>
        <v/>
      </c>
      <c r="G3198" s="3"/>
      <c r="H3198" s="1" t="str">
        <f t="shared" si="122"/>
        <v/>
      </c>
    </row>
    <row r="3199" spans="1:10" hidden="1" x14ac:dyDescent="0.25">
      <c r="A3199" t="s">
        <v>5917</v>
      </c>
      <c r="B3199">
        <v>354</v>
      </c>
      <c r="C3199" t="s">
        <v>5918</v>
      </c>
      <c r="F3199" s="1" t="str">
        <f t="shared" si="118"/>
        <v/>
      </c>
      <c r="G3199" s="3"/>
      <c r="H3199" s="1" t="str">
        <f t="shared" si="122"/>
        <v/>
      </c>
    </row>
    <row r="3200" spans="1:10" x14ac:dyDescent="0.25">
      <c r="A3200" t="s">
        <v>5919</v>
      </c>
      <c r="B3200">
        <v>333</v>
      </c>
      <c r="C3200" t="s">
        <v>5920</v>
      </c>
      <c r="E3200" s="5" t="s">
        <v>7048</v>
      </c>
      <c r="F3200" s="1" t="str">
        <f t="shared" si="118"/>
        <v>https://www.kegg.jp/dbget-bin/www_bget?ec:2.3.1.12</v>
      </c>
      <c r="G3200" s="3" t="s">
        <v>7302</v>
      </c>
      <c r="H3200" s="1" t="str">
        <f t="shared" si="122"/>
        <v>https://www.kegg.jp/entry/R02569</v>
      </c>
      <c r="I3200" t="s">
        <v>13867</v>
      </c>
      <c r="J3200" t="s">
        <v>13868</v>
      </c>
    </row>
    <row r="3201" spans="1:10" hidden="1" x14ac:dyDescent="0.25">
      <c r="A3201" t="s">
        <v>5922</v>
      </c>
      <c r="B3201">
        <v>665</v>
      </c>
      <c r="C3201" t="s">
        <v>5923</v>
      </c>
      <c r="F3201" s="1" t="str">
        <f t="shared" si="118"/>
        <v/>
      </c>
      <c r="G3201" s="3"/>
      <c r="H3201" s="1" t="str">
        <f t="shared" si="122"/>
        <v/>
      </c>
    </row>
    <row r="3202" spans="1:10" hidden="1" x14ac:dyDescent="0.25">
      <c r="A3202" t="s">
        <v>5924</v>
      </c>
      <c r="B3202">
        <v>910</v>
      </c>
      <c r="C3202" t="s">
        <v>5925</v>
      </c>
      <c r="F3202" s="1" t="str">
        <f t="shared" si="118"/>
        <v/>
      </c>
      <c r="G3202" s="3"/>
      <c r="H3202" s="1" t="str">
        <f t="shared" si="122"/>
        <v/>
      </c>
    </row>
    <row r="3203" spans="1:10" x14ac:dyDescent="0.25">
      <c r="A3203" t="s">
        <v>5927</v>
      </c>
      <c r="B3203">
        <v>604</v>
      </c>
      <c r="C3203" t="s">
        <v>5928</v>
      </c>
      <c r="E3203" s="5" t="s">
        <v>7060</v>
      </c>
      <c r="F3203" s="1" t="str">
        <f t="shared" si="118"/>
        <v>https://www.kegg.jp/dbget-bin/www_bget?ec:2.6.1.16</v>
      </c>
      <c r="G3203" s="3" t="s">
        <v>7305</v>
      </c>
      <c r="H3203" s="1" t="str">
        <f t="shared" si="122"/>
        <v>https://www.kegg.jp/entry/R00768</v>
      </c>
      <c r="I3203" t="s">
        <v>8375</v>
      </c>
      <c r="J3203" t="s">
        <v>8631</v>
      </c>
    </row>
    <row r="3204" spans="1:10" hidden="1" x14ac:dyDescent="0.25">
      <c r="A3204" t="s">
        <v>5930</v>
      </c>
      <c r="B3204">
        <v>522</v>
      </c>
      <c r="C3204" t="s">
        <v>5931</v>
      </c>
      <c r="F3204" s="1" t="str">
        <f t="shared" si="118"/>
        <v/>
      </c>
      <c r="G3204" s="3"/>
      <c r="H3204" s="1" t="str">
        <f t="shared" si="122"/>
        <v/>
      </c>
    </row>
    <row r="3205" spans="1:10" hidden="1" x14ac:dyDescent="0.25">
      <c r="A3205" t="s">
        <v>5933</v>
      </c>
      <c r="B3205">
        <v>404</v>
      </c>
      <c r="C3205" t="s">
        <v>5934</v>
      </c>
      <c r="F3205" s="1" t="str">
        <f t="shared" si="118"/>
        <v/>
      </c>
      <c r="G3205" s="3"/>
      <c r="H3205" s="1" t="str">
        <f t="shared" si="122"/>
        <v/>
      </c>
    </row>
    <row r="3206" spans="1:10" x14ac:dyDescent="0.25">
      <c r="A3206" t="s">
        <v>5935</v>
      </c>
      <c r="B3206">
        <v>325</v>
      </c>
      <c r="C3206" t="s">
        <v>5936</v>
      </c>
      <c r="E3206" s="5" t="s">
        <v>6897</v>
      </c>
      <c r="F3206" s="1" t="str">
        <f t="shared" ref="F3206:F3208" si="124">IF(E3206&lt;&gt;"", HYPERLINK("https://www.kegg.jp/dbget-bin/www_bget?ec:" &amp; E3206, "https://www.kegg.jp/dbget-bin/www_bget?ec:" &amp; E3206), "")</f>
        <v>https://www.kegg.jp/dbget-bin/www_bget?ec:1.8.1.9</v>
      </c>
      <c r="G3206" s="9" t="s">
        <v>7804</v>
      </c>
      <c r="H3206" s="1" t="str">
        <f t="shared" si="122"/>
        <v>https://www.kegg.jp/entry/R02016</v>
      </c>
      <c r="I3206" t="s">
        <v>13456</v>
      </c>
      <c r="J3206" t="s">
        <v>13457</v>
      </c>
    </row>
    <row r="3207" spans="1:10" x14ac:dyDescent="0.25">
      <c r="A3207" t="s">
        <v>5935</v>
      </c>
      <c r="B3207">
        <v>325</v>
      </c>
      <c r="C3207" t="s">
        <v>5936</v>
      </c>
      <c r="E3207" s="5" t="s">
        <v>6897</v>
      </c>
      <c r="F3207" s="1" t="str">
        <f t="shared" si="124"/>
        <v>https://www.kegg.jp/dbget-bin/www_bget?ec:1.8.1.9</v>
      </c>
      <c r="G3207" s="9" t="s">
        <v>7807</v>
      </c>
      <c r="H3207" s="1" t="str">
        <f t="shared" si="122"/>
        <v>https://www.kegg.jp/entry/R00900</v>
      </c>
      <c r="I3207" t="s">
        <v>13458</v>
      </c>
      <c r="J3207" t="s">
        <v>13459</v>
      </c>
    </row>
    <row r="3208" spans="1:10" x14ac:dyDescent="0.25">
      <c r="A3208" t="s">
        <v>5935</v>
      </c>
      <c r="B3208">
        <v>325</v>
      </c>
      <c r="C3208" t="s">
        <v>5936</v>
      </c>
      <c r="E3208" s="5" t="s">
        <v>6897</v>
      </c>
      <c r="F3208" s="1" t="str">
        <f t="shared" si="124"/>
        <v>https://www.kegg.jp/dbget-bin/www_bget?ec:1.8.1.9</v>
      </c>
      <c r="G3208" s="9" t="s">
        <v>7806</v>
      </c>
      <c r="H3208" s="1" t="str">
        <f t="shared" si="122"/>
        <v>https://www.kegg.jp/entry/R03596</v>
      </c>
      <c r="I3208" t="s">
        <v>13460</v>
      </c>
      <c r="J3208" t="s">
        <v>13461</v>
      </c>
    </row>
    <row r="3209" spans="1:10" x14ac:dyDescent="0.25">
      <c r="A3209" t="s">
        <v>5935</v>
      </c>
      <c r="B3209">
        <v>325</v>
      </c>
      <c r="C3209" t="s">
        <v>5936</v>
      </c>
      <c r="E3209" s="5" t="s">
        <v>6897</v>
      </c>
      <c r="F3209" s="1" t="str">
        <f t="shared" si="118"/>
        <v>https://www.kegg.jp/dbget-bin/www_bget?ec:1.8.1.9</v>
      </c>
      <c r="G3209" s="9" t="s">
        <v>7805</v>
      </c>
      <c r="H3209" s="1" t="str">
        <f t="shared" si="122"/>
        <v>https://www.kegg.jp/entry/R09372</v>
      </c>
      <c r="I3209" t="s">
        <v>8303</v>
      </c>
      <c r="J3209" t="s">
        <v>13462</v>
      </c>
    </row>
    <row r="3210" spans="1:10" hidden="1" x14ac:dyDescent="0.25">
      <c r="C3210" t="s">
        <v>5937</v>
      </c>
      <c r="F3210" s="1" t="str">
        <f t="shared" si="118"/>
        <v/>
      </c>
      <c r="G3210" s="3"/>
      <c r="H3210" s="1" t="str">
        <f t="shared" si="122"/>
        <v/>
      </c>
    </row>
    <row r="3211" spans="1:10" hidden="1" x14ac:dyDescent="0.25">
      <c r="C3211" t="s">
        <v>5938</v>
      </c>
      <c r="F3211" s="1" t="str">
        <f t="shared" si="118"/>
        <v/>
      </c>
      <c r="G3211" s="3"/>
      <c r="H3211" s="1" t="str">
        <f t="shared" si="122"/>
        <v/>
      </c>
    </row>
    <row r="3212" spans="1:10" hidden="1" x14ac:dyDescent="0.25">
      <c r="C3212" t="s">
        <v>5939</v>
      </c>
      <c r="F3212" s="1" t="str">
        <f t="shared" si="118"/>
        <v/>
      </c>
      <c r="G3212" s="3"/>
      <c r="H3212" s="1" t="str">
        <f t="shared" si="122"/>
        <v/>
      </c>
    </row>
    <row r="3213" spans="1:10" hidden="1" x14ac:dyDescent="0.25">
      <c r="A3213" t="s">
        <v>5940</v>
      </c>
      <c r="B3213">
        <v>198</v>
      </c>
      <c r="C3213" t="s">
        <v>5941</v>
      </c>
      <c r="F3213" s="1" t="str">
        <f t="shared" si="118"/>
        <v/>
      </c>
      <c r="G3213" s="3"/>
      <c r="H3213" s="1" t="str">
        <f t="shared" si="122"/>
        <v/>
      </c>
    </row>
    <row r="3214" spans="1:10" hidden="1" x14ac:dyDescent="0.25">
      <c r="A3214" t="s">
        <v>5942</v>
      </c>
      <c r="B3214">
        <v>563</v>
      </c>
      <c r="C3214" t="s">
        <v>5943</v>
      </c>
      <c r="F3214" s="1" t="str">
        <f t="shared" si="118"/>
        <v/>
      </c>
      <c r="G3214" s="3"/>
      <c r="H3214" s="1" t="str">
        <f t="shared" si="122"/>
        <v/>
      </c>
    </row>
    <row r="3215" spans="1:10" x14ac:dyDescent="0.25">
      <c r="A3215" t="s">
        <v>5945</v>
      </c>
      <c r="B3215">
        <v>304</v>
      </c>
      <c r="C3215" t="s">
        <v>5946</v>
      </c>
      <c r="E3215" s="5" t="s">
        <v>7061</v>
      </c>
      <c r="F3215" s="1" t="str">
        <f t="shared" si="118"/>
        <v>https://www.kegg.jp/dbget-bin/www_bget?ec:2.1.2.9</v>
      </c>
      <c r="G3215" s="3" t="s">
        <v>7306</v>
      </c>
      <c r="H3215" s="1" t="str">
        <f t="shared" si="122"/>
        <v>https://www.kegg.jp/entry/R03940</v>
      </c>
      <c r="I3215" t="s">
        <v>13895</v>
      </c>
      <c r="J3215" t="s">
        <v>8632</v>
      </c>
    </row>
    <row r="3216" spans="1:10" x14ac:dyDescent="0.25">
      <c r="A3216" t="s">
        <v>5948</v>
      </c>
      <c r="B3216">
        <v>190</v>
      </c>
      <c r="C3216" t="s">
        <v>5949</v>
      </c>
      <c r="E3216" s="5" t="s">
        <v>7062</v>
      </c>
      <c r="F3216" s="1" t="str">
        <f t="shared" ref="F3216" si="125">IF(E3216&lt;&gt;"", HYPERLINK("https://www.kegg.jp/dbget-bin/www_bget?ec:" &amp; E3216, "https://www.kegg.jp/dbget-bin/www_bget?ec:" &amp; E3216), "")</f>
        <v>https://www.kegg.jp/dbget-bin/www_bget?ec:3.5.1.88</v>
      </c>
      <c r="G3216" s="9" t="s">
        <v>8063</v>
      </c>
      <c r="H3216" s="1" t="str">
        <f t="shared" si="122"/>
        <v>https://www.kegg.jp/entry/R05635</v>
      </c>
      <c r="I3216" t="s">
        <v>13896</v>
      </c>
      <c r="J3216" t="s">
        <v>13897</v>
      </c>
    </row>
    <row r="3217" spans="1:10" x14ac:dyDescent="0.25">
      <c r="A3217" t="s">
        <v>5948</v>
      </c>
      <c r="B3217">
        <v>190</v>
      </c>
      <c r="C3217" t="s">
        <v>5949</v>
      </c>
      <c r="E3217" s="5" t="s">
        <v>7062</v>
      </c>
      <c r="F3217" s="1" t="str">
        <f t="shared" si="118"/>
        <v>https://www.kegg.jp/dbget-bin/www_bget?ec:3.5.1.88</v>
      </c>
      <c r="G3217" s="9" t="s">
        <v>8064</v>
      </c>
      <c r="H3217" s="1" t="str">
        <f t="shared" si="122"/>
        <v>https://www.kegg.jp/entry/R04268</v>
      </c>
      <c r="I3217" t="s">
        <v>13898</v>
      </c>
      <c r="J3217" t="s">
        <v>8633</v>
      </c>
    </row>
    <row r="3218" spans="1:10" hidden="1" x14ac:dyDescent="0.25">
      <c r="A3218" t="s">
        <v>5951</v>
      </c>
      <c r="B3218">
        <v>270</v>
      </c>
      <c r="C3218" t="s">
        <v>5952</v>
      </c>
      <c r="F3218" s="1" t="str">
        <f t="shared" si="118"/>
        <v/>
      </c>
      <c r="G3218" s="3"/>
      <c r="H3218" s="1" t="str">
        <f t="shared" si="122"/>
        <v/>
      </c>
    </row>
    <row r="3219" spans="1:10" hidden="1" x14ac:dyDescent="0.25">
      <c r="A3219" t="s">
        <v>5954</v>
      </c>
      <c r="B3219">
        <v>237</v>
      </c>
      <c r="C3219" t="s">
        <v>5955</v>
      </c>
      <c r="F3219" s="1" t="str">
        <f t="shared" si="118"/>
        <v/>
      </c>
      <c r="G3219" s="3"/>
      <c r="H3219" s="1" t="str">
        <f t="shared" si="122"/>
        <v/>
      </c>
    </row>
    <row r="3220" spans="1:10" x14ac:dyDescent="0.25">
      <c r="A3220" t="s">
        <v>5957</v>
      </c>
      <c r="B3220">
        <v>381</v>
      </c>
      <c r="C3220" t="s">
        <v>5958</v>
      </c>
      <c r="E3220" s="5" t="s">
        <v>7063</v>
      </c>
      <c r="F3220" s="1" t="str">
        <f t="shared" ref="F3220" si="126">IF(E3220&lt;&gt;"", HYPERLINK("https://www.kegg.jp/dbget-bin/www_bget?ec:" &amp; E3220, "https://www.kegg.jp/dbget-bin/www_bget?ec:" &amp; E3220), "")</f>
        <v>https://www.kegg.jp/dbget-bin/www_bget?ec:5.4.2.7</v>
      </c>
      <c r="G3220" s="9" t="s">
        <v>7353</v>
      </c>
      <c r="H3220" s="1" t="str">
        <f t="shared" si="122"/>
        <v>https://www.kegg.jp/entry/R01057</v>
      </c>
      <c r="I3220" t="s">
        <v>8097</v>
      </c>
      <c r="J3220" t="s">
        <v>8344</v>
      </c>
    </row>
    <row r="3221" spans="1:10" x14ac:dyDescent="0.25">
      <c r="A3221" t="s">
        <v>5957</v>
      </c>
      <c r="B3221">
        <v>381</v>
      </c>
      <c r="C3221" t="s">
        <v>5958</v>
      </c>
      <c r="E3221" s="5" t="s">
        <v>7063</v>
      </c>
      <c r="F3221" s="1" t="str">
        <f t="shared" si="118"/>
        <v>https://www.kegg.jp/dbget-bin/www_bget?ec:5.4.2.7</v>
      </c>
      <c r="G3221" s="9" t="s">
        <v>8065</v>
      </c>
      <c r="H3221" s="1" t="str">
        <f t="shared" si="122"/>
        <v>https://www.kegg.jp/entry/R02749</v>
      </c>
      <c r="I3221" t="s">
        <v>8376</v>
      </c>
      <c r="J3221" t="s">
        <v>8297</v>
      </c>
    </row>
    <row r="3222" spans="1:10" hidden="1" x14ac:dyDescent="0.25">
      <c r="A3222" t="s">
        <v>5959</v>
      </c>
      <c r="B3222">
        <v>85</v>
      </c>
      <c r="C3222" t="s">
        <v>5960</v>
      </c>
      <c r="F3222" s="1" t="str">
        <f t="shared" si="118"/>
        <v/>
      </c>
      <c r="G3222" s="3"/>
      <c r="H3222" s="1" t="str">
        <f t="shared" si="122"/>
        <v/>
      </c>
    </row>
    <row r="3223" spans="1:10" hidden="1" x14ac:dyDescent="0.25">
      <c r="A3223" t="s">
        <v>5962</v>
      </c>
      <c r="B3223">
        <v>323</v>
      </c>
      <c r="C3223" t="s">
        <v>5963</v>
      </c>
      <c r="F3223" s="1" t="str">
        <f t="shared" si="118"/>
        <v/>
      </c>
      <c r="G3223" s="3"/>
      <c r="H3223" s="1" t="str">
        <f t="shared" si="122"/>
        <v/>
      </c>
    </row>
    <row r="3224" spans="1:10" hidden="1" x14ac:dyDescent="0.25">
      <c r="A3224" t="s">
        <v>5965</v>
      </c>
      <c r="B3224">
        <v>89</v>
      </c>
      <c r="C3224" t="s">
        <v>5966</v>
      </c>
      <c r="F3224" s="1" t="str">
        <f t="shared" si="118"/>
        <v/>
      </c>
      <c r="G3224" s="3"/>
      <c r="H3224" s="1" t="str">
        <f t="shared" si="122"/>
        <v/>
      </c>
    </row>
    <row r="3225" spans="1:10" hidden="1" x14ac:dyDescent="0.25">
      <c r="A3225" t="s">
        <v>5967</v>
      </c>
      <c r="B3225">
        <v>161</v>
      </c>
      <c r="C3225" t="s">
        <v>5968</v>
      </c>
      <c r="F3225" s="1" t="str">
        <f t="shared" si="118"/>
        <v/>
      </c>
      <c r="G3225" s="3"/>
      <c r="H3225" s="1" t="str">
        <f t="shared" si="122"/>
        <v/>
      </c>
    </row>
    <row r="3226" spans="1:10" hidden="1" x14ac:dyDescent="0.25">
      <c r="A3226" t="s">
        <v>5969</v>
      </c>
      <c r="B3226">
        <v>88</v>
      </c>
      <c r="C3226" t="s">
        <v>5970</v>
      </c>
      <c r="F3226" s="1" t="str">
        <f t="shared" si="118"/>
        <v/>
      </c>
      <c r="G3226" s="3"/>
      <c r="H3226" s="1" t="str">
        <f t="shared" si="122"/>
        <v/>
      </c>
    </row>
    <row r="3227" spans="1:10" hidden="1" x14ac:dyDescent="0.25">
      <c r="A3227" t="s">
        <v>5971</v>
      </c>
      <c r="B3227">
        <v>145</v>
      </c>
      <c r="C3227" t="s">
        <v>5972</v>
      </c>
      <c r="F3227" s="1" t="str">
        <f t="shared" si="118"/>
        <v/>
      </c>
      <c r="G3227" s="3"/>
      <c r="H3227" s="1" t="str">
        <f t="shared" si="122"/>
        <v/>
      </c>
    </row>
    <row r="3228" spans="1:10" x14ac:dyDescent="0.25">
      <c r="A3228" t="s">
        <v>5974</v>
      </c>
      <c r="B3228">
        <v>267</v>
      </c>
      <c r="C3228" t="s">
        <v>5975</v>
      </c>
      <c r="E3228" s="5" t="s">
        <v>7064</v>
      </c>
      <c r="F3228" s="1" t="str">
        <f t="shared" ref="F3228:F3235" si="127">IF(E3228&lt;&gt;"", HYPERLINK("https://www.kegg.jp/dbget-bin/www_bget?ec:" &amp; E3228, "https://www.kegg.jp/dbget-bin/www_bget?ec:" &amp; E3228), "")</f>
        <v>https://www.kegg.jp/dbget-bin/www_bget?ec:1.3.1.9</v>
      </c>
      <c r="G3228" s="9" t="s">
        <v>8066</v>
      </c>
      <c r="H3228" s="1" t="str">
        <f t="shared" si="122"/>
        <v>https://www.kegg.jp/entry/R01403</v>
      </c>
      <c r="I3228" t="s">
        <v>13899</v>
      </c>
      <c r="J3228" t="s">
        <v>13900</v>
      </c>
    </row>
    <row r="3229" spans="1:10" x14ac:dyDescent="0.25">
      <c r="A3229" t="s">
        <v>5974</v>
      </c>
      <c r="B3229">
        <v>267</v>
      </c>
      <c r="C3229" t="s">
        <v>5975</v>
      </c>
      <c r="E3229" s="5" t="s">
        <v>7064</v>
      </c>
      <c r="F3229" s="1" t="str">
        <f t="shared" si="127"/>
        <v>https://www.kegg.jp/dbget-bin/www_bget?ec:1.3.1.9</v>
      </c>
      <c r="G3229" s="9" t="s">
        <v>8074</v>
      </c>
      <c r="H3229" s="1" t="str">
        <f t="shared" si="122"/>
        <v>https://www.kegg.jp/entry/R04429</v>
      </c>
      <c r="I3229" t="s">
        <v>13901</v>
      </c>
      <c r="J3229" t="s">
        <v>13902</v>
      </c>
    </row>
    <row r="3230" spans="1:10" x14ac:dyDescent="0.25">
      <c r="A3230" t="s">
        <v>5974</v>
      </c>
      <c r="B3230">
        <v>267</v>
      </c>
      <c r="C3230" t="s">
        <v>5975</v>
      </c>
      <c r="E3230" s="5" t="s">
        <v>7064</v>
      </c>
      <c r="F3230" s="1" t="str">
        <f t="shared" si="127"/>
        <v>https://www.kegg.jp/dbget-bin/www_bget?ec:1.3.1.9</v>
      </c>
      <c r="G3230" s="9" t="s">
        <v>8073</v>
      </c>
      <c r="H3230" s="1" t="str">
        <f t="shared" si="122"/>
        <v>https://www.kegg.jp/entry/R04724</v>
      </c>
      <c r="I3230" t="s">
        <v>13903</v>
      </c>
      <c r="J3230" t="s">
        <v>13904</v>
      </c>
    </row>
    <row r="3231" spans="1:10" x14ac:dyDescent="0.25">
      <c r="A3231" t="s">
        <v>5974</v>
      </c>
      <c r="B3231">
        <v>267</v>
      </c>
      <c r="C3231" t="s">
        <v>5975</v>
      </c>
      <c r="E3231" s="5" t="s">
        <v>7064</v>
      </c>
      <c r="F3231" s="1" t="str">
        <f t="shared" si="127"/>
        <v>https://www.kegg.jp/dbget-bin/www_bget?ec:1.3.1.9</v>
      </c>
      <c r="G3231" s="9" t="s">
        <v>8072</v>
      </c>
      <c r="H3231" s="1" t="str">
        <f t="shared" si="122"/>
        <v>https://www.kegg.jp/entry/R04955</v>
      </c>
      <c r="I3231" t="s">
        <v>13905</v>
      </c>
      <c r="J3231" t="s">
        <v>13906</v>
      </c>
    </row>
    <row r="3232" spans="1:10" x14ac:dyDescent="0.25">
      <c r="A3232" t="s">
        <v>5974</v>
      </c>
      <c r="B3232">
        <v>267</v>
      </c>
      <c r="C3232" t="s">
        <v>5975</v>
      </c>
      <c r="E3232" s="5" t="s">
        <v>7064</v>
      </c>
      <c r="F3232" s="1" t="str">
        <f t="shared" si="127"/>
        <v>https://www.kegg.jp/dbget-bin/www_bget?ec:1.3.1.9</v>
      </c>
      <c r="G3232" s="9" t="s">
        <v>8071</v>
      </c>
      <c r="H3232" s="1" t="str">
        <f t="shared" si="122"/>
        <v>https://www.kegg.jp/entry/R04958</v>
      </c>
      <c r="I3232" t="s">
        <v>13907</v>
      </c>
      <c r="J3232" t="s">
        <v>13908</v>
      </c>
    </row>
    <row r="3233" spans="1:10" x14ac:dyDescent="0.25">
      <c r="A3233" t="s">
        <v>5974</v>
      </c>
      <c r="B3233">
        <v>267</v>
      </c>
      <c r="C3233" t="s">
        <v>5975</v>
      </c>
      <c r="E3233" s="5" t="s">
        <v>7064</v>
      </c>
      <c r="F3233" s="1" t="str">
        <f t="shared" si="127"/>
        <v>https://www.kegg.jp/dbget-bin/www_bget?ec:1.3.1.9</v>
      </c>
      <c r="G3233" s="9" t="s">
        <v>8070</v>
      </c>
      <c r="H3233" s="1" t="str">
        <f t="shared" si="122"/>
        <v>https://www.kegg.jp/entry/R04961</v>
      </c>
      <c r="I3233" t="s">
        <v>13909</v>
      </c>
      <c r="J3233" t="s">
        <v>13910</v>
      </c>
    </row>
    <row r="3234" spans="1:10" x14ac:dyDescent="0.25">
      <c r="A3234" t="s">
        <v>5974</v>
      </c>
      <c r="B3234">
        <v>267</v>
      </c>
      <c r="C3234" t="s">
        <v>5975</v>
      </c>
      <c r="E3234" s="5" t="s">
        <v>7064</v>
      </c>
      <c r="F3234" s="1" t="str">
        <f t="shared" si="127"/>
        <v>https://www.kegg.jp/dbget-bin/www_bget?ec:1.3.1.9</v>
      </c>
      <c r="G3234" s="9" t="s">
        <v>8069</v>
      </c>
      <c r="H3234" s="1" t="str">
        <f t="shared" si="122"/>
        <v>https://www.kegg.jp/entry/R04966</v>
      </c>
      <c r="I3234" t="s">
        <v>13911</v>
      </c>
      <c r="J3234" t="s">
        <v>13912</v>
      </c>
    </row>
    <row r="3235" spans="1:10" x14ac:dyDescent="0.25">
      <c r="A3235" t="s">
        <v>5974</v>
      </c>
      <c r="B3235">
        <v>267</v>
      </c>
      <c r="C3235" t="s">
        <v>5975</v>
      </c>
      <c r="E3235" s="5" t="s">
        <v>7064</v>
      </c>
      <c r="F3235" s="1" t="str">
        <f t="shared" si="127"/>
        <v>https://www.kegg.jp/dbget-bin/www_bget?ec:1.3.1.9</v>
      </c>
      <c r="G3235" s="9" t="s">
        <v>8068</v>
      </c>
      <c r="H3235" s="1" t="str">
        <f t="shared" si="122"/>
        <v>https://www.kegg.jp/entry/R04969</v>
      </c>
      <c r="I3235" t="s">
        <v>13913</v>
      </c>
      <c r="J3235" t="s">
        <v>13914</v>
      </c>
    </row>
    <row r="3236" spans="1:10" x14ac:dyDescent="0.25">
      <c r="A3236" t="s">
        <v>5974</v>
      </c>
      <c r="B3236">
        <v>267</v>
      </c>
      <c r="C3236" t="s">
        <v>5975</v>
      </c>
      <c r="E3236" s="5" t="s">
        <v>7064</v>
      </c>
      <c r="F3236" s="1" t="str">
        <f t="shared" si="118"/>
        <v>https://www.kegg.jp/dbget-bin/www_bget?ec:1.3.1.9</v>
      </c>
      <c r="G3236" s="9" t="s">
        <v>8067</v>
      </c>
      <c r="H3236" s="1" t="str">
        <f t="shared" si="122"/>
        <v>https://www.kegg.jp/entry/R07765</v>
      </c>
      <c r="I3236" t="s">
        <v>13915</v>
      </c>
      <c r="J3236" t="s">
        <v>13916</v>
      </c>
    </row>
    <row r="3237" spans="1:10" hidden="1" x14ac:dyDescent="0.25">
      <c r="A3237" t="s">
        <v>5976</v>
      </c>
      <c r="B3237">
        <v>137</v>
      </c>
      <c r="C3237" t="s">
        <v>5977</v>
      </c>
      <c r="F3237" s="1" t="str">
        <f t="shared" si="118"/>
        <v/>
      </c>
      <c r="G3237" s="3"/>
      <c r="H3237" s="1" t="str">
        <f t="shared" si="122"/>
        <v/>
      </c>
    </row>
    <row r="3238" spans="1:10" hidden="1" x14ac:dyDescent="0.25">
      <c r="A3238" t="s">
        <v>5978</v>
      </c>
      <c r="B3238">
        <v>129</v>
      </c>
      <c r="C3238" t="s">
        <v>5979</v>
      </c>
      <c r="F3238" s="1" t="str">
        <f t="shared" si="118"/>
        <v/>
      </c>
      <c r="G3238" s="3"/>
      <c r="H3238" s="1" t="str">
        <f t="shared" si="122"/>
        <v/>
      </c>
    </row>
    <row r="3239" spans="1:10" hidden="1" x14ac:dyDescent="0.25">
      <c r="A3239" t="s">
        <v>5980</v>
      </c>
      <c r="B3239">
        <v>305</v>
      </c>
      <c r="C3239" t="s">
        <v>5981</v>
      </c>
      <c r="F3239" s="1" t="str">
        <f t="shared" ref="F3239:F3329" si="128">IF(E3239&lt;&gt;"", HYPERLINK("https://www.kegg.jp/dbget-bin/www_bget?ec:" &amp; E3239, "https://www.kegg.jp/dbget-bin/www_bget?ec:" &amp; E3239), "")</f>
        <v/>
      </c>
      <c r="G3239" s="3"/>
      <c r="H3239" s="1" t="str">
        <f t="shared" si="122"/>
        <v/>
      </c>
    </row>
    <row r="3240" spans="1:10" x14ac:dyDescent="0.25">
      <c r="A3240" t="s">
        <v>5983</v>
      </c>
      <c r="B3240">
        <v>407</v>
      </c>
      <c r="C3240" t="s">
        <v>5984</v>
      </c>
      <c r="E3240" s="5" t="s">
        <v>7065</v>
      </c>
      <c r="F3240" s="1" t="str">
        <f t="shared" si="128"/>
        <v>https://www.kegg.jp/dbget-bin/www_bget?ec:1.17.7.1</v>
      </c>
      <c r="G3240" s="3" t="s">
        <v>7307</v>
      </c>
      <c r="H3240" s="1" t="str">
        <f t="shared" si="122"/>
        <v>https://www.kegg.jp/entry/R08689</v>
      </c>
      <c r="I3240" t="s">
        <v>13917</v>
      </c>
      <c r="J3240" t="s">
        <v>13918</v>
      </c>
    </row>
    <row r="3241" spans="1:10" x14ac:dyDescent="0.25">
      <c r="A3241" t="s">
        <v>5986</v>
      </c>
      <c r="B3241">
        <v>385</v>
      </c>
      <c r="C3241" t="s">
        <v>5987</v>
      </c>
      <c r="E3241" s="5" t="s">
        <v>7066</v>
      </c>
      <c r="F3241" s="1" t="str">
        <f t="shared" si="128"/>
        <v>https://www.kegg.jp/dbget-bin/www_bget?ec:2.4.2.29</v>
      </c>
      <c r="G3241" s="3" t="s">
        <v>7308</v>
      </c>
      <c r="H3241" s="1" t="str">
        <f t="shared" si="122"/>
        <v>https://www.kegg.jp/entry/R10209</v>
      </c>
      <c r="I3241" t="s">
        <v>8377</v>
      </c>
      <c r="J3241" t="s">
        <v>13919</v>
      </c>
    </row>
    <row r="3242" spans="1:10" hidden="1" x14ac:dyDescent="0.25">
      <c r="A3242" t="s">
        <v>5989</v>
      </c>
      <c r="B3242">
        <v>411</v>
      </c>
      <c r="C3242" t="s">
        <v>5990</v>
      </c>
      <c r="F3242" s="1" t="str">
        <f t="shared" si="128"/>
        <v/>
      </c>
      <c r="G3242" s="3"/>
      <c r="H3242" s="1" t="str">
        <f t="shared" si="122"/>
        <v/>
      </c>
    </row>
    <row r="3243" spans="1:10" hidden="1" x14ac:dyDescent="0.25">
      <c r="A3243" t="s">
        <v>5991</v>
      </c>
      <c r="B3243">
        <v>365</v>
      </c>
      <c r="C3243" t="s">
        <v>5992</v>
      </c>
      <c r="F3243" s="1" t="str">
        <f t="shared" si="128"/>
        <v/>
      </c>
      <c r="G3243" s="3"/>
      <c r="H3243" s="1" t="str">
        <f t="shared" ref="H3243:H3306" si="129">IF(G3243&lt;&gt;"", HYPERLINK("https://www.kegg.jp/entry/" &amp; G3243, "https://www.kegg.jp/entry/" &amp; G3243), "")</f>
        <v/>
      </c>
    </row>
    <row r="3244" spans="1:10" hidden="1" x14ac:dyDescent="0.25">
      <c r="A3244" t="s">
        <v>5993</v>
      </c>
      <c r="B3244">
        <v>231</v>
      </c>
      <c r="C3244" t="s">
        <v>5994</v>
      </c>
      <c r="F3244" s="1" t="str">
        <f t="shared" si="128"/>
        <v/>
      </c>
      <c r="G3244" s="3"/>
      <c r="H3244" s="1" t="str">
        <f t="shared" si="129"/>
        <v/>
      </c>
    </row>
    <row r="3245" spans="1:10" hidden="1" x14ac:dyDescent="0.25">
      <c r="A3245" t="s">
        <v>5996</v>
      </c>
      <c r="B3245">
        <v>98</v>
      </c>
      <c r="C3245" t="s">
        <v>5997</v>
      </c>
      <c r="F3245" s="1" t="str">
        <f t="shared" si="128"/>
        <v/>
      </c>
      <c r="G3245" s="3"/>
      <c r="H3245" s="1" t="str">
        <f t="shared" si="129"/>
        <v/>
      </c>
    </row>
    <row r="3246" spans="1:10" hidden="1" x14ac:dyDescent="0.25">
      <c r="A3246" t="s">
        <v>5999</v>
      </c>
      <c r="B3246">
        <v>146</v>
      </c>
      <c r="C3246" t="s">
        <v>6000</v>
      </c>
      <c r="E3246" s="5" t="s">
        <v>7067</v>
      </c>
      <c r="F3246" s="1" t="str">
        <f t="shared" si="128"/>
        <v>https://www.kegg.jp/dbget-bin/www_bget?ec:3.4.23.36</v>
      </c>
      <c r="G3246" s="3"/>
      <c r="H3246" s="1" t="str">
        <f t="shared" si="129"/>
        <v/>
      </c>
    </row>
    <row r="3247" spans="1:10" x14ac:dyDescent="0.25">
      <c r="A3247" t="s">
        <v>6002</v>
      </c>
      <c r="B3247">
        <v>373</v>
      </c>
      <c r="C3247" t="s">
        <v>6003</v>
      </c>
      <c r="E3247" s="5" t="s">
        <v>6854</v>
      </c>
      <c r="F3247" s="1" t="str">
        <f t="shared" si="128"/>
        <v>https://www.kegg.jp/dbget-bin/www_bget?ec:2.6.1.1</v>
      </c>
      <c r="G3247" s="3" t="s">
        <v>7735</v>
      </c>
      <c r="H3247" s="1" t="str">
        <f t="shared" si="129"/>
        <v>https://www.kegg.jp/entry/R00355</v>
      </c>
      <c r="I3247" t="s">
        <v>13353</v>
      </c>
      <c r="J3247" t="s">
        <v>13354</v>
      </c>
    </row>
    <row r="3248" spans="1:10" x14ac:dyDescent="0.25">
      <c r="A3248" t="s">
        <v>6002</v>
      </c>
      <c r="B3248">
        <v>373</v>
      </c>
      <c r="C3248" t="s">
        <v>6003</v>
      </c>
      <c r="E3248" s="5" t="s">
        <v>6854</v>
      </c>
      <c r="F3248" s="1" t="str">
        <f t="shared" si="128"/>
        <v>https://www.kegg.jp/dbget-bin/www_bget?ec:2.6.1.1</v>
      </c>
      <c r="G3248" s="3" t="s">
        <v>7742</v>
      </c>
      <c r="H3248" s="1" t="str">
        <f t="shared" si="129"/>
        <v>https://www.kegg.jp/entry/R00694</v>
      </c>
      <c r="I3248" t="s">
        <v>13355</v>
      </c>
      <c r="J3248" t="s">
        <v>13356</v>
      </c>
    </row>
    <row r="3249" spans="1:10" x14ac:dyDescent="0.25">
      <c r="A3249" t="s">
        <v>6002</v>
      </c>
      <c r="B3249">
        <v>373</v>
      </c>
      <c r="C3249" t="s">
        <v>6003</v>
      </c>
      <c r="E3249" s="5" t="s">
        <v>6854</v>
      </c>
      <c r="F3249" s="1" t="str">
        <f t="shared" si="128"/>
        <v>https://www.kegg.jp/dbget-bin/www_bget?ec:2.6.1.1</v>
      </c>
      <c r="G3249" s="3" t="s">
        <v>7741</v>
      </c>
      <c r="H3249" s="1" t="str">
        <f t="shared" si="129"/>
        <v>https://www.kegg.jp/entry/R00734</v>
      </c>
      <c r="I3249" t="s">
        <v>13357</v>
      </c>
      <c r="J3249" t="s">
        <v>13358</v>
      </c>
    </row>
    <row r="3250" spans="1:10" x14ac:dyDescent="0.25">
      <c r="A3250" t="s">
        <v>6002</v>
      </c>
      <c r="B3250">
        <v>373</v>
      </c>
      <c r="C3250" t="s">
        <v>6003</v>
      </c>
      <c r="E3250" s="5" t="s">
        <v>6854</v>
      </c>
      <c r="F3250" s="1" t="str">
        <f t="shared" si="128"/>
        <v>https://www.kegg.jp/dbget-bin/www_bget?ec:2.6.1.1</v>
      </c>
      <c r="G3250" s="3" t="s">
        <v>7740</v>
      </c>
      <c r="H3250" s="1" t="str">
        <f t="shared" si="129"/>
        <v>https://www.kegg.jp/entry/R00895</v>
      </c>
      <c r="I3250" t="s">
        <v>13359</v>
      </c>
      <c r="J3250" t="s">
        <v>13360</v>
      </c>
    </row>
    <row r="3251" spans="1:10" x14ac:dyDescent="0.25">
      <c r="A3251" t="s">
        <v>6002</v>
      </c>
      <c r="B3251">
        <v>373</v>
      </c>
      <c r="C3251" t="s">
        <v>6003</v>
      </c>
      <c r="E3251" s="5" t="s">
        <v>6854</v>
      </c>
      <c r="F3251" s="1" t="str">
        <f t="shared" si="128"/>
        <v>https://www.kegg.jp/dbget-bin/www_bget?ec:2.6.1.1</v>
      </c>
      <c r="G3251" s="3" t="s">
        <v>7739</v>
      </c>
      <c r="H3251" s="1" t="str">
        <f t="shared" si="129"/>
        <v>https://www.kegg.jp/entry/R00896</v>
      </c>
      <c r="I3251" t="s">
        <v>13359</v>
      </c>
      <c r="J3251" t="s">
        <v>13361</v>
      </c>
    </row>
    <row r="3252" spans="1:10" x14ac:dyDescent="0.25">
      <c r="A3252" t="s">
        <v>6002</v>
      </c>
      <c r="B3252">
        <v>373</v>
      </c>
      <c r="C3252" t="s">
        <v>6003</v>
      </c>
      <c r="E3252" s="5" t="s">
        <v>6854</v>
      </c>
      <c r="F3252" s="1" t="str">
        <f t="shared" si="128"/>
        <v>https://www.kegg.jp/dbget-bin/www_bget?ec:2.6.1.1</v>
      </c>
      <c r="G3252" s="3" t="s">
        <v>7738</v>
      </c>
      <c r="H3252" s="1" t="str">
        <f t="shared" si="129"/>
        <v>https://www.kegg.jp/entry/R02433</v>
      </c>
      <c r="I3252" t="s">
        <v>13362</v>
      </c>
      <c r="J3252" t="s">
        <v>13363</v>
      </c>
    </row>
    <row r="3253" spans="1:10" x14ac:dyDescent="0.25">
      <c r="A3253" t="s">
        <v>6002</v>
      </c>
      <c r="B3253">
        <v>373</v>
      </c>
      <c r="C3253" t="s">
        <v>6003</v>
      </c>
      <c r="E3253" s="5" t="s">
        <v>6854</v>
      </c>
      <c r="F3253" s="1" t="str">
        <f t="shared" si="128"/>
        <v>https://www.kegg.jp/dbget-bin/www_bget?ec:2.6.1.1</v>
      </c>
      <c r="G3253" s="3" t="s">
        <v>7737</v>
      </c>
      <c r="H3253" s="1" t="str">
        <f t="shared" si="129"/>
        <v>https://www.kegg.jp/entry/R02619</v>
      </c>
      <c r="I3253" t="s">
        <v>13364</v>
      </c>
      <c r="J3253" t="s">
        <v>13365</v>
      </c>
    </row>
    <row r="3254" spans="1:10" x14ac:dyDescent="0.25">
      <c r="A3254" t="s">
        <v>6002</v>
      </c>
      <c r="B3254">
        <v>373</v>
      </c>
      <c r="C3254" t="s">
        <v>6003</v>
      </c>
      <c r="E3254" s="5" t="s">
        <v>6854</v>
      </c>
      <c r="F3254" s="1" t="str">
        <f t="shared" si="128"/>
        <v>https://www.kegg.jp/dbget-bin/www_bget?ec:2.6.1.1</v>
      </c>
      <c r="G3254" s="3" t="s">
        <v>7736</v>
      </c>
      <c r="H3254" s="1" t="str">
        <f t="shared" si="129"/>
        <v>https://www.kegg.jp/entry/R05052</v>
      </c>
      <c r="I3254" t="s">
        <v>13366</v>
      </c>
      <c r="J3254" t="s">
        <v>13367</v>
      </c>
    </row>
    <row r="3255" spans="1:10" hidden="1" x14ac:dyDescent="0.25">
      <c r="A3255" t="s">
        <v>6005</v>
      </c>
      <c r="B3255">
        <v>305</v>
      </c>
      <c r="C3255" t="s">
        <v>6006</v>
      </c>
      <c r="F3255" s="1" t="str">
        <f t="shared" si="128"/>
        <v/>
      </c>
      <c r="G3255" s="3"/>
      <c r="H3255" s="1" t="str">
        <f t="shared" si="129"/>
        <v/>
      </c>
    </row>
    <row r="3256" spans="1:10" hidden="1" x14ac:dyDescent="0.25">
      <c r="A3256" t="s">
        <v>6008</v>
      </c>
      <c r="B3256">
        <v>216</v>
      </c>
      <c r="C3256" t="s">
        <v>6009</v>
      </c>
      <c r="F3256" s="1" t="str">
        <f t="shared" si="128"/>
        <v/>
      </c>
      <c r="G3256" s="3"/>
      <c r="H3256" s="1" t="str">
        <f t="shared" si="129"/>
        <v/>
      </c>
    </row>
    <row r="3257" spans="1:10" hidden="1" x14ac:dyDescent="0.25">
      <c r="A3257" t="s">
        <v>6010</v>
      </c>
      <c r="B3257">
        <v>284</v>
      </c>
      <c r="C3257" t="s">
        <v>6011</v>
      </c>
      <c r="F3257" s="1" t="str">
        <f t="shared" si="128"/>
        <v/>
      </c>
      <c r="G3257" s="3"/>
      <c r="H3257" s="1" t="str">
        <f t="shared" si="129"/>
        <v/>
      </c>
    </row>
    <row r="3258" spans="1:10" hidden="1" x14ac:dyDescent="0.25">
      <c r="A3258" t="s">
        <v>6013</v>
      </c>
      <c r="B3258">
        <v>361</v>
      </c>
      <c r="C3258" t="s">
        <v>6014</v>
      </c>
      <c r="F3258" s="1" t="str">
        <f t="shared" si="128"/>
        <v/>
      </c>
      <c r="G3258" s="3"/>
      <c r="H3258" s="1" t="str">
        <f t="shared" si="129"/>
        <v/>
      </c>
    </row>
    <row r="3259" spans="1:10" hidden="1" x14ac:dyDescent="0.25">
      <c r="A3259" t="s">
        <v>6016</v>
      </c>
      <c r="B3259">
        <v>158</v>
      </c>
      <c r="C3259" t="s">
        <v>6017</v>
      </c>
      <c r="E3259" s="5" t="s">
        <v>7068</v>
      </c>
      <c r="F3259" s="1" t="str">
        <f t="shared" si="128"/>
        <v>https://www.kegg.jp/dbget-bin/www_bget?ec:2.1.1.207</v>
      </c>
      <c r="G3259" s="3"/>
      <c r="H3259" s="1" t="str">
        <f t="shared" si="129"/>
        <v/>
      </c>
    </row>
    <row r="3260" spans="1:10" hidden="1" x14ac:dyDescent="0.25">
      <c r="A3260" t="s">
        <v>6019</v>
      </c>
      <c r="B3260">
        <v>512</v>
      </c>
      <c r="C3260" t="s">
        <v>6020</v>
      </c>
      <c r="F3260" s="1" t="str">
        <f t="shared" si="128"/>
        <v/>
      </c>
      <c r="G3260" s="3"/>
      <c r="H3260" s="1" t="str">
        <f t="shared" si="129"/>
        <v/>
      </c>
    </row>
    <row r="3261" spans="1:10" hidden="1" x14ac:dyDescent="0.25">
      <c r="A3261" t="s">
        <v>6022</v>
      </c>
      <c r="B3261">
        <v>430</v>
      </c>
      <c r="C3261" t="s">
        <v>6023</v>
      </c>
      <c r="F3261" s="1" t="str">
        <f t="shared" si="128"/>
        <v/>
      </c>
      <c r="G3261" s="3"/>
      <c r="H3261" s="1" t="str">
        <f t="shared" si="129"/>
        <v/>
      </c>
    </row>
    <row r="3262" spans="1:10" hidden="1" x14ac:dyDescent="0.25">
      <c r="A3262" t="s">
        <v>6025</v>
      </c>
      <c r="B3262">
        <v>116</v>
      </c>
      <c r="C3262" t="s">
        <v>6026</v>
      </c>
      <c r="F3262" s="1" t="str">
        <f t="shared" si="128"/>
        <v/>
      </c>
      <c r="G3262" s="3"/>
      <c r="H3262" s="1" t="str">
        <f t="shared" si="129"/>
        <v/>
      </c>
    </row>
    <row r="3263" spans="1:10" hidden="1" x14ac:dyDescent="0.25">
      <c r="A3263" t="s">
        <v>6028</v>
      </c>
      <c r="B3263">
        <v>300</v>
      </c>
      <c r="C3263" t="s">
        <v>6029</v>
      </c>
      <c r="F3263" s="1" t="str">
        <f t="shared" si="128"/>
        <v/>
      </c>
      <c r="G3263" s="3"/>
      <c r="H3263" s="1" t="str">
        <f t="shared" si="129"/>
        <v/>
      </c>
    </row>
    <row r="3264" spans="1:10" hidden="1" x14ac:dyDescent="0.25">
      <c r="A3264" t="s">
        <v>6031</v>
      </c>
      <c r="B3264">
        <v>223</v>
      </c>
      <c r="C3264" t="s">
        <v>6032</v>
      </c>
      <c r="F3264" s="1" t="str">
        <f t="shared" si="128"/>
        <v/>
      </c>
      <c r="G3264" s="3"/>
      <c r="H3264" s="1" t="str">
        <f t="shared" si="129"/>
        <v/>
      </c>
    </row>
    <row r="3265" spans="1:10" hidden="1" x14ac:dyDescent="0.25">
      <c r="A3265" t="s">
        <v>6033</v>
      </c>
      <c r="B3265">
        <v>74</v>
      </c>
      <c r="C3265" t="s">
        <v>6034</v>
      </c>
      <c r="F3265" s="1" t="str">
        <f t="shared" si="128"/>
        <v/>
      </c>
      <c r="G3265" s="3"/>
      <c r="H3265" s="1" t="str">
        <f t="shared" si="129"/>
        <v/>
      </c>
    </row>
    <row r="3266" spans="1:10" hidden="1" x14ac:dyDescent="0.25">
      <c r="A3266" t="s">
        <v>6035</v>
      </c>
      <c r="B3266">
        <v>179</v>
      </c>
      <c r="C3266" t="s">
        <v>6036</v>
      </c>
      <c r="F3266" s="1" t="str">
        <f t="shared" si="128"/>
        <v/>
      </c>
      <c r="G3266" s="3"/>
      <c r="H3266" s="1" t="str">
        <f t="shared" si="129"/>
        <v/>
      </c>
    </row>
    <row r="3267" spans="1:10" hidden="1" x14ac:dyDescent="0.25">
      <c r="A3267" t="s">
        <v>6038</v>
      </c>
      <c r="B3267">
        <v>349</v>
      </c>
      <c r="C3267" t="s">
        <v>6039</v>
      </c>
      <c r="F3267" s="1" t="str">
        <f t="shared" si="128"/>
        <v/>
      </c>
      <c r="G3267" s="3"/>
      <c r="H3267" s="1" t="str">
        <f t="shared" si="129"/>
        <v/>
      </c>
    </row>
    <row r="3268" spans="1:10" x14ac:dyDescent="0.25">
      <c r="A3268" t="s">
        <v>6040</v>
      </c>
      <c r="B3268">
        <v>387</v>
      </c>
      <c r="C3268" t="s">
        <v>6041</v>
      </c>
      <c r="E3268" s="5" t="s">
        <v>6627</v>
      </c>
      <c r="F3268" s="1" t="str">
        <f t="shared" si="128"/>
        <v>https://www.kegg.jp/dbget-bin/www_bget?ec:1.3.8.1</v>
      </c>
      <c r="G3268" s="3" t="s">
        <v>7359</v>
      </c>
      <c r="H3268" s="1" t="str">
        <f t="shared" si="129"/>
        <v>https://www.kegg.jp/entry/R01178</v>
      </c>
      <c r="I3268" t="s">
        <v>12780</v>
      </c>
      <c r="J3268" t="s">
        <v>12781</v>
      </c>
    </row>
    <row r="3269" spans="1:10" x14ac:dyDescent="0.25">
      <c r="A3269" t="s">
        <v>6040</v>
      </c>
      <c r="B3269">
        <v>387</v>
      </c>
      <c r="C3269" t="s">
        <v>6041</v>
      </c>
      <c r="E3269" s="5" t="s">
        <v>6627</v>
      </c>
      <c r="F3269" s="1" t="str">
        <f t="shared" si="128"/>
        <v>https://www.kegg.jp/dbget-bin/www_bget?ec:1.3.8.1</v>
      </c>
      <c r="G3269" s="3" t="s">
        <v>7364</v>
      </c>
      <c r="H3269" s="1" t="str">
        <f t="shared" si="129"/>
        <v>https://www.kegg.jp/entry/R01175</v>
      </c>
      <c r="I3269" t="s">
        <v>12782</v>
      </c>
      <c r="J3269" t="s">
        <v>12783</v>
      </c>
    </row>
    <row r="3270" spans="1:10" x14ac:dyDescent="0.25">
      <c r="A3270" t="s">
        <v>6040</v>
      </c>
      <c r="B3270">
        <v>387</v>
      </c>
      <c r="C3270" t="s">
        <v>6041</v>
      </c>
      <c r="E3270" s="5" t="s">
        <v>6627</v>
      </c>
      <c r="F3270" s="1" t="str">
        <f t="shared" si="128"/>
        <v>https://www.kegg.jp/dbget-bin/www_bget?ec:1.3.8.1</v>
      </c>
      <c r="G3270" s="3" t="s">
        <v>7363</v>
      </c>
      <c r="H3270" s="1" t="str">
        <f t="shared" si="129"/>
        <v>https://www.kegg.jp/entry/R04751</v>
      </c>
      <c r="I3270" t="s">
        <v>12784</v>
      </c>
      <c r="J3270" t="s">
        <v>12785</v>
      </c>
    </row>
    <row r="3271" spans="1:10" x14ac:dyDescent="0.25">
      <c r="A3271" t="s">
        <v>6040</v>
      </c>
      <c r="B3271">
        <v>387</v>
      </c>
      <c r="C3271" t="s">
        <v>6041</v>
      </c>
      <c r="E3271" s="5" t="s">
        <v>6627</v>
      </c>
      <c r="F3271" s="1" t="str">
        <f t="shared" si="128"/>
        <v>https://www.kegg.jp/dbget-bin/www_bget?ec:1.3.8.1</v>
      </c>
      <c r="G3271" s="3" t="s">
        <v>7362</v>
      </c>
      <c r="H3271" s="1" t="str">
        <f t="shared" si="129"/>
        <v>https://www.kegg.jp/entry/R02661</v>
      </c>
      <c r="I3271" t="s">
        <v>12786</v>
      </c>
      <c r="J3271" t="s">
        <v>12787</v>
      </c>
    </row>
    <row r="3272" spans="1:10" x14ac:dyDescent="0.25">
      <c r="A3272" t="s">
        <v>6040</v>
      </c>
      <c r="B3272">
        <v>387</v>
      </c>
      <c r="C3272" t="s">
        <v>6041</v>
      </c>
      <c r="E3272" s="5" t="s">
        <v>6627</v>
      </c>
      <c r="F3272" s="1" t="str">
        <f t="shared" si="128"/>
        <v>https://www.kegg.jp/dbget-bin/www_bget?ec:1.3.8.1</v>
      </c>
      <c r="G3272" s="3" t="s">
        <v>7361</v>
      </c>
      <c r="H3272" s="1" t="str">
        <f t="shared" si="129"/>
        <v>https://www.kegg.jp/entry/R03172</v>
      </c>
      <c r="I3272" t="s">
        <v>12788</v>
      </c>
      <c r="J3272" t="s">
        <v>12789</v>
      </c>
    </row>
    <row r="3273" spans="1:10" x14ac:dyDescent="0.25">
      <c r="A3273" t="s">
        <v>6040</v>
      </c>
      <c r="B3273">
        <v>387</v>
      </c>
      <c r="C3273" t="s">
        <v>6041</v>
      </c>
      <c r="E3273" s="5" t="s">
        <v>6627</v>
      </c>
      <c r="F3273" s="1" t="str">
        <f t="shared" si="128"/>
        <v>https://www.kegg.jp/dbget-bin/www_bget?ec:1.3.8.1</v>
      </c>
      <c r="G3273" s="3" t="s">
        <v>7360</v>
      </c>
      <c r="H3273" s="1" t="str">
        <f t="shared" si="129"/>
        <v>https://www.kegg.jp/entry/R04432</v>
      </c>
      <c r="I3273" t="s">
        <v>12790</v>
      </c>
      <c r="J3273" t="s">
        <v>12791</v>
      </c>
    </row>
    <row r="3274" spans="1:10" hidden="1" x14ac:dyDescent="0.25">
      <c r="A3274" t="s">
        <v>6042</v>
      </c>
      <c r="B3274">
        <v>232</v>
      </c>
      <c r="C3274" t="s">
        <v>6043</v>
      </c>
      <c r="F3274" s="1" t="str">
        <f t="shared" si="128"/>
        <v/>
      </c>
      <c r="G3274" s="3"/>
      <c r="H3274" s="1" t="str">
        <f t="shared" si="129"/>
        <v/>
      </c>
    </row>
    <row r="3275" spans="1:10" x14ac:dyDescent="0.25">
      <c r="A3275" t="s">
        <v>6045</v>
      </c>
      <c r="B3275">
        <v>878</v>
      </c>
      <c r="C3275" t="s">
        <v>6046</v>
      </c>
      <c r="E3275" s="5" t="s">
        <v>7069</v>
      </c>
      <c r="F3275" s="1" t="str">
        <f t="shared" si="128"/>
        <v>https://www.kegg.jp/dbget-bin/www_bget?ec:6.1.1.4</v>
      </c>
      <c r="G3275" s="3" t="s">
        <v>7309</v>
      </c>
      <c r="H3275" s="1" t="str">
        <f t="shared" si="129"/>
        <v>https://www.kegg.jp/entry/R03657</v>
      </c>
      <c r="I3275" t="s">
        <v>8378</v>
      </c>
      <c r="J3275" t="s">
        <v>13920</v>
      </c>
    </row>
    <row r="3276" spans="1:10" hidden="1" x14ac:dyDescent="0.25">
      <c r="A3276" t="s">
        <v>6047</v>
      </c>
      <c r="B3276">
        <v>260</v>
      </c>
      <c r="C3276" t="s">
        <v>6048</v>
      </c>
      <c r="F3276" s="1" t="str">
        <f t="shared" si="128"/>
        <v/>
      </c>
      <c r="G3276" s="3"/>
      <c r="H3276" s="1" t="str">
        <f t="shared" si="129"/>
        <v/>
      </c>
    </row>
    <row r="3277" spans="1:10" hidden="1" x14ac:dyDescent="0.25">
      <c r="A3277" t="s">
        <v>6049</v>
      </c>
      <c r="B3277">
        <v>186</v>
      </c>
      <c r="C3277" t="s">
        <v>6050</v>
      </c>
      <c r="F3277" s="1" t="str">
        <f t="shared" si="128"/>
        <v/>
      </c>
      <c r="G3277" s="3"/>
      <c r="H3277" s="1" t="str">
        <f t="shared" si="129"/>
        <v/>
      </c>
    </row>
    <row r="3278" spans="1:10" x14ac:dyDescent="0.25">
      <c r="A3278" t="s">
        <v>6052</v>
      </c>
      <c r="B3278">
        <v>413</v>
      </c>
      <c r="C3278" t="s">
        <v>6053</v>
      </c>
      <c r="E3278" s="5" t="s">
        <v>7070</v>
      </c>
      <c r="F3278" s="1" t="str">
        <f t="shared" si="128"/>
        <v>https://www.kegg.jp/dbget-bin/www_bget?ec:1.2.1.41</v>
      </c>
      <c r="G3278" s="3" t="s">
        <v>7310</v>
      </c>
      <c r="H3278" s="1" t="str">
        <f t="shared" si="129"/>
        <v>https://www.kegg.jp/entry/R03313</v>
      </c>
      <c r="I3278" t="s">
        <v>13921</v>
      </c>
      <c r="J3278" t="s">
        <v>13922</v>
      </c>
    </row>
    <row r="3279" spans="1:10" x14ac:dyDescent="0.25">
      <c r="A3279" t="s">
        <v>6055</v>
      </c>
      <c r="B3279">
        <v>369</v>
      </c>
      <c r="C3279" t="s">
        <v>6056</v>
      </c>
      <c r="E3279" s="5" t="s">
        <v>7071</v>
      </c>
      <c r="F3279" s="1" t="str">
        <f t="shared" si="128"/>
        <v>https://www.kegg.jp/dbget-bin/www_bget?ec:2.7.2.11</v>
      </c>
      <c r="G3279" s="3" t="s">
        <v>7311</v>
      </c>
      <c r="H3279" s="1" t="str">
        <f t="shared" si="129"/>
        <v>https://www.kegg.jp/entry/R00239</v>
      </c>
      <c r="I3279" t="s">
        <v>8379</v>
      </c>
      <c r="J3279" t="s">
        <v>8634</v>
      </c>
    </row>
    <row r="3280" spans="1:10" hidden="1" x14ac:dyDescent="0.25">
      <c r="A3280" t="s">
        <v>6057</v>
      </c>
      <c r="B3280">
        <v>70</v>
      </c>
      <c r="C3280" t="s">
        <v>6058</v>
      </c>
      <c r="F3280" s="1" t="str">
        <f t="shared" si="128"/>
        <v/>
      </c>
      <c r="G3280" s="3"/>
      <c r="H3280" s="1" t="str">
        <f t="shared" si="129"/>
        <v/>
      </c>
    </row>
    <row r="3281" spans="1:10" hidden="1" x14ac:dyDescent="0.25">
      <c r="C3281" t="s">
        <v>6059</v>
      </c>
      <c r="F3281" s="1" t="str">
        <f t="shared" si="128"/>
        <v/>
      </c>
      <c r="G3281" s="3"/>
      <c r="H3281" s="1" t="str">
        <f t="shared" si="129"/>
        <v/>
      </c>
    </row>
    <row r="3282" spans="1:10" x14ac:dyDescent="0.25">
      <c r="A3282" t="s">
        <v>6061</v>
      </c>
      <c r="B3282">
        <v>187</v>
      </c>
      <c r="C3282" t="s">
        <v>6062</v>
      </c>
      <c r="E3282" s="5" t="s">
        <v>6802</v>
      </c>
      <c r="F3282" s="1" t="str">
        <f t="shared" si="128"/>
        <v>https://www.kegg.jp/dbget-bin/www_bget?ec:2.5.1.17</v>
      </c>
      <c r="G3282" s="3" t="s">
        <v>7645</v>
      </c>
      <c r="H3282" s="1" t="str">
        <f t="shared" si="129"/>
        <v>https://www.kegg.jp/entry/R12183</v>
      </c>
      <c r="I3282" t="s">
        <v>8238</v>
      </c>
      <c r="J3282" t="s">
        <v>13196</v>
      </c>
    </row>
    <row r="3283" spans="1:10" x14ac:dyDescent="0.25">
      <c r="A3283" t="s">
        <v>6061</v>
      </c>
      <c r="B3283">
        <v>187</v>
      </c>
      <c r="C3283" t="s">
        <v>6062</v>
      </c>
      <c r="E3283" s="5" t="s">
        <v>6802</v>
      </c>
      <c r="F3283" s="1" t="str">
        <f t="shared" si="128"/>
        <v>https://www.kegg.jp/dbget-bin/www_bget?ec:2.5.1.17</v>
      </c>
      <c r="G3283" s="3" t="s">
        <v>7649</v>
      </c>
      <c r="H3283" s="1" t="str">
        <f t="shared" si="129"/>
        <v>https://www.kegg.jp/entry/R12184</v>
      </c>
      <c r="I3283" t="s">
        <v>13197</v>
      </c>
      <c r="J3283" t="s">
        <v>13198</v>
      </c>
    </row>
    <row r="3284" spans="1:10" x14ac:dyDescent="0.25">
      <c r="A3284" t="s">
        <v>6061</v>
      </c>
      <c r="B3284">
        <v>187</v>
      </c>
      <c r="C3284" t="s">
        <v>6062</v>
      </c>
      <c r="E3284" s="5" t="s">
        <v>6802</v>
      </c>
      <c r="F3284" s="1" t="str">
        <f t="shared" si="128"/>
        <v>https://www.kegg.jp/dbget-bin/www_bget?ec:2.5.1.17</v>
      </c>
      <c r="G3284" s="3" t="s">
        <v>7648</v>
      </c>
      <c r="H3284" s="1" t="str">
        <f t="shared" si="129"/>
        <v>https://www.kegg.jp/entry/R01492</v>
      </c>
      <c r="I3284" t="s">
        <v>8239</v>
      </c>
      <c r="J3284" t="s">
        <v>13199</v>
      </c>
    </row>
    <row r="3285" spans="1:10" x14ac:dyDescent="0.25">
      <c r="A3285" t="s">
        <v>6061</v>
      </c>
      <c r="B3285">
        <v>187</v>
      </c>
      <c r="C3285" t="s">
        <v>6062</v>
      </c>
      <c r="E3285" s="5" t="s">
        <v>6802</v>
      </c>
      <c r="F3285" s="1" t="str">
        <f t="shared" si="128"/>
        <v>https://www.kegg.jp/dbget-bin/www_bget?ec:2.5.1.17</v>
      </c>
      <c r="G3285" s="3" t="s">
        <v>7647</v>
      </c>
      <c r="H3285" s="1" t="str">
        <f t="shared" si="129"/>
        <v>https://www.kegg.jp/entry/R05220</v>
      </c>
      <c r="I3285" t="s">
        <v>13200</v>
      </c>
      <c r="J3285" t="s">
        <v>13201</v>
      </c>
    </row>
    <row r="3286" spans="1:10" x14ac:dyDescent="0.25">
      <c r="A3286" t="s">
        <v>6061</v>
      </c>
      <c r="B3286">
        <v>187</v>
      </c>
      <c r="C3286" t="s">
        <v>6062</v>
      </c>
      <c r="E3286" s="5" t="s">
        <v>6802</v>
      </c>
      <c r="F3286" s="1" t="str">
        <f t="shared" si="128"/>
        <v>https://www.kegg.jp/dbget-bin/www_bget?ec:2.5.1.17</v>
      </c>
      <c r="G3286" s="3" t="s">
        <v>7646</v>
      </c>
      <c r="H3286" s="1" t="str">
        <f t="shared" si="129"/>
        <v>https://www.kegg.jp/entry/R07268</v>
      </c>
      <c r="I3286" t="s">
        <v>8240</v>
      </c>
      <c r="J3286" t="s">
        <v>8514</v>
      </c>
    </row>
    <row r="3287" spans="1:10" hidden="1" x14ac:dyDescent="0.25">
      <c r="A3287" t="s">
        <v>6063</v>
      </c>
      <c r="B3287">
        <v>91</v>
      </c>
      <c r="C3287" t="s">
        <v>6064</v>
      </c>
      <c r="F3287" s="1" t="str">
        <f t="shared" si="128"/>
        <v/>
      </c>
      <c r="G3287" s="3"/>
      <c r="H3287" s="1" t="str">
        <f t="shared" si="129"/>
        <v/>
      </c>
    </row>
    <row r="3288" spans="1:10" hidden="1" x14ac:dyDescent="0.25">
      <c r="A3288" t="s">
        <v>6065</v>
      </c>
      <c r="B3288">
        <v>239</v>
      </c>
      <c r="C3288" t="s">
        <v>6066</v>
      </c>
      <c r="F3288" s="1" t="str">
        <f t="shared" si="128"/>
        <v/>
      </c>
      <c r="G3288" s="3"/>
      <c r="H3288" s="1" t="str">
        <f t="shared" si="129"/>
        <v/>
      </c>
    </row>
    <row r="3289" spans="1:10" hidden="1" x14ac:dyDescent="0.25">
      <c r="A3289" t="s">
        <v>6068</v>
      </c>
      <c r="B3289">
        <v>392</v>
      </c>
      <c r="C3289" t="s">
        <v>6069</v>
      </c>
      <c r="F3289" s="1" t="str">
        <f t="shared" si="128"/>
        <v/>
      </c>
      <c r="G3289" s="3"/>
      <c r="H3289" s="1" t="str">
        <f t="shared" si="129"/>
        <v/>
      </c>
    </row>
    <row r="3290" spans="1:10" hidden="1" x14ac:dyDescent="0.25">
      <c r="A3290" t="s">
        <v>6071</v>
      </c>
      <c r="B3290">
        <v>285</v>
      </c>
      <c r="C3290" t="s">
        <v>6072</v>
      </c>
      <c r="F3290" s="1" t="str">
        <f t="shared" si="128"/>
        <v/>
      </c>
      <c r="G3290" s="3"/>
      <c r="H3290" s="1" t="str">
        <f t="shared" si="129"/>
        <v/>
      </c>
    </row>
    <row r="3291" spans="1:10" hidden="1" x14ac:dyDescent="0.25">
      <c r="A3291" t="s">
        <v>6073</v>
      </c>
      <c r="B3291">
        <v>66</v>
      </c>
      <c r="C3291" t="s">
        <v>6074</v>
      </c>
      <c r="F3291" s="1" t="str">
        <f t="shared" si="128"/>
        <v/>
      </c>
      <c r="G3291" s="3"/>
      <c r="H3291" s="1" t="str">
        <f t="shared" si="129"/>
        <v/>
      </c>
    </row>
    <row r="3292" spans="1:10" hidden="1" x14ac:dyDescent="0.25">
      <c r="A3292" t="s">
        <v>6075</v>
      </c>
      <c r="B3292">
        <v>160</v>
      </c>
      <c r="C3292" t="s">
        <v>6076</v>
      </c>
      <c r="F3292" s="1" t="str">
        <f t="shared" si="128"/>
        <v/>
      </c>
      <c r="G3292" s="3"/>
      <c r="H3292" s="1" t="str">
        <f t="shared" si="129"/>
        <v/>
      </c>
    </row>
    <row r="3293" spans="1:10" hidden="1" x14ac:dyDescent="0.25">
      <c r="A3293" t="s">
        <v>6077</v>
      </c>
      <c r="B3293">
        <v>258</v>
      </c>
      <c r="C3293" t="s">
        <v>6078</v>
      </c>
      <c r="F3293" s="1" t="str">
        <f t="shared" si="128"/>
        <v/>
      </c>
      <c r="G3293" s="3"/>
      <c r="H3293" s="1" t="str">
        <f t="shared" si="129"/>
        <v/>
      </c>
    </row>
    <row r="3294" spans="1:10" hidden="1" x14ac:dyDescent="0.25">
      <c r="A3294" t="s">
        <v>6080</v>
      </c>
      <c r="B3294">
        <v>272</v>
      </c>
      <c r="C3294" t="s">
        <v>6081</v>
      </c>
      <c r="F3294" s="1" t="str">
        <f t="shared" si="128"/>
        <v/>
      </c>
      <c r="G3294" s="3"/>
      <c r="H3294" s="1" t="str">
        <f t="shared" si="129"/>
        <v/>
      </c>
    </row>
    <row r="3295" spans="1:10" hidden="1" x14ac:dyDescent="0.25">
      <c r="A3295" t="s">
        <v>6082</v>
      </c>
      <c r="B3295">
        <v>405</v>
      </c>
      <c r="C3295" t="s">
        <v>6083</v>
      </c>
      <c r="F3295" s="1" t="str">
        <f t="shared" si="128"/>
        <v/>
      </c>
      <c r="G3295" s="3"/>
      <c r="H3295" s="1" t="str">
        <f t="shared" si="129"/>
        <v/>
      </c>
    </row>
    <row r="3296" spans="1:10" hidden="1" x14ac:dyDescent="0.25">
      <c r="A3296" t="s">
        <v>6084</v>
      </c>
      <c r="B3296">
        <v>232</v>
      </c>
      <c r="C3296" t="s">
        <v>6085</v>
      </c>
      <c r="F3296" s="1" t="str">
        <f t="shared" si="128"/>
        <v/>
      </c>
      <c r="G3296" s="3"/>
      <c r="H3296" s="1" t="str">
        <f t="shared" si="129"/>
        <v/>
      </c>
    </row>
    <row r="3297" spans="1:10" hidden="1" x14ac:dyDescent="0.25">
      <c r="A3297" t="s">
        <v>6086</v>
      </c>
      <c r="B3297">
        <v>106</v>
      </c>
      <c r="C3297" t="s">
        <v>6087</v>
      </c>
      <c r="F3297" s="1" t="str">
        <f t="shared" si="128"/>
        <v/>
      </c>
      <c r="G3297" s="3"/>
      <c r="H3297" s="1" t="str">
        <f t="shared" si="129"/>
        <v/>
      </c>
    </row>
    <row r="3298" spans="1:10" x14ac:dyDescent="0.25">
      <c r="A3298" t="s">
        <v>6089</v>
      </c>
      <c r="B3298">
        <v>361</v>
      </c>
      <c r="C3298" t="s">
        <v>6090</v>
      </c>
      <c r="E3298" s="5" t="s">
        <v>7072</v>
      </c>
      <c r="F3298" s="1" t="str">
        <f t="shared" si="128"/>
        <v>https://www.kegg.jp/dbget-bin/www_bget?ec:5.1.1.1</v>
      </c>
      <c r="G3298" s="3" t="s">
        <v>7312</v>
      </c>
      <c r="H3298" s="1" t="str">
        <f t="shared" si="129"/>
        <v>https://www.kegg.jp/entry/R00401</v>
      </c>
      <c r="I3298" t="s">
        <v>8380</v>
      </c>
      <c r="J3298" t="s">
        <v>8635</v>
      </c>
    </row>
    <row r="3299" spans="1:10" hidden="1" x14ac:dyDescent="0.25">
      <c r="A3299" t="s">
        <v>6092</v>
      </c>
      <c r="B3299">
        <v>706</v>
      </c>
      <c r="C3299" t="s">
        <v>6093</v>
      </c>
      <c r="F3299" s="1" t="str">
        <f t="shared" si="128"/>
        <v/>
      </c>
      <c r="G3299" s="3"/>
      <c r="H3299" s="1" t="str">
        <f t="shared" si="129"/>
        <v/>
      </c>
    </row>
    <row r="3300" spans="1:10" hidden="1" x14ac:dyDescent="0.25">
      <c r="A3300" t="s">
        <v>6095</v>
      </c>
      <c r="B3300">
        <v>349</v>
      </c>
      <c r="C3300" t="s">
        <v>6096</v>
      </c>
      <c r="F3300" s="1" t="str">
        <f t="shared" si="128"/>
        <v/>
      </c>
      <c r="G3300" s="3"/>
      <c r="H3300" s="1" t="str">
        <f t="shared" si="129"/>
        <v/>
      </c>
    </row>
    <row r="3301" spans="1:10" hidden="1" x14ac:dyDescent="0.25">
      <c r="A3301" t="s">
        <v>6098</v>
      </c>
      <c r="B3301">
        <v>219</v>
      </c>
      <c r="C3301" t="s">
        <v>6099</v>
      </c>
      <c r="F3301" s="1" t="str">
        <f t="shared" si="128"/>
        <v/>
      </c>
      <c r="G3301" s="3"/>
      <c r="H3301" s="1" t="str">
        <f t="shared" si="129"/>
        <v/>
      </c>
    </row>
    <row r="3302" spans="1:10" x14ac:dyDescent="0.25">
      <c r="A3302" t="s">
        <v>6101</v>
      </c>
      <c r="B3302">
        <v>352</v>
      </c>
      <c r="C3302" t="s">
        <v>6102</v>
      </c>
      <c r="E3302" s="5" t="s">
        <v>7073</v>
      </c>
      <c r="F3302" s="1" t="str">
        <f t="shared" si="128"/>
        <v>https://www.kegg.jp/dbget-bin/www_bget?ec:6.1.1.20</v>
      </c>
      <c r="G3302" s="3" t="s">
        <v>7313</v>
      </c>
      <c r="H3302" s="1" t="str">
        <f t="shared" si="129"/>
        <v>https://www.kegg.jp/entry/R03660</v>
      </c>
      <c r="I3302" t="s">
        <v>8381</v>
      </c>
      <c r="J3302" t="s">
        <v>13923</v>
      </c>
    </row>
    <row r="3303" spans="1:10" x14ac:dyDescent="0.25">
      <c r="A3303" t="s">
        <v>6104</v>
      </c>
      <c r="B3303">
        <v>783</v>
      </c>
      <c r="C3303" t="s">
        <v>6105</v>
      </c>
      <c r="E3303" s="5" t="s">
        <v>7073</v>
      </c>
      <c r="F3303" s="1" t="str">
        <f t="shared" si="128"/>
        <v>https://www.kegg.jp/dbget-bin/www_bget?ec:6.1.1.20</v>
      </c>
      <c r="G3303" s="3" t="s">
        <v>7313</v>
      </c>
      <c r="H3303" s="1" t="str">
        <f t="shared" si="129"/>
        <v>https://www.kegg.jp/entry/R03660</v>
      </c>
      <c r="I3303" t="s">
        <v>8381</v>
      </c>
      <c r="J3303" t="s">
        <v>13923</v>
      </c>
    </row>
    <row r="3304" spans="1:10" hidden="1" x14ac:dyDescent="0.25">
      <c r="A3304" t="s">
        <v>6106</v>
      </c>
      <c r="B3304">
        <v>153</v>
      </c>
      <c r="C3304" t="s">
        <v>6107</v>
      </c>
      <c r="F3304" s="1" t="str">
        <f t="shared" si="128"/>
        <v/>
      </c>
      <c r="G3304" s="3"/>
      <c r="H3304" s="1" t="str">
        <f t="shared" si="129"/>
        <v/>
      </c>
    </row>
    <row r="3305" spans="1:10" x14ac:dyDescent="0.25">
      <c r="A3305" t="s">
        <v>6109</v>
      </c>
      <c r="B3305">
        <v>322</v>
      </c>
      <c r="C3305" t="s">
        <v>6110</v>
      </c>
      <c r="E3305" s="5" t="s">
        <v>7074</v>
      </c>
      <c r="F3305" s="1" t="str">
        <f t="shared" ref="F3305:F3313" si="130">IF(E3305&lt;&gt;"", HYPERLINK("https://www.kegg.jp/dbget-bin/www_bget?ec:" &amp; E3305, "https://www.kegg.jp/dbget-bin/www_bget?ec:" &amp; E3305), "")</f>
        <v>https://www.kegg.jp/dbget-bin/www_bget?ec:2.7.1.11</v>
      </c>
      <c r="G3305" s="9" t="s">
        <v>8075</v>
      </c>
      <c r="H3305" s="1" t="str">
        <f t="shared" si="129"/>
        <v>https://www.kegg.jp/entry/R04779</v>
      </c>
      <c r="I3305" t="s">
        <v>8382</v>
      </c>
      <c r="J3305" t="s">
        <v>8636</v>
      </c>
    </row>
    <row r="3306" spans="1:10" x14ac:dyDescent="0.25">
      <c r="A3306" t="s">
        <v>6109</v>
      </c>
      <c r="B3306">
        <v>322</v>
      </c>
      <c r="C3306" t="s">
        <v>6110</v>
      </c>
      <c r="E3306" s="5" t="s">
        <v>7074</v>
      </c>
      <c r="F3306" s="1" t="str">
        <f t="shared" si="130"/>
        <v>https://www.kegg.jp/dbget-bin/www_bget?ec:2.7.1.11</v>
      </c>
      <c r="G3306" s="9" t="s">
        <v>8084</v>
      </c>
      <c r="H3306" s="1" t="str">
        <f t="shared" si="129"/>
        <v>https://www.kegg.jp/entry/R00756</v>
      </c>
      <c r="I3306" t="s">
        <v>8383</v>
      </c>
      <c r="J3306" t="s">
        <v>8637</v>
      </c>
    </row>
    <row r="3307" spans="1:10" x14ac:dyDescent="0.25">
      <c r="A3307" t="s">
        <v>6109</v>
      </c>
      <c r="B3307">
        <v>322</v>
      </c>
      <c r="C3307" t="s">
        <v>6110</v>
      </c>
      <c r="E3307" s="5" t="s">
        <v>7074</v>
      </c>
      <c r="F3307" s="1" t="str">
        <f t="shared" si="130"/>
        <v>https://www.kegg.jp/dbget-bin/www_bget?ec:2.7.1.11</v>
      </c>
      <c r="G3307" s="9" t="s">
        <v>8083</v>
      </c>
      <c r="H3307" s="1" t="str">
        <f t="shared" ref="H3307:H3370" si="131">IF(G3307&lt;&gt;"", HYPERLINK("https://www.kegg.jp/entry/" &amp; G3307, "https://www.kegg.jp/entry/" &amp; G3307), "")</f>
        <v>https://www.kegg.jp/entry/R00767</v>
      </c>
      <c r="I3307" t="s">
        <v>8384</v>
      </c>
      <c r="J3307" t="s">
        <v>8638</v>
      </c>
    </row>
    <row r="3308" spans="1:10" x14ac:dyDescent="0.25">
      <c r="A3308" t="s">
        <v>6109</v>
      </c>
      <c r="B3308">
        <v>322</v>
      </c>
      <c r="C3308" t="s">
        <v>6110</v>
      </c>
      <c r="E3308" s="5" t="s">
        <v>7074</v>
      </c>
      <c r="F3308" s="1" t="str">
        <f t="shared" si="130"/>
        <v>https://www.kegg.jp/dbget-bin/www_bget?ec:2.7.1.11</v>
      </c>
      <c r="G3308" s="9" t="s">
        <v>8082</v>
      </c>
      <c r="H3308" s="1" t="str">
        <f t="shared" si="131"/>
        <v>https://www.kegg.jp/entry/R00769</v>
      </c>
      <c r="I3308" t="s">
        <v>8385</v>
      </c>
      <c r="J3308" t="s">
        <v>8639</v>
      </c>
    </row>
    <row r="3309" spans="1:10" x14ac:dyDescent="0.25">
      <c r="A3309" t="s">
        <v>6109</v>
      </c>
      <c r="B3309">
        <v>322</v>
      </c>
      <c r="C3309" t="s">
        <v>6110</v>
      </c>
      <c r="E3309" s="5" t="s">
        <v>7074</v>
      </c>
      <c r="F3309" s="1" t="str">
        <f t="shared" si="130"/>
        <v>https://www.kegg.jp/dbget-bin/www_bget?ec:2.7.1.11</v>
      </c>
      <c r="G3309" s="9" t="s">
        <v>8081</v>
      </c>
      <c r="H3309" s="1" t="str">
        <f t="shared" si="131"/>
        <v>https://www.kegg.jp/entry/R00770</v>
      </c>
      <c r="I3309" t="s">
        <v>8386</v>
      </c>
      <c r="J3309" t="s">
        <v>8640</v>
      </c>
    </row>
    <row r="3310" spans="1:10" x14ac:dyDescent="0.25">
      <c r="A3310" t="s">
        <v>6109</v>
      </c>
      <c r="B3310">
        <v>322</v>
      </c>
      <c r="C3310" t="s">
        <v>6110</v>
      </c>
      <c r="E3310" s="5" t="s">
        <v>7074</v>
      </c>
      <c r="F3310" s="1" t="str">
        <f t="shared" si="130"/>
        <v>https://www.kegg.jp/dbget-bin/www_bget?ec:2.7.1.11</v>
      </c>
      <c r="G3310" s="9" t="s">
        <v>8080</v>
      </c>
      <c r="H3310" s="1" t="str">
        <f t="shared" si="131"/>
        <v>https://www.kegg.jp/entry/R01843</v>
      </c>
      <c r="I3310" t="s">
        <v>8387</v>
      </c>
      <c r="J3310" t="s">
        <v>8641</v>
      </c>
    </row>
    <row r="3311" spans="1:10" x14ac:dyDescent="0.25">
      <c r="A3311" t="s">
        <v>6109</v>
      </c>
      <c r="B3311">
        <v>322</v>
      </c>
      <c r="C3311" t="s">
        <v>6110</v>
      </c>
      <c r="E3311" s="5" t="s">
        <v>7074</v>
      </c>
      <c r="F3311" s="1" t="str">
        <f t="shared" si="130"/>
        <v>https://www.kegg.jp/dbget-bin/www_bget?ec:2.7.1.11</v>
      </c>
      <c r="G3311" s="9" t="s">
        <v>8079</v>
      </c>
      <c r="H3311" s="1" t="str">
        <f t="shared" si="131"/>
        <v>https://www.kegg.jp/entry/R03236</v>
      </c>
      <c r="I3311" t="s">
        <v>13924</v>
      </c>
      <c r="J3311" t="s">
        <v>13925</v>
      </c>
    </row>
    <row r="3312" spans="1:10" x14ac:dyDescent="0.25">
      <c r="A3312" t="s">
        <v>6109</v>
      </c>
      <c r="B3312">
        <v>322</v>
      </c>
      <c r="C3312" t="s">
        <v>6110</v>
      </c>
      <c r="E3312" s="5" t="s">
        <v>7074</v>
      </c>
      <c r="F3312" s="1" t="str">
        <f t="shared" si="130"/>
        <v>https://www.kegg.jp/dbget-bin/www_bget?ec:2.7.1.11</v>
      </c>
      <c r="G3312" s="9" t="s">
        <v>8078</v>
      </c>
      <c r="H3312" s="1" t="str">
        <f t="shared" si="131"/>
        <v>https://www.kegg.jp/entry/R03237</v>
      </c>
      <c r="I3312" t="s">
        <v>8388</v>
      </c>
      <c r="J3312" t="s">
        <v>8642</v>
      </c>
    </row>
    <row r="3313" spans="1:10" x14ac:dyDescent="0.25">
      <c r="A3313" t="s">
        <v>6109</v>
      </c>
      <c r="B3313">
        <v>322</v>
      </c>
      <c r="C3313" t="s">
        <v>6110</v>
      </c>
      <c r="E3313" s="5" t="s">
        <v>7074</v>
      </c>
      <c r="F3313" s="1" t="str">
        <f t="shared" si="130"/>
        <v>https://www.kegg.jp/dbget-bin/www_bget?ec:2.7.1.11</v>
      </c>
      <c r="G3313" s="9" t="s">
        <v>8077</v>
      </c>
      <c r="H3313" s="1" t="str">
        <f t="shared" si="131"/>
        <v>https://www.kegg.jp/entry/R03238</v>
      </c>
      <c r="I3313" t="s">
        <v>8389</v>
      </c>
      <c r="J3313" t="s">
        <v>8643</v>
      </c>
    </row>
    <row r="3314" spans="1:10" x14ac:dyDescent="0.25">
      <c r="A3314" t="s">
        <v>6109</v>
      </c>
      <c r="B3314">
        <v>322</v>
      </c>
      <c r="C3314" t="s">
        <v>6110</v>
      </c>
      <c r="E3314" s="5" t="s">
        <v>7074</v>
      </c>
      <c r="F3314" s="1" t="str">
        <f t="shared" si="128"/>
        <v>https://www.kegg.jp/dbget-bin/www_bget?ec:2.7.1.11</v>
      </c>
      <c r="G3314" s="9" t="s">
        <v>8076</v>
      </c>
      <c r="H3314" s="1" t="str">
        <f t="shared" si="131"/>
        <v>https://www.kegg.jp/entry/R03239</v>
      </c>
      <c r="I3314" t="s">
        <v>8390</v>
      </c>
      <c r="J3314" t="s">
        <v>8644</v>
      </c>
    </row>
    <row r="3315" spans="1:10" hidden="1" x14ac:dyDescent="0.25">
      <c r="A3315" t="s">
        <v>6112</v>
      </c>
      <c r="B3315">
        <v>262</v>
      </c>
      <c r="C3315" t="s">
        <v>6113</v>
      </c>
      <c r="F3315" s="1" t="str">
        <f t="shared" si="128"/>
        <v/>
      </c>
      <c r="G3315" s="3"/>
      <c r="H3315" s="1" t="str">
        <f t="shared" si="131"/>
        <v/>
      </c>
    </row>
    <row r="3316" spans="1:10" hidden="1" x14ac:dyDescent="0.25">
      <c r="A3316" t="s">
        <v>6114</v>
      </c>
      <c r="B3316">
        <v>132</v>
      </c>
      <c r="C3316" t="s">
        <v>6115</v>
      </c>
      <c r="F3316" s="1" t="str">
        <f t="shared" si="128"/>
        <v/>
      </c>
      <c r="G3316" s="3"/>
      <c r="H3316" s="1" t="str">
        <f t="shared" si="131"/>
        <v/>
      </c>
    </row>
    <row r="3317" spans="1:10" x14ac:dyDescent="0.25">
      <c r="A3317" t="s">
        <v>6117</v>
      </c>
      <c r="B3317">
        <v>175</v>
      </c>
      <c r="C3317" t="s">
        <v>6118</v>
      </c>
      <c r="E3317" s="5" t="s">
        <v>7075</v>
      </c>
      <c r="F3317" s="1" t="str">
        <f t="shared" si="128"/>
        <v>https://www.kegg.jp/dbget-bin/www_bget?ec:3.6.1.1</v>
      </c>
      <c r="G3317" s="3" t="s">
        <v>7314</v>
      </c>
      <c r="H3317" s="1" t="str">
        <f t="shared" si="131"/>
        <v>https://www.kegg.jp/entry/R00004</v>
      </c>
      <c r="I3317" t="s">
        <v>13926</v>
      </c>
      <c r="J3317" t="s">
        <v>8296</v>
      </c>
    </row>
    <row r="3318" spans="1:10" x14ac:dyDescent="0.25">
      <c r="A3318" t="s">
        <v>6120</v>
      </c>
      <c r="B3318">
        <v>209</v>
      </c>
      <c r="C3318" t="s">
        <v>6121</v>
      </c>
      <c r="E3318" s="5" t="s">
        <v>7076</v>
      </c>
      <c r="F3318" s="1" t="str">
        <f t="shared" ref="F3318:F3319" si="132">IF(E3318&lt;&gt;"", HYPERLINK("https://www.kegg.jp/dbget-bin/www_bget?ec:" &amp; E3318, "https://www.kegg.jp/dbget-bin/www_bget?ec:" &amp; E3318), "")</f>
        <v>https://www.kegg.jp/dbget-bin/www_bget?ec:3.1.4.46</v>
      </c>
      <c r="G3318" s="9" t="s">
        <v>8085</v>
      </c>
      <c r="H3318" s="1" t="str">
        <f t="shared" si="131"/>
        <v>https://www.kegg.jp/entry/R00857</v>
      </c>
      <c r="I3318" t="s">
        <v>13927</v>
      </c>
      <c r="J3318" t="s">
        <v>8645</v>
      </c>
    </row>
    <row r="3319" spans="1:10" x14ac:dyDescent="0.25">
      <c r="A3319" t="s">
        <v>6120</v>
      </c>
      <c r="B3319">
        <v>209</v>
      </c>
      <c r="C3319" t="s">
        <v>6121</v>
      </c>
      <c r="E3319" s="5" t="s">
        <v>7076</v>
      </c>
      <c r="F3319" s="1" t="str">
        <f t="shared" si="132"/>
        <v>https://www.kegg.jp/dbget-bin/www_bget?ec:3.1.4.46</v>
      </c>
      <c r="G3319" s="9" t="s">
        <v>8087</v>
      </c>
      <c r="H3319" s="1" t="str">
        <f t="shared" si="131"/>
        <v>https://www.kegg.jp/entry/R01030</v>
      </c>
      <c r="I3319" t="s">
        <v>13928</v>
      </c>
      <c r="J3319" t="s">
        <v>13929</v>
      </c>
    </row>
    <row r="3320" spans="1:10" x14ac:dyDescent="0.25">
      <c r="A3320" t="s">
        <v>6120</v>
      </c>
      <c r="B3320">
        <v>209</v>
      </c>
      <c r="C3320" t="s">
        <v>6121</v>
      </c>
      <c r="E3320" s="5" t="s">
        <v>7076</v>
      </c>
      <c r="F3320" s="1" t="str">
        <f t="shared" si="128"/>
        <v>https://www.kegg.jp/dbget-bin/www_bget?ec:3.1.4.46</v>
      </c>
      <c r="G3320" s="9" t="s">
        <v>8086</v>
      </c>
      <c r="H3320" s="1" t="str">
        <f t="shared" si="131"/>
        <v>https://www.kegg.jp/entry/R01470</v>
      </c>
      <c r="I3320" t="s">
        <v>13930</v>
      </c>
      <c r="J3320" t="s">
        <v>13931</v>
      </c>
    </row>
    <row r="3321" spans="1:10" hidden="1" x14ac:dyDescent="0.25">
      <c r="A3321" t="s">
        <v>6122</v>
      </c>
      <c r="B3321">
        <v>204</v>
      </c>
      <c r="C3321" t="s">
        <v>6123</v>
      </c>
      <c r="F3321" s="1" t="str">
        <f t="shared" si="128"/>
        <v/>
      </c>
      <c r="G3321" s="3"/>
      <c r="H3321" s="1" t="str">
        <f t="shared" si="131"/>
        <v/>
      </c>
    </row>
    <row r="3322" spans="1:10" hidden="1" x14ac:dyDescent="0.25">
      <c r="A3322" t="s">
        <v>6125</v>
      </c>
      <c r="B3322">
        <v>102</v>
      </c>
      <c r="C3322" t="s">
        <v>6126</v>
      </c>
      <c r="F3322" s="1" t="str">
        <f t="shared" si="128"/>
        <v/>
      </c>
      <c r="G3322" s="3"/>
      <c r="H3322" s="1" t="str">
        <f t="shared" si="131"/>
        <v/>
      </c>
    </row>
    <row r="3323" spans="1:10" hidden="1" x14ac:dyDescent="0.25">
      <c r="A3323" t="s">
        <v>6128</v>
      </c>
      <c r="B3323">
        <v>676</v>
      </c>
      <c r="C3323" t="s">
        <v>6129</v>
      </c>
      <c r="F3323" s="1" t="str">
        <f t="shared" si="128"/>
        <v/>
      </c>
      <c r="G3323" s="3"/>
      <c r="H3323" s="1" t="str">
        <f t="shared" si="131"/>
        <v/>
      </c>
    </row>
    <row r="3324" spans="1:10" hidden="1" x14ac:dyDescent="0.25">
      <c r="A3324" t="s">
        <v>6131</v>
      </c>
      <c r="B3324">
        <v>268</v>
      </c>
      <c r="C3324" t="s">
        <v>6132</v>
      </c>
      <c r="F3324" s="1" t="str">
        <f t="shared" si="128"/>
        <v/>
      </c>
      <c r="G3324" s="3"/>
      <c r="H3324" s="1" t="str">
        <f t="shared" si="131"/>
        <v/>
      </c>
    </row>
    <row r="3325" spans="1:10" hidden="1" x14ac:dyDescent="0.25">
      <c r="A3325" t="s">
        <v>6134</v>
      </c>
      <c r="B3325">
        <v>249</v>
      </c>
      <c r="C3325" t="s">
        <v>6135</v>
      </c>
      <c r="F3325" s="1" t="str">
        <f t="shared" si="128"/>
        <v/>
      </c>
      <c r="G3325" s="3"/>
      <c r="H3325" s="1" t="str">
        <f t="shared" si="131"/>
        <v/>
      </c>
    </row>
    <row r="3326" spans="1:10" hidden="1" x14ac:dyDescent="0.25">
      <c r="A3326" t="s">
        <v>6137</v>
      </c>
      <c r="B3326">
        <v>242</v>
      </c>
      <c r="C3326" t="s">
        <v>6138</v>
      </c>
      <c r="F3326" s="1" t="str">
        <f t="shared" si="128"/>
        <v/>
      </c>
      <c r="G3326" s="3"/>
      <c r="H3326" s="1" t="str">
        <f t="shared" si="131"/>
        <v/>
      </c>
    </row>
    <row r="3327" spans="1:10" hidden="1" x14ac:dyDescent="0.25">
      <c r="A3327" t="s">
        <v>6140</v>
      </c>
      <c r="B3327">
        <v>596</v>
      </c>
      <c r="C3327" t="s">
        <v>6141</v>
      </c>
      <c r="F3327" s="1" t="str">
        <f t="shared" si="128"/>
        <v/>
      </c>
      <c r="G3327" s="3"/>
      <c r="H3327" s="1" t="str">
        <f t="shared" si="131"/>
        <v/>
      </c>
    </row>
    <row r="3328" spans="1:10" hidden="1" x14ac:dyDescent="0.25">
      <c r="A3328" t="s">
        <v>6144</v>
      </c>
      <c r="B3328">
        <v>438</v>
      </c>
      <c r="C3328" t="s">
        <v>6145</v>
      </c>
      <c r="F3328" s="1" t="str">
        <f t="shared" si="128"/>
        <v/>
      </c>
      <c r="G3328" s="3"/>
      <c r="H3328" s="1" t="str">
        <f t="shared" si="131"/>
        <v/>
      </c>
    </row>
    <row r="3329" spans="1:8" hidden="1" x14ac:dyDescent="0.25">
      <c r="A3329" t="s">
        <v>6146</v>
      </c>
      <c r="B3329">
        <v>95</v>
      </c>
      <c r="C3329" t="s">
        <v>6147</v>
      </c>
      <c r="F3329" s="1" t="str">
        <f t="shared" si="128"/>
        <v/>
      </c>
      <c r="G3329" s="3"/>
      <c r="H3329" s="1" t="str">
        <f t="shared" si="131"/>
        <v/>
      </c>
    </row>
    <row r="3330" spans="1:8" hidden="1" x14ac:dyDescent="0.25">
      <c r="A3330" t="s">
        <v>6148</v>
      </c>
      <c r="B3330">
        <v>61</v>
      </c>
      <c r="C3330" t="s">
        <v>6149</v>
      </c>
      <c r="F3330" s="1" t="str">
        <f t="shared" ref="F3330:F3393" si="133">IF(E3330&lt;&gt;"", HYPERLINK("https://www.kegg.jp/dbget-bin/www_bget?ec:" &amp; E3330, "https://www.kegg.jp/dbget-bin/www_bget?ec:" &amp; E3330), "")</f>
        <v/>
      </c>
      <c r="G3330" s="3"/>
      <c r="H3330" s="1" t="str">
        <f t="shared" si="131"/>
        <v/>
      </c>
    </row>
    <row r="3331" spans="1:8" hidden="1" x14ac:dyDescent="0.25">
      <c r="A3331" t="s">
        <v>6150</v>
      </c>
      <c r="B3331">
        <v>179</v>
      </c>
      <c r="C3331" t="s">
        <v>6151</v>
      </c>
      <c r="F3331" s="1" t="str">
        <f t="shared" si="133"/>
        <v/>
      </c>
      <c r="G3331" s="3"/>
      <c r="H3331" s="1" t="str">
        <f t="shared" si="131"/>
        <v/>
      </c>
    </row>
    <row r="3332" spans="1:8" hidden="1" x14ac:dyDescent="0.25">
      <c r="A3332" t="s">
        <v>6152</v>
      </c>
      <c r="B3332">
        <v>301</v>
      </c>
      <c r="C3332" t="s">
        <v>6153</v>
      </c>
      <c r="F3332" s="1" t="str">
        <f t="shared" si="133"/>
        <v/>
      </c>
      <c r="G3332" s="3"/>
      <c r="H3332" s="1" t="str">
        <f t="shared" si="131"/>
        <v/>
      </c>
    </row>
    <row r="3333" spans="1:8" hidden="1" x14ac:dyDescent="0.25">
      <c r="A3333" t="s">
        <v>6155</v>
      </c>
      <c r="B3333">
        <v>280</v>
      </c>
      <c r="C3333" t="s">
        <v>6156</v>
      </c>
      <c r="F3333" s="1" t="str">
        <f t="shared" si="133"/>
        <v/>
      </c>
      <c r="G3333" s="3"/>
      <c r="H3333" s="1" t="str">
        <f t="shared" si="131"/>
        <v/>
      </c>
    </row>
    <row r="3334" spans="1:8" hidden="1" x14ac:dyDescent="0.25">
      <c r="A3334" t="s">
        <v>6157</v>
      </c>
      <c r="B3334">
        <v>116</v>
      </c>
      <c r="C3334" t="s">
        <v>6158</v>
      </c>
      <c r="F3334" s="1" t="str">
        <f t="shared" si="133"/>
        <v/>
      </c>
      <c r="G3334" s="3"/>
      <c r="H3334" s="1" t="str">
        <f t="shared" si="131"/>
        <v/>
      </c>
    </row>
    <row r="3335" spans="1:8" hidden="1" x14ac:dyDescent="0.25">
      <c r="A3335" t="s">
        <v>6160</v>
      </c>
      <c r="B3335">
        <v>381</v>
      </c>
      <c r="C3335" t="s">
        <v>6161</v>
      </c>
      <c r="F3335" s="1" t="str">
        <f t="shared" si="133"/>
        <v/>
      </c>
      <c r="G3335" s="3"/>
      <c r="H3335" s="1" t="str">
        <f t="shared" si="131"/>
        <v/>
      </c>
    </row>
    <row r="3336" spans="1:8" hidden="1" x14ac:dyDescent="0.25">
      <c r="A3336" t="s">
        <v>6163</v>
      </c>
      <c r="B3336">
        <v>388</v>
      </c>
      <c r="C3336" t="s">
        <v>6164</v>
      </c>
      <c r="F3336" s="1" t="str">
        <f t="shared" si="133"/>
        <v/>
      </c>
      <c r="G3336" s="3"/>
      <c r="H3336" s="1" t="str">
        <f t="shared" si="131"/>
        <v/>
      </c>
    </row>
    <row r="3337" spans="1:8" hidden="1" x14ac:dyDescent="0.25">
      <c r="A3337" t="s">
        <v>6165</v>
      </c>
      <c r="B3337">
        <v>56</v>
      </c>
      <c r="C3337" t="s">
        <v>6166</v>
      </c>
      <c r="F3337" s="1" t="str">
        <f t="shared" si="133"/>
        <v/>
      </c>
      <c r="G3337" s="3"/>
      <c r="H3337" s="1" t="str">
        <f t="shared" si="131"/>
        <v/>
      </c>
    </row>
    <row r="3338" spans="1:8" hidden="1" x14ac:dyDescent="0.25">
      <c r="A3338" t="s">
        <v>6167</v>
      </c>
      <c r="B3338">
        <v>144</v>
      </c>
      <c r="C3338" t="s">
        <v>6168</v>
      </c>
      <c r="F3338" s="1" t="str">
        <f t="shared" si="133"/>
        <v/>
      </c>
      <c r="G3338" s="3"/>
      <c r="H3338" s="1" t="str">
        <f t="shared" si="131"/>
        <v/>
      </c>
    </row>
    <row r="3339" spans="1:8" hidden="1" x14ac:dyDescent="0.25">
      <c r="A3339" t="s">
        <v>6169</v>
      </c>
      <c r="B3339">
        <v>66</v>
      </c>
      <c r="C3339" t="s">
        <v>6170</v>
      </c>
      <c r="F3339" s="1" t="str">
        <f t="shared" si="133"/>
        <v/>
      </c>
      <c r="G3339" s="3"/>
      <c r="H3339" s="1" t="str">
        <f t="shared" si="131"/>
        <v/>
      </c>
    </row>
    <row r="3340" spans="1:8" hidden="1" x14ac:dyDescent="0.25">
      <c r="A3340" t="s">
        <v>6171</v>
      </c>
      <c r="B3340">
        <v>108</v>
      </c>
      <c r="C3340" t="s">
        <v>6172</v>
      </c>
      <c r="F3340" s="1" t="str">
        <f t="shared" si="133"/>
        <v/>
      </c>
      <c r="G3340" s="3"/>
      <c r="H3340" s="1" t="str">
        <f t="shared" si="131"/>
        <v/>
      </c>
    </row>
    <row r="3341" spans="1:8" hidden="1" x14ac:dyDescent="0.25">
      <c r="A3341" t="s">
        <v>6173</v>
      </c>
      <c r="B3341">
        <v>90</v>
      </c>
      <c r="C3341" t="s">
        <v>6174</v>
      </c>
      <c r="F3341" s="1" t="str">
        <f t="shared" si="133"/>
        <v/>
      </c>
      <c r="G3341" s="3"/>
      <c r="H3341" s="1" t="str">
        <f t="shared" si="131"/>
        <v/>
      </c>
    </row>
    <row r="3342" spans="1:8" hidden="1" x14ac:dyDescent="0.25">
      <c r="A3342" t="s">
        <v>6175</v>
      </c>
      <c r="B3342">
        <v>70</v>
      </c>
      <c r="C3342" t="s">
        <v>6176</v>
      </c>
      <c r="F3342" s="1" t="str">
        <f t="shared" si="133"/>
        <v/>
      </c>
      <c r="G3342" s="3"/>
      <c r="H3342" s="1" t="str">
        <f t="shared" si="131"/>
        <v/>
      </c>
    </row>
    <row r="3343" spans="1:8" hidden="1" x14ac:dyDescent="0.25">
      <c r="A3343" t="s">
        <v>6177</v>
      </c>
      <c r="B3343">
        <v>90</v>
      </c>
      <c r="C3343" t="s">
        <v>6178</v>
      </c>
      <c r="F3343" s="1" t="str">
        <f t="shared" si="133"/>
        <v/>
      </c>
      <c r="G3343" s="3"/>
      <c r="H3343" s="1" t="str">
        <f t="shared" si="131"/>
        <v/>
      </c>
    </row>
    <row r="3344" spans="1:8" hidden="1" x14ac:dyDescent="0.25">
      <c r="A3344" t="s">
        <v>6180</v>
      </c>
      <c r="B3344">
        <v>397</v>
      </c>
      <c r="C3344" t="s">
        <v>6181</v>
      </c>
      <c r="F3344" s="1" t="str">
        <f t="shared" si="133"/>
        <v/>
      </c>
      <c r="G3344" s="3"/>
      <c r="H3344" s="1" t="str">
        <f t="shared" si="131"/>
        <v/>
      </c>
    </row>
    <row r="3345" spans="1:8" hidden="1" x14ac:dyDescent="0.25">
      <c r="A3345" t="s">
        <v>6182</v>
      </c>
      <c r="B3345">
        <v>117</v>
      </c>
      <c r="C3345" t="s">
        <v>6183</v>
      </c>
      <c r="F3345" s="1" t="str">
        <f t="shared" si="133"/>
        <v/>
      </c>
      <c r="G3345" s="3"/>
      <c r="H3345" s="1" t="str">
        <f t="shared" si="131"/>
        <v/>
      </c>
    </row>
    <row r="3346" spans="1:8" hidden="1" x14ac:dyDescent="0.25">
      <c r="A3346" t="s">
        <v>6184</v>
      </c>
      <c r="B3346">
        <v>255</v>
      </c>
      <c r="C3346" t="s">
        <v>6185</v>
      </c>
      <c r="F3346" s="1" t="str">
        <f t="shared" si="133"/>
        <v/>
      </c>
      <c r="G3346" s="3"/>
      <c r="H3346" s="1" t="str">
        <f t="shared" si="131"/>
        <v/>
      </c>
    </row>
    <row r="3347" spans="1:8" hidden="1" x14ac:dyDescent="0.25">
      <c r="A3347" t="s">
        <v>6186</v>
      </c>
      <c r="B3347">
        <v>76</v>
      </c>
      <c r="C3347" t="s">
        <v>6187</v>
      </c>
      <c r="F3347" s="1" t="str">
        <f t="shared" si="133"/>
        <v/>
      </c>
      <c r="G3347" s="3"/>
      <c r="H3347" s="1" t="str">
        <f t="shared" si="131"/>
        <v/>
      </c>
    </row>
    <row r="3348" spans="1:8" hidden="1" x14ac:dyDescent="0.25">
      <c r="A3348" t="s">
        <v>6188</v>
      </c>
      <c r="B3348">
        <v>84</v>
      </c>
      <c r="C3348" t="s">
        <v>6189</v>
      </c>
      <c r="F3348" s="1" t="str">
        <f t="shared" si="133"/>
        <v/>
      </c>
      <c r="G3348" s="3"/>
      <c r="H3348" s="1" t="str">
        <f t="shared" si="131"/>
        <v/>
      </c>
    </row>
    <row r="3349" spans="1:8" hidden="1" x14ac:dyDescent="0.25">
      <c r="A3349" t="s">
        <v>6192</v>
      </c>
      <c r="B3349">
        <v>77</v>
      </c>
      <c r="C3349" t="s">
        <v>6193</v>
      </c>
      <c r="F3349" s="1" t="str">
        <f t="shared" si="133"/>
        <v/>
      </c>
      <c r="G3349" s="3"/>
      <c r="H3349" s="1" t="str">
        <f t="shared" si="131"/>
        <v/>
      </c>
    </row>
    <row r="3350" spans="1:8" hidden="1" x14ac:dyDescent="0.25">
      <c r="A3350" t="s">
        <v>6195</v>
      </c>
      <c r="B3350">
        <v>78</v>
      </c>
      <c r="C3350" t="s">
        <v>6196</v>
      </c>
      <c r="F3350" s="1" t="str">
        <f t="shared" si="133"/>
        <v/>
      </c>
      <c r="G3350" s="3"/>
      <c r="H3350" s="1" t="str">
        <f t="shared" si="131"/>
        <v/>
      </c>
    </row>
    <row r="3351" spans="1:8" hidden="1" x14ac:dyDescent="0.25">
      <c r="A3351" t="s">
        <v>6197</v>
      </c>
      <c r="B3351">
        <v>120</v>
      </c>
      <c r="C3351" t="s">
        <v>6198</v>
      </c>
      <c r="F3351" s="1" t="str">
        <f t="shared" si="133"/>
        <v/>
      </c>
      <c r="G3351" s="3"/>
      <c r="H3351" s="1" t="str">
        <f t="shared" si="131"/>
        <v/>
      </c>
    </row>
    <row r="3352" spans="1:8" hidden="1" x14ac:dyDescent="0.25">
      <c r="A3352" t="s">
        <v>6199</v>
      </c>
      <c r="B3352">
        <v>241</v>
      </c>
      <c r="C3352" t="s">
        <v>6200</v>
      </c>
      <c r="F3352" s="1" t="str">
        <f t="shared" si="133"/>
        <v/>
      </c>
      <c r="G3352" s="3"/>
      <c r="H3352" s="1" t="str">
        <f t="shared" si="131"/>
        <v/>
      </c>
    </row>
    <row r="3353" spans="1:8" hidden="1" x14ac:dyDescent="0.25">
      <c r="A3353" t="s">
        <v>6202</v>
      </c>
      <c r="B3353">
        <v>203</v>
      </c>
      <c r="C3353" t="s">
        <v>6203</v>
      </c>
      <c r="F3353" s="1" t="str">
        <f t="shared" si="133"/>
        <v/>
      </c>
      <c r="G3353" s="3"/>
      <c r="H3353" s="1" t="str">
        <f t="shared" si="131"/>
        <v/>
      </c>
    </row>
    <row r="3354" spans="1:8" hidden="1" x14ac:dyDescent="0.25">
      <c r="A3354" t="s">
        <v>6205</v>
      </c>
      <c r="B3354">
        <v>374</v>
      </c>
      <c r="C3354" t="s">
        <v>6206</v>
      </c>
      <c r="F3354" s="1" t="str">
        <f t="shared" si="133"/>
        <v/>
      </c>
      <c r="G3354" s="3"/>
      <c r="H3354" s="1" t="str">
        <f t="shared" si="131"/>
        <v/>
      </c>
    </row>
    <row r="3355" spans="1:8" hidden="1" x14ac:dyDescent="0.25">
      <c r="A3355" t="s">
        <v>6208</v>
      </c>
      <c r="B3355">
        <v>86</v>
      </c>
      <c r="C3355" t="s">
        <v>6209</v>
      </c>
      <c r="F3355" s="1" t="str">
        <f t="shared" si="133"/>
        <v/>
      </c>
      <c r="G3355" s="3"/>
      <c r="H3355" s="1" t="str">
        <f t="shared" si="131"/>
        <v/>
      </c>
    </row>
    <row r="3356" spans="1:8" hidden="1" x14ac:dyDescent="0.25">
      <c r="A3356" t="s">
        <v>6210</v>
      </c>
      <c r="B3356">
        <v>82</v>
      </c>
      <c r="C3356" t="s">
        <v>6211</v>
      </c>
      <c r="F3356" s="1" t="str">
        <f t="shared" si="133"/>
        <v/>
      </c>
      <c r="G3356" s="3"/>
      <c r="H3356" s="1" t="str">
        <f t="shared" si="131"/>
        <v/>
      </c>
    </row>
    <row r="3357" spans="1:8" hidden="1" x14ac:dyDescent="0.25">
      <c r="A3357" t="s">
        <v>6212</v>
      </c>
      <c r="B3357">
        <v>87</v>
      </c>
      <c r="C3357" t="s">
        <v>6213</v>
      </c>
      <c r="F3357" s="1" t="str">
        <f t="shared" si="133"/>
        <v/>
      </c>
      <c r="G3357" s="3"/>
      <c r="H3357" s="1" t="str">
        <f t="shared" si="131"/>
        <v/>
      </c>
    </row>
    <row r="3358" spans="1:8" hidden="1" x14ac:dyDescent="0.25">
      <c r="A3358" t="s">
        <v>6215</v>
      </c>
      <c r="B3358">
        <v>354</v>
      </c>
      <c r="C3358" t="s">
        <v>6216</v>
      </c>
      <c r="F3358" s="1" t="str">
        <f t="shared" si="133"/>
        <v/>
      </c>
      <c r="G3358" s="3"/>
      <c r="H3358" s="1" t="str">
        <f t="shared" si="131"/>
        <v/>
      </c>
    </row>
    <row r="3359" spans="1:8" hidden="1" x14ac:dyDescent="0.25">
      <c r="A3359" t="s">
        <v>6217</v>
      </c>
      <c r="B3359">
        <v>281</v>
      </c>
      <c r="C3359" t="s">
        <v>6218</v>
      </c>
      <c r="F3359" s="1" t="str">
        <f t="shared" si="133"/>
        <v/>
      </c>
      <c r="G3359" s="3"/>
      <c r="H3359" s="1" t="str">
        <f t="shared" si="131"/>
        <v/>
      </c>
    </row>
    <row r="3360" spans="1:8" hidden="1" x14ac:dyDescent="0.25">
      <c r="A3360" t="s">
        <v>6219</v>
      </c>
      <c r="B3360">
        <v>244</v>
      </c>
      <c r="C3360" t="s">
        <v>6220</v>
      </c>
      <c r="F3360" s="1" t="str">
        <f t="shared" si="133"/>
        <v/>
      </c>
      <c r="G3360" s="3"/>
      <c r="H3360" s="1" t="str">
        <f t="shared" si="131"/>
        <v/>
      </c>
    </row>
    <row r="3361" spans="1:8" hidden="1" x14ac:dyDescent="0.25">
      <c r="A3361" t="s">
        <v>6222</v>
      </c>
      <c r="B3361">
        <v>235</v>
      </c>
      <c r="C3361" t="s">
        <v>6223</v>
      </c>
      <c r="F3361" s="1" t="str">
        <f t="shared" si="133"/>
        <v/>
      </c>
      <c r="G3361" s="3"/>
      <c r="H3361" s="1" t="str">
        <f t="shared" si="131"/>
        <v/>
      </c>
    </row>
    <row r="3362" spans="1:8" hidden="1" x14ac:dyDescent="0.25">
      <c r="A3362" t="s">
        <v>6224</v>
      </c>
      <c r="B3362">
        <v>116</v>
      </c>
      <c r="C3362" t="s">
        <v>6225</v>
      </c>
      <c r="F3362" s="1" t="str">
        <f t="shared" si="133"/>
        <v/>
      </c>
      <c r="G3362" s="3"/>
      <c r="H3362" s="1" t="str">
        <f t="shared" si="131"/>
        <v/>
      </c>
    </row>
    <row r="3363" spans="1:8" hidden="1" x14ac:dyDescent="0.25">
      <c r="A3363" t="s">
        <v>6226</v>
      </c>
      <c r="B3363">
        <v>250</v>
      </c>
      <c r="C3363" t="s">
        <v>6227</v>
      </c>
      <c r="F3363" s="1" t="str">
        <f t="shared" si="133"/>
        <v/>
      </c>
      <c r="G3363" s="3"/>
      <c r="H3363" s="1" t="str">
        <f t="shared" si="131"/>
        <v/>
      </c>
    </row>
    <row r="3364" spans="1:8" hidden="1" x14ac:dyDescent="0.25">
      <c r="A3364" t="s">
        <v>6228</v>
      </c>
      <c r="B3364">
        <v>281</v>
      </c>
      <c r="C3364" t="s">
        <v>6229</v>
      </c>
      <c r="F3364" s="1" t="str">
        <f t="shared" si="133"/>
        <v/>
      </c>
      <c r="G3364" s="3"/>
      <c r="H3364" s="1" t="str">
        <f t="shared" si="131"/>
        <v/>
      </c>
    </row>
    <row r="3365" spans="1:8" hidden="1" x14ac:dyDescent="0.25">
      <c r="A3365" t="s">
        <v>6230</v>
      </c>
      <c r="B3365">
        <v>233</v>
      </c>
      <c r="C3365" t="s">
        <v>6231</v>
      </c>
      <c r="F3365" s="1" t="str">
        <f t="shared" si="133"/>
        <v/>
      </c>
      <c r="G3365" s="3"/>
      <c r="H3365" s="1" t="str">
        <f t="shared" si="131"/>
        <v/>
      </c>
    </row>
    <row r="3366" spans="1:8" hidden="1" x14ac:dyDescent="0.25">
      <c r="A3366" t="s">
        <v>6232</v>
      </c>
      <c r="B3366">
        <v>410</v>
      </c>
      <c r="C3366" t="s">
        <v>6233</v>
      </c>
      <c r="F3366" s="1" t="str">
        <f t="shared" si="133"/>
        <v/>
      </c>
      <c r="G3366" s="3"/>
      <c r="H3366" s="1" t="str">
        <f t="shared" si="131"/>
        <v/>
      </c>
    </row>
    <row r="3367" spans="1:8" hidden="1" x14ac:dyDescent="0.25">
      <c r="A3367" t="s">
        <v>6234</v>
      </c>
      <c r="B3367">
        <v>83</v>
      </c>
      <c r="C3367" t="s">
        <v>6235</v>
      </c>
      <c r="F3367" s="1" t="str">
        <f t="shared" si="133"/>
        <v/>
      </c>
      <c r="G3367" s="3"/>
      <c r="H3367" s="1" t="str">
        <f t="shared" si="131"/>
        <v/>
      </c>
    </row>
    <row r="3368" spans="1:8" hidden="1" x14ac:dyDescent="0.25">
      <c r="A3368" t="s">
        <v>6236</v>
      </c>
      <c r="B3368">
        <v>357</v>
      </c>
      <c r="C3368" t="s">
        <v>6237</v>
      </c>
      <c r="F3368" s="1" t="str">
        <f t="shared" si="133"/>
        <v/>
      </c>
      <c r="G3368" s="3"/>
      <c r="H3368" s="1" t="str">
        <f t="shared" si="131"/>
        <v/>
      </c>
    </row>
    <row r="3369" spans="1:8" hidden="1" x14ac:dyDescent="0.25">
      <c r="A3369" t="s">
        <v>6240</v>
      </c>
      <c r="B3369">
        <v>66</v>
      </c>
      <c r="C3369" t="s">
        <v>6241</v>
      </c>
      <c r="F3369" s="1" t="str">
        <f t="shared" si="133"/>
        <v/>
      </c>
      <c r="G3369" s="3"/>
      <c r="H3369" s="1" t="str">
        <f t="shared" si="131"/>
        <v/>
      </c>
    </row>
    <row r="3370" spans="1:8" hidden="1" x14ac:dyDescent="0.25">
      <c r="A3370" t="s">
        <v>6242</v>
      </c>
      <c r="B3370">
        <v>101</v>
      </c>
      <c r="C3370" t="s">
        <v>6243</v>
      </c>
      <c r="F3370" s="1" t="str">
        <f t="shared" si="133"/>
        <v/>
      </c>
      <c r="G3370" s="3"/>
      <c r="H3370" s="1" t="str">
        <f t="shared" si="131"/>
        <v/>
      </c>
    </row>
    <row r="3371" spans="1:8" hidden="1" x14ac:dyDescent="0.25">
      <c r="A3371" t="s">
        <v>6245</v>
      </c>
      <c r="B3371">
        <v>199</v>
      </c>
      <c r="C3371" t="s">
        <v>6246</v>
      </c>
      <c r="F3371" s="1" t="str">
        <f t="shared" si="133"/>
        <v/>
      </c>
      <c r="G3371" s="3"/>
      <c r="H3371" s="1" t="str">
        <f t="shared" ref="H3371:H3434" si="134">IF(G3371&lt;&gt;"", HYPERLINK("https://www.kegg.jp/entry/" &amp; G3371, "https://www.kegg.jp/entry/" &amp; G3371), "")</f>
        <v/>
      </c>
    </row>
    <row r="3372" spans="1:8" hidden="1" x14ac:dyDescent="0.25">
      <c r="A3372" t="s">
        <v>6247</v>
      </c>
      <c r="B3372">
        <v>185</v>
      </c>
      <c r="C3372" t="s">
        <v>6248</v>
      </c>
      <c r="F3372" s="1" t="str">
        <f t="shared" si="133"/>
        <v/>
      </c>
      <c r="G3372" s="3"/>
      <c r="H3372" s="1" t="str">
        <f t="shared" si="134"/>
        <v/>
      </c>
    </row>
    <row r="3373" spans="1:8" hidden="1" x14ac:dyDescent="0.25">
      <c r="A3373" t="s">
        <v>6249</v>
      </c>
      <c r="B3373">
        <v>232</v>
      </c>
      <c r="C3373" t="s">
        <v>6250</v>
      </c>
      <c r="F3373" s="1" t="str">
        <f t="shared" si="133"/>
        <v/>
      </c>
      <c r="G3373" s="3"/>
      <c r="H3373" s="1" t="str">
        <f t="shared" si="134"/>
        <v/>
      </c>
    </row>
    <row r="3374" spans="1:8" hidden="1" x14ac:dyDescent="0.25">
      <c r="A3374" t="s">
        <v>6251</v>
      </c>
      <c r="B3374">
        <v>88</v>
      </c>
      <c r="C3374" t="s">
        <v>6252</v>
      </c>
      <c r="F3374" s="1" t="str">
        <f t="shared" si="133"/>
        <v/>
      </c>
      <c r="G3374" s="3"/>
      <c r="H3374" s="1" t="str">
        <f t="shared" si="134"/>
        <v/>
      </c>
    </row>
    <row r="3375" spans="1:8" hidden="1" x14ac:dyDescent="0.25">
      <c r="A3375" t="s">
        <v>6254</v>
      </c>
      <c r="B3375">
        <v>352</v>
      </c>
      <c r="C3375" t="s">
        <v>6255</v>
      </c>
      <c r="F3375" s="1" t="str">
        <f t="shared" si="133"/>
        <v/>
      </c>
      <c r="G3375" s="3"/>
      <c r="H3375" s="1" t="str">
        <f t="shared" si="134"/>
        <v/>
      </c>
    </row>
    <row r="3376" spans="1:8" hidden="1" x14ac:dyDescent="0.25">
      <c r="A3376" t="s">
        <v>6256</v>
      </c>
      <c r="B3376">
        <v>120</v>
      </c>
      <c r="C3376" t="s">
        <v>6257</v>
      </c>
      <c r="F3376" s="1" t="str">
        <f t="shared" si="133"/>
        <v/>
      </c>
      <c r="G3376" s="3"/>
      <c r="H3376" s="1" t="str">
        <f t="shared" si="134"/>
        <v/>
      </c>
    </row>
    <row r="3377" spans="1:8" hidden="1" x14ac:dyDescent="0.25">
      <c r="A3377" t="s">
        <v>6258</v>
      </c>
      <c r="B3377">
        <v>369</v>
      </c>
      <c r="C3377" t="s">
        <v>6259</v>
      </c>
      <c r="F3377" s="1" t="str">
        <f t="shared" si="133"/>
        <v/>
      </c>
      <c r="G3377" s="3"/>
      <c r="H3377" s="1" t="str">
        <f t="shared" si="134"/>
        <v/>
      </c>
    </row>
    <row r="3378" spans="1:8" hidden="1" x14ac:dyDescent="0.25">
      <c r="A3378" t="s">
        <v>6260</v>
      </c>
      <c r="B3378">
        <v>471</v>
      </c>
      <c r="C3378" t="s">
        <v>6261</v>
      </c>
      <c r="F3378" s="1" t="str">
        <f t="shared" si="133"/>
        <v/>
      </c>
      <c r="G3378" s="3"/>
      <c r="H3378" s="1" t="str">
        <f t="shared" si="134"/>
        <v/>
      </c>
    </row>
    <row r="3379" spans="1:8" hidden="1" x14ac:dyDescent="0.25">
      <c r="A3379" t="s">
        <v>6263</v>
      </c>
      <c r="B3379">
        <v>319</v>
      </c>
      <c r="C3379" t="s">
        <v>6264</v>
      </c>
      <c r="F3379" s="1" t="str">
        <f t="shared" si="133"/>
        <v/>
      </c>
      <c r="G3379" s="3"/>
      <c r="H3379" s="1" t="str">
        <f t="shared" si="134"/>
        <v/>
      </c>
    </row>
    <row r="3380" spans="1:8" hidden="1" x14ac:dyDescent="0.25">
      <c r="A3380" t="s">
        <v>6265</v>
      </c>
      <c r="B3380">
        <v>104</v>
      </c>
      <c r="C3380" t="s">
        <v>6266</v>
      </c>
      <c r="F3380" s="1" t="str">
        <f t="shared" si="133"/>
        <v/>
      </c>
      <c r="G3380" s="3"/>
      <c r="H3380" s="1" t="str">
        <f t="shared" si="134"/>
        <v/>
      </c>
    </row>
    <row r="3381" spans="1:8" hidden="1" x14ac:dyDescent="0.25">
      <c r="A3381" t="s">
        <v>6268</v>
      </c>
      <c r="B3381">
        <v>152</v>
      </c>
      <c r="C3381" t="s">
        <v>6269</v>
      </c>
      <c r="F3381" s="1" t="str">
        <f t="shared" si="133"/>
        <v/>
      </c>
      <c r="G3381" s="3"/>
      <c r="H3381" s="1" t="str">
        <f t="shared" si="134"/>
        <v/>
      </c>
    </row>
    <row r="3382" spans="1:8" hidden="1" x14ac:dyDescent="0.25">
      <c r="A3382" t="s">
        <v>6270</v>
      </c>
      <c r="B3382">
        <v>78</v>
      </c>
      <c r="C3382" t="s">
        <v>6271</v>
      </c>
      <c r="F3382" s="1" t="str">
        <f t="shared" si="133"/>
        <v/>
      </c>
      <c r="G3382" s="3"/>
      <c r="H3382" s="1" t="str">
        <f t="shared" si="134"/>
        <v/>
      </c>
    </row>
    <row r="3383" spans="1:8" hidden="1" x14ac:dyDescent="0.25">
      <c r="A3383" t="s">
        <v>6272</v>
      </c>
      <c r="B3383">
        <v>96</v>
      </c>
      <c r="C3383" t="s">
        <v>6273</v>
      </c>
      <c r="F3383" s="1" t="str">
        <f t="shared" si="133"/>
        <v/>
      </c>
      <c r="G3383" s="3"/>
      <c r="H3383" s="1" t="str">
        <f t="shared" si="134"/>
        <v/>
      </c>
    </row>
    <row r="3384" spans="1:8" hidden="1" x14ac:dyDescent="0.25">
      <c r="A3384" t="s">
        <v>6275</v>
      </c>
      <c r="B3384">
        <v>814</v>
      </c>
      <c r="C3384" t="s">
        <v>6276</v>
      </c>
      <c r="F3384" s="1" t="str">
        <f t="shared" si="133"/>
        <v/>
      </c>
      <c r="G3384" s="3"/>
      <c r="H3384" s="1" t="str">
        <f t="shared" si="134"/>
        <v/>
      </c>
    </row>
    <row r="3385" spans="1:8" hidden="1" x14ac:dyDescent="0.25">
      <c r="A3385" t="s">
        <v>6277</v>
      </c>
      <c r="B3385">
        <v>99</v>
      </c>
      <c r="C3385" t="s">
        <v>6278</v>
      </c>
      <c r="F3385" s="1" t="str">
        <f t="shared" si="133"/>
        <v/>
      </c>
      <c r="G3385" s="3"/>
      <c r="H3385" s="1" t="str">
        <f t="shared" si="134"/>
        <v/>
      </c>
    </row>
    <row r="3386" spans="1:8" hidden="1" x14ac:dyDescent="0.25">
      <c r="A3386" t="s">
        <v>6279</v>
      </c>
      <c r="B3386">
        <v>633</v>
      </c>
      <c r="C3386" t="s">
        <v>6280</v>
      </c>
      <c r="F3386" s="1" t="str">
        <f t="shared" si="133"/>
        <v/>
      </c>
      <c r="G3386" s="3"/>
      <c r="H3386" s="1" t="str">
        <f t="shared" si="134"/>
        <v/>
      </c>
    </row>
    <row r="3387" spans="1:8" hidden="1" x14ac:dyDescent="0.25">
      <c r="A3387" t="s">
        <v>6281</v>
      </c>
      <c r="B3387">
        <v>519</v>
      </c>
      <c r="C3387" t="s">
        <v>6282</v>
      </c>
      <c r="F3387" s="1" t="str">
        <f t="shared" si="133"/>
        <v/>
      </c>
      <c r="G3387" s="3"/>
      <c r="H3387" s="1" t="str">
        <f t="shared" si="134"/>
        <v/>
      </c>
    </row>
    <row r="3388" spans="1:8" hidden="1" x14ac:dyDescent="0.25">
      <c r="A3388" t="s">
        <v>6284</v>
      </c>
      <c r="B3388">
        <v>826</v>
      </c>
      <c r="C3388" t="s">
        <v>6285</v>
      </c>
      <c r="F3388" s="1" t="str">
        <f t="shared" si="133"/>
        <v/>
      </c>
      <c r="G3388" s="3"/>
      <c r="H3388" s="1" t="str">
        <f t="shared" si="134"/>
        <v/>
      </c>
    </row>
    <row r="3389" spans="1:8" hidden="1" x14ac:dyDescent="0.25">
      <c r="A3389" t="s">
        <v>6286</v>
      </c>
      <c r="B3389">
        <v>105</v>
      </c>
      <c r="C3389" t="s">
        <v>6287</v>
      </c>
      <c r="F3389" s="1" t="str">
        <f t="shared" si="133"/>
        <v/>
      </c>
      <c r="G3389" s="3"/>
      <c r="H3389" s="1" t="str">
        <f t="shared" si="134"/>
        <v/>
      </c>
    </row>
    <row r="3390" spans="1:8" hidden="1" x14ac:dyDescent="0.25">
      <c r="A3390" t="s">
        <v>6288</v>
      </c>
      <c r="B3390">
        <v>128</v>
      </c>
      <c r="C3390" t="s">
        <v>6289</v>
      </c>
      <c r="F3390" s="1" t="str">
        <f t="shared" si="133"/>
        <v/>
      </c>
      <c r="G3390" s="3"/>
      <c r="H3390" s="1" t="str">
        <f t="shared" si="134"/>
        <v/>
      </c>
    </row>
    <row r="3391" spans="1:8" hidden="1" x14ac:dyDescent="0.25">
      <c r="A3391" t="s">
        <v>6290</v>
      </c>
      <c r="B3391">
        <v>554</v>
      </c>
      <c r="C3391" t="s">
        <v>6291</v>
      </c>
      <c r="F3391" s="1" t="str">
        <f t="shared" si="133"/>
        <v/>
      </c>
      <c r="G3391" s="3"/>
      <c r="H3391" s="1" t="str">
        <f t="shared" si="134"/>
        <v/>
      </c>
    </row>
    <row r="3392" spans="1:8" hidden="1" x14ac:dyDescent="0.25">
      <c r="A3392" t="s">
        <v>6292</v>
      </c>
      <c r="B3392">
        <v>166</v>
      </c>
      <c r="C3392" t="s">
        <v>6293</v>
      </c>
      <c r="F3392" s="1" t="str">
        <f t="shared" si="133"/>
        <v/>
      </c>
      <c r="G3392" s="3"/>
      <c r="H3392" s="1" t="str">
        <f t="shared" si="134"/>
        <v/>
      </c>
    </row>
    <row r="3393" spans="1:8" hidden="1" x14ac:dyDescent="0.25">
      <c r="A3393" t="s">
        <v>6295</v>
      </c>
      <c r="B3393">
        <v>419</v>
      </c>
      <c r="C3393" t="s">
        <v>6296</v>
      </c>
      <c r="F3393" s="1" t="str">
        <f t="shared" si="133"/>
        <v/>
      </c>
      <c r="G3393" s="3"/>
      <c r="H3393" s="1" t="str">
        <f t="shared" si="134"/>
        <v/>
      </c>
    </row>
    <row r="3394" spans="1:8" hidden="1" x14ac:dyDescent="0.25">
      <c r="A3394" t="s">
        <v>6297</v>
      </c>
      <c r="B3394">
        <v>61</v>
      </c>
      <c r="C3394" t="s">
        <v>6298</v>
      </c>
      <c r="F3394" s="1" t="str">
        <f t="shared" ref="F3394:F3457" si="135">IF(E3394&lt;&gt;"", HYPERLINK("https://www.kegg.jp/dbget-bin/www_bget?ec:" &amp; E3394, "https://www.kegg.jp/dbget-bin/www_bget?ec:" &amp; E3394), "")</f>
        <v/>
      </c>
      <c r="G3394" s="3"/>
      <c r="H3394" s="1" t="str">
        <f t="shared" si="134"/>
        <v/>
      </c>
    </row>
    <row r="3395" spans="1:8" hidden="1" x14ac:dyDescent="0.25">
      <c r="A3395" t="s">
        <v>6299</v>
      </c>
      <c r="B3395">
        <v>112</v>
      </c>
      <c r="C3395" t="s">
        <v>6300</v>
      </c>
      <c r="F3395" s="1" t="str">
        <f t="shared" si="135"/>
        <v/>
      </c>
      <c r="G3395" s="3"/>
      <c r="H3395" s="1" t="str">
        <f t="shared" si="134"/>
        <v/>
      </c>
    </row>
    <row r="3396" spans="1:8" hidden="1" x14ac:dyDescent="0.25">
      <c r="A3396" t="s">
        <v>6301</v>
      </c>
      <c r="B3396">
        <v>74</v>
      </c>
      <c r="C3396" t="s">
        <v>6302</v>
      </c>
      <c r="F3396" s="1" t="str">
        <f t="shared" si="135"/>
        <v/>
      </c>
      <c r="G3396" s="3"/>
      <c r="H3396" s="1" t="str">
        <f t="shared" si="134"/>
        <v/>
      </c>
    </row>
    <row r="3397" spans="1:8" hidden="1" x14ac:dyDescent="0.25">
      <c r="A3397" t="s">
        <v>6303</v>
      </c>
      <c r="B3397">
        <v>161</v>
      </c>
      <c r="C3397" t="s">
        <v>6304</v>
      </c>
      <c r="F3397" s="1" t="str">
        <f t="shared" si="135"/>
        <v/>
      </c>
      <c r="G3397" s="3"/>
      <c r="H3397" s="1" t="str">
        <f t="shared" si="134"/>
        <v/>
      </c>
    </row>
    <row r="3398" spans="1:8" hidden="1" x14ac:dyDescent="0.25">
      <c r="A3398" t="s">
        <v>6305</v>
      </c>
      <c r="B3398">
        <v>288</v>
      </c>
      <c r="C3398" t="s">
        <v>6306</v>
      </c>
      <c r="F3398" s="1" t="str">
        <f t="shared" si="135"/>
        <v/>
      </c>
      <c r="G3398" s="3"/>
      <c r="H3398" s="1" t="str">
        <f t="shared" si="134"/>
        <v/>
      </c>
    </row>
    <row r="3399" spans="1:8" hidden="1" x14ac:dyDescent="0.25">
      <c r="A3399" t="s">
        <v>6307</v>
      </c>
      <c r="B3399">
        <v>304</v>
      </c>
      <c r="C3399" t="s">
        <v>6308</v>
      </c>
      <c r="F3399" s="1" t="str">
        <f t="shared" si="135"/>
        <v/>
      </c>
      <c r="G3399" s="3"/>
      <c r="H3399" s="1" t="str">
        <f t="shared" si="134"/>
        <v/>
      </c>
    </row>
    <row r="3400" spans="1:8" hidden="1" x14ac:dyDescent="0.25">
      <c r="A3400" t="s">
        <v>6310</v>
      </c>
      <c r="B3400">
        <v>308</v>
      </c>
      <c r="C3400" t="s">
        <v>6311</v>
      </c>
      <c r="F3400" s="1" t="str">
        <f t="shared" si="135"/>
        <v/>
      </c>
      <c r="G3400" s="3"/>
      <c r="H3400" s="1" t="str">
        <f t="shared" si="134"/>
        <v/>
      </c>
    </row>
    <row r="3401" spans="1:8" hidden="1" x14ac:dyDescent="0.25">
      <c r="A3401" t="s">
        <v>6312</v>
      </c>
      <c r="B3401">
        <v>129</v>
      </c>
      <c r="C3401" t="s">
        <v>6313</v>
      </c>
      <c r="F3401" s="1" t="str">
        <f t="shared" si="135"/>
        <v/>
      </c>
      <c r="G3401" s="3"/>
      <c r="H3401" s="1" t="str">
        <f t="shared" si="134"/>
        <v/>
      </c>
    </row>
    <row r="3402" spans="1:8" hidden="1" x14ac:dyDescent="0.25">
      <c r="A3402" t="s">
        <v>6314</v>
      </c>
      <c r="B3402">
        <v>770</v>
      </c>
      <c r="C3402" t="s">
        <v>6315</v>
      </c>
      <c r="F3402" s="1" t="str">
        <f t="shared" si="135"/>
        <v/>
      </c>
      <c r="G3402" s="3"/>
      <c r="H3402" s="1" t="str">
        <f t="shared" si="134"/>
        <v/>
      </c>
    </row>
    <row r="3403" spans="1:8" hidden="1" x14ac:dyDescent="0.25">
      <c r="A3403" t="s">
        <v>6316</v>
      </c>
      <c r="B3403">
        <v>127</v>
      </c>
      <c r="C3403" t="s">
        <v>6317</v>
      </c>
      <c r="F3403" s="1" t="str">
        <f t="shared" si="135"/>
        <v/>
      </c>
      <c r="G3403" s="3"/>
      <c r="H3403" s="1" t="str">
        <f t="shared" si="134"/>
        <v/>
      </c>
    </row>
    <row r="3404" spans="1:8" hidden="1" x14ac:dyDescent="0.25">
      <c r="A3404" t="s">
        <v>6318</v>
      </c>
      <c r="B3404">
        <v>202</v>
      </c>
      <c r="C3404" t="s">
        <v>6319</v>
      </c>
      <c r="F3404" s="1" t="str">
        <f t="shared" si="135"/>
        <v/>
      </c>
      <c r="G3404" s="3"/>
      <c r="H3404" s="1" t="str">
        <f t="shared" si="134"/>
        <v/>
      </c>
    </row>
    <row r="3405" spans="1:8" hidden="1" x14ac:dyDescent="0.25">
      <c r="A3405" t="s">
        <v>6320</v>
      </c>
      <c r="B3405">
        <v>366</v>
      </c>
      <c r="C3405" t="s">
        <v>6321</v>
      </c>
      <c r="F3405" s="1" t="str">
        <f t="shared" si="135"/>
        <v/>
      </c>
      <c r="G3405" s="3"/>
      <c r="H3405" s="1" t="str">
        <f t="shared" si="134"/>
        <v/>
      </c>
    </row>
    <row r="3406" spans="1:8" hidden="1" x14ac:dyDescent="0.25">
      <c r="A3406" t="s">
        <v>6322</v>
      </c>
      <c r="B3406">
        <v>197</v>
      </c>
      <c r="C3406" t="s">
        <v>6323</v>
      </c>
      <c r="F3406" s="1" t="str">
        <f t="shared" si="135"/>
        <v/>
      </c>
      <c r="G3406" s="3"/>
      <c r="H3406" s="1" t="str">
        <f t="shared" si="134"/>
        <v/>
      </c>
    </row>
    <row r="3407" spans="1:8" hidden="1" x14ac:dyDescent="0.25">
      <c r="A3407" t="s">
        <v>6324</v>
      </c>
      <c r="B3407">
        <v>154</v>
      </c>
      <c r="C3407" t="s">
        <v>6325</v>
      </c>
      <c r="F3407" s="1" t="str">
        <f t="shared" si="135"/>
        <v/>
      </c>
      <c r="G3407" s="3"/>
      <c r="H3407" s="1" t="str">
        <f t="shared" si="134"/>
        <v/>
      </c>
    </row>
    <row r="3408" spans="1:8" hidden="1" x14ac:dyDescent="0.25">
      <c r="A3408" t="s">
        <v>6326</v>
      </c>
      <c r="B3408">
        <v>96</v>
      </c>
      <c r="C3408" t="s">
        <v>6327</v>
      </c>
      <c r="F3408" s="1" t="str">
        <f t="shared" si="135"/>
        <v/>
      </c>
      <c r="G3408" s="3"/>
      <c r="H3408" s="1" t="str">
        <f t="shared" si="134"/>
        <v/>
      </c>
    </row>
    <row r="3409" spans="1:10" hidden="1" x14ac:dyDescent="0.25">
      <c r="A3409" t="s">
        <v>6329</v>
      </c>
      <c r="B3409">
        <v>220</v>
      </c>
      <c r="C3409" t="s">
        <v>6330</v>
      </c>
      <c r="F3409" s="1" t="str">
        <f t="shared" si="135"/>
        <v/>
      </c>
      <c r="G3409" s="3"/>
      <c r="H3409" s="1" t="str">
        <f t="shared" si="134"/>
        <v/>
      </c>
    </row>
    <row r="3410" spans="1:10" x14ac:dyDescent="0.25">
      <c r="A3410" t="s">
        <v>6332</v>
      </c>
      <c r="B3410">
        <v>1214</v>
      </c>
      <c r="C3410" t="s">
        <v>6333</v>
      </c>
      <c r="E3410" s="5" t="s">
        <v>6781</v>
      </c>
      <c r="F3410" s="1" t="str">
        <f t="shared" si="135"/>
        <v>https://www.kegg.jp/dbget-bin/www_bget?ec:2.1.1.72</v>
      </c>
      <c r="G3410" s="3" t="s">
        <v>7173</v>
      </c>
      <c r="H3410" s="1" t="str">
        <f t="shared" si="134"/>
        <v>https://www.kegg.jp/entry/R02961</v>
      </c>
      <c r="I3410" t="s">
        <v>8226</v>
      </c>
      <c r="J3410" t="s">
        <v>8502</v>
      </c>
    </row>
    <row r="3411" spans="1:10" hidden="1" x14ac:dyDescent="0.25">
      <c r="A3411" t="s">
        <v>6334</v>
      </c>
      <c r="B3411">
        <v>292</v>
      </c>
      <c r="C3411" t="s">
        <v>6335</v>
      </c>
      <c r="F3411" s="1" t="str">
        <f t="shared" si="135"/>
        <v/>
      </c>
      <c r="G3411" s="3"/>
      <c r="H3411" s="1" t="str">
        <f t="shared" si="134"/>
        <v/>
      </c>
    </row>
    <row r="3412" spans="1:10" hidden="1" x14ac:dyDescent="0.25">
      <c r="A3412" t="s">
        <v>6336</v>
      </c>
      <c r="B3412">
        <v>321</v>
      </c>
      <c r="C3412" t="s">
        <v>6337</v>
      </c>
      <c r="F3412" s="1" t="str">
        <f t="shared" si="135"/>
        <v/>
      </c>
      <c r="G3412" s="3"/>
      <c r="H3412" s="1" t="str">
        <f t="shared" si="134"/>
        <v/>
      </c>
    </row>
    <row r="3413" spans="1:10" hidden="1" x14ac:dyDescent="0.25">
      <c r="A3413" t="s">
        <v>6338</v>
      </c>
      <c r="B3413">
        <v>318</v>
      </c>
      <c r="C3413" t="s">
        <v>6339</v>
      </c>
      <c r="F3413" s="1" t="str">
        <f t="shared" si="135"/>
        <v/>
      </c>
      <c r="G3413" s="3"/>
      <c r="H3413" s="1" t="str">
        <f t="shared" si="134"/>
        <v/>
      </c>
    </row>
    <row r="3414" spans="1:10" hidden="1" x14ac:dyDescent="0.25">
      <c r="A3414" t="s">
        <v>6341</v>
      </c>
      <c r="B3414">
        <v>624</v>
      </c>
      <c r="C3414" t="s">
        <v>6342</v>
      </c>
      <c r="F3414" s="1" t="str">
        <f t="shared" si="135"/>
        <v/>
      </c>
      <c r="G3414" s="3"/>
      <c r="H3414" s="1" t="str">
        <f t="shared" si="134"/>
        <v/>
      </c>
    </row>
    <row r="3415" spans="1:10" hidden="1" x14ac:dyDescent="0.25">
      <c r="A3415" t="s">
        <v>6343</v>
      </c>
      <c r="B3415">
        <v>124</v>
      </c>
      <c r="C3415" t="s">
        <v>6344</v>
      </c>
      <c r="F3415" s="1" t="str">
        <f t="shared" si="135"/>
        <v/>
      </c>
      <c r="G3415" s="3"/>
      <c r="H3415" s="1" t="str">
        <f t="shared" si="134"/>
        <v/>
      </c>
    </row>
    <row r="3416" spans="1:10" hidden="1" x14ac:dyDescent="0.25">
      <c r="A3416" t="s">
        <v>6345</v>
      </c>
      <c r="B3416">
        <v>130</v>
      </c>
      <c r="C3416" t="s">
        <v>6346</v>
      </c>
      <c r="F3416" s="1" t="str">
        <f t="shared" si="135"/>
        <v/>
      </c>
      <c r="G3416" s="3"/>
      <c r="H3416" s="1" t="str">
        <f t="shared" si="134"/>
        <v/>
      </c>
    </row>
    <row r="3417" spans="1:10" hidden="1" x14ac:dyDescent="0.25">
      <c r="A3417" t="s">
        <v>6347</v>
      </c>
      <c r="B3417">
        <v>65</v>
      </c>
      <c r="C3417" t="s">
        <v>6348</v>
      </c>
      <c r="F3417" s="1" t="str">
        <f t="shared" si="135"/>
        <v/>
      </c>
      <c r="G3417" s="3"/>
      <c r="H3417" s="1" t="str">
        <f t="shared" si="134"/>
        <v/>
      </c>
    </row>
    <row r="3418" spans="1:10" hidden="1" x14ac:dyDescent="0.25">
      <c r="A3418" t="s">
        <v>6349</v>
      </c>
      <c r="B3418">
        <v>253</v>
      </c>
      <c r="C3418" t="s">
        <v>6350</v>
      </c>
      <c r="F3418" s="1" t="str">
        <f t="shared" si="135"/>
        <v/>
      </c>
      <c r="G3418" s="3"/>
      <c r="H3418" s="1" t="str">
        <f t="shared" si="134"/>
        <v/>
      </c>
    </row>
    <row r="3419" spans="1:10" hidden="1" x14ac:dyDescent="0.25">
      <c r="A3419" t="s">
        <v>6351</v>
      </c>
      <c r="B3419">
        <v>619</v>
      </c>
      <c r="C3419" t="s">
        <v>6352</v>
      </c>
      <c r="F3419" s="1" t="str">
        <f t="shared" si="135"/>
        <v/>
      </c>
      <c r="G3419" s="3"/>
      <c r="H3419" s="1" t="str">
        <f t="shared" si="134"/>
        <v/>
      </c>
    </row>
    <row r="3420" spans="1:10" hidden="1" x14ac:dyDescent="0.25">
      <c r="A3420" t="s">
        <v>6353</v>
      </c>
      <c r="B3420">
        <v>618</v>
      </c>
      <c r="C3420" t="s">
        <v>6354</v>
      </c>
      <c r="F3420" s="1" t="str">
        <f t="shared" si="135"/>
        <v/>
      </c>
      <c r="G3420" s="3"/>
      <c r="H3420" s="1" t="str">
        <f t="shared" si="134"/>
        <v/>
      </c>
    </row>
    <row r="3421" spans="1:10" hidden="1" x14ac:dyDescent="0.25">
      <c r="A3421" t="s">
        <v>6355</v>
      </c>
      <c r="B3421">
        <v>395</v>
      </c>
      <c r="C3421" t="s">
        <v>6356</v>
      </c>
      <c r="F3421" s="1" t="str">
        <f t="shared" si="135"/>
        <v/>
      </c>
      <c r="G3421" s="3"/>
      <c r="H3421" s="1" t="str">
        <f t="shared" si="134"/>
        <v/>
      </c>
    </row>
    <row r="3422" spans="1:10" hidden="1" x14ac:dyDescent="0.25">
      <c r="A3422" t="s">
        <v>6357</v>
      </c>
      <c r="B3422">
        <v>98</v>
      </c>
      <c r="C3422" t="s">
        <v>6358</v>
      </c>
      <c r="F3422" s="1" t="str">
        <f t="shared" si="135"/>
        <v/>
      </c>
      <c r="G3422" s="3"/>
      <c r="H3422" s="1" t="str">
        <f t="shared" si="134"/>
        <v/>
      </c>
    </row>
    <row r="3423" spans="1:10" hidden="1" x14ac:dyDescent="0.25">
      <c r="A3423" t="s">
        <v>6359</v>
      </c>
      <c r="B3423">
        <v>125</v>
      </c>
      <c r="C3423" t="s">
        <v>6360</v>
      </c>
      <c r="F3423" s="1" t="str">
        <f t="shared" si="135"/>
        <v/>
      </c>
      <c r="G3423" s="3"/>
      <c r="H3423" s="1" t="str">
        <f t="shared" si="134"/>
        <v/>
      </c>
    </row>
    <row r="3424" spans="1:10" hidden="1" x14ac:dyDescent="0.25">
      <c r="A3424" t="s">
        <v>6361</v>
      </c>
      <c r="B3424">
        <v>205</v>
      </c>
      <c r="C3424" t="s">
        <v>6362</v>
      </c>
      <c r="F3424" s="1" t="str">
        <f t="shared" si="135"/>
        <v/>
      </c>
      <c r="G3424" s="3"/>
      <c r="H3424" s="1" t="str">
        <f t="shared" si="134"/>
        <v/>
      </c>
    </row>
    <row r="3425" spans="1:8" hidden="1" x14ac:dyDescent="0.25">
      <c r="A3425" t="s">
        <v>6363</v>
      </c>
      <c r="B3425">
        <v>82</v>
      </c>
      <c r="C3425" t="s">
        <v>6364</v>
      </c>
      <c r="F3425" s="1" t="str">
        <f t="shared" si="135"/>
        <v/>
      </c>
      <c r="G3425" s="3"/>
      <c r="H3425" s="1" t="str">
        <f t="shared" si="134"/>
        <v/>
      </c>
    </row>
    <row r="3426" spans="1:8" hidden="1" x14ac:dyDescent="0.25">
      <c r="A3426" t="s">
        <v>6365</v>
      </c>
      <c r="B3426">
        <v>79</v>
      </c>
      <c r="C3426" t="s">
        <v>6366</v>
      </c>
      <c r="F3426" s="1" t="str">
        <f t="shared" si="135"/>
        <v/>
      </c>
      <c r="G3426" s="3"/>
      <c r="H3426" s="1" t="str">
        <f t="shared" si="134"/>
        <v/>
      </c>
    </row>
    <row r="3427" spans="1:8" hidden="1" x14ac:dyDescent="0.25">
      <c r="A3427" t="s">
        <v>6367</v>
      </c>
      <c r="B3427">
        <v>318</v>
      </c>
      <c r="C3427" t="s">
        <v>6368</v>
      </c>
      <c r="F3427" s="1" t="str">
        <f t="shared" si="135"/>
        <v/>
      </c>
      <c r="G3427" s="3"/>
      <c r="H3427" s="1" t="str">
        <f t="shared" si="134"/>
        <v/>
      </c>
    </row>
    <row r="3428" spans="1:8" hidden="1" x14ac:dyDescent="0.25">
      <c r="A3428" t="s">
        <v>6369</v>
      </c>
      <c r="B3428">
        <v>66</v>
      </c>
      <c r="C3428" t="s">
        <v>6370</v>
      </c>
      <c r="F3428" s="1" t="str">
        <f t="shared" si="135"/>
        <v/>
      </c>
      <c r="G3428" s="3"/>
      <c r="H3428" s="1" t="str">
        <f t="shared" si="134"/>
        <v/>
      </c>
    </row>
    <row r="3429" spans="1:8" hidden="1" x14ac:dyDescent="0.25">
      <c r="A3429" t="s">
        <v>6371</v>
      </c>
      <c r="B3429">
        <v>84</v>
      </c>
      <c r="C3429" t="s">
        <v>6372</v>
      </c>
      <c r="F3429" s="1" t="str">
        <f t="shared" si="135"/>
        <v/>
      </c>
      <c r="G3429" s="3"/>
      <c r="H3429" s="1" t="str">
        <f t="shared" si="134"/>
        <v/>
      </c>
    </row>
    <row r="3430" spans="1:8" hidden="1" x14ac:dyDescent="0.25">
      <c r="A3430" t="s">
        <v>6374</v>
      </c>
      <c r="B3430">
        <v>174</v>
      </c>
      <c r="C3430" t="s">
        <v>6375</v>
      </c>
      <c r="F3430" s="1" t="str">
        <f t="shared" si="135"/>
        <v/>
      </c>
      <c r="G3430" s="3"/>
      <c r="H3430" s="1" t="str">
        <f t="shared" si="134"/>
        <v/>
      </c>
    </row>
    <row r="3431" spans="1:8" hidden="1" x14ac:dyDescent="0.25">
      <c r="A3431" t="s">
        <v>6376</v>
      </c>
      <c r="B3431">
        <v>78</v>
      </c>
      <c r="C3431" t="s">
        <v>6377</v>
      </c>
      <c r="F3431" s="1" t="str">
        <f t="shared" si="135"/>
        <v/>
      </c>
      <c r="G3431" s="3"/>
      <c r="H3431" s="1" t="str">
        <f t="shared" si="134"/>
        <v/>
      </c>
    </row>
    <row r="3432" spans="1:8" hidden="1" x14ac:dyDescent="0.25">
      <c r="A3432" t="s">
        <v>6378</v>
      </c>
      <c r="B3432">
        <v>57</v>
      </c>
      <c r="C3432" t="s">
        <v>6379</v>
      </c>
      <c r="F3432" s="1" t="str">
        <f t="shared" si="135"/>
        <v/>
      </c>
      <c r="G3432" s="3"/>
      <c r="H3432" s="1" t="str">
        <f t="shared" si="134"/>
        <v/>
      </c>
    </row>
    <row r="3433" spans="1:8" hidden="1" x14ac:dyDescent="0.25">
      <c r="A3433" t="s">
        <v>6380</v>
      </c>
      <c r="B3433">
        <v>57</v>
      </c>
      <c r="C3433" t="s">
        <v>6381</v>
      </c>
      <c r="F3433" s="1" t="str">
        <f t="shared" si="135"/>
        <v/>
      </c>
      <c r="G3433" s="3"/>
      <c r="H3433" s="1" t="str">
        <f t="shared" si="134"/>
        <v/>
      </c>
    </row>
    <row r="3434" spans="1:8" hidden="1" x14ac:dyDescent="0.25">
      <c r="A3434" t="s">
        <v>6382</v>
      </c>
      <c r="B3434">
        <v>100</v>
      </c>
      <c r="C3434" t="s">
        <v>6383</v>
      </c>
      <c r="F3434" s="1" t="str">
        <f t="shared" si="135"/>
        <v/>
      </c>
      <c r="G3434" s="3"/>
      <c r="H3434" s="1" t="str">
        <f t="shared" si="134"/>
        <v/>
      </c>
    </row>
    <row r="3435" spans="1:8" hidden="1" x14ac:dyDescent="0.25">
      <c r="A3435" t="s">
        <v>6384</v>
      </c>
      <c r="B3435">
        <v>125</v>
      </c>
      <c r="C3435" t="s">
        <v>6385</v>
      </c>
      <c r="F3435" s="1" t="str">
        <f t="shared" si="135"/>
        <v/>
      </c>
      <c r="G3435" s="3"/>
      <c r="H3435" s="1" t="str">
        <f t="shared" ref="H3435:H3498" si="136">IF(G3435&lt;&gt;"", HYPERLINK("https://www.kegg.jp/entry/" &amp; G3435, "https://www.kegg.jp/entry/" &amp; G3435), "")</f>
        <v/>
      </c>
    </row>
    <row r="3436" spans="1:8" hidden="1" x14ac:dyDescent="0.25">
      <c r="A3436" t="s">
        <v>6386</v>
      </c>
      <c r="B3436">
        <v>92</v>
      </c>
      <c r="C3436" t="s">
        <v>6387</v>
      </c>
      <c r="F3436" s="1" t="str">
        <f t="shared" si="135"/>
        <v/>
      </c>
      <c r="G3436" s="3"/>
      <c r="H3436" s="1" t="str">
        <f t="shared" si="136"/>
        <v/>
      </c>
    </row>
    <row r="3437" spans="1:8" hidden="1" x14ac:dyDescent="0.25">
      <c r="A3437" t="s">
        <v>6388</v>
      </c>
      <c r="B3437">
        <v>102</v>
      </c>
      <c r="C3437" t="s">
        <v>6389</v>
      </c>
      <c r="F3437" s="1" t="str">
        <f t="shared" si="135"/>
        <v/>
      </c>
      <c r="G3437" s="3"/>
      <c r="H3437" s="1" t="str">
        <f t="shared" si="136"/>
        <v/>
      </c>
    </row>
    <row r="3438" spans="1:8" hidden="1" x14ac:dyDescent="0.25">
      <c r="A3438" t="s">
        <v>6390</v>
      </c>
      <c r="B3438">
        <v>125</v>
      </c>
      <c r="C3438" t="s">
        <v>6391</v>
      </c>
      <c r="F3438" s="1" t="str">
        <f t="shared" si="135"/>
        <v/>
      </c>
      <c r="G3438" s="3"/>
      <c r="H3438" s="1" t="str">
        <f t="shared" si="136"/>
        <v/>
      </c>
    </row>
    <row r="3439" spans="1:8" hidden="1" x14ac:dyDescent="0.25">
      <c r="A3439" t="s">
        <v>6392</v>
      </c>
      <c r="B3439">
        <v>150</v>
      </c>
      <c r="C3439" t="s">
        <v>6393</v>
      </c>
      <c r="F3439" s="1" t="str">
        <f t="shared" si="135"/>
        <v/>
      </c>
      <c r="G3439" s="3"/>
      <c r="H3439" s="1" t="str">
        <f t="shared" si="136"/>
        <v/>
      </c>
    </row>
    <row r="3440" spans="1:8" hidden="1" x14ac:dyDescent="0.25">
      <c r="A3440" t="s">
        <v>6394</v>
      </c>
      <c r="B3440">
        <v>83</v>
      </c>
      <c r="C3440" t="s">
        <v>6395</v>
      </c>
      <c r="F3440" s="1" t="str">
        <f t="shared" si="135"/>
        <v/>
      </c>
      <c r="G3440" s="3"/>
      <c r="H3440" s="1" t="str">
        <f t="shared" si="136"/>
        <v/>
      </c>
    </row>
    <row r="3441" spans="1:8" hidden="1" x14ac:dyDescent="0.25">
      <c r="A3441" t="s">
        <v>6396</v>
      </c>
      <c r="B3441">
        <v>106</v>
      </c>
      <c r="C3441" t="s">
        <v>6397</v>
      </c>
      <c r="F3441" s="1" t="str">
        <f t="shared" si="135"/>
        <v/>
      </c>
      <c r="G3441" s="3"/>
      <c r="H3441" s="1" t="str">
        <f t="shared" si="136"/>
        <v/>
      </c>
    </row>
    <row r="3442" spans="1:8" hidden="1" x14ac:dyDescent="0.25">
      <c r="A3442" t="s">
        <v>6398</v>
      </c>
      <c r="B3442">
        <v>60</v>
      </c>
      <c r="C3442" t="s">
        <v>6399</v>
      </c>
      <c r="F3442" s="1" t="str">
        <f t="shared" si="135"/>
        <v/>
      </c>
      <c r="G3442" s="3"/>
      <c r="H3442" s="1" t="str">
        <f t="shared" si="136"/>
        <v/>
      </c>
    </row>
    <row r="3443" spans="1:8" hidden="1" x14ac:dyDescent="0.25">
      <c r="A3443" t="s">
        <v>6401</v>
      </c>
      <c r="B3443">
        <v>680</v>
      </c>
      <c r="C3443" t="s">
        <v>6402</v>
      </c>
      <c r="F3443" s="1" t="str">
        <f t="shared" si="135"/>
        <v/>
      </c>
      <c r="G3443" s="3"/>
      <c r="H3443" s="1" t="str">
        <f t="shared" si="136"/>
        <v/>
      </c>
    </row>
    <row r="3444" spans="1:8" hidden="1" x14ac:dyDescent="0.25">
      <c r="A3444" t="s">
        <v>6403</v>
      </c>
      <c r="B3444">
        <v>157</v>
      </c>
      <c r="C3444" t="s">
        <v>6404</v>
      </c>
      <c r="F3444" s="1" t="str">
        <f t="shared" si="135"/>
        <v/>
      </c>
      <c r="G3444" s="3"/>
      <c r="H3444" s="1" t="str">
        <f t="shared" si="136"/>
        <v/>
      </c>
    </row>
    <row r="3445" spans="1:8" hidden="1" x14ac:dyDescent="0.25">
      <c r="A3445" t="s">
        <v>6405</v>
      </c>
      <c r="B3445">
        <v>245</v>
      </c>
      <c r="C3445" t="s">
        <v>6406</v>
      </c>
      <c r="F3445" s="1" t="str">
        <f t="shared" si="135"/>
        <v/>
      </c>
      <c r="G3445" s="3"/>
      <c r="H3445" s="1" t="str">
        <f t="shared" si="136"/>
        <v/>
      </c>
    </row>
    <row r="3446" spans="1:8" hidden="1" x14ac:dyDescent="0.25">
      <c r="A3446" t="s">
        <v>6407</v>
      </c>
      <c r="B3446">
        <v>110</v>
      </c>
      <c r="C3446" t="s">
        <v>6408</v>
      </c>
      <c r="F3446" s="1" t="str">
        <f t="shared" si="135"/>
        <v/>
      </c>
      <c r="G3446" s="3"/>
      <c r="H3446" s="1" t="str">
        <f t="shared" si="136"/>
        <v/>
      </c>
    </row>
    <row r="3447" spans="1:8" hidden="1" x14ac:dyDescent="0.25">
      <c r="A3447" t="s">
        <v>6409</v>
      </c>
      <c r="B3447">
        <v>361</v>
      </c>
      <c r="C3447" t="s">
        <v>6410</v>
      </c>
      <c r="F3447" s="1" t="str">
        <f t="shared" si="135"/>
        <v/>
      </c>
      <c r="G3447" s="3"/>
      <c r="H3447" s="1" t="str">
        <f t="shared" si="136"/>
        <v/>
      </c>
    </row>
    <row r="3448" spans="1:8" hidden="1" x14ac:dyDescent="0.25">
      <c r="A3448" t="s">
        <v>6411</v>
      </c>
      <c r="B3448">
        <v>67</v>
      </c>
      <c r="C3448" t="s">
        <v>6412</v>
      </c>
      <c r="F3448" s="1" t="str">
        <f t="shared" si="135"/>
        <v/>
      </c>
      <c r="G3448" s="3"/>
      <c r="H3448" s="1" t="str">
        <f t="shared" si="136"/>
        <v/>
      </c>
    </row>
    <row r="3449" spans="1:8" hidden="1" x14ac:dyDescent="0.25">
      <c r="A3449" t="s">
        <v>6413</v>
      </c>
      <c r="B3449">
        <v>137</v>
      </c>
      <c r="C3449" t="s">
        <v>6414</v>
      </c>
      <c r="F3449" s="1" t="str">
        <f t="shared" si="135"/>
        <v/>
      </c>
      <c r="G3449" s="3"/>
      <c r="H3449" s="1" t="str">
        <f t="shared" si="136"/>
        <v/>
      </c>
    </row>
    <row r="3450" spans="1:8" hidden="1" x14ac:dyDescent="0.25">
      <c r="A3450" t="s">
        <v>6415</v>
      </c>
      <c r="B3450">
        <v>110</v>
      </c>
      <c r="C3450" t="s">
        <v>6416</v>
      </c>
      <c r="F3450" s="1" t="str">
        <f t="shared" si="135"/>
        <v/>
      </c>
      <c r="G3450" s="3"/>
      <c r="H3450" s="1" t="str">
        <f t="shared" si="136"/>
        <v/>
      </c>
    </row>
    <row r="3451" spans="1:8" hidden="1" x14ac:dyDescent="0.25">
      <c r="A3451" t="s">
        <v>6417</v>
      </c>
      <c r="B3451">
        <v>114</v>
      </c>
      <c r="C3451" t="s">
        <v>6418</v>
      </c>
      <c r="F3451" s="1" t="str">
        <f t="shared" si="135"/>
        <v/>
      </c>
      <c r="G3451" s="3"/>
      <c r="H3451" s="1" t="str">
        <f t="shared" si="136"/>
        <v/>
      </c>
    </row>
    <row r="3452" spans="1:8" hidden="1" x14ac:dyDescent="0.25">
      <c r="A3452" t="s">
        <v>6419</v>
      </c>
      <c r="B3452">
        <v>66</v>
      </c>
      <c r="C3452" t="s">
        <v>6420</v>
      </c>
      <c r="F3452" s="1" t="str">
        <f t="shared" si="135"/>
        <v/>
      </c>
      <c r="G3452" s="3"/>
      <c r="H3452" s="1" t="str">
        <f t="shared" si="136"/>
        <v/>
      </c>
    </row>
    <row r="3453" spans="1:8" hidden="1" x14ac:dyDescent="0.25">
      <c r="A3453" t="s">
        <v>6421</v>
      </c>
      <c r="B3453">
        <v>123</v>
      </c>
      <c r="C3453" t="s">
        <v>6422</v>
      </c>
      <c r="F3453" s="1" t="str">
        <f t="shared" si="135"/>
        <v/>
      </c>
      <c r="G3453" s="3"/>
      <c r="H3453" s="1" t="str">
        <f t="shared" si="136"/>
        <v/>
      </c>
    </row>
    <row r="3454" spans="1:8" hidden="1" x14ac:dyDescent="0.25">
      <c r="A3454" t="s">
        <v>6423</v>
      </c>
      <c r="B3454">
        <v>108</v>
      </c>
      <c r="C3454" t="s">
        <v>6424</v>
      </c>
      <c r="F3454" s="1" t="str">
        <f t="shared" si="135"/>
        <v/>
      </c>
      <c r="G3454" s="3"/>
      <c r="H3454" s="1" t="str">
        <f t="shared" si="136"/>
        <v/>
      </c>
    </row>
    <row r="3455" spans="1:8" hidden="1" x14ac:dyDescent="0.25">
      <c r="A3455" t="s">
        <v>6425</v>
      </c>
      <c r="B3455">
        <v>53</v>
      </c>
      <c r="C3455" t="s">
        <v>6426</v>
      </c>
      <c r="F3455" s="1" t="str">
        <f t="shared" si="135"/>
        <v/>
      </c>
      <c r="G3455" s="3"/>
      <c r="H3455" s="1" t="str">
        <f t="shared" si="136"/>
        <v/>
      </c>
    </row>
    <row r="3456" spans="1:8" hidden="1" x14ac:dyDescent="0.25">
      <c r="A3456" t="s">
        <v>6427</v>
      </c>
      <c r="B3456">
        <v>80</v>
      </c>
      <c r="C3456" t="s">
        <v>6428</v>
      </c>
      <c r="F3456" s="1" t="str">
        <f t="shared" si="135"/>
        <v/>
      </c>
      <c r="G3456" s="3"/>
      <c r="H3456" s="1" t="str">
        <f t="shared" si="136"/>
        <v/>
      </c>
    </row>
    <row r="3457" spans="1:8" hidden="1" x14ac:dyDescent="0.25">
      <c r="A3457" t="s">
        <v>6429</v>
      </c>
      <c r="B3457">
        <v>76</v>
      </c>
      <c r="C3457" t="s">
        <v>6430</v>
      </c>
      <c r="F3457" s="1" t="str">
        <f t="shared" si="135"/>
        <v/>
      </c>
      <c r="G3457" s="3"/>
      <c r="H3457" s="1" t="str">
        <f t="shared" si="136"/>
        <v/>
      </c>
    </row>
    <row r="3458" spans="1:8" hidden="1" x14ac:dyDescent="0.25">
      <c r="A3458" t="s">
        <v>6431</v>
      </c>
      <c r="B3458">
        <v>327</v>
      </c>
      <c r="C3458" t="s">
        <v>6432</v>
      </c>
      <c r="F3458" s="1" t="str">
        <f t="shared" ref="F3458:F3483" si="137">IF(E3458&lt;&gt;"", HYPERLINK("https://www.kegg.jp/dbget-bin/www_bget?ec:" &amp; E3458, "https://www.kegg.jp/dbget-bin/www_bget?ec:" &amp; E3458), "")</f>
        <v/>
      </c>
      <c r="G3458" s="3"/>
      <c r="H3458" s="1" t="str">
        <f t="shared" si="136"/>
        <v/>
      </c>
    </row>
    <row r="3459" spans="1:8" hidden="1" x14ac:dyDescent="0.25">
      <c r="A3459" t="s">
        <v>6434</v>
      </c>
      <c r="B3459">
        <v>251</v>
      </c>
      <c r="C3459" t="s">
        <v>6435</v>
      </c>
      <c r="F3459" s="1" t="str">
        <f t="shared" si="137"/>
        <v/>
      </c>
      <c r="G3459" s="3"/>
      <c r="H3459" s="1" t="str">
        <f t="shared" si="136"/>
        <v/>
      </c>
    </row>
    <row r="3460" spans="1:8" hidden="1" x14ac:dyDescent="0.25">
      <c r="A3460" t="s">
        <v>6436</v>
      </c>
      <c r="B3460">
        <v>107</v>
      </c>
      <c r="C3460" t="s">
        <v>6437</v>
      </c>
      <c r="F3460" s="1" t="str">
        <f t="shared" si="137"/>
        <v/>
      </c>
      <c r="G3460" s="3"/>
      <c r="H3460" s="1" t="str">
        <f t="shared" si="136"/>
        <v/>
      </c>
    </row>
    <row r="3461" spans="1:8" hidden="1" x14ac:dyDescent="0.25">
      <c r="A3461" t="s">
        <v>6441</v>
      </c>
      <c r="B3461">
        <v>350</v>
      </c>
      <c r="C3461" t="s">
        <v>6442</v>
      </c>
      <c r="F3461" s="1" t="str">
        <f t="shared" si="137"/>
        <v/>
      </c>
      <c r="G3461" s="3"/>
      <c r="H3461" s="1" t="str">
        <f t="shared" si="136"/>
        <v/>
      </c>
    </row>
    <row r="3462" spans="1:8" hidden="1" x14ac:dyDescent="0.25">
      <c r="A3462" t="s">
        <v>6443</v>
      </c>
      <c r="B3462">
        <v>1024</v>
      </c>
      <c r="C3462" t="s">
        <v>6444</v>
      </c>
      <c r="F3462" s="1" t="str">
        <f t="shared" si="137"/>
        <v/>
      </c>
      <c r="G3462" s="3"/>
      <c r="H3462" s="1" t="str">
        <f t="shared" si="136"/>
        <v/>
      </c>
    </row>
    <row r="3463" spans="1:8" hidden="1" x14ac:dyDescent="0.25">
      <c r="A3463" t="s">
        <v>6445</v>
      </c>
      <c r="B3463">
        <v>112</v>
      </c>
      <c r="C3463" t="s">
        <v>6446</v>
      </c>
      <c r="F3463" s="1" t="str">
        <f t="shared" si="137"/>
        <v/>
      </c>
      <c r="G3463" s="3"/>
      <c r="H3463" s="1" t="str">
        <f t="shared" si="136"/>
        <v/>
      </c>
    </row>
    <row r="3464" spans="1:8" hidden="1" x14ac:dyDescent="0.25">
      <c r="A3464" t="s">
        <v>6447</v>
      </c>
      <c r="B3464">
        <v>154</v>
      </c>
      <c r="C3464" t="s">
        <v>6448</v>
      </c>
      <c r="F3464" s="1" t="str">
        <f t="shared" si="137"/>
        <v/>
      </c>
      <c r="G3464" s="3"/>
      <c r="H3464" s="1" t="str">
        <f t="shared" si="136"/>
        <v/>
      </c>
    </row>
    <row r="3465" spans="1:8" hidden="1" x14ac:dyDescent="0.25">
      <c r="A3465" t="s">
        <v>6449</v>
      </c>
      <c r="B3465">
        <v>194</v>
      </c>
      <c r="C3465" t="s">
        <v>6450</v>
      </c>
      <c r="F3465" s="1" t="str">
        <f t="shared" si="137"/>
        <v/>
      </c>
      <c r="G3465" s="3"/>
      <c r="H3465" s="1" t="str">
        <f t="shared" si="136"/>
        <v/>
      </c>
    </row>
    <row r="3466" spans="1:8" hidden="1" x14ac:dyDescent="0.25">
      <c r="A3466" t="s">
        <v>6451</v>
      </c>
      <c r="B3466">
        <v>361</v>
      </c>
      <c r="C3466" t="s">
        <v>6452</v>
      </c>
      <c r="F3466" s="1" t="str">
        <f t="shared" si="137"/>
        <v/>
      </c>
      <c r="G3466" s="3"/>
      <c r="H3466" s="1" t="str">
        <f t="shared" si="136"/>
        <v/>
      </c>
    </row>
    <row r="3467" spans="1:8" hidden="1" x14ac:dyDescent="0.25">
      <c r="A3467" t="s">
        <v>6453</v>
      </c>
      <c r="B3467">
        <v>73</v>
      </c>
      <c r="C3467" t="s">
        <v>6454</v>
      </c>
      <c r="F3467" s="1" t="str">
        <f t="shared" si="137"/>
        <v/>
      </c>
      <c r="G3467" s="3"/>
      <c r="H3467" s="1" t="str">
        <f t="shared" si="136"/>
        <v/>
      </c>
    </row>
    <row r="3468" spans="1:8" hidden="1" x14ac:dyDescent="0.25">
      <c r="A3468" t="s">
        <v>6455</v>
      </c>
      <c r="B3468">
        <v>213</v>
      </c>
      <c r="C3468" t="s">
        <v>6456</v>
      </c>
      <c r="F3468" s="1" t="str">
        <f t="shared" si="137"/>
        <v/>
      </c>
      <c r="G3468" s="3"/>
      <c r="H3468" s="1" t="str">
        <f t="shared" si="136"/>
        <v/>
      </c>
    </row>
    <row r="3469" spans="1:8" hidden="1" x14ac:dyDescent="0.25">
      <c r="A3469" t="s">
        <v>6457</v>
      </c>
      <c r="B3469">
        <v>416</v>
      </c>
      <c r="C3469" t="s">
        <v>6458</v>
      </c>
      <c r="F3469" s="1" t="str">
        <f t="shared" si="137"/>
        <v/>
      </c>
      <c r="G3469" s="3"/>
      <c r="H3469" s="1" t="str">
        <f t="shared" si="136"/>
        <v/>
      </c>
    </row>
    <row r="3470" spans="1:8" hidden="1" x14ac:dyDescent="0.25">
      <c r="A3470" t="s">
        <v>6459</v>
      </c>
      <c r="B3470">
        <v>86</v>
      </c>
      <c r="C3470" t="s">
        <v>6460</v>
      </c>
      <c r="F3470" s="1" t="str">
        <f t="shared" si="137"/>
        <v/>
      </c>
      <c r="G3470" s="3"/>
      <c r="H3470" s="1" t="str">
        <f t="shared" si="136"/>
        <v/>
      </c>
    </row>
    <row r="3471" spans="1:8" hidden="1" x14ac:dyDescent="0.25">
      <c r="A3471" t="s">
        <v>6461</v>
      </c>
      <c r="B3471">
        <v>89</v>
      </c>
      <c r="C3471" t="s">
        <v>6462</v>
      </c>
      <c r="F3471" s="1" t="str">
        <f t="shared" si="137"/>
        <v/>
      </c>
      <c r="G3471" s="3"/>
      <c r="H3471" s="1" t="str">
        <f t="shared" si="136"/>
        <v/>
      </c>
    </row>
    <row r="3472" spans="1:8" hidden="1" x14ac:dyDescent="0.25">
      <c r="A3472" t="s">
        <v>6463</v>
      </c>
      <c r="B3472">
        <v>82</v>
      </c>
      <c r="C3472" t="s">
        <v>6464</v>
      </c>
      <c r="F3472" s="1" t="str">
        <f t="shared" si="137"/>
        <v/>
      </c>
      <c r="G3472" s="3"/>
      <c r="H3472" s="1" t="str">
        <f t="shared" si="136"/>
        <v/>
      </c>
    </row>
    <row r="3473" spans="1:8" hidden="1" x14ac:dyDescent="0.25">
      <c r="A3473" t="s">
        <v>6465</v>
      </c>
      <c r="B3473">
        <v>219</v>
      </c>
      <c r="C3473" t="s">
        <v>6466</v>
      </c>
      <c r="F3473" s="1" t="str">
        <f t="shared" si="137"/>
        <v/>
      </c>
      <c r="G3473" s="3"/>
      <c r="H3473" s="1" t="str">
        <f t="shared" si="136"/>
        <v/>
      </c>
    </row>
    <row r="3474" spans="1:8" hidden="1" x14ac:dyDescent="0.25">
      <c r="A3474" t="s">
        <v>6467</v>
      </c>
      <c r="B3474">
        <v>87</v>
      </c>
      <c r="C3474" t="s">
        <v>6468</v>
      </c>
      <c r="F3474" s="1" t="str">
        <f t="shared" si="137"/>
        <v/>
      </c>
      <c r="G3474" s="3"/>
      <c r="H3474" s="1" t="str">
        <f t="shared" si="136"/>
        <v/>
      </c>
    </row>
    <row r="3475" spans="1:8" hidden="1" x14ac:dyDescent="0.25">
      <c r="A3475" t="s">
        <v>6470</v>
      </c>
      <c r="B3475">
        <v>138</v>
      </c>
      <c r="C3475" t="s">
        <v>6471</v>
      </c>
      <c r="F3475" s="1" t="str">
        <f t="shared" si="137"/>
        <v/>
      </c>
      <c r="G3475" s="3"/>
      <c r="H3475" s="1" t="str">
        <f t="shared" si="136"/>
        <v/>
      </c>
    </row>
    <row r="3476" spans="1:8" hidden="1" x14ac:dyDescent="0.25">
      <c r="A3476" t="s">
        <v>6473</v>
      </c>
      <c r="B3476">
        <v>49</v>
      </c>
      <c r="C3476" t="s">
        <v>6474</v>
      </c>
      <c r="F3476" s="1" t="str">
        <f t="shared" si="137"/>
        <v/>
      </c>
      <c r="G3476" s="3"/>
      <c r="H3476" s="1" t="str">
        <f t="shared" si="136"/>
        <v/>
      </c>
    </row>
    <row r="3477" spans="1:8" hidden="1" x14ac:dyDescent="0.25">
      <c r="A3477" t="s">
        <v>6476</v>
      </c>
      <c r="B3477">
        <v>1684</v>
      </c>
      <c r="C3477" t="s">
        <v>6477</v>
      </c>
      <c r="F3477" s="1" t="str">
        <f t="shared" si="137"/>
        <v/>
      </c>
      <c r="G3477" s="3"/>
      <c r="H3477" s="1" t="str">
        <f t="shared" si="136"/>
        <v/>
      </c>
    </row>
    <row r="3478" spans="1:8" hidden="1" x14ac:dyDescent="0.25">
      <c r="A3478" t="s">
        <v>6478</v>
      </c>
      <c r="B3478">
        <v>323</v>
      </c>
      <c r="C3478" t="s">
        <v>6479</v>
      </c>
      <c r="F3478" s="1" t="str">
        <f t="shared" si="137"/>
        <v/>
      </c>
      <c r="G3478" s="3"/>
      <c r="H3478" s="1" t="str">
        <f t="shared" si="136"/>
        <v/>
      </c>
    </row>
    <row r="3479" spans="1:8" hidden="1" x14ac:dyDescent="0.25">
      <c r="A3479" t="s">
        <v>6480</v>
      </c>
      <c r="B3479">
        <v>157</v>
      </c>
      <c r="C3479" t="s">
        <v>6481</v>
      </c>
      <c r="F3479" s="1" t="str">
        <f t="shared" si="137"/>
        <v/>
      </c>
      <c r="G3479" s="3"/>
      <c r="H3479" s="1" t="str">
        <f t="shared" si="136"/>
        <v/>
      </c>
    </row>
    <row r="3480" spans="1:8" hidden="1" x14ac:dyDescent="0.25">
      <c r="A3480" t="s">
        <v>6482</v>
      </c>
      <c r="B3480">
        <v>502</v>
      </c>
      <c r="C3480" t="s">
        <v>6483</v>
      </c>
      <c r="F3480" s="1" t="str">
        <f t="shared" si="137"/>
        <v/>
      </c>
      <c r="G3480" s="3"/>
      <c r="H3480" s="1" t="str">
        <f t="shared" si="136"/>
        <v/>
      </c>
    </row>
    <row r="3481" spans="1:8" hidden="1" x14ac:dyDescent="0.25">
      <c r="A3481" t="s">
        <v>6484</v>
      </c>
      <c r="B3481">
        <v>231</v>
      </c>
      <c r="C3481" t="s">
        <v>6485</v>
      </c>
      <c r="F3481" s="1" t="str">
        <f t="shared" si="137"/>
        <v/>
      </c>
      <c r="G3481" s="3"/>
      <c r="H3481" s="1" t="str">
        <f t="shared" si="136"/>
        <v/>
      </c>
    </row>
    <row r="3482" spans="1:8" hidden="1" x14ac:dyDescent="0.25">
      <c r="A3482" t="s">
        <v>6486</v>
      </c>
      <c r="B3482">
        <v>164</v>
      </c>
      <c r="C3482" t="s">
        <v>6487</v>
      </c>
      <c r="F3482" s="1" t="str">
        <f t="shared" si="137"/>
        <v/>
      </c>
      <c r="G3482" s="3"/>
      <c r="H3482" s="1" t="str">
        <f t="shared" si="136"/>
        <v/>
      </c>
    </row>
    <row r="3483" spans="1:8" hidden="1" x14ac:dyDescent="0.25">
      <c r="A3483" t="s">
        <v>6489</v>
      </c>
      <c r="B3483">
        <v>210</v>
      </c>
      <c r="C3483" t="s">
        <v>6490</v>
      </c>
      <c r="F3483" s="1" t="str">
        <f t="shared" si="137"/>
        <v/>
      </c>
      <c r="G3483" s="3"/>
      <c r="H3483" s="1" t="str">
        <f t="shared" si="136"/>
        <v/>
      </c>
    </row>
    <row r="3484" spans="1:8" hidden="1" x14ac:dyDescent="0.25">
      <c r="A3484" t="s">
        <v>6491</v>
      </c>
      <c r="B3484">
        <v>402</v>
      </c>
      <c r="C3484" t="s">
        <v>6492</v>
      </c>
      <c r="F3484" s="1" t="str">
        <f t="shared" ref="F3484:F3535" si="138">IF(E3484&lt;&gt;"", HYPERLINK("https://www.kegg.jp/dbget-bin/www_bget?ec:" &amp; E3484, "https://www.kegg.jp/dbget-bin/www_bget?ec:" &amp; E3484), "")</f>
        <v/>
      </c>
      <c r="G3484" s="3"/>
      <c r="H3484" s="1" t="str">
        <f t="shared" si="136"/>
        <v/>
      </c>
    </row>
    <row r="3485" spans="1:8" hidden="1" x14ac:dyDescent="0.25">
      <c r="A3485" t="s">
        <v>6493</v>
      </c>
      <c r="B3485">
        <v>205</v>
      </c>
      <c r="C3485" t="s">
        <v>6494</v>
      </c>
      <c r="F3485" s="1" t="str">
        <f t="shared" si="138"/>
        <v/>
      </c>
      <c r="G3485" s="3"/>
      <c r="H3485" s="1" t="str">
        <f t="shared" si="136"/>
        <v/>
      </c>
    </row>
    <row r="3486" spans="1:8" hidden="1" x14ac:dyDescent="0.25">
      <c r="A3486" t="s">
        <v>6495</v>
      </c>
      <c r="B3486">
        <v>188</v>
      </c>
      <c r="C3486" t="s">
        <v>6496</v>
      </c>
      <c r="F3486" s="1" t="str">
        <f t="shared" si="138"/>
        <v/>
      </c>
      <c r="G3486" s="3"/>
      <c r="H3486" s="1" t="str">
        <f t="shared" si="136"/>
        <v/>
      </c>
    </row>
    <row r="3487" spans="1:8" hidden="1" x14ac:dyDescent="0.25">
      <c r="A3487" t="s">
        <v>6497</v>
      </c>
      <c r="B3487">
        <v>261</v>
      </c>
      <c r="C3487" t="s">
        <v>6498</v>
      </c>
      <c r="F3487" s="1" t="str">
        <f t="shared" si="138"/>
        <v/>
      </c>
      <c r="G3487" s="3"/>
      <c r="H3487" s="1" t="str">
        <f t="shared" si="136"/>
        <v/>
      </c>
    </row>
    <row r="3488" spans="1:8" hidden="1" x14ac:dyDescent="0.25">
      <c r="A3488" t="s">
        <v>6500</v>
      </c>
      <c r="B3488">
        <v>343</v>
      </c>
      <c r="C3488" t="s">
        <v>6501</v>
      </c>
      <c r="F3488" s="1" t="str">
        <f t="shared" si="138"/>
        <v/>
      </c>
      <c r="G3488" s="3"/>
      <c r="H3488" s="1" t="str">
        <f t="shared" si="136"/>
        <v/>
      </c>
    </row>
    <row r="3489" spans="1:10" hidden="1" x14ac:dyDescent="0.25">
      <c r="A3489" t="s">
        <v>6502</v>
      </c>
      <c r="B3489">
        <v>303</v>
      </c>
      <c r="C3489" t="s">
        <v>6503</v>
      </c>
      <c r="F3489" s="1" t="str">
        <f t="shared" si="138"/>
        <v/>
      </c>
      <c r="G3489" s="3"/>
      <c r="H3489" s="1" t="str">
        <f t="shared" si="136"/>
        <v/>
      </c>
    </row>
    <row r="3490" spans="1:10" hidden="1" x14ac:dyDescent="0.25">
      <c r="A3490" t="s">
        <v>6504</v>
      </c>
      <c r="B3490">
        <v>210</v>
      </c>
      <c r="C3490" t="s">
        <v>6505</v>
      </c>
      <c r="F3490" s="1" t="str">
        <f t="shared" si="138"/>
        <v/>
      </c>
      <c r="G3490" s="3"/>
      <c r="H3490" s="1" t="str">
        <f t="shared" si="136"/>
        <v/>
      </c>
    </row>
    <row r="3491" spans="1:10" hidden="1" x14ac:dyDescent="0.25">
      <c r="A3491" t="s">
        <v>6507</v>
      </c>
      <c r="B3491">
        <v>105</v>
      </c>
      <c r="C3491" t="s">
        <v>6508</v>
      </c>
      <c r="F3491" s="1" t="str">
        <f t="shared" si="138"/>
        <v/>
      </c>
      <c r="G3491" s="3"/>
      <c r="H3491" s="1" t="str">
        <f t="shared" si="136"/>
        <v/>
      </c>
    </row>
    <row r="3492" spans="1:10" hidden="1" x14ac:dyDescent="0.25">
      <c r="A3492" t="s">
        <v>6510</v>
      </c>
      <c r="B3492">
        <v>287</v>
      </c>
      <c r="C3492" t="s">
        <v>6511</v>
      </c>
      <c r="F3492" s="1" t="str">
        <f t="shared" si="138"/>
        <v/>
      </c>
      <c r="G3492" s="3"/>
      <c r="H3492" s="1" t="str">
        <f t="shared" si="136"/>
        <v/>
      </c>
    </row>
    <row r="3493" spans="1:10" x14ac:dyDescent="0.25">
      <c r="A3493" t="s">
        <v>6512</v>
      </c>
      <c r="B3493">
        <v>133</v>
      </c>
      <c r="C3493" t="s">
        <v>6513</v>
      </c>
      <c r="E3493" s="5" t="s">
        <v>6687</v>
      </c>
      <c r="F3493" s="1" t="str">
        <f t="shared" si="138"/>
        <v>https://www.kegg.jp/dbget-bin/www_bget?ec:3.1.2.20</v>
      </c>
      <c r="G3493" s="3" t="s">
        <v>7120</v>
      </c>
      <c r="H3493" s="1" t="str">
        <f t="shared" si="136"/>
        <v>https://www.kegg.jp/entry/R00383</v>
      </c>
      <c r="I3493" t="s">
        <v>12927</v>
      </c>
      <c r="J3493" t="s">
        <v>8446</v>
      </c>
    </row>
    <row r="3494" spans="1:10" x14ac:dyDescent="0.25">
      <c r="A3494" t="s">
        <v>6515</v>
      </c>
      <c r="B3494">
        <v>323</v>
      </c>
      <c r="C3494" t="s">
        <v>6516</v>
      </c>
      <c r="E3494" s="5" t="s">
        <v>6715</v>
      </c>
      <c r="F3494" s="1" t="str">
        <f t="shared" si="138"/>
        <v>https://www.kegg.jp/dbget-bin/www_bget?ec:1.17.4.1</v>
      </c>
      <c r="G3494" s="9" t="s">
        <v>7521</v>
      </c>
      <c r="H3494" s="1" t="str">
        <f t="shared" si="136"/>
        <v>https://www.kegg.jp/entry/R04294</v>
      </c>
      <c r="I3494" t="s">
        <v>12990</v>
      </c>
      <c r="J3494" t="s">
        <v>12991</v>
      </c>
    </row>
    <row r="3495" spans="1:10" x14ac:dyDescent="0.25">
      <c r="A3495" t="s">
        <v>6515</v>
      </c>
      <c r="B3495">
        <v>323</v>
      </c>
      <c r="C3495" t="s">
        <v>6516</v>
      </c>
      <c r="E3495" s="5" t="s">
        <v>6715</v>
      </c>
      <c r="F3495" s="1" t="str">
        <f t="shared" si="138"/>
        <v>https://www.kegg.jp/dbget-bin/www_bget?ec:1.17.4.1</v>
      </c>
      <c r="G3495" s="9" t="s">
        <v>7528</v>
      </c>
      <c r="H3495" s="1" t="str">
        <f t="shared" si="136"/>
        <v>https://www.kegg.jp/entry/R02017</v>
      </c>
      <c r="I3495" t="s">
        <v>12992</v>
      </c>
      <c r="J3495" t="s">
        <v>12993</v>
      </c>
    </row>
    <row r="3496" spans="1:10" x14ac:dyDescent="0.25">
      <c r="A3496" t="s">
        <v>6515</v>
      </c>
      <c r="B3496">
        <v>323</v>
      </c>
      <c r="C3496" t="s">
        <v>6516</v>
      </c>
      <c r="E3496" s="5" t="s">
        <v>6715</v>
      </c>
      <c r="F3496" s="1" t="str">
        <f t="shared" si="138"/>
        <v>https://www.kegg.jp/dbget-bin/www_bget?ec:1.17.4.1</v>
      </c>
      <c r="G3496" s="9" t="s">
        <v>7527</v>
      </c>
      <c r="H3496" s="1" t="str">
        <f t="shared" si="136"/>
        <v>https://www.kegg.jp/entry/R02018</v>
      </c>
      <c r="I3496" t="s">
        <v>12994</v>
      </c>
      <c r="J3496" t="s">
        <v>12995</v>
      </c>
    </row>
    <row r="3497" spans="1:10" x14ac:dyDescent="0.25">
      <c r="A3497" t="s">
        <v>6515</v>
      </c>
      <c r="B3497">
        <v>323</v>
      </c>
      <c r="C3497" t="s">
        <v>6516</v>
      </c>
      <c r="E3497" s="5" t="s">
        <v>6715</v>
      </c>
      <c r="F3497" s="1" t="str">
        <f t="shared" si="138"/>
        <v>https://www.kegg.jp/dbget-bin/www_bget?ec:1.17.4.1</v>
      </c>
      <c r="G3497" s="9" t="s">
        <v>7526</v>
      </c>
      <c r="H3497" s="1" t="str">
        <f t="shared" si="136"/>
        <v>https://www.kegg.jp/entry/R02019</v>
      </c>
      <c r="I3497" t="s">
        <v>12996</v>
      </c>
      <c r="J3497" t="s">
        <v>8459</v>
      </c>
    </row>
    <row r="3498" spans="1:10" x14ac:dyDescent="0.25">
      <c r="A3498" t="s">
        <v>6515</v>
      </c>
      <c r="B3498">
        <v>323</v>
      </c>
      <c r="C3498" t="s">
        <v>6516</v>
      </c>
      <c r="E3498" s="5" t="s">
        <v>6715</v>
      </c>
      <c r="F3498" s="1" t="str">
        <f t="shared" si="138"/>
        <v>https://www.kegg.jp/dbget-bin/www_bget?ec:1.17.4.1</v>
      </c>
      <c r="G3498" s="9" t="s">
        <v>7525</v>
      </c>
      <c r="H3498" s="1" t="str">
        <f t="shared" si="136"/>
        <v>https://www.kegg.jp/entry/R02024</v>
      </c>
      <c r="I3498" t="s">
        <v>12997</v>
      </c>
      <c r="J3498" t="s">
        <v>12998</v>
      </c>
    </row>
    <row r="3499" spans="1:10" x14ac:dyDescent="0.25">
      <c r="A3499" t="s">
        <v>6515</v>
      </c>
      <c r="B3499">
        <v>323</v>
      </c>
      <c r="C3499" t="s">
        <v>6516</v>
      </c>
      <c r="E3499" s="5" t="s">
        <v>6715</v>
      </c>
      <c r="F3499" s="1" t="str">
        <f t="shared" si="138"/>
        <v>https://www.kegg.jp/dbget-bin/www_bget?ec:1.17.4.1</v>
      </c>
      <c r="G3499" s="9" t="s">
        <v>7524</v>
      </c>
      <c r="H3499" s="1" t="str">
        <f t="shared" ref="H3499:H3509" si="139">IF(G3499&lt;&gt;"", HYPERLINK("https://www.kegg.jp/entry/" &amp; G3499, "https://www.kegg.jp/entry/" &amp; G3499), "")</f>
        <v>https://www.kegg.jp/entry/R08363</v>
      </c>
      <c r="I3499" t="s">
        <v>12999</v>
      </c>
      <c r="J3499" t="s">
        <v>8460</v>
      </c>
    </row>
    <row r="3500" spans="1:10" x14ac:dyDescent="0.25">
      <c r="A3500" t="s">
        <v>6515</v>
      </c>
      <c r="B3500">
        <v>323</v>
      </c>
      <c r="C3500" t="s">
        <v>6516</v>
      </c>
      <c r="E3500" s="5" t="s">
        <v>6715</v>
      </c>
      <c r="F3500" s="1" t="str">
        <f t="shared" si="138"/>
        <v>https://www.kegg.jp/dbget-bin/www_bget?ec:1.17.4.1</v>
      </c>
      <c r="G3500" s="9" t="s">
        <v>7523</v>
      </c>
      <c r="H3500" s="1" t="str">
        <f t="shared" si="139"/>
        <v>https://www.kegg.jp/entry/R08364</v>
      </c>
      <c r="I3500" t="s">
        <v>13000</v>
      </c>
      <c r="J3500" t="s">
        <v>13001</v>
      </c>
    </row>
    <row r="3501" spans="1:10" x14ac:dyDescent="0.25">
      <c r="A3501" t="s">
        <v>6515</v>
      </c>
      <c r="B3501">
        <v>323</v>
      </c>
      <c r="C3501" t="s">
        <v>6516</v>
      </c>
      <c r="E3501" s="5" t="s">
        <v>6715</v>
      </c>
      <c r="F3501" s="1" t="str">
        <f t="shared" si="138"/>
        <v>https://www.kegg.jp/dbget-bin/www_bget?ec:1.17.4.1</v>
      </c>
      <c r="G3501" s="9" t="s">
        <v>7522</v>
      </c>
      <c r="H3501" s="1" t="str">
        <f t="shared" si="139"/>
        <v>https://www.kegg.jp/entry/R11893</v>
      </c>
      <c r="I3501" t="s">
        <v>13002</v>
      </c>
      <c r="J3501" t="s">
        <v>13003</v>
      </c>
    </row>
    <row r="3502" spans="1:10" x14ac:dyDescent="0.25">
      <c r="A3502" t="s">
        <v>6518</v>
      </c>
      <c r="B3502">
        <v>557</v>
      </c>
      <c r="C3502" t="s">
        <v>6519</v>
      </c>
      <c r="E3502" s="5" t="s">
        <v>6715</v>
      </c>
      <c r="F3502" s="1" t="str">
        <f t="shared" ref="F3502:F3509" si="140">IF(E3502&lt;&gt;"", HYPERLINK("https://www.kegg.jp/dbget-bin/www_bget?ec:" &amp; E3502, "https://www.kegg.jp/dbget-bin/www_bget?ec:" &amp; E3502), "")</f>
        <v>https://www.kegg.jp/dbget-bin/www_bget?ec:1.17.4.1</v>
      </c>
      <c r="G3502" s="9" t="s">
        <v>7521</v>
      </c>
      <c r="H3502" s="1" t="str">
        <f t="shared" si="139"/>
        <v>https://www.kegg.jp/entry/R04294</v>
      </c>
      <c r="I3502" t="s">
        <v>12990</v>
      </c>
      <c r="J3502" t="s">
        <v>12991</v>
      </c>
    </row>
    <row r="3503" spans="1:10" x14ac:dyDescent="0.25">
      <c r="A3503" t="s">
        <v>6518</v>
      </c>
      <c r="B3503">
        <v>557</v>
      </c>
      <c r="C3503" t="s">
        <v>6519</v>
      </c>
      <c r="E3503" s="5" t="s">
        <v>6715</v>
      </c>
      <c r="F3503" s="1" t="str">
        <f t="shared" si="140"/>
        <v>https://www.kegg.jp/dbget-bin/www_bget?ec:1.17.4.1</v>
      </c>
      <c r="G3503" s="9" t="s">
        <v>7528</v>
      </c>
      <c r="H3503" s="1" t="str">
        <f t="shared" si="139"/>
        <v>https://www.kegg.jp/entry/R02017</v>
      </c>
      <c r="I3503" t="s">
        <v>12992</v>
      </c>
      <c r="J3503" t="s">
        <v>12993</v>
      </c>
    </row>
    <row r="3504" spans="1:10" x14ac:dyDescent="0.25">
      <c r="A3504" t="s">
        <v>6518</v>
      </c>
      <c r="B3504">
        <v>557</v>
      </c>
      <c r="C3504" t="s">
        <v>6519</v>
      </c>
      <c r="E3504" s="5" t="s">
        <v>6715</v>
      </c>
      <c r="F3504" s="1" t="str">
        <f t="shared" si="140"/>
        <v>https://www.kegg.jp/dbget-bin/www_bget?ec:1.17.4.1</v>
      </c>
      <c r="G3504" s="9" t="s">
        <v>7527</v>
      </c>
      <c r="H3504" s="1" t="str">
        <f t="shared" si="139"/>
        <v>https://www.kegg.jp/entry/R02018</v>
      </c>
      <c r="I3504" t="s">
        <v>12994</v>
      </c>
      <c r="J3504" t="s">
        <v>12995</v>
      </c>
    </row>
    <row r="3505" spans="1:10" x14ac:dyDescent="0.25">
      <c r="A3505" t="s">
        <v>6518</v>
      </c>
      <c r="B3505">
        <v>557</v>
      </c>
      <c r="C3505" t="s">
        <v>6519</v>
      </c>
      <c r="E3505" s="5" t="s">
        <v>6715</v>
      </c>
      <c r="F3505" s="1" t="str">
        <f t="shared" si="140"/>
        <v>https://www.kegg.jp/dbget-bin/www_bget?ec:1.17.4.1</v>
      </c>
      <c r="G3505" s="9" t="s">
        <v>7526</v>
      </c>
      <c r="H3505" s="1" t="str">
        <f t="shared" si="139"/>
        <v>https://www.kegg.jp/entry/R02019</v>
      </c>
      <c r="I3505" t="s">
        <v>12996</v>
      </c>
      <c r="J3505" t="s">
        <v>8459</v>
      </c>
    </row>
    <row r="3506" spans="1:10" x14ac:dyDescent="0.25">
      <c r="A3506" t="s">
        <v>6518</v>
      </c>
      <c r="B3506">
        <v>557</v>
      </c>
      <c r="C3506" t="s">
        <v>6519</v>
      </c>
      <c r="E3506" s="5" t="s">
        <v>6715</v>
      </c>
      <c r="F3506" s="1" t="str">
        <f t="shared" si="140"/>
        <v>https://www.kegg.jp/dbget-bin/www_bget?ec:1.17.4.1</v>
      </c>
      <c r="G3506" s="9" t="s">
        <v>7525</v>
      </c>
      <c r="H3506" s="1" t="str">
        <f t="shared" si="139"/>
        <v>https://www.kegg.jp/entry/R02024</v>
      </c>
      <c r="I3506" t="s">
        <v>12997</v>
      </c>
      <c r="J3506" t="s">
        <v>12998</v>
      </c>
    </row>
    <row r="3507" spans="1:10" x14ac:dyDescent="0.25">
      <c r="A3507" t="s">
        <v>6518</v>
      </c>
      <c r="B3507">
        <v>557</v>
      </c>
      <c r="C3507" t="s">
        <v>6519</v>
      </c>
      <c r="E3507" s="5" t="s">
        <v>6715</v>
      </c>
      <c r="F3507" s="1" t="str">
        <f t="shared" si="140"/>
        <v>https://www.kegg.jp/dbget-bin/www_bget?ec:1.17.4.1</v>
      </c>
      <c r="G3507" s="9" t="s">
        <v>7524</v>
      </c>
      <c r="H3507" s="1" t="str">
        <f t="shared" si="139"/>
        <v>https://www.kegg.jp/entry/R08363</v>
      </c>
      <c r="I3507" t="s">
        <v>12999</v>
      </c>
      <c r="J3507" t="s">
        <v>8460</v>
      </c>
    </row>
    <row r="3508" spans="1:10" x14ac:dyDescent="0.25">
      <c r="A3508" t="s">
        <v>6518</v>
      </c>
      <c r="B3508">
        <v>557</v>
      </c>
      <c r="C3508" t="s">
        <v>6519</v>
      </c>
      <c r="E3508" s="5" t="s">
        <v>6715</v>
      </c>
      <c r="F3508" s="1" t="str">
        <f t="shared" si="140"/>
        <v>https://www.kegg.jp/dbget-bin/www_bget?ec:1.17.4.1</v>
      </c>
      <c r="G3508" s="9" t="s">
        <v>7523</v>
      </c>
      <c r="H3508" s="1" t="str">
        <f t="shared" si="139"/>
        <v>https://www.kegg.jp/entry/R08364</v>
      </c>
      <c r="I3508" t="s">
        <v>13000</v>
      </c>
      <c r="J3508" t="s">
        <v>13001</v>
      </c>
    </row>
    <row r="3509" spans="1:10" x14ac:dyDescent="0.25">
      <c r="A3509" t="s">
        <v>6518</v>
      </c>
      <c r="B3509">
        <v>557</v>
      </c>
      <c r="C3509" t="s">
        <v>6519</v>
      </c>
      <c r="E3509" s="5" t="s">
        <v>6715</v>
      </c>
      <c r="F3509" s="1" t="str">
        <f t="shared" si="140"/>
        <v>https://www.kegg.jp/dbget-bin/www_bget?ec:1.17.4.1</v>
      </c>
      <c r="G3509" s="9" t="s">
        <v>7522</v>
      </c>
      <c r="H3509" s="1" t="str">
        <f t="shared" si="139"/>
        <v>https://www.kegg.jp/entry/R11893</v>
      </c>
      <c r="I3509" t="s">
        <v>13002</v>
      </c>
      <c r="J3509" t="s">
        <v>13003</v>
      </c>
    </row>
    <row r="3510" spans="1:10" hidden="1" x14ac:dyDescent="0.25">
      <c r="A3510" t="s">
        <v>6521</v>
      </c>
      <c r="B3510">
        <v>955</v>
      </c>
      <c r="C3510" t="s">
        <v>6522</v>
      </c>
      <c r="F3510" s="1" t="str">
        <f t="shared" si="138"/>
        <v/>
      </c>
      <c r="G3510" s="2"/>
      <c r="H3510" s="1" t="str">
        <f t="shared" ref="H3510:H3552" si="141">IF(G3510&lt;&gt;"", HYPERLINK("https://www.kegg.jp/entry/" &amp; G3510, "https://www.kegg.jp/entry/" &amp; G3510), "")</f>
        <v/>
      </c>
    </row>
    <row r="3511" spans="1:10" hidden="1" x14ac:dyDescent="0.25">
      <c r="A3511" t="s">
        <v>6523</v>
      </c>
      <c r="B3511">
        <v>542</v>
      </c>
      <c r="C3511" t="s">
        <v>6524</v>
      </c>
      <c r="F3511" s="1" t="str">
        <f t="shared" si="138"/>
        <v/>
      </c>
      <c r="G3511" s="2"/>
      <c r="H3511" s="1" t="str">
        <f t="shared" si="141"/>
        <v/>
      </c>
    </row>
    <row r="3512" spans="1:10" hidden="1" x14ac:dyDescent="0.25">
      <c r="A3512" t="s">
        <v>6525</v>
      </c>
      <c r="B3512">
        <v>459</v>
      </c>
      <c r="C3512" t="s">
        <v>6526</v>
      </c>
      <c r="F3512" s="1" t="str">
        <f t="shared" si="138"/>
        <v/>
      </c>
      <c r="G3512" s="2"/>
      <c r="H3512" s="1" t="str">
        <f t="shared" si="141"/>
        <v/>
      </c>
    </row>
    <row r="3513" spans="1:10" hidden="1" x14ac:dyDescent="0.25">
      <c r="A3513" t="s">
        <v>6527</v>
      </c>
      <c r="B3513">
        <v>50</v>
      </c>
      <c r="C3513" t="s">
        <v>6528</v>
      </c>
      <c r="F3513" s="1" t="str">
        <f t="shared" si="138"/>
        <v/>
      </c>
      <c r="G3513" s="2"/>
      <c r="H3513" s="1" t="str">
        <f t="shared" si="141"/>
        <v/>
      </c>
    </row>
    <row r="3514" spans="1:10" hidden="1" x14ac:dyDescent="0.25">
      <c r="A3514" t="s">
        <v>6529</v>
      </c>
      <c r="B3514">
        <v>74</v>
      </c>
      <c r="C3514" t="s">
        <v>6530</v>
      </c>
      <c r="F3514" s="1" t="str">
        <f t="shared" si="138"/>
        <v/>
      </c>
      <c r="G3514" s="2"/>
      <c r="H3514" s="1" t="str">
        <f t="shared" si="141"/>
        <v/>
      </c>
    </row>
    <row r="3515" spans="1:10" hidden="1" x14ac:dyDescent="0.25">
      <c r="A3515" t="s">
        <v>6531</v>
      </c>
      <c r="B3515">
        <v>137</v>
      </c>
      <c r="C3515" t="s">
        <v>6532</v>
      </c>
      <c r="F3515" s="1" t="str">
        <f t="shared" si="138"/>
        <v/>
      </c>
      <c r="G3515" s="2"/>
      <c r="H3515" s="1" t="str">
        <f t="shared" si="141"/>
        <v/>
      </c>
    </row>
    <row r="3516" spans="1:10" hidden="1" x14ac:dyDescent="0.25">
      <c r="A3516" t="s">
        <v>6533</v>
      </c>
      <c r="B3516">
        <v>63</v>
      </c>
      <c r="C3516" t="s">
        <v>6534</v>
      </c>
      <c r="F3516" s="1" t="str">
        <f t="shared" si="138"/>
        <v/>
      </c>
      <c r="G3516" s="2"/>
      <c r="H3516" s="1" t="str">
        <f t="shared" si="141"/>
        <v/>
      </c>
    </row>
    <row r="3517" spans="1:10" hidden="1" x14ac:dyDescent="0.25">
      <c r="A3517" t="s">
        <v>6535</v>
      </c>
      <c r="B3517">
        <v>80</v>
      </c>
      <c r="C3517" t="s">
        <v>6536</v>
      </c>
      <c r="F3517" s="1" t="str">
        <f t="shared" si="138"/>
        <v/>
      </c>
      <c r="G3517" s="2"/>
      <c r="H3517" s="1" t="str">
        <f t="shared" si="141"/>
        <v/>
      </c>
    </row>
    <row r="3518" spans="1:10" hidden="1" x14ac:dyDescent="0.25">
      <c r="A3518" t="s">
        <v>6537</v>
      </c>
      <c r="B3518">
        <v>495</v>
      </c>
      <c r="C3518" t="s">
        <v>6538</v>
      </c>
      <c r="F3518" s="1" t="str">
        <f t="shared" si="138"/>
        <v/>
      </c>
      <c r="G3518" s="2"/>
      <c r="H3518" s="1" t="str">
        <f t="shared" si="141"/>
        <v/>
      </c>
    </row>
    <row r="3519" spans="1:10" hidden="1" x14ac:dyDescent="0.25">
      <c r="A3519" t="s">
        <v>6540</v>
      </c>
      <c r="B3519">
        <v>99</v>
      </c>
      <c r="C3519" t="s">
        <v>6541</v>
      </c>
      <c r="F3519" s="1" t="str">
        <f t="shared" si="138"/>
        <v/>
      </c>
      <c r="G3519" s="2"/>
      <c r="H3519" s="1" t="str">
        <f t="shared" si="141"/>
        <v/>
      </c>
    </row>
    <row r="3520" spans="1:10" hidden="1" x14ac:dyDescent="0.25">
      <c r="A3520" t="s">
        <v>6542</v>
      </c>
      <c r="B3520">
        <v>77</v>
      </c>
      <c r="C3520" t="s">
        <v>6543</v>
      </c>
      <c r="F3520" s="1" t="str">
        <f t="shared" si="138"/>
        <v/>
      </c>
      <c r="G3520" s="2"/>
      <c r="H3520" s="1" t="str">
        <f t="shared" si="141"/>
        <v/>
      </c>
    </row>
    <row r="3521" spans="1:8" hidden="1" x14ac:dyDescent="0.25">
      <c r="A3521" t="s">
        <v>6544</v>
      </c>
      <c r="B3521">
        <v>111</v>
      </c>
      <c r="C3521" t="s">
        <v>6545</v>
      </c>
      <c r="F3521" s="1" t="str">
        <f t="shared" si="138"/>
        <v/>
      </c>
      <c r="G3521" s="2"/>
      <c r="H3521" s="1" t="str">
        <f t="shared" si="141"/>
        <v/>
      </c>
    </row>
    <row r="3522" spans="1:8" hidden="1" x14ac:dyDescent="0.25">
      <c r="A3522" t="s">
        <v>6546</v>
      </c>
      <c r="B3522">
        <v>116</v>
      </c>
      <c r="C3522" t="s">
        <v>6547</v>
      </c>
      <c r="F3522" s="1" t="str">
        <f t="shared" si="138"/>
        <v/>
      </c>
      <c r="G3522" s="2"/>
      <c r="H3522" s="1" t="str">
        <f t="shared" si="141"/>
        <v/>
      </c>
    </row>
    <row r="3523" spans="1:8" hidden="1" x14ac:dyDescent="0.25">
      <c r="A3523" t="s">
        <v>6548</v>
      </c>
      <c r="B3523">
        <v>200</v>
      </c>
      <c r="C3523" t="s">
        <v>6549</v>
      </c>
      <c r="F3523" s="1" t="str">
        <f t="shared" si="138"/>
        <v/>
      </c>
      <c r="G3523" s="2"/>
      <c r="H3523" s="1" t="str">
        <f t="shared" si="141"/>
        <v/>
      </c>
    </row>
    <row r="3524" spans="1:8" hidden="1" x14ac:dyDescent="0.25">
      <c r="A3524" t="s">
        <v>6550</v>
      </c>
      <c r="B3524">
        <v>349</v>
      </c>
      <c r="C3524" t="s">
        <v>6551</v>
      </c>
      <c r="F3524" s="1" t="str">
        <f t="shared" si="138"/>
        <v/>
      </c>
      <c r="G3524" s="2"/>
      <c r="H3524" s="1" t="str">
        <f t="shared" si="141"/>
        <v/>
      </c>
    </row>
    <row r="3525" spans="1:8" hidden="1" x14ac:dyDescent="0.25">
      <c r="A3525" t="s">
        <v>6552</v>
      </c>
      <c r="B3525">
        <v>600</v>
      </c>
      <c r="C3525" t="s">
        <v>6553</v>
      </c>
      <c r="F3525" s="1" t="str">
        <f t="shared" si="138"/>
        <v/>
      </c>
      <c r="G3525" s="2"/>
      <c r="H3525" s="1" t="str">
        <f t="shared" si="141"/>
        <v/>
      </c>
    </row>
    <row r="3526" spans="1:8" hidden="1" x14ac:dyDescent="0.25">
      <c r="A3526" t="s">
        <v>6554</v>
      </c>
      <c r="B3526">
        <v>238</v>
      </c>
      <c r="C3526" t="s">
        <v>6555</v>
      </c>
      <c r="F3526" s="1" t="str">
        <f t="shared" si="138"/>
        <v/>
      </c>
      <c r="G3526" s="2"/>
      <c r="H3526" s="1" t="str">
        <f t="shared" si="141"/>
        <v/>
      </c>
    </row>
    <row r="3527" spans="1:8" hidden="1" x14ac:dyDescent="0.25">
      <c r="A3527" t="s">
        <v>6556</v>
      </c>
      <c r="B3527">
        <v>138</v>
      </c>
      <c r="C3527" t="s">
        <v>6557</v>
      </c>
      <c r="F3527" s="1" t="str">
        <f t="shared" si="138"/>
        <v/>
      </c>
      <c r="G3527" s="2"/>
      <c r="H3527" s="1" t="str">
        <f t="shared" si="141"/>
        <v/>
      </c>
    </row>
    <row r="3528" spans="1:8" hidden="1" x14ac:dyDescent="0.25">
      <c r="A3528" t="s">
        <v>6558</v>
      </c>
      <c r="B3528">
        <v>83</v>
      </c>
      <c r="C3528" t="s">
        <v>6559</v>
      </c>
      <c r="F3528" s="1" t="str">
        <f t="shared" si="138"/>
        <v/>
      </c>
      <c r="G3528" s="2"/>
      <c r="H3528" s="1" t="str">
        <f t="shared" si="141"/>
        <v/>
      </c>
    </row>
    <row r="3529" spans="1:8" hidden="1" x14ac:dyDescent="0.25">
      <c r="A3529" t="s">
        <v>6560</v>
      </c>
      <c r="B3529">
        <v>106</v>
      </c>
      <c r="C3529" t="s">
        <v>6561</v>
      </c>
      <c r="F3529" s="1" t="str">
        <f t="shared" si="138"/>
        <v/>
      </c>
      <c r="G3529" s="2"/>
      <c r="H3529" s="1" t="str">
        <f t="shared" si="141"/>
        <v/>
      </c>
    </row>
    <row r="3530" spans="1:8" hidden="1" x14ac:dyDescent="0.25">
      <c r="A3530" t="s">
        <v>6562</v>
      </c>
      <c r="B3530">
        <v>338</v>
      </c>
      <c r="C3530" t="s">
        <v>6563</v>
      </c>
      <c r="F3530" s="1" t="str">
        <f t="shared" si="138"/>
        <v/>
      </c>
      <c r="G3530" s="2"/>
      <c r="H3530" s="1" t="str">
        <f t="shared" si="141"/>
        <v/>
      </c>
    </row>
    <row r="3531" spans="1:8" hidden="1" x14ac:dyDescent="0.25">
      <c r="A3531" t="s">
        <v>6564</v>
      </c>
      <c r="B3531">
        <v>53</v>
      </c>
      <c r="C3531" t="s">
        <v>6565</v>
      </c>
      <c r="F3531" s="1" t="str">
        <f t="shared" si="138"/>
        <v/>
      </c>
      <c r="G3531" s="2"/>
      <c r="H3531" s="1" t="str">
        <f t="shared" si="141"/>
        <v/>
      </c>
    </row>
    <row r="3532" spans="1:8" hidden="1" x14ac:dyDescent="0.25">
      <c r="A3532" t="s">
        <v>6566</v>
      </c>
      <c r="B3532">
        <v>180</v>
      </c>
      <c r="C3532" t="s">
        <v>6567</v>
      </c>
      <c r="F3532" s="1" t="str">
        <f t="shared" si="138"/>
        <v/>
      </c>
      <c r="G3532" s="2"/>
      <c r="H3532" s="1" t="str">
        <f t="shared" si="141"/>
        <v/>
      </c>
    </row>
    <row r="3533" spans="1:8" hidden="1" x14ac:dyDescent="0.25">
      <c r="A3533" t="s">
        <v>6568</v>
      </c>
      <c r="B3533">
        <v>84</v>
      </c>
      <c r="C3533" t="s">
        <v>6569</v>
      </c>
      <c r="F3533" s="1" t="str">
        <f t="shared" si="138"/>
        <v/>
      </c>
      <c r="G3533" s="2"/>
      <c r="H3533" s="1" t="str">
        <f t="shared" si="141"/>
        <v/>
      </c>
    </row>
    <row r="3534" spans="1:8" hidden="1" x14ac:dyDescent="0.25">
      <c r="A3534" t="s">
        <v>6570</v>
      </c>
      <c r="B3534">
        <v>44</v>
      </c>
      <c r="C3534" t="s">
        <v>6571</v>
      </c>
      <c r="F3534" s="1" t="str">
        <f t="shared" si="138"/>
        <v/>
      </c>
      <c r="G3534" s="2"/>
      <c r="H3534" s="1" t="str">
        <f t="shared" si="141"/>
        <v/>
      </c>
    </row>
    <row r="3535" spans="1:8" hidden="1" x14ac:dyDescent="0.25">
      <c r="A3535" t="s">
        <v>6572</v>
      </c>
      <c r="B3535">
        <v>171</v>
      </c>
      <c r="C3535" t="s">
        <v>6573</v>
      </c>
      <c r="F3535" s="1" t="str">
        <f t="shared" si="138"/>
        <v/>
      </c>
      <c r="G3535" s="2"/>
      <c r="H3535" s="1" t="str">
        <f t="shared" si="141"/>
        <v/>
      </c>
    </row>
    <row r="3536" spans="1:8" hidden="1" x14ac:dyDescent="0.25">
      <c r="A3536" t="s">
        <v>6574</v>
      </c>
      <c r="B3536">
        <v>176</v>
      </c>
      <c r="C3536" t="s">
        <v>6575</v>
      </c>
      <c r="F3536" s="1" t="str">
        <f t="shared" ref="F3536:F3552" si="142">IF(E3536&lt;&gt;"", HYPERLINK("https://www.kegg.jp/dbget-bin/www_bget?ec:" &amp; E3536, "https://www.kegg.jp/dbget-bin/www_bget?ec:" &amp; E3536), "")</f>
        <v/>
      </c>
      <c r="G3536" s="2"/>
      <c r="H3536" s="1" t="str">
        <f t="shared" si="141"/>
        <v/>
      </c>
    </row>
    <row r="3537" spans="1:8" hidden="1" x14ac:dyDescent="0.25">
      <c r="A3537" t="s">
        <v>6576</v>
      </c>
      <c r="B3537">
        <v>261</v>
      </c>
      <c r="C3537" t="s">
        <v>6577</v>
      </c>
      <c r="F3537" s="1" t="str">
        <f t="shared" si="142"/>
        <v/>
      </c>
      <c r="G3537" s="2"/>
      <c r="H3537" s="1" t="str">
        <f t="shared" si="141"/>
        <v/>
      </c>
    </row>
    <row r="3538" spans="1:8" hidden="1" x14ac:dyDescent="0.25">
      <c r="A3538" t="s">
        <v>6578</v>
      </c>
      <c r="B3538">
        <v>365</v>
      </c>
      <c r="C3538" t="s">
        <v>6579</v>
      </c>
      <c r="F3538" s="1" t="str">
        <f t="shared" si="142"/>
        <v/>
      </c>
      <c r="G3538" s="2"/>
      <c r="H3538" s="1" t="str">
        <f t="shared" si="141"/>
        <v/>
      </c>
    </row>
    <row r="3539" spans="1:8" hidden="1" x14ac:dyDescent="0.25">
      <c r="A3539" t="s">
        <v>6580</v>
      </c>
      <c r="B3539">
        <v>286</v>
      </c>
      <c r="C3539" t="s">
        <v>6581</v>
      </c>
      <c r="F3539" s="1" t="str">
        <f t="shared" si="142"/>
        <v/>
      </c>
      <c r="G3539" s="2"/>
      <c r="H3539" s="1" t="str">
        <f t="shared" si="141"/>
        <v/>
      </c>
    </row>
    <row r="3540" spans="1:8" hidden="1" x14ac:dyDescent="0.25">
      <c r="A3540" t="s">
        <v>6582</v>
      </c>
      <c r="B3540">
        <v>542</v>
      </c>
      <c r="C3540" t="s">
        <v>6583</v>
      </c>
      <c r="F3540" s="1" t="str">
        <f t="shared" si="142"/>
        <v/>
      </c>
      <c r="G3540" s="2"/>
      <c r="H3540" s="1" t="str">
        <f t="shared" si="141"/>
        <v/>
      </c>
    </row>
    <row r="3541" spans="1:8" hidden="1" x14ac:dyDescent="0.25">
      <c r="A3541" t="s">
        <v>6585</v>
      </c>
      <c r="B3541">
        <v>105</v>
      </c>
      <c r="C3541" t="s">
        <v>6586</v>
      </c>
      <c r="F3541" s="1" t="str">
        <f t="shared" si="142"/>
        <v/>
      </c>
      <c r="G3541" s="2"/>
      <c r="H3541" s="1" t="str">
        <f t="shared" si="141"/>
        <v/>
      </c>
    </row>
    <row r="3542" spans="1:8" hidden="1" x14ac:dyDescent="0.25">
      <c r="A3542" t="s">
        <v>6587</v>
      </c>
      <c r="B3542">
        <v>37</v>
      </c>
      <c r="C3542" t="s">
        <v>6588</v>
      </c>
      <c r="F3542" s="1" t="str">
        <f t="shared" si="142"/>
        <v/>
      </c>
      <c r="G3542" s="2"/>
      <c r="H3542" s="1" t="str">
        <f t="shared" si="141"/>
        <v/>
      </c>
    </row>
    <row r="3543" spans="1:8" hidden="1" x14ac:dyDescent="0.25">
      <c r="A3543" t="s">
        <v>6589</v>
      </c>
      <c r="B3543">
        <v>103</v>
      </c>
      <c r="C3543" t="s">
        <v>6590</v>
      </c>
      <c r="F3543" s="1" t="str">
        <f t="shared" si="142"/>
        <v/>
      </c>
      <c r="G3543" s="2"/>
      <c r="H3543" s="1" t="str">
        <f t="shared" si="141"/>
        <v/>
      </c>
    </row>
    <row r="3544" spans="1:8" hidden="1" x14ac:dyDescent="0.25">
      <c r="A3544" t="s">
        <v>6591</v>
      </c>
      <c r="B3544">
        <v>61</v>
      </c>
      <c r="C3544" t="s">
        <v>6592</v>
      </c>
      <c r="F3544" s="1" t="str">
        <f t="shared" si="142"/>
        <v/>
      </c>
      <c r="G3544" s="2"/>
      <c r="H3544" s="1" t="str">
        <f t="shared" si="141"/>
        <v/>
      </c>
    </row>
    <row r="3545" spans="1:8" hidden="1" x14ac:dyDescent="0.25">
      <c r="A3545" t="s">
        <v>6593</v>
      </c>
      <c r="B3545">
        <v>69</v>
      </c>
      <c r="C3545" t="s">
        <v>6594</v>
      </c>
      <c r="F3545" s="1" t="str">
        <f t="shared" si="142"/>
        <v/>
      </c>
      <c r="G3545" s="2"/>
      <c r="H3545" s="1" t="str">
        <f t="shared" si="141"/>
        <v/>
      </c>
    </row>
    <row r="3546" spans="1:8" hidden="1" x14ac:dyDescent="0.25">
      <c r="A3546" t="s">
        <v>6595</v>
      </c>
      <c r="B3546">
        <v>318</v>
      </c>
      <c r="C3546" t="s">
        <v>6596</v>
      </c>
      <c r="F3546" s="1" t="str">
        <f t="shared" si="142"/>
        <v/>
      </c>
      <c r="G3546" s="2"/>
      <c r="H3546" s="1" t="str">
        <f t="shared" si="141"/>
        <v/>
      </c>
    </row>
    <row r="3547" spans="1:8" hidden="1" x14ac:dyDescent="0.25">
      <c r="A3547" t="s">
        <v>6597</v>
      </c>
      <c r="B3547">
        <v>303</v>
      </c>
      <c r="C3547" t="s">
        <v>6598</v>
      </c>
      <c r="F3547" s="1" t="str">
        <f t="shared" si="142"/>
        <v/>
      </c>
      <c r="G3547" s="2"/>
      <c r="H3547" s="1" t="str">
        <f t="shared" si="141"/>
        <v/>
      </c>
    </row>
    <row r="3548" spans="1:8" hidden="1" x14ac:dyDescent="0.25">
      <c r="A3548" t="s">
        <v>6600</v>
      </c>
      <c r="B3548">
        <v>323</v>
      </c>
      <c r="C3548" t="s">
        <v>6601</v>
      </c>
      <c r="F3548" s="1" t="str">
        <f t="shared" si="142"/>
        <v/>
      </c>
      <c r="G3548" s="2"/>
      <c r="H3548" s="1" t="str">
        <f t="shared" si="141"/>
        <v/>
      </c>
    </row>
    <row r="3549" spans="1:8" hidden="1" x14ac:dyDescent="0.25">
      <c r="A3549" t="s">
        <v>6602</v>
      </c>
      <c r="B3549">
        <v>294</v>
      </c>
      <c r="C3549" t="s">
        <v>6603</v>
      </c>
      <c r="F3549" s="1" t="str">
        <f t="shared" si="142"/>
        <v/>
      </c>
      <c r="G3549" s="2"/>
      <c r="H3549" s="1" t="str">
        <f t="shared" si="141"/>
        <v/>
      </c>
    </row>
    <row r="3550" spans="1:8" hidden="1" x14ac:dyDescent="0.25">
      <c r="A3550" t="s">
        <v>6604</v>
      </c>
      <c r="B3550">
        <v>918</v>
      </c>
      <c r="C3550" t="s">
        <v>6605</v>
      </c>
      <c r="F3550" s="1" t="str">
        <f t="shared" si="142"/>
        <v/>
      </c>
      <c r="G3550" s="2"/>
      <c r="H3550" s="1" t="str">
        <f t="shared" si="141"/>
        <v/>
      </c>
    </row>
    <row r="3551" spans="1:8" hidden="1" x14ac:dyDescent="0.25">
      <c r="A3551" t="s">
        <v>6607</v>
      </c>
      <c r="B3551">
        <v>1309</v>
      </c>
      <c r="C3551" t="s">
        <v>6608</v>
      </c>
      <c r="F3551" s="1" t="str">
        <f t="shared" si="142"/>
        <v/>
      </c>
      <c r="G3551" s="2"/>
      <c r="H3551" s="1" t="str">
        <f t="shared" si="141"/>
        <v/>
      </c>
    </row>
    <row r="3552" spans="1:8" hidden="1" x14ac:dyDescent="0.25">
      <c r="A3552" t="s">
        <v>6609</v>
      </c>
      <c r="B3552">
        <v>231</v>
      </c>
      <c r="C3552" t="s">
        <v>6610</v>
      </c>
      <c r="F3552" s="1" t="str">
        <f t="shared" si="142"/>
        <v/>
      </c>
      <c r="G3552" s="2"/>
      <c r="H3552" s="1" t="str">
        <f t="shared" si="141"/>
        <v/>
      </c>
    </row>
  </sheetData>
  <autoFilter ref="A1:J3552" xr:uid="{A07DA366-BC89-4F52-A2D0-BFFDA3EF36A6}">
    <filterColumn colId="8">
      <customFilters>
        <customFilter operator="notEqual" val=" "/>
      </customFilters>
    </filterColumn>
    <sortState xmlns:xlrd2="http://schemas.microsoft.com/office/spreadsheetml/2017/richdata2" ref="A142:J2243">
      <sortCondition ref="I1:I3552"/>
    </sortState>
  </autoFilter>
  <phoneticPr fontId="21" type="noConversion"/>
  <hyperlinks>
    <hyperlink ref="H3" r:id="rId1" xr:uid="{119C40B7-72B9-44F6-8B38-EABA0F7DF31E}"/>
    <hyperlink ref="H8" r:id="rId2" xr:uid="{89D0E48F-56D8-451B-AA90-2D472FC4C2D8}"/>
    <hyperlink ref="H7" r:id="rId3" xr:uid="{7003190B-0077-4126-AF92-EAF2AD547D29}"/>
    <hyperlink ref="H6" r:id="rId4" xr:uid="{3CC96FB3-8BC7-4658-B8DC-B0355AB04E58}"/>
    <hyperlink ref="H5" r:id="rId5" xr:uid="{08EFAD41-042B-4199-8E35-F54870DFA70F}"/>
    <hyperlink ref="H4" r:id="rId6" xr:uid="{EC763835-6D46-4DC6-BC78-AB3556627867}"/>
  </hyperlink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B40F-3176-4237-AC26-AC4206BE5886}">
  <dimension ref="A1:D1060"/>
  <sheetViews>
    <sheetView topLeftCell="A1027" workbookViewId="0">
      <selection activeCell="E1052" sqref="E1052"/>
    </sheetView>
  </sheetViews>
  <sheetFormatPr defaultRowHeight="15" x14ac:dyDescent="0.25"/>
  <cols>
    <col min="1" max="1" width="15.7109375" customWidth="1"/>
    <col min="2" max="2" width="44" customWidth="1"/>
    <col min="3" max="3" width="24.5703125" customWidth="1"/>
    <col min="4" max="4" width="38.28515625" customWidth="1"/>
  </cols>
  <sheetData>
    <row r="1" spans="1:4" x14ac:dyDescent="0.25">
      <c r="A1" s="13" t="s">
        <v>10635</v>
      </c>
      <c r="B1" s="13" t="s">
        <v>5</v>
      </c>
      <c r="C1" s="13" t="s">
        <v>11065</v>
      </c>
      <c r="D1" s="13" t="s">
        <v>11066</v>
      </c>
    </row>
    <row r="2" spans="1:4" x14ac:dyDescent="0.25">
      <c r="A2" t="s">
        <v>8103</v>
      </c>
      <c r="B2" t="s">
        <v>10636</v>
      </c>
      <c r="C2" t="s">
        <v>11067</v>
      </c>
      <c r="D2" t="str">
        <f>CONCATENATE(A2," : ",B2)</f>
        <v>C00001 : Water</v>
      </c>
    </row>
    <row r="3" spans="1:4" x14ac:dyDescent="0.25">
      <c r="A3" t="s">
        <v>8251</v>
      </c>
      <c r="B3" t="s">
        <v>10637</v>
      </c>
      <c r="C3" t="s">
        <v>11068</v>
      </c>
      <c r="D3" t="str">
        <f t="shared" ref="D3:D66" si="0">CONCATENATE(A3," : ",B3)</f>
        <v>C00002 : ATP</v>
      </c>
    </row>
    <row r="4" spans="1:4" x14ac:dyDescent="0.25">
      <c r="A4" t="s">
        <v>9881</v>
      </c>
      <c r="B4" t="s">
        <v>10638</v>
      </c>
      <c r="C4" t="s">
        <v>11069</v>
      </c>
      <c r="D4" t="str">
        <f t="shared" si="0"/>
        <v>C00003 : NAD+</v>
      </c>
    </row>
    <row r="5" spans="1:4" x14ac:dyDescent="0.25">
      <c r="A5" t="s">
        <v>9882</v>
      </c>
      <c r="B5" t="s">
        <v>10639</v>
      </c>
      <c r="C5" t="s">
        <v>11070</v>
      </c>
      <c r="D5" t="str">
        <f t="shared" si="0"/>
        <v>C00004 : NADH</v>
      </c>
    </row>
    <row r="6" spans="1:4" x14ac:dyDescent="0.25">
      <c r="A6" t="s">
        <v>9903</v>
      </c>
      <c r="B6" t="s">
        <v>10640</v>
      </c>
      <c r="C6" t="s">
        <v>11071</v>
      </c>
      <c r="D6" t="str">
        <f t="shared" si="0"/>
        <v>C00005 : NADPH</v>
      </c>
    </row>
    <row r="7" spans="1:4" x14ac:dyDescent="0.25">
      <c r="A7" t="s">
        <v>9901</v>
      </c>
      <c r="B7" t="s">
        <v>10641</v>
      </c>
      <c r="C7" t="s">
        <v>11072</v>
      </c>
      <c r="D7" t="str">
        <f t="shared" si="0"/>
        <v>C00006 : NADP+</v>
      </c>
    </row>
    <row r="8" spans="1:4" x14ac:dyDescent="0.25">
      <c r="A8" t="s">
        <v>9931</v>
      </c>
      <c r="B8" t="s">
        <v>10642</v>
      </c>
      <c r="C8" t="s">
        <v>11073</v>
      </c>
      <c r="D8" t="str">
        <f t="shared" si="0"/>
        <v>C00007 : Oxygen</v>
      </c>
    </row>
    <row r="9" spans="1:4" x14ac:dyDescent="0.25">
      <c r="A9" t="s">
        <v>8451</v>
      </c>
      <c r="B9" t="s">
        <v>10643</v>
      </c>
      <c r="C9" t="s">
        <v>11074</v>
      </c>
      <c r="D9" t="str">
        <f t="shared" si="0"/>
        <v>C00008 : ADP</v>
      </c>
    </row>
    <row r="10" spans="1:4" x14ac:dyDescent="0.25">
      <c r="A10" t="s">
        <v>8296</v>
      </c>
      <c r="B10" t="s">
        <v>10644</v>
      </c>
      <c r="C10" t="s">
        <v>11075</v>
      </c>
      <c r="D10" t="str">
        <f t="shared" si="0"/>
        <v xml:space="preserve">C00009 : Phosphoric Acid </v>
      </c>
    </row>
    <row r="11" spans="1:4" x14ac:dyDescent="0.25">
      <c r="A11" t="s">
        <v>9925</v>
      </c>
      <c r="B11" t="s">
        <v>10645</v>
      </c>
      <c r="C11" t="s">
        <v>11076</v>
      </c>
      <c r="D11" t="str">
        <f t="shared" si="0"/>
        <v>C00010 : CoA</v>
      </c>
    </row>
    <row r="12" spans="1:4" x14ac:dyDescent="0.25">
      <c r="A12" t="s">
        <v>9837</v>
      </c>
      <c r="B12" t="s">
        <v>10646</v>
      </c>
      <c r="C12" t="s">
        <v>11077</v>
      </c>
      <c r="D12" t="str">
        <f t="shared" si="0"/>
        <v xml:space="preserve">C00011 : Carbon Dioxide </v>
      </c>
    </row>
    <row r="13" spans="1:4" x14ac:dyDescent="0.25">
      <c r="A13" t="s">
        <v>10409</v>
      </c>
      <c r="B13" t="s">
        <v>10647</v>
      </c>
      <c r="C13" t="s">
        <v>11078</v>
      </c>
      <c r="D13" t="str">
        <f t="shared" si="0"/>
        <v>C00012 : peptide</v>
      </c>
    </row>
    <row r="14" spans="1:4" x14ac:dyDescent="0.25">
      <c r="A14" t="s">
        <v>9819</v>
      </c>
      <c r="B14" t="s">
        <v>10648</v>
      </c>
      <c r="C14" t="s">
        <v>11079</v>
      </c>
      <c r="D14" t="str">
        <f t="shared" si="0"/>
        <v xml:space="preserve">C00013 : Diphosphoric Acid </v>
      </c>
    </row>
    <row r="15" spans="1:4" x14ac:dyDescent="0.25">
      <c r="A15" t="s">
        <v>9897</v>
      </c>
      <c r="B15" t="s">
        <v>10649</v>
      </c>
      <c r="C15" t="s">
        <v>11080</v>
      </c>
      <c r="D15" t="str">
        <f t="shared" si="0"/>
        <v>C00014 : Ammonia</v>
      </c>
    </row>
    <row r="16" spans="1:4" x14ac:dyDescent="0.25">
      <c r="A16" t="s">
        <v>9830</v>
      </c>
      <c r="B16" t="s">
        <v>10650</v>
      </c>
      <c r="C16" t="s">
        <v>11081</v>
      </c>
      <c r="D16" t="str">
        <f t="shared" si="0"/>
        <v>C00015 : UDP</v>
      </c>
    </row>
    <row r="17" spans="1:4" x14ac:dyDescent="0.25">
      <c r="A17" t="s">
        <v>9909</v>
      </c>
      <c r="B17" t="s">
        <v>10651</v>
      </c>
      <c r="C17" t="s">
        <v>11082</v>
      </c>
      <c r="D17" t="str">
        <f t="shared" si="0"/>
        <v>C00016 : FAD</v>
      </c>
    </row>
    <row r="18" spans="1:4" x14ac:dyDescent="0.25">
      <c r="A18" t="s">
        <v>10108</v>
      </c>
      <c r="B18" t="s">
        <v>11491</v>
      </c>
      <c r="C18" t="s">
        <v>11537</v>
      </c>
      <c r="D18" t="str">
        <f t="shared" si="0"/>
        <v>C00017 : Protein</v>
      </c>
    </row>
    <row r="19" spans="1:4" x14ac:dyDescent="0.25">
      <c r="A19" t="s">
        <v>10126</v>
      </c>
      <c r="B19" t="s">
        <v>10652</v>
      </c>
      <c r="C19" t="s">
        <v>11083</v>
      </c>
      <c r="D19" t="str">
        <f t="shared" si="0"/>
        <v>C00019 : SAM</v>
      </c>
    </row>
    <row r="20" spans="1:4" x14ac:dyDescent="0.25">
      <c r="A20" t="s">
        <v>9852</v>
      </c>
      <c r="B20" t="s">
        <v>10653</v>
      </c>
      <c r="C20" t="s">
        <v>11084</v>
      </c>
      <c r="D20" t="str">
        <f t="shared" si="0"/>
        <v>C00020 : AMP</v>
      </c>
    </row>
    <row r="21" spans="1:4" x14ac:dyDescent="0.25">
      <c r="A21" t="s">
        <v>10128</v>
      </c>
      <c r="B21" t="s">
        <v>10654</v>
      </c>
      <c r="C21" t="s">
        <v>11085</v>
      </c>
      <c r="D21" t="str">
        <f t="shared" si="0"/>
        <v>C00021 : S-Adenosyl-L-Homocysteine(SAH)</v>
      </c>
    </row>
    <row r="22" spans="1:4" x14ac:dyDescent="0.25">
      <c r="A22" t="s">
        <v>8570</v>
      </c>
      <c r="B22" t="s">
        <v>10655</v>
      </c>
      <c r="C22" t="s">
        <v>11086</v>
      </c>
      <c r="D22" t="str">
        <f t="shared" si="0"/>
        <v xml:space="preserve">C00022 : Pyruvate </v>
      </c>
    </row>
    <row r="23" spans="1:4" x14ac:dyDescent="0.25">
      <c r="A23" t="s">
        <v>8227</v>
      </c>
      <c r="B23" t="s">
        <v>10656</v>
      </c>
      <c r="C23" t="s">
        <v>11087</v>
      </c>
      <c r="D23" t="str">
        <f t="shared" si="0"/>
        <v>C00024 : Acetyl-CoA</v>
      </c>
    </row>
    <row r="24" spans="1:4" x14ac:dyDescent="0.25">
      <c r="A24" t="s">
        <v>9888</v>
      </c>
      <c r="B24" t="s">
        <v>10657</v>
      </c>
      <c r="C24" t="s">
        <v>11088</v>
      </c>
      <c r="D24" t="str">
        <f t="shared" si="0"/>
        <v>C00025 : L-Glutamate</v>
      </c>
    </row>
    <row r="25" spans="1:4" x14ac:dyDescent="0.25">
      <c r="A25" t="s">
        <v>9923</v>
      </c>
      <c r="B25" t="s">
        <v>10658</v>
      </c>
      <c r="C25" t="s">
        <v>11089</v>
      </c>
      <c r="D25" t="str">
        <f t="shared" si="0"/>
        <v xml:space="preserve">C00026 : 2-Oxoglutarate </v>
      </c>
    </row>
    <row r="26" spans="1:4" x14ac:dyDescent="0.25">
      <c r="A26" t="s">
        <v>8368</v>
      </c>
      <c r="B26" t="s">
        <v>10659</v>
      </c>
      <c r="C26" t="s">
        <v>11090</v>
      </c>
      <c r="D26" t="str">
        <f t="shared" si="0"/>
        <v xml:space="preserve">C00027 : Hydrogen Peroxide </v>
      </c>
    </row>
    <row r="27" spans="1:4" x14ac:dyDescent="0.25">
      <c r="A27" t="s">
        <v>9915</v>
      </c>
      <c r="B27" t="s">
        <v>10660</v>
      </c>
      <c r="C27" t="s">
        <v>11091</v>
      </c>
      <c r="D27" t="str">
        <f t="shared" si="0"/>
        <v>C00028 : Acceptor</v>
      </c>
    </row>
    <row r="28" spans="1:4" x14ac:dyDescent="0.25">
      <c r="A28" t="s">
        <v>8219</v>
      </c>
      <c r="B28" t="s">
        <v>10661</v>
      </c>
      <c r="C28" t="s">
        <v>11092</v>
      </c>
      <c r="D28" t="str">
        <f t="shared" si="0"/>
        <v>C00029 : UDP-glucose</v>
      </c>
    </row>
    <row r="29" spans="1:4" x14ac:dyDescent="0.25">
      <c r="A29" t="s">
        <v>9917</v>
      </c>
      <c r="B29" t="s">
        <v>10662</v>
      </c>
      <c r="C29" t="s">
        <v>11093</v>
      </c>
      <c r="D29" t="str">
        <f t="shared" si="0"/>
        <v xml:space="preserve">C00030 : Reduced Acceptor </v>
      </c>
    </row>
    <row r="30" spans="1:4" x14ac:dyDescent="0.25">
      <c r="A30" t="s">
        <v>8307</v>
      </c>
      <c r="B30" t="s">
        <v>10663</v>
      </c>
      <c r="C30" t="s">
        <v>11094</v>
      </c>
      <c r="D30" t="str">
        <f t="shared" si="0"/>
        <v>C00031 : D-Glucose</v>
      </c>
    </row>
    <row r="31" spans="1:4" x14ac:dyDescent="0.25">
      <c r="A31" t="s">
        <v>10512</v>
      </c>
      <c r="B31" t="s">
        <v>11538</v>
      </c>
      <c r="C31" t="s">
        <v>11539</v>
      </c>
      <c r="D31" t="str">
        <f t="shared" si="0"/>
        <v>C00032 : Heme</v>
      </c>
    </row>
    <row r="32" spans="1:4" x14ac:dyDescent="0.25">
      <c r="A32" t="s">
        <v>9841</v>
      </c>
      <c r="B32" t="s">
        <v>10664</v>
      </c>
      <c r="C32" t="s">
        <v>11095</v>
      </c>
      <c r="D32" t="str">
        <f t="shared" si="0"/>
        <v>C00033 : Acetate</v>
      </c>
    </row>
    <row r="33" spans="1:4" x14ac:dyDescent="0.25">
      <c r="A33" t="s">
        <v>9826</v>
      </c>
      <c r="B33" t="s">
        <v>10665</v>
      </c>
      <c r="C33" t="s">
        <v>11096</v>
      </c>
      <c r="D33" t="str">
        <f t="shared" si="0"/>
        <v>C00035 : GDP</v>
      </c>
    </row>
    <row r="34" spans="1:4" x14ac:dyDescent="0.25">
      <c r="A34" t="s">
        <v>10338</v>
      </c>
      <c r="B34" t="s">
        <v>10666</v>
      </c>
      <c r="C34" t="s">
        <v>11097</v>
      </c>
      <c r="D34" t="str">
        <f t="shared" si="0"/>
        <v>C00036 : Oxaloacetate</v>
      </c>
    </row>
    <row r="35" spans="1:4" x14ac:dyDescent="0.25">
      <c r="A35" t="s">
        <v>10078</v>
      </c>
      <c r="B35" t="s">
        <v>10667</v>
      </c>
      <c r="C35" t="s">
        <v>11098</v>
      </c>
      <c r="D35" t="str">
        <f t="shared" si="0"/>
        <v>C00037 : Glycine</v>
      </c>
    </row>
    <row r="36" spans="1:4" x14ac:dyDescent="0.25">
      <c r="A36" t="s">
        <v>9818</v>
      </c>
      <c r="B36" t="s">
        <v>10668</v>
      </c>
      <c r="C36" t="s">
        <v>11099</v>
      </c>
      <c r="D36" t="str">
        <f t="shared" si="0"/>
        <v>C00039 : DNA</v>
      </c>
    </row>
    <row r="37" spans="1:4" x14ac:dyDescent="0.25">
      <c r="A37" t="s">
        <v>10046</v>
      </c>
      <c r="B37" t="s">
        <v>10669</v>
      </c>
      <c r="C37" t="s">
        <v>11100</v>
      </c>
      <c r="D37" t="str">
        <f t="shared" si="0"/>
        <v>C00040 : Acyl-CoA</v>
      </c>
    </row>
    <row r="38" spans="1:4" x14ac:dyDescent="0.25">
      <c r="A38" t="s">
        <v>8380</v>
      </c>
      <c r="B38" t="s">
        <v>10670</v>
      </c>
      <c r="C38" t="s">
        <v>11101</v>
      </c>
      <c r="D38" t="str">
        <f t="shared" si="0"/>
        <v>C00041 : L-Alanine</v>
      </c>
    </row>
    <row r="39" spans="1:4" x14ac:dyDescent="0.25">
      <c r="A39" t="s">
        <v>10029</v>
      </c>
      <c r="B39" t="s">
        <v>11541</v>
      </c>
      <c r="C39" t="s">
        <v>11540</v>
      </c>
      <c r="D39" t="str">
        <f t="shared" si="0"/>
        <v>C00042 : Succinate</v>
      </c>
    </row>
    <row r="40" spans="1:4" x14ac:dyDescent="0.25">
      <c r="A40" t="s">
        <v>8208</v>
      </c>
      <c r="B40" t="s">
        <v>10671</v>
      </c>
      <c r="C40" t="s">
        <v>11102</v>
      </c>
      <c r="D40" t="str">
        <f t="shared" si="0"/>
        <v>C00043 : UDP-N-Acetyl-Alpha-D-Glucosamine</v>
      </c>
    </row>
    <row r="41" spans="1:4" x14ac:dyDescent="0.25">
      <c r="A41" t="s">
        <v>8252</v>
      </c>
      <c r="B41" t="s">
        <v>10672</v>
      </c>
      <c r="C41" t="s">
        <v>11103</v>
      </c>
      <c r="D41" t="str">
        <f t="shared" si="0"/>
        <v>C00044 : GTP</v>
      </c>
    </row>
    <row r="42" spans="1:4" x14ac:dyDescent="0.25">
      <c r="A42" t="s">
        <v>10408</v>
      </c>
      <c r="B42" t="s">
        <v>11544</v>
      </c>
      <c r="C42" t="s">
        <v>11545</v>
      </c>
      <c r="D42" t="str">
        <f t="shared" si="0"/>
        <v>C00045 : Amino acid</v>
      </c>
    </row>
    <row r="43" spans="1:4" x14ac:dyDescent="0.25">
      <c r="A43" t="s">
        <v>10018</v>
      </c>
      <c r="B43" t="s">
        <v>10673</v>
      </c>
      <c r="C43" t="s">
        <v>11104</v>
      </c>
      <c r="D43" t="str">
        <f t="shared" si="0"/>
        <v>C00046 : RNA</v>
      </c>
    </row>
    <row r="44" spans="1:4" x14ac:dyDescent="0.25">
      <c r="A44" t="s">
        <v>10165</v>
      </c>
      <c r="B44" t="s">
        <v>10674</v>
      </c>
      <c r="C44" t="s">
        <v>11105</v>
      </c>
      <c r="D44" t="str">
        <f t="shared" si="0"/>
        <v>C00047 : L-Lysine</v>
      </c>
    </row>
    <row r="45" spans="1:4" x14ac:dyDescent="0.25">
      <c r="A45" t="s">
        <v>10030</v>
      </c>
      <c r="B45" t="s">
        <v>10675</v>
      </c>
      <c r="C45" t="s">
        <v>11106</v>
      </c>
      <c r="D45" t="str">
        <f t="shared" si="0"/>
        <v>C00048 : Glyoxylate</v>
      </c>
    </row>
    <row r="46" spans="1:4" x14ac:dyDescent="0.25">
      <c r="A46" t="s">
        <v>8277</v>
      </c>
      <c r="B46" t="s">
        <v>10676</v>
      </c>
      <c r="C46" t="s">
        <v>11107</v>
      </c>
      <c r="D46" t="str">
        <f t="shared" si="0"/>
        <v>C00049 : L-Aspartate</v>
      </c>
    </row>
    <row r="47" spans="1:4" x14ac:dyDescent="0.25">
      <c r="A47" t="s">
        <v>10411</v>
      </c>
      <c r="B47" t="s">
        <v>10677</v>
      </c>
      <c r="C47" t="s">
        <v>11108</v>
      </c>
      <c r="D47" t="str">
        <f t="shared" si="0"/>
        <v>C00051 : Glutathione</v>
      </c>
    </row>
    <row r="48" spans="1:4" x14ac:dyDescent="0.25">
      <c r="A48" t="s">
        <v>8495</v>
      </c>
      <c r="B48" t="s">
        <v>10678</v>
      </c>
      <c r="C48" t="s">
        <v>11109</v>
      </c>
      <c r="D48" t="str">
        <f t="shared" si="0"/>
        <v>C00052 : UDP-D-Galactose</v>
      </c>
    </row>
    <row r="49" spans="1:4" x14ac:dyDescent="0.25">
      <c r="A49" t="s">
        <v>10115</v>
      </c>
      <c r="B49" t="s">
        <v>10679</v>
      </c>
      <c r="C49" t="s">
        <v>11110</v>
      </c>
      <c r="D49" t="str">
        <f t="shared" si="0"/>
        <v xml:space="preserve">C00054 : Adenosine 3',5'-bisphosphate </v>
      </c>
    </row>
    <row r="50" spans="1:4" x14ac:dyDescent="0.25">
      <c r="A50" t="s">
        <v>9854</v>
      </c>
      <c r="B50" t="s">
        <v>10680</v>
      </c>
      <c r="C50" t="s">
        <v>11111</v>
      </c>
      <c r="D50" t="str">
        <f t="shared" si="0"/>
        <v>C00055 : Cytidine-5'-monophosphate/CMP</v>
      </c>
    </row>
    <row r="51" spans="1:4" x14ac:dyDescent="0.25">
      <c r="A51" t="s">
        <v>9990</v>
      </c>
      <c r="B51" t="s">
        <v>10681</v>
      </c>
      <c r="C51" t="s">
        <v>11112</v>
      </c>
      <c r="D51" t="str">
        <f t="shared" si="0"/>
        <v>C00058 : Formate</v>
      </c>
    </row>
    <row r="52" spans="1:4" x14ac:dyDescent="0.25">
      <c r="A52" t="s">
        <v>10250</v>
      </c>
      <c r="B52" t="s">
        <v>11546</v>
      </c>
      <c r="C52" t="s">
        <v>11542</v>
      </c>
      <c r="D52" t="str">
        <f t="shared" si="0"/>
        <v>C00059 : Sulfate</v>
      </c>
    </row>
    <row r="53" spans="1:4" x14ac:dyDescent="0.25">
      <c r="A53" t="s">
        <v>9899</v>
      </c>
      <c r="B53" t="s">
        <v>10682</v>
      </c>
      <c r="C53" t="s">
        <v>11113</v>
      </c>
      <c r="D53" t="str">
        <f t="shared" si="0"/>
        <v xml:space="preserve">C00060 : Carboxylate </v>
      </c>
    </row>
    <row r="54" spans="1:4" x14ac:dyDescent="0.25">
      <c r="A54" t="s">
        <v>10574</v>
      </c>
      <c r="B54" t="s">
        <v>10683</v>
      </c>
      <c r="C54" t="s">
        <v>11114</v>
      </c>
      <c r="D54" t="str">
        <f t="shared" si="0"/>
        <v>C00061 : Flavin Mononucleotide/FMN</v>
      </c>
    </row>
    <row r="55" spans="1:4" x14ac:dyDescent="0.25">
      <c r="A55" t="s">
        <v>9983</v>
      </c>
      <c r="B55" t="s">
        <v>10684</v>
      </c>
      <c r="C55" t="s">
        <v>11115</v>
      </c>
      <c r="D55" t="str">
        <f t="shared" si="0"/>
        <v>C00062 : L-Arginine</v>
      </c>
    </row>
    <row r="56" spans="1:4" x14ac:dyDescent="0.25">
      <c r="A56" t="s">
        <v>9827</v>
      </c>
      <c r="B56" t="s">
        <v>10685</v>
      </c>
      <c r="C56" t="s">
        <v>11116</v>
      </c>
      <c r="D56" t="str">
        <f t="shared" si="0"/>
        <v>C00063 : CTP</v>
      </c>
    </row>
    <row r="57" spans="1:4" x14ac:dyDescent="0.25">
      <c r="A57" t="s">
        <v>9890</v>
      </c>
      <c r="B57" t="s">
        <v>10686</v>
      </c>
      <c r="C57" t="s">
        <v>11117</v>
      </c>
      <c r="D57" t="str">
        <f t="shared" si="0"/>
        <v>C00064 : L-Glutamine</v>
      </c>
    </row>
    <row r="58" spans="1:4" x14ac:dyDescent="0.25">
      <c r="A58" t="s">
        <v>8143</v>
      </c>
      <c r="B58" t="s">
        <v>10687</v>
      </c>
      <c r="C58" t="s">
        <v>11118</v>
      </c>
      <c r="D58" t="str">
        <f t="shared" si="0"/>
        <v>C00065 : L-Serine</v>
      </c>
    </row>
    <row r="59" spans="1:4" x14ac:dyDescent="0.25">
      <c r="A59" t="s">
        <v>10532</v>
      </c>
      <c r="B59" t="s">
        <v>133</v>
      </c>
      <c r="C59" t="s">
        <v>11119</v>
      </c>
      <c r="D59" t="str">
        <f t="shared" si="0"/>
        <v>C00066 : tRNA</v>
      </c>
    </row>
    <row r="60" spans="1:4" x14ac:dyDescent="0.25">
      <c r="A60" t="s">
        <v>10528</v>
      </c>
      <c r="B60" t="s">
        <v>11548</v>
      </c>
      <c r="C60" t="s">
        <v>11543</v>
      </c>
      <c r="D60" t="str">
        <f t="shared" si="0"/>
        <v>C00067 : Formaldehyde</v>
      </c>
    </row>
    <row r="61" spans="1:4" x14ac:dyDescent="0.25">
      <c r="A61" t="s">
        <v>9948</v>
      </c>
      <c r="B61" t="s">
        <v>10688</v>
      </c>
      <c r="C61" t="s">
        <v>11120</v>
      </c>
      <c r="D61" t="str">
        <f t="shared" si="0"/>
        <v xml:space="preserve">C00068 : Thiamin Diphosphate </v>
      </c>
    </row>
    <row r="62" spans="1:4" x14ac:dyDescent="0.25">
      <c r="A62" t="s">
        <v>10283</v>
      </c>
      <c r="B62" t="s">
        <v>11551</v>
      </c>
      <c r="C62" t="s">
        <v>11547</v>
      </c>
      <c r="D62" t="str">
        <f t="shared" si="0"/>
        <v>C00069 : Alcohol</v>
      </c>
    </row>
    <row r="63" spans="1:4" x14ac:dyDescent="0.25">
      <c r="A63" t="s">
        <v>10289</v>
      </c>
      <c r="B63" t="s">
        <v>10689</v>
      </c>
      <c r="C63" t="s">
        <v>11121</v>
      </c>
      <c r="D63" t="str">
        <f t="shared" si="0"/>
        <v xml:space="preserve">C00071 : Aldehyde </v>
      </c>
    </row>
    <row r="64" spans="1:4" x14ac:dyDescent="0.25">
      <c r="A64" t="s">
        <v>10271</v>
      </c>
      <c r="B64" t="s">
        <v>10690</v>
      </c>
      <c r="C64" t="s">
        <v>11122</v>
      </c>
      <c r="D64" t="str">
        <f t="shared" si="0"/>
        <v xml:space="preserve">C00073 : L-Methionine </v>
      </c>
    </row>
    <row r="65" spans="1:4" x14ac:dyDescent="0.25">
      <c r="A65" t="s">
        <v>9824</v>
      </c>
      <c r="B65" t="s">
        <v>10691</v>
      </c>
      <c r="C65" t="s">
        <v>11123</v>
      </c>
      <c r="D65" t="str">
        <f t="shared" si="0"/>
        <v xml:space="preserve">C00074 : Phosphoenolpyruvate </v>
      </c>
    </row>
    <row r="66" spans="1:4" x14ac:dyDescent="0.25">
      <c r="A66" t="s">
        <v>9829</v>
      </c>
      <c r="B66" t="s">
        <v>10692</v>
      </c>
      <c r="C66" t="s">
        <v>11124</v>
      </c>
      <c r="D66" t="str">
        <f t="shared" si="0"/>
        <v>C00075 : UTP</v>
      </c>
    </row>
    <row r="67" spans="1:4" x14ac:dyDescent="0.25">
      <c r="A67" t="s">
        <v>8292</v>
      </c>
      <c r="B67" t="s">
        <v>11553</v>
      </c>
      <c r="C67" t="s">
        <v>11549</v>
      </c>
      <c r="D67" t="str">
        <f t="shared" ref="D67:D68" si="1">CONCATENATE(A67," : ",B67)</f>
        <v>C00077 : L-Ornithine</v>
      </c>
    </row>
    <row r="68" spans="1:4" x14ac:dyDescent="0.25">
      <c r="A68" t="s">
        <v>16418</v>
      </c>
      <c r="B68" t="s">
        <v>16419</v>
      </c>
      <c r="C68" t="s">
        <v>16420</v>
      </c>
      <c r="D68" t="str">
        <f t="shared" si="1"/>
        <v>C00078 : L-Tryptophan</v>
      </c>
    </row>
    <row r="69" spans="1:4" x14ac:dyDescent="0.25">
      <c r="A69" t="s">
        <v>10365</v>
      </c>
      <c r="B69" t="s">
        <v>10693</v>
      </c>
      <c r="C69" t="s">
        <v>12696</v>
      </c>
      <c r="D69" t="str">
        <f>CONCATENATE(A69," : ",B69)</f>
        <v>C00079 : L-Phenylalanine</v>
      </c>
    </row>
    <row r="70" spans="1:4" x14ac:dyDescent="0.25">
      <c r="A70" t="s">
        <v>9846</v>
      </c>
      <c r="B70" t="s">
        <v>10694</v>
      </c>
      <c r="C70" t="s">
        <v>11125</v>
      </c>
      <c r="D70" t="str">
        <f>CONCATENATE(A70," : ",B70)</f>
        <v>C00080 : H+</v>
      </c>
    </row>
    <row r="71" spans="1:4" x14ac:dyDescent="0.25">
      <c r="A71" t="s">
        <v>9831</v>
      </c>
      <c r="B71" t="s">
        <v>10695</v>
      </c>
      <c r="C71" t="s">
        <v>11126</v>
      </c>
      <c r="D71" t="str">
        <f>CONCATENATE(A71," : ",B71)</f>
        <v>C00081 : ITP</v>
      </c>
    </row>
    <row r="72" spans="1:4" x14ac:dyDescent="0.25">
      <c r="A72" t="s">
        <v>10109</v>
      </c>
      <c r="B72" t="s">
        <v>10696</v>
      </c>
      <c r="C72" t="s">
        <v>12697</v>
      </c>
      <c r="D72" t="str">
        <f>CONCATENATE(A72," : ",B72)</f>
        <v>C00082 : L-Tyrosine</v>
      </c>
    </row>
    <row r="73" spans="1:4" x14ac:dyDescent="0.25">
      <c r="A73" t="s">
        <v>10003</v>
      </c>
      <c r="B73" t="s">
        <v>11558</v>
      </c>
      <c r="C73" t="s">
        <v>11550</v>
      </c>
      <c r="D73" t="str">
        <f>CONCATENATE(A73," : ",B73)</f>
        <v>C00083 : Malonyl-CoA</v>
      </c>
    </row>
    <row r="74" spans="1:4" x14ac:dyDescent="0.25">
      <c r="A74" t="s">
        <v>10291</v>
      </c>
      <c r="B74" t="s">
        <v>10697</v>
      </c>
      <c r="C74" t="s">
        <v>11127</v>
      </c>
      <c r="D74" t="str">
        <f>CONCATENATE(A74," : ",B74)</f>
        <v>C00084 : Acetaldehyde</v>
      </c>
    </row>
    <row r="75" spans="1:4" x14ac:dyDescent="0.25">
      <c r="A75" t="s">
        <v>8523</v>
      </c>
      <c r="B75" t="s">
        <v>10698</v>
      </c>
      <c r="C75" t="s">
        <v>11128</v>
      </c>
      <c r="D75" t="str">
        <f>CONCATENATE(A75," : ",B75)</f>
        <v xml:space="preserve">C00085 : D-Fructose </v>
      </c>
    </row>
    <row r="76" spans="1:4" x14ac:dyDescent="0.25">
      <c r="A76" t="s">
        <v>10159</v>
      </c>
      <c r="B76" t="s">
        <v>11559</v>
      </c>
      <c r="C76" t="s">
        <v>11554</v>
      </c>
      <c r="D76" t="str">
        <f>CONCATENATE(A76," : ",B76)</f>
        <v>C00086 : Urea</v>
      </c>
    </row>
    <row r="77" spans="1:4" x14ac:dyDescent="0.25">
      <c r="A77" t="s">
        <v>10212</v>
      </c>
      <c r="B77" t="s">
        <v>11560</v>
      </c>
      <c r="C77" t="s">
        <v>11555</v>
      </c>
      <c r="D77" t="str">
        <f>CONCATENATE(A77," : ",B77)</f>
        <v>C00088 : Nitrite</v>
      </c>
    </row>
    <row r="78" spans="1:4" x14ac:dyDescent="0.25">
      <c r="A78" t="s">
        <v>10072</v>
      </c>
      <c r="B78" t="s">
        <v>10699</v>
      </c>
      <c r="C78" t="s">
        <v>11129</v>
      </c>
      <c r="D78" t="str">
        <f>CONCATENATE(A78," : ",B78)</f>
        <v xml:space="preserve">C00089 : Sucrose </v>
      </c>
    </row>
    <row r="79" spans="1:4" x14ac:dyDescent="0.25">
      <c r="A79" t="s">
        <v>8492</v>
      </c>
      <c r="B79" t="s">
        <v>11561</v>
      </c>
      <c r="C79" t="s">
        <v>11556</v>
      </c>
      <c r="D79" t="str">
        <f>CONCATENATE(A79," : ",B79)</f>
        <v>C00091 : Succinyl-CoA</v>
      </c>
    </row>
    <row r="80" spans="1:4" x14ac:dyDescent="0.25">
      <c r="A80" t="s">
        <v>8396</v>
      </c>
      <c r="B80" t="s">
        <v>10663</v>
      </c>
      <c r="C80" t="s">
        <v>11130</v>
      </c>
      <c r="D80" t="str">
        <f>CONCATENATE(A80," : ",B80)</f>
        <v>C00092 : D-Glucose</v>
      </c>
    </row>
    <row r="81" spans="1:4" x14ac:dyDescent="0.25">
      <c r="A81" t="s">
        <v>10023</v>
      </c>
      <c r="B81" t="s">
        <v>10700</v>
      </c>
      <c r="C81" t="s">
        <v>11131</v>
      </c>
      <c r="D81" t="str">
        <f>CONCATENATE(A81," : ",B81)</f>
        <v xml:space="preserve">C00093 : sn-Glycerol 3-Phosphate </v>
      </c>
    </row>
    <row r="82" spans="1:4" x14ac:dyDescent="0.25">
      <c r="A82" t="s">
        <v>9847</v>
      </c>
      <c r="B82" t="s">
        <v>10701</v>
      </c>
      <c r="C82" t="s">
        <v>11132</v>
      </c>
      <c r="D82" t="str">
        <f>CONCATENATE(A82," : ",B82)</f>
        <v xml:space="preserve">C00094 : Sulfite </v>
      </c>
    </row>
    <row r="83" spans="1:4" x14ac:dyDescent="0.25">
      <c r="A83" t="s">
        <v>10073</v>
      </c>
      <c r="B83" t="s">
        <v>10698</v>
      </c>
      <c r="C83" t="s">
        <v>11133</v>
      </c>
      <c r="D83" t="str">
        <f>CONCATENATE(A83," : ",B83)</f>
        <v xml:space="preserve">C00095 : D-Fructose </v>
      </c>
    </row>
    <row r="84" spans="1:4" x14ac:dyDescent="0.25">
      <c r="A84" t="s">
        <v>8223</v>
      </c>
      <c r="B84" t="s">
        <v>11562</v>
      </c>
      <c r="C84" t="s">
        <v>11557</v>
      </c>
      <c r="D84" t="str">
        <f>CONCATENATE(A84," : ",B84)</f>
        <v>C00096 : GDP-mannose</v>
      </c>
    </row>
    <row r="85" spans="1:4" x14ac:dyDescent="0.25">
      <c r="A85" t="s">
        <v>9840</v>
      </c>
      <c r="B85" t="s">
        <v>10702</v>
      </c>
      <c r="C85" t="s">
        <v>11134</v>
      </c>
      <c r="D85" t="str">
        <f>CONCATENATE(A85," : ",B85)</f>
        <v xml:space="preserve">C00097 : L-Cysteine </v>
      </c>
    </row>
    <row r="86" spans="1:4" x14ac:dyDescent="0.25">
      <c r="A86" t="s">
        <v>9994</v>
      </c>
      <c r="B86" t="s">
        <v>11563</v>
      </c>
      <c r="C86" t="s">
        <v>11564</v>
      </c>
      <c r="D86" t="str">
        <f>CONCATENATE(A86," : ",B86)</f>
        <v>C00099 : beta-Alanine</v>
      </c>
    </row>
    <row r="87" spans="1:4" x14ac:dyDescent="0.25">
      <c r="A87" t="s">
        <v>9920</v>
      </c>
      <c r="B87" t="s">
        <v>10703</v>
      </c>
      <c r="C87" t="s">
        <v>11135</v>
      </c>
      <c r="D87" t="str">
        <f>CONCATENATE(A87," : ",B87)</f>
        <v>C00100 : Propanoyl-CoA</v>
      </c>
    </row>
    <row r="88" spans="1:4" x14ac:dyDescent="0.25">
      <c r="A88" t="s">
        <v>9989</v>
      </c>
      <c r="B88" t="s">
        <v>10704</v>
      </c>
      <c r="C88" t="s">
        <v>11136</v>
      </c>
      <c r="D88" t="str">
        <f>CONCATENATE(A88," : ",B88)</f>
        <v xml:space="preserve">C00101 : Tetrahydrofolate </v>
      </c>
    </row>
    <row r="89" spans="1:4" x14ac:dyDescent="0.25">
      <c r="A89" t="s">
        <v>8096</v>
      </c>
      <c r="B89" t="s">
        <v>10705</v>
      </c>
      <c r="C89" t="s">
        <v>11137</v>
      </c>
      <c r="D89" t="str">
        <f>CONCATENATE(A89," : ",B89)</f>
        <v xml:space="preserve">C00103 : Glucose 1-Phosphate </v>
      </c>
    </row>
    <row r="90" spans="1:4" x14ac:dyDescent="0.25">
      <c r="A90" t="s">
        <v>9832</v>
      </c>
      <c r="B90" t="s">
        <v>10706</v>
      </c>
      <c r="C90" t="s">
        <v>11138</v>
      </c>
      <c r="D90" t="str">
        <f>CONCATENATE(A90," : ",B90)</f>
        <v>C00104 : IDP</v>
      </c>
    </row>
    <row r="91" spans="1:4" x14ac:dyDescent="0.25">
      <c r="A91" t="s">
        <v>9856</v>
      </c>
      <c r="B91" t="s">
        <v>10707</v>
      </c>
      <c r="C91" t="s">
        <v>11139</v>
      </c>
      <c r="D91" t="str">
        <f>CONCATENATE(A91," : ",B91)</f>
        <v>C00105 : UMP</v>
      </c>
    </row>
    <row r="92" spans="1:4" x14ac:dyDescent="0.25">
      <c r="A92" t="s">
        <v>9999</v>
      </c>
      <c r="B92" t="s">
        <v>10708</v>
      </c>
      <c r="C92" t="s">
        <v>11140</v>
      </c>
      <c r="D92" t="str">
        <f>CONCATENATE(A92," : ",B92)</f>
        <v>C00106 : Uracil</v>
      </c>
    </row>
    <row r="93" spans="1:4" x14ac:dyDescent="0.25">
      <c r="A93" t="s">
        <v>10602</v>
      </c>
      <c r="B93" t="s">
        <v>11565</v>
      </c>
      <c r="C93" t="s">
        <v>11566</v>
      </c>
      <c r="D93" t="str">
        <f>CONCATENATE(A93," : ",B93)</f>
        <v>C00108 : Anthranilate</v>
      </c>
    </row>
    <row r="94" spans="1:4" x14ac:dyDescent="0.25">
      <c r="A94" t="s">
        <v>9952</v>
      </c>
      <c r="B94" t="s">
        <v>10709</v>
      </c>
      <c r="C94" t="s">
        <v>11141</v>
      </c>
      <c r="D94" t="str">
        <f>CONCATENATE(A94," : ",B94)</f>
        <v xml:space="preserve">C00109 : 2-Oxobutanoate </v>
      </c>
    </row>
    <row r="95" spans="1:4" x14ac:dyDescent="0.25">
      <c r="A95" t="s">
        <v>8105</v>
      </c>
      <c r="B95" t="s">
        <v>10710</v>
      </c>
      <c r="C95" t="s">
        <v>11142</v>
      </c>
      <c r="D95" t="str">
        <f>CONCATENATE(A95," : ",B95)</f>
        <v xml:space="preserve">C00111 : Glycerone Phosphate </v>
      </c>
    </row>
    <row r="96" spans="1:4" x14ac:dyDescent="0.25">
      <c r="A96" t="s">
        <v>9828</v>
      </c>
      <c r="B96" t="s">
        <v>10711</v>
      </c>
      <c r="C96" t="s">
        <v>11143</v>
      </c>
      <c r="D96" t="str">
        <f>CONCATENATE(A96," : ",B96)</f>
        <v>C00112 : CDP</v>
      </c>
    </row>
    <row r="97" spans="1:4" x14ac:dyDescent="0.25">
      <c r="A97" t="s">
        <v>10560</v>
      </c>
      <c r="B97" t="s">
        <v>10712</v>
      </c>
      <c r="C97" t="s">
        <v>11144</v>
      </c>
      <c r="D97" t="str">
        <f>CONCATENATE(A97," : ",B97)</f>
        <v xml:space="preserve">C00114 : Choline </v>
      </c>
    </row>
    <row r="98" spans="1:4" x14ac:dyDescent="0.25">
      <c r="A98" t="s">
        <v>10529</v>
      </c>
      <c r="B98" t="s">
        <v>10713</v>
      </c>
      <c r="C98" t="s">
        <v>11145</v>
      </c>
      <c r="D98" t="str">
        <f>CONCATENATE(A98," : ",B98)</f>
        <v>C00116 : Glycerol</v>
      </c>
    </row>
    <row r="99" spans="1:4" x14ac:dyDescent="0.25">
      <c r="A99" t="s">
        <v>8344</v>
      </c>
      <c r="B99" t="s">
        <v>10714</v>
      </c>
      <c r="C99" t="s">
        <v>11146</v>
      </c>
      <c r="D99" t="str">
        <f>CONCATENATE(A99," : ",B99)</f>
        <v xml:space="preserve">C00117 : D-Ribose 5-Phosphate </v>
      </c>
    </row>
    <row r="100" spans="1:4" x14ac:dyDescent="0.25">
      <c r="A100" t="s">
        <v>8272</v>
      </c>
      <c r="B100" t="s">
        <v>10715</v>
      </c>
      <c r="C100" t="s">
        <v>11147</v>
      </c>
      <c r="D100" t="str">
        <f>CONCATENATE(A100," : ",B100)</f>
        <v xml:space="preserve">C00118 : D-Glyceraldehyde 3-Phosphate </v>
      </c>
    </row>
    <row r="101" spans="1:4" x14ac:dyDescent="0.25">
      <c r="A101" t="s">
        <v>10020</v>
      </c>
      <c r="B101" t="s">
        <v>10716</v>
      </c>
      <c r="C101" t="s">
        <v>11148</v>
      </c>
      <c r="D101" t="str">
        <f>CONCATENATE(A101," : ",B101)</f>
        <v xml:space="preserve">C00119 : 5-Phospho-alpha-D-ribose 1-diphosphate </v>
      </c>
    </row>
    <row r="102" spans="1:4" x14ac:dyDescent="0.25">
      <c r="A102" t="s">
        <v>9954</v>
      </c>
      <c r="B102" t="s">
        <v>11567</v>
      </c>
      <c r="C102" t="s">
        <v>11568</v>
      </c>
      <c r="D102" t="str">
        <f>CONCATENATE(A102," : ",B102)</f>
        <v>C00120 : Biotin</v>
      </c>
    </row>
    <row r="103" spans="1:4" x14ac:dyDescent="0.25">
      <c r="A103" t="s">
        <v>10485</v>
      </c>
      <c r="B103" t="s">
        <v>10717</v>
      </c>
      <c r="C103" t="s">
        <v>11149</v>
      </c>
      <c r="D103" t="str">
        <f>CONCATENATE(A103," : ",B103)</f>
        <v>C00121 : D-Ribose</v>
      </c>
    </row>
    <row r="104" spans="1:4" x14ac:dyDescent="0.25">
      <c r="A104" t="s">
        <v>9982</v>
      </c>
      <c r="B104" t="s">
        <v>10718</v>
      </c>
      <c r="C104" t="s">
        <v>11150</v>
      </c>
      <c r="D104" t="str">
        <f>CONCATENATE(A104," : ",B104)</f>
        <v>C00122 : Fumarate</v>
      </c>
    </row>
    <row r="105" spans="1:4" x14ac:dyDescent="0.25">
      <c r="A105" t="s">
        <v>10587</v>
      </c>
      <c r="B105" t="s">
        <v>10719</v>
      </c>
      <c r="C105" t="s">
        <v>12698</v>
      </c>
      <c r="D105" t="str">
        <f>CONCATENATE(A105," : ",B105)</f>
        <v>C00123 : L-Leucine</v>
      </c>
    </row>
    <row r="106" spans="1:4" x14ac:dyDescent="0.25">
      <c r="A106" t="s">
        <v>10049</v>
      </c>
      <c r="B106" t="s">
        <v>11573</v>
      </c>
      <c r="C106" t="s">
        <v>11569</v>
      </c>
      <c r="D106" t="str">
        <f>CONCATENATE(A106," : ",B106)</f>
        <v>C00125 : Ferricytochrome c</v>
      </c>
    </row>
    <row r="107" spans="1:4" x14ac:dyDescent="0.25">
      <c r="A107" t="s">
        <v>10050</v>
      </c>
      <c r="B107" t="s">
        <v>11574</v>
      </c>
      <c r="C107" t="s">
        <v>11570</v>
      </c>
      <c r="D107" t="str">
        <f>CONCATENATE(A107," : ",B107)</f>
        <v>C00126 : Ferrocytochrome c</v>
      </c>
    </row>
    <row r="108" spans="1:4" x14ac:dyDescent="0.25">
      <c r="A108" t="s">
        <v>10526</v>
      </c>
      <c r="B108" t="s">
        <v>11575</v>
      </c>
      <c r="C108" t="s">
        <v>11571</v>
      </c>
      <c r="D108" t="str">
        <f>CONCATENATE(A108," : ",B108)</f>
        <v>C00127 : Glutathione disulfide</v>
      </c>
    </row>
    <row r="109" spans="1:4" x14ac:dyDescent="0.25">
      <c r="A109" t="s">
        <v>8260</v>
      </c>
      <c r="B109" t="s">
        <v>10720</v>
      </c>
      <c r="C109" t="s">
        <v>11151</v>
      </c>
      <c r="D109" t="str">
        <f>CONCATENATE(A109," : ",B109)</f>
        <v xml:space="preserve">C00129 : Isopentenyl Diphosphate </v>
      </c>
    </row>
    <row r="110" spans="1:4" x14ac:dyDescent="0.25">
      <c r="A110" t="s">
        <v>9858</v>
      </c>
      <c r="B110" t="s">
        <v>10721</v>
      </c>
      <c r="C110" t="s">
        <v>11152</v>
      </c>
      <c r="D110" t="str">
        <f>CONCATENATE(A110," : ",B110)</f>
        <v>C00130 : IMP</v>
      </c>
    </row>
    <row r="111" spans="1:4" x14ac:dyDescent="0.25">
      <c r="A111" t="s">
        <v>9820</v>
      </c>
      <c r="B111" t="s">
        <v>10722</v>
      </c>
      <c r="C111" t="s">
        <v>11153</v>
      </c>
      <c r="D111" t="str">
        <f>CONCATENATE(A111," : ",B111)</f>
        <v>C00131 : dATP</v>
      </c>
    </row>
    <row r="112" spans="1:4" x14ac:dyDescent="0.25">
      <c r="A112" t="s">
        <v>10589</v>
      </c>
      <c r="B112" t="s">
        <v>11580</v>
      </c>
      <c r="C112" t="s">
        <v>11572</v>
      </c>
      <c r="D112" t="str">
        <f>CONCATENATE(A112," : ",B112)</f>
        <v>C00132 : Methanol</v>
      </c>
    </row>
    <row r="113" spans="1:4" x14ac:dyDescent="0.25">
      <c r="A113" t="s">
        <v>8635</v>
      </c>
      <c r="B113" t="s">
        <v>10723</v>
      </c>
      <c r="C113" t="s">
        <v>11154</v>
      </c>
      <c r="D113" t="str">
        <f>CONCATENATE(A113," : ",B113)</f>
        <v>C00133 : D-Alanine</v>
      </c>
    </row>
    <row r="114" spans="1:4" x14ac:dyDescent="0.25">
      <c r="A114" t="s">
        <v>10181</v>
      </c>
      <c r="B114" t="s">
        <v>11581</v>
      </c>
      <c r="C114" t="s">
        <v>11576</v>
      </c>
      <c r="D114" t="str">
        <f>CONCATENATE(A114," : ",B114)</f>
        <v>C00134 : Putrescine</v>
      </c>
    </row>
    <row r="115" spans="1:4" x14ac:dyDescent="0.25">
      <c r="A115" t="s">
        <v>10493</v>
      </c>
      <c r="B115" t="s">
        <v>11582</v>
      </c>
      <c r="C115" t="s">
        <v>12699</v>
      </c>
      <c r="D115" t="str">
        <f>CONCATENATE(A115," : ",B115)</f>
        <v>C00135 : L-Histidine</v>
      </c>
    </row>
    <row r="116" spans="1:4" x14ac:dyDescent="0.25">
      <c r="A116" t="s">
        <v>9908</v>
      </c>
      <c r="B116" t="s">
        <v>10724</v>
      </c>
      <c r="C116" t="s">
        <v>11155</v>
      </c>
      <c r="D116" t="str">
        <f>CONCATENATE(A116," : ",B116)</f>
        <v>C00136 : Butanoyl-CoA</v>
      </c>
    </row>
    <row r="117" spans="1:4" x14ac:dyDescent="0.25">
      <c r="A117" t="s">
        <v>10087</v>
      </c>
      <c r="B117" t="s">
        <v>11583</v>
      </c>
      <c r="C117" t="s">
        <v>11577</v>
      </c>
      <c r="D117" t="str">
        <f>CONCATENATE(A117," : ",B117)</f>
        <v>C00137 : myo-Inositol</v>
      </c>
    </row>
    <row r="118" spans="1:4" x14ac:dyDescent="0.25">
      <c r="A118" t="s">
        <v>10057</v>
      </c>
      <c r="B118" t="s">
        <v>11584</v>
      </c>
      <c r="C118" t="s">
        <v>11578</v>
      </c>
      <c r="D118" t="str">
        <f>CONCATENATE(A118," : ",B118)</f>
        <v>C00138 : Reduced ferredoxin</v>
      </c>
    </row>
    <row r="119" spans="1:4" x14ac:dyDescent="0.25">
      <c r="A119" t="s">
        <v>10058</v>
      </c>
      <c r="B119" t="s">
        <v>11585</v>
      </c>
      <c r="C119" t="s">
        <v>11579</v>
      </c>
      <c r="D119" t="str">
        <f>CONCATENATE(A119," : ",B119)</f>
        <v>C00139 : Oxidized ferredoxin</v>
      </c>
    </row>
    <row r="120" spans="1:4" x14ac:dyDescent="0.25">
      <c r="A120" t="s">
        <v>9945</v>
      </c>
      <c r="B120" t="s">
        <v>10725</v>
      </c>
      <c r="C120" t="s">
        <v>11156</v>
      </c>
      <c r="D120" t="str">
        <f>CONCATENATE(A120," : ",B120)</f>
        <v xml:space="preserve">C00141 : 3-Methyl-2-oxobutanoic acid </v>
      </c>
    </row>
    <row r="121" spans="1:4" x14ac:dyDescent="0.25">
      <c r="A121" t="s">
        <v>9902</v>
      </c>
      <c r="B121" t="s">
        <v>10726</v>
      </c>
      <c r="C121" t="s">
        <v>11157</v>
      </c>
      <c r="D121" t="str">
        <f>CONCATENATE(A121," : ",B121)</f>
        <v>C00143 : 5,10-Methylenetetrahydrofolate</v>
      </c>
    </row>
    <row r="122" spans="1:4" x14ac:dyDescent="0.25">
      <c r="A122" t="s">
        <v>9860</v>
      </c>
      <c r="B122" t="s">
        <v>10727</v>
      </c>
      <c r="C122" t="s">
        <v>11158</v>
      </c>
      <c r="D122" t="str">
        <f>CONCATENATE(A122," : ",B122)</f>
        <v>C00144 : GMP</v>
      </c>
    </row>
    <row r="123" spans="1:4" x14ac:dyDescent="0.25">
      <c r="A123" t="s">
        <v>10101</v>
      </c>
      <c r="B123" t="s">
        <v>10728</v>
      </c>
      <c r="C123" t="s">
        <v>11159</v>
      </c>
      <c r="D123" t="str">
        <f>CONCATENATE(A123," : ",B123)</f>
        <v>C00147 : Adenine</v>
      </c>
    </row>
    <row r="124" spans="1:4" x14ac:dyDescent="0.25">
      <c r="A124" t="s">
        <v>10428</v>
      </c>
      <c r="B124" t="s">
        <v>10729</v>
      </c>
      <c r="C124" t="s">
        <v>11160</v>
      </c>
      <c r="D124" t="str">
        <f>CONCATENATE(A124," : ",B124)</f>
        <v xml:space="preserve">C00148 : L-Proline </v>
      </c>
    </row>
    <row r="125" spans="1:4" x14ac:dyDescent="0.25">
      <c r="A125" t="s">
        <v>8304</v>
      </c>
      <c r="B125" t="s">
        <v>10730</v>
      </c>
      <c r="C125" t="s">
        <v>11161</v>
      </c>
      <c r="D125" t="str">
        <f>CONCATENATE(A125," : ",B125)</f>
        <v>C00149 : (S)-Malate</v>
      </c>
    </row>
    <row r="126" spans="1:4" x14ac:dyDescent="0.25">
      <c r="A126" t="s">
        <v>10412</v>
      </c>
      <c r="B126" t="s">
        <v>11586</v>
      </c>
      <c r="C126" t="s">
        <v>11587</v>
      </c>
      <c r="D126" t="str">
        <f>CONCATENATE(A126," : ",B126)</f>
        <v>C00151 : L-Amino acid</v>
      </c>
    </row>
    <row r="127" spans="1:4" x14ac:dyDescent="0.25">
      <c r="A127" t="s">
        <v>10497</v>
      </c>
      <c r="B127" t="s">
        <v>10731</v>
      </c>
      <c r="C127" t="s">
        <v>12700</v>
      </c>
      <c r="D127" t="str">
        <f>CONCATENATE(A127," : ",B127)</f>
        <v>C00152 : L-Asparagine</v>
      </c>
    </row>
    <row r="128" spans="1:4" x14ac:dyDescent="0.25">
      <c r="A128" t="s">
        <v>9895</v>
      </c>
      <c r="B128" t="s">
        <v>10732</v>
      </c>
      <c r="C128" t="s">
        <v>11162</v>
      </c>
      <c r="D128" t="str">
        <f>CONCATENATE(A128," : ",B128)</f>
        <v>C00153 : Nicotinamide</v>
      </c>
    </row>
    <row r="129" spans="1:4" x14ac:dyDescent="0.25">
      <c r="A129" t="s">
        <v>10145</v>
      </c>
      <c r="B129" t="s">
        <v>11589</v>
      </c>
      <c r="C129" t="s">
        <v>11590</v>
      </c>
      <c r="D129" t="str">
        <f>CONCATENATE(A129," : ",B129)</f>
        <v>C00154 : Palmitoyl-CoA</v>
      </c>
    </row>
    <row r="130" spans="1:4" x14ac:dyDescent="0.25">
      <c r="A130" t="s">
        <v>10351</v>
      </c>
      <c r="B130" t="s">
        <v>10733</v>
      </c>
      <c r="C130" t="s">
        <v>12701</v>
      </c>
      <c r="D130" t="str">
        <f>CONCATENATE(A130," : ",B130)</f>
        <v>C00155 : L-Homocysteine</v>
      </c>
    </row>
    <row r="131" spans="1:4" x14ac:dyDescent="0.25">
      <c r="A131" t="s">
        <v>8331</v>
      </c>
      <c r="B131" t="s">
        <v>10734</v>
      </c>
      <c r="C131" t="s">
        <v>11163</v>
      </c>
      <c r="D131" t="str">
        <f>CONCATENATE(A131," : ",B131)</f>
        <v>C00158 : Citrate</v>
      </c>
    </row>
    <row r="132" spans="1:4" x14ac:dyDescent="0.25">
      <c r="A132" t="s">
        <v>10461</v>
      </c>
      <c r="B132" t="s">
        <v>10735</v>
      </c>
      <c r="C132" t="s">
        <v>11164</v>
      </c>
      <c r="D132" t="str">
        <f>CONCATENATE(A132," : ",B132)</f>
        <v>C00160 : Glycolate</v>
      </c>
    </row>
    <row r="133" spans="1:4" x14ac:dyDescent="0.25">
      <c r="A133" t="s">
        <v>9992</v>
      </c>
      <c r="B133" t="s">
        <v>10736</v>
      </c>
      <c r="C133" t="s">
        <v>11165</v>
      </c>
      <c r="D133" t="str">
        <f>CONCATENATE(A133," : ",B133)</f>
        <v>C00161 : 2-Oxo acid</v>
      </c>
    </row>
    <row r="134" spans="1:4" x14ac:dyDescent="0.25">
      <c r="A134" t="s">
        <v>10290</v>
      </c>
      <c r="B134" t="s">
        <v>11592</v>
      </c>
      <c r="C134" t="s">
        <v>11588</v>
      </c>
      <c r="D134" t="str">
        <f>CONCATENATE(A134," : ",B134)</f>
        <v>C00162 : Fatty acid</v>
      </c>
    </row>
    <row r="135" spans="1:4" x14ac:dyDescent="0.25">
      <c r="A135" t="s">
        <v>10457</v>
      </c>
      <c r="B135" t="s">
        <v>10737</v>
      </c>
      <c r="C135" t="s">
        <v>11166</v>
      </c>
      <c r="D135" t="str">
        <f>CONCATENATE(A135," : ",B135)</f>
        <v>C00163 : Propanoate</v>
      </c>
    </row>
    <row r="136" spans="1:4" x14ac:dyDescent="0.25">
      <c r="A136" t="s">
        <v>10279</v>
      </c>
      <c r="B136" t="s">
        <v>11593</v>
      </c>
      <c r="C136" t="s">
        <v>11591</v>
      </c>
      <c r="D136" t="str">
        <f>CONCATENATE(A136," : ",B136)</f>
        <v>C00164 : Acetoacetate</v>
      </c>
    </row>
    <row r="137" spans="1:4" x14ac:dyDescent="0.25">
      <c r="A137" t="s">
        <v>10366</v>
      </c>
      <c r="B137" t="s">
        <v>10738</v>
      </c>
      <c r="C137" t="s">
        <v>11167</v>
      </c>
      <c r="D137" t="str">
        <f>CONCATENATE(A137," : ",B137)</f>
        <v>C00166 : Phenylpyruvate</v>
      </c>
    </row>
    <row r="138" spans="1:4" x14ac:dyDescent="0.25">
      <c r="A138" t="s">
        <v>10186</v>
      </c>
      <c r="B138" t="s">
        <v>11598</v>
      </c>
      <c r="C138" t="s">
        <v>11594</v>
      </c>
      <c r="D138" t="str">
        <f>CONCATENATE(A138," : ",B138)</f>
        <v>C00167 : UDP-glucuronate</v>
      </c>
    </row>
    <row r="139" spans="1:4" x14ac:dyDescent="0.25">
      <c r="A139" t="s">
        <v>10004</v>
      </c>
      <c r="B139" t="s">
        <v>11599</v>
      </c>
      <c r="C139" t="s">
        <v>11595</v>
      </c>
      <c r="D139" t="str">
        <f>CONCATENATE(A139," : ",B139)</f>
        <v>C00168 : Hydroxypyruvate</v>
      </c>
    </row>
    <row r="140" spans="1:4" x14ac:dyDescent="0.25">
      <c r="A140" t="s">
        <v>9986</v>
      </c>
      <c r="B140" t="s">
        <v>10739</v>
      </c>
      <c r="C140" t="s">
        <v>11168</v>
      </c>
      <c r="D140" t="str">
        <f>CONCATENATE(A140," : ",B140)</f>
        <v xml:space="preserve">C00169 : Carbamoyl Phosphate </v>
      </c>
    </row>
    <row r="141" spans="1:4" x14ac:dyDescent="0.25">
      <c r="A141" t="s">
        <v>10533</v>
      </c>
      <c r="B141" t="s">
        <v>10740</v>
      </c>
      <c r="C141" t="s">
        <v>11169</v>
      </c>
      <c r="D141" t="str">
        <f>CONCATENATE(A141," : ",B141)</f>
        <v xml:space="preserve">C00170 : 5'-Methylthioadenosine </v>
      </c>
    </row>
    <row r="142" spans="1:4" x14ac:dyDescent="0.25">
      <c r="A142" t="s">
        <v>10474</v>
      </c>
      <c r="B142" t="s">
        <v>10741</v>
      </c>
      <c r="C142" t="s">
        <v>11170</v>
      </c>
      <c r="D142" t="str">
        <f>CONCATENATE(A142," : ",B142)</f>
        <v>C00173 : Acyl-[acyl-carrier protein]</v>
      </c>
    </row>
    <row r="143" spans="1:4" x14ac:dyDescent="0.25">
      <c r="A143" t="s">
        <v>10332</v>
      </c>
      <c r="B143" t="s">
        <v>11600</v>
      </c>
      <c r="C143" t="s">
        <v>11596</v>
      </c>
      <c r="D143" t="str">
        <f>CONCATENATE(A143," : ",B143)</f>
        <v>C00175 : Cobalt ion</v>
      </c>
    </row>
    <row r="144" spans="1:4" x14ac:dyDescent="0.25">
      <c r="A144" t="s">
        <v>10376</v>
      </c>
      <c r="B144" t="s">
        <v>11605</v>
      </c>
      <c r="C144" t="s">
        <v>11597</v>
      </c>
      <c r="D144" t="str">
        <f>CONCATENATE(A144," : ",B144)</f>
        <v>C00177 : Cyanide ion</v>
      </c>
    </row>
    <row r="145" spans="1:4" x14ac:dyDescent="0.25">
      <c r="A145" t="s">
        <v>9998</v>
      </c>
      <c r="B145" t="s">
        <v>11606</v>
      </c>
      <c r="C145" t="s">
        <v>11607</v>
      </c>
      <c r="D145" t="str">
        <f>CONCATENATE(A145," : ",B145)</f>
        <v>C00178 : Thymine</v>
      </c>
    </row>
    <row r="146" spans="1:4" x14ac:dyDescent="0.25">
      <c r="A146" t="s">
        <v>10180</v>
      </c>
      <c r="B146" t="s">
        <v>11608</v>
      </c>
      <c r="C146" t="s">
        <v>11601</v>
      </c>
      <c r="D146" t="str">
        <f>CONCATENATE(A146," : ",B146)</f>
        <v>C00179 : Agmatine</v>
      </c>
    </row>
    <row r="147" spans="1:4" x14ac:dyDescent="0.25">
      <c r="A147" t="s">
        <v>10453</v>
      </c>
      <c r="B147" t="s">
        <v>11609</v>
      </c>
      <c r="C147" t="s">
        <v>11602</v>
      </c>
      <c r="D147" t="str">
        <f>CONCATENATE(A147," : ",B147)</f>
        <v>C00180 : Benzoate</v>
      </c>
    </row>
    <row r="148" spans="1:4" x14ac:dyDescent="0.25">
      <c r="A148" t="s">
        <v>10429</v>
      </c>
      <c r="B148" t="s">
        <v>10742</v>
      </c>
      <c r="C148" t="s">
        <v>12702</v>
      </c>
      <c r="D148" t="str">
        <f>CONCATENATE(A148," : ",B148)</f>
        <v>C00183 : L-Valine</v>
      </c>
    </row>
    <row r="149" spans="1:4" x14ac:dyDescent="0.25">
      <c r="A149" t="s">
        <v>10286</v>
      </c>
      <c r="B149" t="s">
        <v>10743</v>
      </c>
      <c r="C149" t="s">
        <v>11171</v>
      </c>
      <c r="D149" t="str">
        <f>CONCATENATE(A149," : ",B149)</f>
        <v>C00184 : Glycerone</v>
      </c>
    </row>
    <row r="150" spans="1:4" x14ac:dyDescent="0.25">
      <c r="A150" t="s">
        <v>8401</v>
      </c>
      <c r="B150" t="s">
        <v>11610</v>
      </c>
      <c r="C150" t="s">
        <v>11603</v>
      </c>
      <c r="D150" t="str">
        <f>CONCATENATE(A150," : ",B150)</f>
        <v>C00185 : Cellobiose</v>
      </c>
    </row>
    <row r="151" spans="1:4" x14ac:dyDescent="0.25">
      <c r="A151" t="s">
        <v>9930</v>
      </c>
      <c r="B151" t="s">
        <v>10744</v>
      </c>
      <c r="C151" t="s">
        <v>11172</v>
      </c>
      <c r="D151" t="str">
        <f>CONCATENATE(A151," : ",B151)</f>
        <v>C00186 : (S)-Lactate</v>
      </c>
    </row>
    <row r="152" spans="1:4" x14ac:dyDescent="0.25">
      <c r="A152" t="s">
        <v>8141</v>
      </c>
      <c r="B152" t="s">
        <v>10745</v>
      </c>
      <c r="C152" t="s">
        <v>12703</v>
      </c>
      <c r="D152" t="str">
        <f>CONCATENATE(A152," : ",B152)</f>
        <v>C00188 : L-Threonine</v>
      </c>
    </row>
    <row r="153" spans="1:4" x14ac:dyDescent="0.25">
      <c r="A153" t="s">
        <v>10634</v>
      </c>
      <c r="B153" t="s">
        <v>10746</v>
      </c>
      <c r="C153" t="s">
        <v>11173</v>
      </c>
      <c r="D153" t="str">
        <f>CONCATENATE(A153," : ",B153)</f>
        <v xml:space="preserve">C00189 : Ethanolamine </v>
      </c>
    </row>
    <row r="154" spans="1:4" x14ac:dyDescent="0.25">
      <c r="A154" t="s">
        <v>10239</v>
      </c>
      <c r="B154" s="23" t="s">
        <v>11611</v>
      </c>
      <c r="C154" t="s">
        <v>11604</v>
      </c>
      <c r="D154" t="str">
        <f>CONCATENATE(A154," : ",B154)</f>
        <v>C00194 : Cobamide coenzyme</v>
      </c>
    </row>
    <row r="155" spans="1:4" x14ac:dyDescent="0.25">
      <c r="A155" t="s">
        <v>8613</v>
      </c>
      <c r="B155" t="s">
        <v>10747</v>
      </c>
      <c r="C155" t="s">
        <v>11174</v>
      </c>
      <c r="D155" t="str">
        <f>CONCATENATE(A155," : ",B155)</f>
        <v xml:space="preserve">C00197 : 3-Phospho-D-glycerate </v>
      </c>
    </row>
    <row r="156" spans="1:4" x14ac:dyDescent="0.25">
      <c r="A156" t="s">
        <v>8214</v>
      </c>
      <c r="B156" t="s">
        <v>10748</v>
      </c>
      <c r="C156" t="s">
        <v>11175</v>
      </c>
      <c r="D156" t="str">
        <f>CONCATENATE(A156," : ",B156)</f>
        <v xml:space="preserve">C00199 : D-Ribulose 5-phosphate </v>
      </c>
    </row>
    <row r="157" spans="1:4" x14ac:dyDescent="0.25">
      <c r="A157" t="s">
        <v>8176</v>
      </c>
      <c r="B157" t="s">
        <v>10749</v>
      </c>
      <c r="C157" t="s">
        <v>11176</v>
      </c>
      <c r="D157" t="str">
        <f>CONCATENATE(A157," : ",B157)</f>
        <v>C00201 : NTP</v>
      </c>
    </row>
    <row r="158" spans="1:4" x14ac:dyDescent="0.25">
      <c r="A158" t="s">
        <v>8496</v>
      </c>
      <c r="B158" t="s">
        <v>10750</v>
      </c>
      <c r="C158" t="s">
        <v>11177</v>
      </c>
      <c r="D158" t="str">
        <f>CONCATENATE(A158," : ",B158)</f>
        <v>C00203 : UDP-N-acetyl-D-galactosamine</v>
      </c>
    </row>
    <row r="159" spans="1:4" x14ac:dyDescent="0.25">
      <c r="A159" t="s">
        <v>9833</v>
      </c>
      <c r="B159" t="s">
        <v>10751</v>
      </c>
      <c r="C159" t="s">
        <v>11178</v>
      </c>
      <c r="D159" t="str">
        <f>CONCATENATE(A159," : ",B159)</f>
        <v>C00206 : dADP</v>
      </c>
    </row>
    <row r="160" spans="1:4" x14ac:dyDescent="0.25">
      <c r="A160" t="s">
        <v>8573</v>
      </c>
      <c r="B160" t="s">
        <v>11612</v>
      </c>
      <c r="C160" t="s">
        <v>12232</v>
      </c>
      <c r="D160" t="str">
        <f>CONCATENATE(A160," : ",B160)</f>
        <v>C00208 : Maltose</v>
      </c>
    </row>
    <row r="161" spans="1:4" x14ac:dyDescent="0.25">
      <c r="A161" t="s">
        <v>9853</v>
      </c>
      <c r="B161" t="s">
        <v>10752</v>
      </c>
      <c r="C161" t="s">
        <v>11179</v>
      </c>
      <c r="D161" t="str">
        <f>CONCATENATE(A161," : ",B161)</f>
        <v xml:space="preserve">C00212 : Adenosine </v>
      </c>
    </row>
    <row r="162" spans="1:4" x14ac:dyDescent="0.25">
      <c r="A162" t="s">
        <v>10265</v>
      </c>
      <c r="B162" t="s">
        <v>11614</v>
      </c>
      <c r="C162" t="s">
        <v>11615</v>
      </c>
      <c r="D162" t="str">
        <f>CONCATENATE(A162," : ",B162)</f>
        <v>C00213 : Sarcosine</v>
      </c>
    </row>
    <row r="163" spans="1:4" x14ac:dyDescent="0.25">
      <c r="A163" t="s">
        <v>9869</v>
      </c>
      <c r="B163" t="s">
        <v>10753</v>
      </c>
      <c r="C163" t="s">
        <v>11180</v>
      </c>
      <c r="D163" t="str">
        <f>CONCATENATE(A163," : ",B163)</f>
        <v xml:space="preserve">C00214 : Thymidine </v>
      </c>
    </row>
    <row r="164" spans="1:4" x14ac:dyDescent="0.25">
      <c r="A164" t="s">
        <v>10401</v>
      </c>
      <c r="B164" t="s">
        <v>10754</v>
      </c>
      <c r="C164" t="s">
        <v>11181</v>
      </c>
      <c r="D164" t="str">
        <f>CONCATENATE(A164," : ",B164)</f>
        <v xml:space="preserve">C00217 : D-Glutamate </v>
      </c>
    </row>
    <row r="165" spans="1:4" x14ac:dyDescent="0.25">
      <c r="A165" t="s">
        <v>10266</v>
      </c>
      <c r="B165" t="s">
        <v>11623</v>
      </c>
      <c r="C165" t="s">
        <v>11616</v>
      </c>
      <c r="D165" t="str">
        <f>CONCATENATE(A165," : ",B165)</f>
        <v>C00218 : Methylamine</v>
      </c>
    </row>
    <row r="166" spans="1:4" x14ac:dyDescent="0.25">
      <c r="A166" t="s">
        <v>10608</v>
      </c>
      <c r="B166" t="s">
        <v>11624</v>
      </c>
      <c r="C166" t="s">
        <v>11613</v>
      </c>
      <c r="D166" t="str">
        <f>CONCATENATE(A166," : ",B166)</f>
        <v>C00221 : beta-D-Glucose</v>
      </c>
    </row>
    <row r="167" spans="1:4" x14ac:dyDescent="0.25">
      <c r="A167" t="s">
        <v>10226</v>
      </c>
      <c r="B167" t="s">
        <v>11625</v>
      </c>
      <c r="C167" t="s">
        <v>11617</v>
      </c>
      <c r="D167" t="str">
        <f>CONCATENATE(A167," : ",B167)</f>
        <v>C00222 : 3-Oxopropanoate</v>
      </c>
    </row>
    <row r="168" spans="1:4" x14ac:dyDescent="0.25">
      <c r="A168" t="s">
        <v>10251</v>
      </c>
      <c r="B168" t="s">
        <v>10755</v>
      </c>
      <c r="C168" t="s">
        <v>11182</v>
      </c>
      <c r="D168" t="str">
        <f>CONCATENATE(A168," : ",B168)</f>
        <v xml:space="preserve">C00224 : Adenylyl Sulfate </v>
      </c>
    </row>
    <row r="169" spans="1:4" x14ac:dyDescent="0.25">
      <c r="A169" t="s">
        <v>10541</v>
      </c>
      <c r="B169" t="s">
        <v>10756</v>
      </c>
      <c r="C169" t="s">
        <v>11183</v>
      </c>
      <c r="D169" t="str">
        <f>CONCATENATE(A169," : ",B169)</f>
        <v>C00226 : Primary Alcohol</v>
      </c>
    </row>
    <row r="170" spans="1:4" x14ac:dyDescent="0.25">
      <c r="A170" t="s">
        <v>10276</v>
      </c>
      <c r="B170" t="s">
        <v>10757</v>
      </c>
      <c r="C170" t="s">
        <v>11184</v>
      </c>
      <c r="D170" t="str">
        <f>CONCATENATE(A170," : ",B170)</f>
        <v>C00227 : Acetyl Phosphate</v>
      </c>
    </row>
    <row r="171" spans="1:4" x14ac:dyDescent="0.25">
      <c r="A171" t="s">
        <v>10116</v>
      </c>
      <c r="B171" t="s">
        <v>10758</v>
      </c>
      <c r="C171" t="s">
        <v>11185</v>
      </c>
      <c r="D171" t="str">
        <f>CONCATENATE(A171," : ",B171)</f>
        <v xml:space="preserve">C00229 : Acyl-carrier protein </v>
      </c>
    </row>
    <row r="172" spans="1:4" x14ac:dyDescent="0.25">
      <c r="A172" t="s">
        <v>8610</v>
      </c>
      <c r="B172" t="s">
        <v>10759</v>
      </c>
      <c r="C172" t="s">
        <v>11186</v>
      </c>
      <c r="D172" t="str">
        <f>CONCATENATE(A172," : ",B172)</f>
        <v xml:space="preserve">C00231 : D-Xylulose 5-Phosphate </v>
      </c>
    </row>
    <row r="173" spans="1:4" x14ac:dyDescent="0.25">
      <c r="A173" t="s">
        <v>10225</v>
      </c>
      <c r="B173" t="s">
        <v>11626</v>
      </c>
      <c r="C173" t="s">
        <v>11618</v>
      </c>
      <c r="D173" t="str">
        <f>CONCATENATE(A173," : ",B173)</f>
        <v>C00232 : Succinate semialdehyde</v>
      </c>
    </row>
    <row r="174" spans="1:4" x14ac:dyDescent="0.25">
      <c r="A174" t="s">
        <v>9946</v>
      </c>
      <c r="B174" t="s">
        <v>10760</v>
      </c>
      <c r="C174" t="s">
        <v>11187</v>
      </c>
      <c r="D174" t="str">
        <f>CONCATENATE(A174," : ",B174)</f>
        <v xml:space="preserve">C00233 : 4-Methyl-2-oxopentanoate </v>
      </c>
    </row>
    <row r="175" spans="1:4" x14ac:dyDescent="0.25">
      <c r="A175" t="s">
        <v>9991</v>
      </c>
      <c r="B175" t="s">
        <v>10761</v>
      </c>
      <c r="C175" t="s">
        <v>11188</v>
      </c>
      <c r="D175" t="str">
        <f>CONCATENATE(A175," : ",B175)</f>
        <v>C00234 : 10-Formyltetrahydrofolate</v>
      </c>
    </row>
    <row r="176" spans="1:4" x14ac:dyDescent="0.25">
      <c r="A176" t="s">
        <v>8533</v>
      </c>
      <c r="B176" t="s">
        <v>10762</v>
      </c>
      <c r="C176" t="s">
        <v>11189</v>
      </c>
      <c r="D176" t="str">
        <f>CONCATENATE(A176," : ",B176)</f>
        <v>C00235 : Dimethylallyl diphosphate</v>
      </c>
    </row>
    <row r="177" spans="1:4" x14ac:dyDescent="0.25">
      <c r="A177" t="s">
        <v>10375</v>
      </c>
      <c r="B177" t="s">
        <v>10763</v>
      </c>
      <c r="C177" t="s">
        <v>11190</v>
      </c>
      <c r="D177" t="str">
        <f>CONCATENATE(A177," : ",B177)</f>
        <v>C00236 : 3-Phospho-D-glyceroyl phosphate</v>
      </c>
    </row>
    <row r="178" spans="1:4" x14ac:dyDescent="0.25">
      <c r="A178" t="s">
        <v>10272</v>
      </c>
      <c r="B178" t="s">
        <v>11627</v>
      </c>
      <c r="C178" t="s">
        <v>11619</v>
      </c>
      <c r="D178" t="str">
        <f>CONCATENATE(A178," : ",B178)</f>
        <v>C00237 : Carbon monoxide</v>
      </c>
    </row>
    <row r="179" spans="1:4" x14ac:dyDescent="0.25">
      <c r="A179" t="s">
        <v>9870</v>
      </c>
      <c r="B179" t="s">
        <v>10764</v>
      </c>
      <c r="C179" t="s">
        <v>11191</v>
      </c>
      <c r="D179" t="str">
        <f>CONCATENATE(A179," : ",B179)</f>
        <v>C00239 : dCMP</v>
      </c>
    </row>
    <row r="180" spans="1:4" x14ac:dyDescent="0.25">
      <c r="A180" t="s">
        <v>16421</v>
      </c>
      <c r="B180" t="s">
        <v>16422</v>
      </c>
      <c r="C180" t="s">
        <v>16423</v>
      </c>
      <c r="D180" t="str">
        <f>CONCATENATE(A180," : ",B180)</f>
        <v>C00240 : Rrna</v>
      </c>
    </row>
    <row r="181" spans="1:4" x14ac:dyDescent="0.25">
      <c r="A181" t="s">
        <v>9898</v>
      </c>
      <c r="B181" t="s">
        <v>10765</v>
      </c>
      <c r="C181" t="s">
        <v>11192</v>
      </c>
      <c r="D181" t="str">
        <f>CONCATENATE(A181," : ",B181)</f>
        <v>C00241 : Amide</v>
      </c>
    </row>
    <row r="182" spans="1:4" x14ac:dyDescent="0.25">
      <c r="A182" t="s">
        <v>10139</v>
      </c>
      <c r="B182" t="s">
        <v>10766</v>
      </c>
      <c r="C182" t="s">
        <v>11193</v>
      </c>
      <c r="D182" t="str">
        <f>CONCATENATE(A182," : ",B182)</f>
        <v>C00242 : Guanine</v>
      </c>
    </row>
    <row r="183" spans="1:4" x14ac:dyDescent="0.25">
      <c r="A183" t="s">
        <v>10213</v>
      </c>
      <c r="B183" t="s">
        <v>11631</v>
      </c>
      <c r="C183" t="s">
        <v>11620</v>
      </c>
      <c r="D183" t="str">
        <f>CONCATENATE(A183," : ",B183)</f>
        <v>C00244 : Nitrate</v>
      </c>
    </row>
    <row r="184" spans="1:4" x14ac:dyDescent="0.25">
      <c r="A184" t="s">
        <v>10415</v>
      </c>
      <c r="B184" t="s">
        <v>10767</v>
      </c>
      <c r="C184" t="s">
        <v>11194</v>
      </c>
      <c r="D184" t="str">
        <f>CONCATENATE(A184," : ",B184)</f>
        <v>C00245 : Taurine</v>
      </c>
    </row>
    <row r="185" spans="1:4" x14ac:dyDescent="0.25">
      <c r="A185" t="s">
        <v>10515</v>
      </c>
      <c r="B185" t="s">
        <v>11636</v>
      </c>
      <c r="C185" t="s">
        <v>11621</v>
      </c>
      <c r="D185" t="str">
        <f>CONCATENATE(A185," : ",B185)</f>
        <v>C00247 : L-Sorbose</v>
      </c>
    </row>
    <row r="186" spans="1:4" x14ac:dyDescent="0.25">
      <c r="A186" t="s">
        <v>9939</v>
      </c>
      <c r="B186" t="s">
        <v>11637</v>
      </c>
      <c r="C186" t="s">
        <v>11622</v>
      </c>
      <c r="D186" t="str">
        <f>CONCATENATE(A186," : ",B186)</f>
        <v>C00248 : Lipoamide</v>
      </c>
    </row>
    <row r="187" spans="1:4" x14ac:dyDescent="0.25">
      <c r="A187" t="s">
        <v>10144</v>
      </c>
      <c r="B187" t="s">
        <v>11638</v>
      </c>
      <c r="C187" t="s">
        <v>11628</v>
      </c>
      <c r="D187" t="str">
        <f>CONCATENATE(A187," : ",B187)</f>
        <v>C00249 : Hexadecanoic acid</v>
      </c>
    </row>
    <row r="188" spans="1:4" x14ac:dyDescent="0.25">
      <c r="A188" t="s">
        <v>8267</v>
      </c>
      <c r="B188" t="s">
        <v>11639</v>
      </c>
      <c r="C188" t="s">
        <v>11629</v>
      </c>
      <c r="D188" t="str">
        <f>CONCATENATE(A188," : ",B188)</f>
        <v>C00251 : Chorismate</v>
      </c>
    </row>
    <row r="189" spans="1:4" x14ac:dyDescent="0.25">
      <c r="A189" t="s">
        <v>9896</v>
      </c>
      <c r="B189" t="s">
        <v>10768</v>
      </c>
      <c r="C189" t="s">
        <v>11195</v>
      </c>
      <c r="D189" t="str">
        <f>CONCATENATE(A189," : ",B189)</f>
        <v>C00253 : Nicotinate</v>
      </c>
    </row>
    <row r="190" spans="1:4" x14ac:dyDescent="0.25">
      <c r="A190" t="s">
        <v>8537</v>
      </c>
      <c r="B190" t="s">
        <v>11640</v>
      </c>
      <c r="C190" t="s">
        <v>11630</v>
      </c>
      <c r="D190" t="str">
        <f>CONCATENATE(A190," : ",B190)</f>
        <v>C00254 : Prephenate</v>
      </c>
    </row>
    <row r="191" spans="1:4" x14ac:dyDescent="0.25">
      <c r="A191" t="s">
        <v>10164</v>
      </c>
      <c r="B191" t="s">
        <v>10769</v>
      </c>
      <c r="C191" t="s">
        <v>11196</v>
      </c>
      <c r="D191" t="str">
        <f>CONCATENATE(A191," : ",B191)</f>
        <v>C00255 : Riboflavin</v>
      </c>
    </row>
    <row r="192" spans="1:4" x14ac:dyDescent="0.25">
      <c r="A192" t="s">
        <v>10048</v>
      </c>
      <c r="B192" t="s">
        <v>10770</v>
      </c>
      <c r="C192" t="s">
        <v>11197</v>
      </c>
      <c r="D192" t="str">
        <f>CONCATENATE(A192," : ",B192)</f>
        <v>C00256 : (R)-Lactate</v>
      </c>
    </row>
    <row r="193" spans="1:4" x14ac:dyDescent="0.25">
      <c r="A193" t="s">
        <v>10293</v>
      </c>
      <c r="B193" t="s">
        <v>10771</v>
      </c>
      <c r="C193" t="s">
        <v>11198</v>
      </c>
      <c r="D193" t="str">
        <f>CONCATENATE(A193," : ",B193)</f>
        <v>C00258 : D-Glycerate</v>
      </c>
    </row>
    <row r="194" spans="1:4" x14ac:dyDescent="0.25">
      <c r="A194" t="s">
        <v>10138</v>
      </c>
      <c r="B194" t="s">
        <v>10772</v>
      </c>
      <c r="C194" t="s">
        <v>11199</v>
      </c>
      <c r="D194" t="str">
        <f>CONCATENATE(A194," : ",B194)</f>
        <v>C00262 : Hypoxanthine</v>
      </c>
    </row>
    <row r="195" spans="1:4" x14ac:dyDescent="0.25">
      <c r="A195" t="s">
        <v>10112</v>
      </c>
      <c r="B195" t="s">
        <v>10773</v>
      </c>
      <c r="C195" t="s">
        <v>11200</v>
      </c>
      <c r="D195" t="str">
        <f>CONCATENATE(A195," : ",B195)</f>
        <v>C00263 : L-Homoserine</v>
      </c>
    </row>
    <row r="196" spans="1:4" x14ac:dyDescent="0.25">
      <c r="A196" t="s">
        <v>10199</v>
      </c>
      <c r="B196" t="s">
        <v>11641</v>
      </c>
      <c r="C196" t="s">
        <v>11632</v>
      </c>
      <c r="D196" t="str">
        <f>CONCATENATE(A196," : ",B196)</f>
        <v>C00264 : 3-Oxoacyl-CoA</v>
      </c>
    </row>
    <row r="197" spans="1:4" x14ac:dyDescent="0.25">
      <c r="A197" t="s">
        <v>16424</v>
      </c>
      <c r="B197" t="s">
        <v>16426</v>
      </c>
      <c r="C197" t="s">
        <v>16425</v>
      </c>
      <c r="D197" t="str">
        <f>CONCATENATE(A197," : ",B197)</f>
        <v>C00266 : Glycolaldehyde</v>
      </c>
    </row>
    <row r="198" spans="1:4" x14ac:dyDescent="0.25">
      <c r="A198" t="s">
        <v>8454</v>
      </c>
      <c r="B198" t="s">
        <v>10774</v>
      </c>
      <c r="C198" t="s">
        <v>11201</v>
      </c>
      <c r="D198" t="str">
        <f>CONCATENATE(A198," : ",B198)</f>
        <v xml:space="preserve">C00267 : alpha-D-Glucose </v>
      </c>
    </row>
    <row r="199" spans="1:4" x14ac:dyDescent="0.25">
      <c r="A199" t="s">
        <v>10047</v>
      </c>
      <c r="B199" t="s">
        <v>11646</v>
      </c>
      <c r="C199" t="s">
        <v>11633</v>
      </c>
      <c r="D199" t="str">
        <f>CONCATENATE(A199," : ",B199)</f>
        <v>C00268 : Dihydrobiopterin</v>
      </c>
    </row>
    <row r="200" spans="1:4" x14ac:dyDescent="0.25">
      <c r="A200" t="s">
        <v>10505</v>
      </c>
      <c r="B200" t="s">
        <v>10775</v>
      </c>
      <c r="C200" t="s">
        <v>11202</v>
      </c>
      <c r="D200" t="str">
        <f>CONCATENATE(A200," : ",B200)</f>
        <v>C00269 : CDP-diacylglycerol</v>
      </c>
    </row>
    <row r="201" spans="1:4" x14ac:dyDescent="0.25">
      <c r="A201" t="s">
        <v>10500</v>
      </c>
      <c r="B201" t="s">
        <v>10776</v>
      </c>
      <c r="C201" t="s">
        <v>11203</v>
      </c>
      <c r="D201" t="str">
        <f>CONCATENATE(A201," : ",B201)</f>
        <v>C00272 : Tetrahydrobiopterin</v>
      </c>
    </row>
    <row r="202" spans="1:4" x14ac:dyDescent="0.25">
      <c r="A202" t="s">
        <v>8250</v>
      </c>
      <c r="B202" t="s">
        <v>11647</v>
      </c>
      <c r="C202" t="s">
        <v>11634</v>
      </c>
      <c r="D202" t="str">
        <f>CONCATENATE(A202," : ",B202)</f>
        <v>C00275 : D-Mannose 6-phosphate</v>
      </c>
    </row>
    <row r="203" spans="1:4" x14ac:dyDescent="0.25">
      <c r="A203" t="s">
        <v>9996</v>
      </c>
      <c r="B203" t="s">
        <v>11648</v>
      </c>
      <c r="C203" t="s">
        <v>11635</v>
      </c>
      <c r="D203" t="str">
        <f>CONCATENATE(A203," : ",B203)</f>
        <v>C00279 : D-Erythrose 4-phosphate</v>
      </c>
    </row>
    <row r="204" spans="1:4" x14ac:dyDescent="0.25">
      <c r="A204" t="s">
        <v>9839</v>
      </c>
      <c r="B204" t="s">
        <v>10777</v>
      </c>
      <c r="C204" t="s">
        <v>11204</v>
      </c>
      <c r="D204" t="str">
        <f>CONCATENATE(A204," : ",B204)</f>
        <v xml:space="preserve">C00283 : Hydrogen Sulfide </v>
      </c>
    </row>
    <row r="205" spans="1:4" x14ac:dyDescent="0.25">
      <c r="A205" t="s">
        <v>9821</v>
      </c>
      <c r="B205" t="s">
        <v>10778</v>
      </c>
      <c r="C205" t="s">
        <v>11205</v>
      </c>
      <c r="D205" t="str">
        <f>CONCATENATE(A205," : ",B205)</f>
        <v>C00286 : dGTP</v>
      </c>
    </row>
    <row r="206" spans="1:4" x14ac:dyDescent="0.25">
      <c r="A206" t="s">
        <v>9985</v>
      </c>
      <c r="B206" t="s">
        <v>10779</v>
      </c>
      <c r="C206" t="s">
        <v>11206</v>
      </c>
      <c r="D206" t="str">
        <f>CONCATENATE(A206," : ",B206)</f>
        <v>C00288 : HCO3-</v>
      </c>
    </row>
    <row r="207" spans="1:4" x14ac:dyDescent="0.25">
      <c r="A207" t="s">
        <v>9859</v>
      </c>
      <c r="B207" t="s">
        <v>10780</v>
      </c>
      <c r="C207" t="s">
        <v>11207</v>
      </c>
      <c r="D207" t="str">
        <f>CONCATENATE(A207," : ",B207)</f>
        <v>C00294 : Inosine</v>
      </c>
    </row>
    <row r="208" spans="1:4" x14ac:dyDescent="0.25">
      <c r="A208" t="s">
        <v>10019</v>
      </c>
      <c r="B208" t="s">
        <v>10781</v>
      </c>
      <c r="C208" t="s">
        <v>11208</v>
      </c>
      <c r="D208" t="str">
        <f>CONCATENATE(A208," : ",B208)</f>
        <v>C00295 : Orotate</v>
      </c>
    </row>
    <row r="209" spans="1:4" x14ac:dyDescent="0.25">
      <c r="A209" t="s">
        <v>9857</v>
      </c>
      <c r="B209" t="s">
        <v>10782</v>
      </c>
      <c r="C209" t="s">
        <v>11209</v>
      </c>
      <c r="D209" t="str">
        <f>CONCATENATE(A209," : ",B209)</f>
        <v>C00299 : Uridine</v>
      </c>
    </row>
    <row r="210" spans="1:4" x14ac:dyDescent="0.25">
      <c r="A210" t="s">
        <v>10227</v>
      </c>
      <c r="B210" t="s">
        <v>10783</v>
      </c>
      <c r="C210" t="s">
        <v>11210</v>
      </c>
      <c r="D210" t="str">
        <f>CONCATENATE(A210," : ",B210)</f>
        <v>C00301 : ADP-ribose</v>
      </c>
    </row>
    <row r="211" spans="1:4" x14ac:dyDescent="0.25">
      <c r="A211" t="s">
        <v>10368</v>
      </c>
      <c r="B211" t="s">
        <v>10784</v>
      </c>
      <c r="C211" t="s">
        <v>11211</v>
      </c>
      <c r="D211" t="str">
        <f>CONCATENATE(A211," : ",B211)</f>
        <v xml:space="preserve">C00302 : Glutamate </v>
      </c>
    </row>
    <row r="212" spans="1:4" x14ac:dyDescent="0.25">
      <c r="A212" t="s">
        <v>10192</v>
      </c>
      <c r="B212" t="s">
        <v>11649</v>
      </c>
      <c r="C212" t="s">
        <v>11642</v>
      </c>
      <c r="D212" t="str">
        <f>CONCATENATE(A212," : ",B212)</f>
        <v>C00305 : Magnesium cation</v>
      </c>
    </row>
    <row r="213" spans="1:4" x14ac:dyDescent="0.25">
      <c r="A213" t="s">
        <v>10518</v>
      </c>
      <c r="B213" t="s">
        <v>11650</v>
      </c>
      <c r="C213" t="s">
        <v>11643</v>
      </c>
      <c r="D213" t="str">
        <f>CONCATENATE(A213," : ",B213)</f>
        <v>C00310 : D-Xylulose</v>
      </c>
    </row>
    <row r="214" spans="1:4" x14ac:dyDescent="0.25">
      <c r="A214" t="s">
        <v>8156</v>
      </c>
      <c r="B214" t="s">
        <v>11651</v>
      </c>
      <c r="C214" t="s">
        <v>11644</v>
      </c>
      <c r="D214" t="str">
        <f>CONCATENATE(A214," : ",B214)</f>
        <v>C00311 : Isocitrate</v>
      </c>
    </row>
    <row r="215" spans="1:4" x14ac:dyDescent="0.25">
      <c r="A215" t="s">
        <v>10064</v>
      </c>
      <c r="B215" t="s">
        <v>11652</v>
      </c>
      <c r="C215" t="s">
        <v>11645</v>
      </c>
      <c r="D215" t="str">
        <f>CONCATENATE(A215," : ",B215)</f>
        <v>C00315 : Spermidine</v>
      </c>
    </row>
    <row r="216" spans="1:4" x14ac:dyDescent="0.25">
      <c r="A216" t="s">
        <v>9844</v>
      </c>
      <c r="B216" t="s">
        <v>10785</v>
      </c>
      <c r="C216" t="s">
        <v>11212</v>
      </c>
      <c r="D216" t="str">
        <f>CONCATENATE(A216," : ",B216)</f>
        <v>C00320 : Thiosulfate</v>
      </c>
    </row>
    <row r="217" spans="1:4" x14ac:dyDescent="0.25">
      <c r="A217" t="s">
        <v>10119</v>
      </c>
      <c r="B217" t="s">
        <v>11657</v>
      </c>
      <c r="C217" t="s">
        <v>11653</v>
      </c>
      <c r="D217" t="str">
        <f>CONCATENATE(A217," : ",B217)</f>
        <v>C00322 : 2-Oxoadipate</v>
      </c>
    </row>
    <row r="218" spans="1:4" x14ac:dyDescent="0.25">
      <c r="A218" t="s">
        <v>10189</v>
      </c>
      <c r="B218" t="s">
        <v>11658</v>
      </c>
      <c r="C218" t="s">
        <v>11654</v>
      </c>
      <c r="D218" t="str">
        <f>CONCATENATE(A218," : ",B218)</f>
        <v>C00325 : GDP-L-fucose</v>
      </c>
    </row>
    <row r="219" spans="1:4" x14ac:dyDescent="0.25">
      <c r="A219" t="s">
        <v>9981</v>
      </c>
      <c r="B219" t="s">
        <v>11659</v>
      </c>
      <c r="C219" t="s">
        <v>11655</v>
      </c>
      <c r="D219" t="str">
        <f>CONCATENATE(A219," : ",B219)</f>
        <v>C00327 : L-Citrulline</v>
      </c>
    </row>
    <row r="220" spans="1:4" x14ac:dyDescent="0.25">
      <c r="A220" t="s">
        <v>9873</v>
      </c>
      <c r="B220" t="s">
        <v>10786</v>
      </c>
      <c r="C220" t="s">
        <v>11213</v>
      </c>
      <c r="D220" t="str">
        <f>CONCATENATE(A220," : ",B220)</f>
        <v>C00330 : Deoxyguanosine</v>
      </c>
    </row>
    <row r="221" spans="1:4" x14ac:dyDescent="0.25">
      <c r="A221" t="s">
        <v>10196</v>
      </c>
      <c r="B221" t="s">
        <v>10787</v>
      </c>
      <c r="C221" t="s">
        <v>11214</v>
      </c>
      <c r="D221" t="str">
        <f>CONCATENATE(A221," : ",B221)</f>
        <v>C00332 : Acetoacetyl-CoA</v>
      </c>
    </row>
    <row r="222" spans="1:4" x14ac:dyDescent="0.25">
      <c r="A222" t="s">
        <v>10224</v>
      </c>
      <c r="B222" t="s">
        <v>11660</v>
      </c>
      <c r="C222" t="s">
        <v>11656</v>
      </c>
      <c r="D222" t="str">
        <f>CONCATENATE(A222," : ",B222)</f>
        <v>C00334 : 4-Aminobutanoate</v>
      </c>
    </row>
    <row r="223" spans="1:4" x14ac:dyDescent="0.25">
      <c r="A223" t="s">
        <v>10463</v>
      </c>
      <c r="B223" t="s">
        <v>10788</v>
      </c>
      <c r="C223" t="s">
        <v>11215</v>
      </c>
      <c r="D223" t="str">
        <f>CONCATENATE(A223," : ",B223)</f>
        <v>C00337 : (S)-Dihydroorotate</v>
      </c>
    </row>
    <row r="224" spans="1:4" x14ac:dyDescent="0.25">
      <c r="A224" t="s">
        <v>9845</v>
      </c>
      <c r="B224" t="s">
        <v>10789</v>
      </c>
      <c r="C224" t="s">
        <v>11216</v>
      </c>
      <c r="D224" t="str">
        <f>CONCATENATE(A224," : ",B224)</f>
        <v>C00342 : Thioredoxin</v>
      </c>
    </row>
    <row r="225" spans="1:4" x14ac:dyDescent="0.25">
      <c r="A225" t="s">
        <v>9848</v>
      </c>
      <c r="B225" t="s">
        <v>10790</v>
      </c>
      <c r="C225" t="s">
        <v>11217</v>
      </c>
      <c r="D225" t="str">
        <f>CONCATENATE(A225," : ",B225)</f>
        <v xml:space="preserve">C00343 : Thioredoxin disulfide </v>
      </c>
    </row>
    <row r="226" spans="1:4" x14ac:dyDescent="0.25">
      <c r="A226" t="s">
        <v>8487</v>
      </c>
      <c r="B226" t="s">
        <v>10791</v>
      </c>
      <c r="C226" t="s">
        <v>11218</v>
      </c>
      <c r="D226" t="str">
        <f>CONCATENATE(A226," : ",B226)</f>
        <v>C00352 : D-Glucosamine 6-phosphate</v>
      </c>
    </row>
    <row r="227" spans="1:4" x14ac:dyDescent="0.25">
      <c r="A227" t="s">
        <v>8285</v>
      </c>
      <c r="B227" t="s">
        <v>11661</v>
      </c>
      <c r="C227" t="s">
        <v>11662</v>
      </c>
      <c r="D227" t="str">
        <f>CONCATENATE(A227," : ",B227)</f>
        <v>C00353 : Geranylgeranyl diphosphate</v>
      </c>
    </row>
    <row r="228" spans="1:4" x14ac:dyDescent="0.25">
      <c r="A228" t="s">
        <v>8147</v>
      </c>
      <c r="B228" t="s">
        <v>10792</v>
      </c>
      <c r="C228" t="s">
        <v>11219</v>
      </c>
      <c r="D228" t="str">
        <f>CONCATENATE(A228," : ",B228)</f>
        <v>C00354 : D-Fructose 1,6-bisphosphate</v>
      </c>
    </row>
    <row r="229" spans="1:4" x14ac:dyDescent="0.25">
      <c r="A229" t="s">
        <v>8359</v>
      </c>
      <c r="B229" t="s">
        <v>10793</v>
      </c>
      <c r="C229" t="s">
        <v>11220</v>
      </c>
      <c r="D229" t="str">
        <f>CONCATENATE(A229," : ",B229)</f>
        <v>C00356 : (S)-3-Hydroxy-3-methylglutaryl-CoA</v>
      </c>
    </row>
    <row r="230" spans="1:4" x14ac:dyDescent="0.25">
      <c r="A230" t="s">
        <v>10228</v>
      </c>
      <c r="B230" t="s">
        <v>10794</v>
      </c>
      <c r="C230" t="s">
        <v>11221</v>
      </c>
      <c r="D230" t="str">
        <f>CONCATENATE(A230," : ",B230)</f>
        <v>C00357 : N-Acetyl-D-glucosamine 6-phosphate</v>
      </c>
    </row>
    <row r="231" spans="1:4" x14ac:dyDescent="0.25">
      <c r="A231" t="s">
        <v>9874</v>
      </c>
      <c r="B231" t="s">
        <v>10795</v>
      </c>
      <c r="C231" t="s">
        <v>11222</v>
      </c>
      <c r="D231" t="str">
        <f>CONCATENATE(A231," : ",B231)</f>
        <v>C00360 : dAMP</v>
      </c>
    </row>
    <row r="232" spans="1:4" x14ac:dyDescent="0.25">
      <c r="A232" t="s">
        <v>9834</v>
      </c>
      <c r="B232" t="s">
        <v>10796</v>
      </c>
      <c r="C232" t="s">
        <v>11223</v>
      </c>
      <c r="D232" t="str">
        <f>CONCATENATE(A232," : ",B232)</f>
        <v>C00361 : dGDP</v>
      </c>
    </row>
    <row r="233" spans="1:4" x14ac:dyDescent="0.25">
      <c r="A233" t="s">
        <v>9872</v>
      </c>
      <c r="B233" t="s">
        <v>10797</v>
      </c>
      <c r="C233" t="s">
        <v>11224</v>
      </c>
      <c r="D233" t="str">
        <f>CONCATENATE(A233," : ",B233)</f>
        <v>C00362 : dGMP</v>
      </c>
    </row>
    <row r="234" spans="1:4" x14ac:dyDescent="0.25">
      <c r="A234" t="s">
        <v>10105</v>
      </c>
      <c r="B234" t="s">
        <v>11663</v>
      </c>
      <c r="C234" t="s">
        <v>11664</v>
      </c>
      <c r="D234" t="str">
        <f>CONCATENATE(A234," : ",B234)</f>
        <v>C00363 : dTDP</v>
      </c>
    </row>
    <row r="235" spans="1:4" x14ac:dyDescent="0.25">
      <c r="A235" t="s">
        <v>9868</v>
      </c>
      <c r="B235" t="s">
        <v>10798</v>
      </c>
      <c r="C235" t="s">
        <v>11225</v>
      </c>
      <c r="D235" t="str">
        <f>CONCATENATE(A235," : ",B235)</f>
        <v>C00364 : dTMP</v>
      </c>
    </row>
    <row r="236" spans="1:4" x14ac:dyDescent="0.25">
      <c r="A236" t="s">
        <v>9876</v>
      </c>
      <c r="B236" t="s">
        <v>10799</v>
      </c>
      <c r="C236" t="s">
        <v>11226</v>
      </c>
      <c r="D236" t="str">
        <f>CONCATENATE(A236," : ",B236)</f>
        <v>C00365 : dUMP</v>
      </c>
    </row>
    <row r="237" spans="1:4" x14ac:dyDescent="0.25">
      <c r="A237" t="s">
        <v>8399</v>
      </c>
      <c r="B237" t="s">
        <v>10800</v>
      </c>
      <c r="C237" t="s">
        <v>11227</v>
      </c>
      <c r="D237" t="str">
        <f>CONCATENATE(A237," : ",B237)</f>
        <v>C00369 : Starch</v>
      </c>
    </row>
    <row r="238" spans="1:4" x14ac:dyDescent="0.25">
      <c r="A238" t="s">
        <v>10544</v>
      </c>
      <c r="B238" t="s">
        <v>10801</v>
      </c>
      <c r="C238" t="s">
        <v>11228</v>
      </c>
      <c r="D238" t="str">
        <f>CONCATENATE(A238," : ",B238)</f>
        <v>C00376 : Retinal</v>
      </c>
    </row>
    <row r="239" spans="1:4" x14ac:dyDescent="0.25">
      <c r="A239" t="s">
        <v>10010</v>
      </c>
      <c r="B239" t="s">
        <v>10802</v>
      </c>
      <c r="C239" t="s">
        <v>11229</v>
      </c>
      <c r="D239" t="str">
        <f>CONCATENATE(A239," : ",B239)</f>
        <v>C00378 : Thiamine</v>
      </c>
    </row>
    <row r="240" spans="1:4" x14ac:dyDescent="0.25">
      <c r="A240" t="s">
        <v>10517</v>
      </c>
      <c r="B240" t="s">
        <v>11668</v>
      </c>
      <c r="C240" t="s">
        <v>11665</v>
      </c>
      <c r="D240" t="str">
        <f>CONCATENATE(A240," : ",B240)</f>
        <v>C00379 : Xylitol</v>
      </c>
    </row>
    <row r="241" spans="1:4" x14ac:dyDescent="0.25">
      <c r="A241" t="s">
        <v>10000</v>
      </c>
      <c r="B241" t="s">
        <v>11669</v>
      </c>
      <c r="C241" t="s">
        <v>11670</v>
      </c>
      <c r="D241" t="str">
        <f>CONCATENATE(A241," : ",B241)</f>
        <v>C00380 : Cytosine</v>
      </c>
    </row>
    <row r="242" spans="1:4" x14ac:dyDescent="0.25">
      <c r="A242" t="s">
        <v>10140</v>
      </c>
      <c r="B242" t="s">
        <v>10803</v>
      </c>
      <c r="C242" t="s">
        <v>11230</v>
      </c>
      <c r="D242" t="str">
        <f>CONCATENATE(A242," : ",B242)</f>
        <v>C00385 : Xanthine</v>
      </c>
    </row>
    <row r="243" spans="1:4" x14ac:dyDescent="0.25">
      <c r="A243" t="s">
        <v>9861</v>
      </c>
      <c r="B243" t="s">
        <v>10804</v>
      </c>
      <c r="C243" t="s">
        <v>11231</v>
      </c>
      <c r="D243" t="str">
        <f>CONCATENATE(A243," : ",B243)</f>
        <v xml:space="preserve">C00387 : Guanosine </v>
      </c>
    </row>
    <row r="244" spans="1:4" x14ac:dyDescent="0.25">
      <c r="A244" t="s">
        <v>10472</v>
      </c>
      <c r="B244" t="s">
        <v>11671</v>
      </c>
      <c r="C244" t="s">
        <v>11666</v>
      </c>
      <c r="D244" t="str">
        <f>CONCATENATE(A244," : ",B244)</f>
        <v>C00390 : Ubiquinol</v>
      </c>
    </row>
    <row r="245" spans="1:4" x14ac:dyDescent="0.25">
      <c r="A245" t="s">
        <v>10051</v>
      </c>
      <c r="B245" t="s">
        <v>11672</v>
      </c>
      <c r="C245" t="s">
        <v>11667</v>
      </c>
      <c r="D245" t="str">
        <f>CONCATENATE(A245," : ",B245)</f>
        <v>C00395 : Penicillin</v>
      </c>
    </row>
    <row r="246" spans="1:4" x14ac:dyDescent="0.25">
      <c r="A246" t="s">
        <v>10002</v>
      </c>
      <c r="B246" t="s">
        <v>11673</v>
      </c>
      <c r="C246" t="s">
        <v>12623</v>
      </c>
      <c r="D246" t="str">
        <f>CONCATENATE(A246," : ",B246)</f>
        <v>C00396 : Pyrimidine</v>
      </c>
    </row>
    <row r="247" spans="1:4" x14ac:dyDescent="0.25">
      <c r="A247" t="s">
        <v>10471</v>
      </c>
      <c r="B247" t="s">
        <v>11674</v>
      </c>
      <c r="C247" t="s">
        <v>11675</v>
      </c>
      <c r="D247" t="str">
        <f>CONCATENATE(A247," : ",B247)</f>
        <v>C00399 : Ubiquinone</v>
      </c>
    </row>
    <row r="248" spans="1:4" x14ac:dyDescent="0.25">
      <c r="A248" t="s">
        <v>10502</v>
      </c>
      <c r="B248" t="s">
        <v>10805</v>
      </c>
      <c r="C248" t="s">
        <v>12704</v>
      </c>
      <c r="D248" t="str">
        <f>CONCATENATE(A248," : ",B248)</f>
        <v>C00407 : L-Isoleucine</v>
      </c>
    </row>
    <row r="249" spans="1:4" x14ac:dyDescent="0.25">
      <c r="A249" t="s">
        <v>10350</v>
      </c>
      <c r="B249" t="s">
        <v>11683</v>
      </c>
      <c r="C249" t="s">
        <v>11676</v>
      </c>
      <c r="D249" t="str">
        <f>CONCATENATE(A249," : ",B249)</f>
        <v>C00409 : Methanethiol</v>
      </c>
    </row>
    <row r="250" spans="1:4" x14ac:dyDescent="0.25">
      <c r="A250" t="s">
        <v>10131</v>
      </c>
      <c r="B250" t="s">
        <v>10806</v>
      </c>
      <c r="C250" t="s">
        <v>11232</v>
      </c>
      <c r="D250" t="str">
        <f>CONCATENATE(A250," : ",B250)</f>
        <v>C00415 : Dihydrofolate</v>
      </c>
    </row>
    <row r="251" spans="1:4" x14ac:dyDescent="0.25">
      <c r="A251" t="s">
        <v>10169</v>
      </c>
      <c r="B251" t="s">
        <v>10807</v>
      </c>
      <c r="C251" t="s">
        <v>11233</v>
      </c>
      <c r="D251" t="str">
        <f>CONCATENATE(A251," : ",B251)</f>
        <v>C00416 : Phosphatidate</v>
      </c>
    </row>
    <row r="252" spans="1:4" x14ac:dyDescent="0.25">
      <c r="A252" t="s">
        <v>10490</v>
      </c>
      <c r="B252" t="s">
        <v>11684</v>
      </c>
      <c r="C252" t="s">
        <v>11677</v>
      </c>
      <c r="D252" t="str">
        <f>CONCATENATE(A252," : ",B252)</f>
        <v>C00417 : cis-Aconitate</v>
      </c>
    </row>
    <row r="253" spans="1:4" x14ac:dyDescent="0.25">
      <c r="A253" t="s">
        <v>10568</v>
      </c>
      <c r="B253" t="s">
        <v>10808</v>
      </c>
      <c r="C253" t="s">
        <v>11234</v>
      </c>
      <c r="D253" t="str">
        <f>CONCATENATE(A253," : ",B253)</f>
        <v>C00418 : ( R )-Mevalonate</v>
      </c>
    </row>
    <row r="254" spans="1:4" x14ac:dyDescent="0.25">
      <c r="A254" t="s">
        <v>10359</v>
      </c>
      <c r="B254" t="s">
        <v>11685</v>
      </c>
      <c r="C254" t="s">
        <v>11678</v>
      </c>
      <c r="D254" t="str">
        <f>CONCATENATE(A254," : ",B254)</f>
        <v>C00424 : ( S )-Lactaldehyde</v>
      </c>
    </row>
    <row r="255" spans="1:4" x14ac:dyDescent="0.25">
      <c r="A255" t="s">
        <v>8194</v>
      </c>
      <c r="B255" t="s">
        <v>11686</v>
      </c>
      <c r="C255" t="s">
        <v>11679</v>
      </c>
      <c r="D255" t="str">
        <f>CONCATENATE(A255," : ",B255)</f>
        <v>C00430 : 5-Aminolevulinate</v>
      </c>
    </row>
    <row r="256" spans="1:4" x14ac:dyDescent="0.25">
      <c r="A256" t="s">
        <v>10317</v>
      </c>
      <c r="B256" t="s">
        <v>11687</v>
      </c>
      <c r="C256" t="s">
        <v>11680</v>
      </c>
      <c r="D256" t="str">
        <f>CONCATENATE(A256," : ",B256)</f>
        <v>C00433 : 2,5-Dioxopentanoate</v>
      </c>
    </row>
    <row r="257" spans="1:4" x14ac:dyDescent="0.25">
      <c r="A257" t="s">
        <v>10171</v>
      </c>
      <c r="B257" t="s">
        <v>11688</v>
      </c>
      <c r="C257" t="s">
        <v>11681</v>
      </c>
      <c r="D257" t="str">
        <f>CONCATENATE(A257," : ",B257)</f>
        <v>C00437 : N-Acetylornithine</v>
      </c>
    </row>
    <row r="258" spans="1:4" x14ac:dyDescent="0.25">
      <c r="A258" t="s">
        <v>8585</v>
      </c>
      <c r="B258" t="s">
        <v>10809</v>
      </c>
      <c r="C258" t="s">
        <v>11235</v>
      </c>
      <c r="D258" t="str">
        <f>CONCATENATE(A258," : ",B258)</f>
        <v>C00438 : N-Carbamoyl-L-aspartate</v>
      </c>
    </row>
    <row r="259" spans="1:4" x14ac:dyDescent="0.25">
      <c r="A259" t="s">
        <v>9900</v>
      </c>
      <c r="B259" t="s">
        <v>11689</v>
      </c>
      <c r="C259" t="s">
        <v>11682</v>
      </c>
      <c r="D259" t="str">
        <f>CONCATENATE(A259," : ",B259)</f>
        <v>C00440 : 5-Methyltetrahydrofolate</v>
      </c>
    </row>
    <row r="260" spans="1:4" x14ac:dyDescent="0.25">
      <c r="A260" t="s">
        <v>10330</v>
      </c>
      <c r="B260" t="s">
        <v>10810</v>
      </c>
      <c r="C260" t="s">
        <v>11236</v>
      </c>
      <c r="D260" t="str">
        <f>CONCATENATE(A260," : ",B260)</f>
        <v>C00441 : L-Aspartate 4-semialdehyde</v>
      </c>
    </row>
    <row r="261" spans="1:4" x14ac:dyDescent="0.25">
      <c r="A261" t="s">
        <v>10104</v>
      </c>
      <c r="B261" t="s">
        <v>10811</v>
      </c>
      <c r="C261" t="s">
        <v>11237</v>
      </c>
      <c r="D261" t="str">
        <f>CONCATENATE(A261," : ",B261)</f>
        <v>C00445 : 5,10-Methenyltetrahydrofolate</v>
      </c>
    </row>
    <row r="262" spans="1:4" x14ac:dyDescent="0.25">
      <c r="A262" t="s">
        <v>10348</v>
      </c>
      <c r="B262" t="s">
        <v>10812</v>
      </c>
      <c r="C262" t="s">
        <v>11238</v>
      </c>
      <c r="D262" t="str">
        <f>CONCATENATE(A262," : ",B262)</f>
        <v xml:space="preserve">C00446 : alpha-D-Galactose 1-phosphate </v>
      </c>
    </row>
    <row r="263" spans="1:4" x14ac:dyDescent="0.25">
      <c r="A263" t="s">
        <v>8149</v>
      </c>
      <c r="B263" t="s">
        <v>10813</v>
      </c>
      <c r="C263" t="s">
        <v>11239</v>
      </c>
      <c r="D263" t="str">
        <f>CONCATENATE(A263," : ",B263)</f>
        <v>C00447 : Sedoheptulose 1,7-bisphosphate</v>
      </c>
    </row>
    <row r="264" spans="1:4" x14ac:dyDescent="0.25">
      <c r="A264" t="s">
        <v>9922</v>
      </c>
      <c r="B264" t="s">
        <v>11690</v>
      </c>
      <c r="C264" t="s">
        <v>11691</v>
      </c>
      <c r="D264" t="str">
        <f>CONCATENATE(A264," : ",B264)</f>
        <v>C00448 : trans, trans-Farnesyl diphosphate</v>
      </c>
    </row>
    <row r="265" spans="1:4" x14ac:dyDescent="0.25">
      <c r="A265" t="s">
        <v>9835</v>
      </c>
      <c r="B265" t="s">
        <v>10814</v>
      </c>
      <c r="C265" t="s">
        <v>11240</v>
      </c>
      <c r="D265" t="str">
        <f>CONCATENATE(A265," : ",B265)</f>
        <v>C00454 : NDP</v>
      </c>
    </row>
    <row r="266" spans="1:4" x14ac:dyDescent="0.25">
      <c r="A266" t="s">
        <v>9862</v>
      </c>
      <c r="B266" t="s">
        <v>10815</v>
      </c>
      <c r="C266" t="s">
        <v>11241</v>
      </c>
      <c r="D266" t="str">
        <f>CONCATENATE(A266," : ",B266)</f>
        <v>C00455 : Nicotinamide-D-ribonucleotide</v>
      </c>
    </row>
    <row r="267" spans="1:4" x14ac:dyDescent="0.25">
      <c r="A267" t="s">
        <v>9822</v>
      </c>
      <c r="B267" t="s">
        <v>10816</v>
      </c>
      <c r="C267" t="s">
        <v>11242</v>
      </c>
      <c r="D267" t="str">
        <f>CONCATENATE(A267," : ",B267)</f>
        <v>C00458 : dCTP</v>
      </c>
    </row>
    <row r="268" spans="1:4" x14ac:dyDescent="0.25">
      <c r="A268" t="s">
        <v>9823</v>
      </c>
      <c r="B268" t="s">
        <v>10817</v>
      </c>
      <c r="C268" t="s">
        <v>11243</v>
      </c>
      <c r="D268" t="str">
        <f>CONCATENATE(A268," : ",B268)</f>
        <v>C00459 : dTTP</v>
      </c>
    </row>
    <row r="269" spans="1:4" x14ac:dyDescent="0.25">
      <c r="A269" t="s">
        <v>10585</v>
      </c>
      <c r="B269" t="s">
        <v>10818</v>
      </c>
      <c r="C269" t="s">
        <v>11244</v>
      </c>
      <c r="D269" t="str">
        <f>CONCATENATE(A269," : ",B269)</f>
        <v>C00460 : dUTP</v>
      </c>
    </row>
    <row r="270" spans="1:4" x14ac:dyDescent="0.25">
      <c r="A270" t="s">
        <v>16427</v>
      </c>
      <c r="B270" t="s">
        <v>16428</v>
      </c>
      <c r="C270" t="s">
        <v>16429</v>
      </c>
      <c r="D270" t="str">
        <f>CONCATENATE(A270," : ",B270)</f>
        <v>C00463 : Indole</v>
      </c>
    </row>
    <row r="271" spans="1:4" x14ac:dyDescent="0.25">
      <c r="A271" t="s">
        <v>10542</v>
      </c>
      <c r="B271" t="s">
        <v>10819</v>
      </c>
      <c r="C271" t="s">
        <v>11245</v>
      </c>
      <c r="D271" t="str">
        <f>CONCATENATE(A271," : ",B271)</f>
        <v>C00469 : Ethanol</v>
      </c>
    </row>
    <row r="272" spans="1:4" x14ac:dyDescent="0.25">
      <c r="A272" t="s">
        <v>10543</v>
      </c>
      <c r="B272" t="s">
        <v>10820</v>
      </c>
      <c r="C272" t="s">
        <v>11246</v>
      </c>
      <c r="D272" t="str">
        <f>CONCATENATE(A272," : ",B272)</f>
        <v>C00473 : Retinol</v>
      </c>
    </row>
    <row r="273" spans="1:4" x14ac:dyDescent="0.25">
      <c r="A273" t="s">
        <v>9855</v>
      </c>
      <c r="B273" t="s">
        <v>10821</v>
      </c>
      <c r="C273" t="s">
        <v>11247</v>
      </c>
      <c r="D273" t="str">
        <f>CONCATENATE(A273," : ",B273)</f>
        <v>C00475 : Cytidine</v>
      </c>
    </row>
    <row r="274" spans="1:4" x14ac:dyDescent="0.25">
      <c r="A274" t="s">
        <v>10448</v>
      </c>
      <c r="B274" t="s">
        <v>11694</v>
      </c>
      <c r="C274" t="s">
        <v>11692</v>
      </c>
      <c r="D274" t="str">
        <f>CONCATENATE(A274," : ",B274)</f>
        <v>C00490 : Itaconate</v>
      </c>
    </row>
    <row r="275" spans="1:4" x14ac:dyDescent="0.25">
      <c r="A275" t="s">
        <v>10117</v>
      </c>
      <c r="B275" t="s">
        <v>11695</v>
      </c>
      <c r="C275" t="s">
        <v>11693</v>
      </c>
      <c r="D275" t="str">
        <f>CONCATENATE(A275," : ",B275)</f>
        <v>C00493 : Shikimate</v>
      </c>
    </row>
    <row r="276" spans="1:4" x14ac:dyDescent="0.25">
      <c r="A276" t="s">
        <v>10055</v>
      </c>
      <c r="B276" t="s">
        <v>10822</v>
      </c>
      <c r="C276" t="s">
        <v>11248</v>
      </c>
      <c r="D276" t="str">
        <f>CONCATENATE(A276," : ",B276)</f>
        <v>C00498 : ADP-glucose</v>
      </c>
    </row>
    <row r="277" spans="1:4" x14ac:dyDescent="0.25">
      <c r="A277" t="s">
        <v>10369</v>
      </c>
      <c r="B277" t="s">
        <v>10823</v>
      </c>
      <c r="C277" t="s">
        <v>11249</v>
      </c>
      <c r="D277" t="str">
        <f>CONCATENATE(A277," : ",B277)</f>
        <v>C00506 : L-Cysteate</v>
      </c>
    </row>
    <row r="278" spans="1:4" x14ac:dyDescent="0.25">
      <c r="A278" t="s">
        <v>9993</v>
      </c>
      <c r="B278" t="s">
        <v>11701</v>
      </c>
      <c r="C278" t="s">
        <v>11696</v>
      </c>
      <c r="D278" t="str">
        <f>CONCATENATE(A278," : ",B278)</f>
        <v>C00522 : (R)-Pantoate</v>
      </c>
    </row>
    <row r="279" spans="1:4" x14ac:dyDescent="0.25">
      <c r="A279" t="s">
        <v>9877</v>
      </c>
      <c r="B279" t="s">
        <v>10824</v>
      </c>
      <c r="C279" t="s">
        <v>11250</v>
      </c>
      <c r="D279" t="str">
        <f>CONCATENATE(A279," : ",B279)</f>
        <v>C00526 : Deoxyuridine</v>
      </c>
    </row>
    <row r="280" spans="1:4" x14ac:dyDescent="0.25">
      <c r="A280" t="s">
        <v>9979</v>
      </c>
      <c r="B280" t="s">
        <v>11707</v>
      </c>
      <c r="C280" t="s">
        <v>11697</v>
      </c>
      <c r="D280" t="str">
        <f>CONCATENATE(A280," : ",B280)</f>
        <v>C00527 : Glutaryl-CoA</v>
      </c>
    </row>
    <row r="281" spans="1:4" x14ac:dyDescent="0.25">
      <c r="A281" t="s">
        <v>10449</v>
      </c>
      <c r="B281" t="s">
        <v>11708</v>
      </c>
      <c r="C281" t="s">
        <v>11698</v>
      </c>
      <c r="D281" t="str">
        <f>CONCATENATE(A281," : ",B281)</f>
        <v>C00531 : Itaconyl-CoA</v>
      </c>
    </row>
    <row r="282" spans="1:4" x14ac:dyDescent="0.25">
      <c r="A282" t="s">
        <v>10243</v>
      </c>
      <c r="B282" t="s">
        <v>11709</v>
      </c>
      <c r="C282" t="s">
        <v>11699</v>
      </c>
      <c r="D282" t="str">
        <f>CONCATENATE(A282," : ",B282)</f>
        <v>C00536 : Triphosphate</v>
      </c>
    </row>
    <row r="283" spans="1:4" x14ac:dyDescent="0.25">
      <c r="A283" t="s">
        <v>10241</v>
      </c>
      <c r="B283" t="s">
        <v>11710</v>
      </c>
      <c r="C283" t="s">
        <v>11700</v>
      </c>
      <c r="D283" t="str">
        <f>CONCATENATE(A283," : ",B283)</f>
        <v>C00541 : Cob(II)alamin</v>
      </c>
    </row>
    <row r="284" spans="1:4" x14ac:dyDescent="0.25">
      <c r="A284" t="s">
        <v>10362</v>
      </c>
      <c r="B284" t="s">
        <v>11711</v>
      </c>
      <c r="C284" t="s">
        <v>11702</v>
      </c>
      <c r="D284" t="str">
        <f>CONCATENATE(A284," : ",B284)</f>
        <v>C00542 : Cystathionine</v>
      </c>
    </row>
    <row r="285" spans="1:4" x14ac:dyDescent="0.25">
      <c r="A285" t="s">
        <v>9929</v>
      </c>
      <c r="B285" t="s">
        <v>11712</v>
      </c>
      <c r="C285" t="s">
        <v>11703</v>
      </c>
      <c r="D285" t="str">
        <f>CONCATENATE(A285," : ",B285)</f>
        <v>C00546 : Methylglyoxal</v>
      </c>
    </row>
    <row r="286" spans="1:4" x14ac:dyDescent="0.25">
      <c r="A286" t="s">
        <v>10294</v>
      </c>
      <c r="B286" t="s">
        <v>11713</v>
      </c>
      <c r="C286" t="s">
        <v>11704</v>
      </c>
      <c r="D286" t="str">
        <f>CONCATENATE(A286," : ",B286)</f>
        <v>C00555 : 4-Aminobutyraldehyde</v>
      </c>
    </row>
    <row r="287" spans="1:4" x14ac:dyDescent="0.25">
      <c r="A287" t="s">
        <v>9875</v>
      </c>
      <c r="B287" t="s">
        <v>10825</v>
      </c>
      <c r="C287" t="s">
        <v>11251</v>
      </c>
      <c r="D287" t="str">
        <f>CONCATENATE(A287," : ",B287)</f>
        <v>C00559 : Deoxyadenosine</v>
      </c>
    </row>
    <row r="288" spans="1:4" x14ac:dyDescent="0.25">
      <c r="A288" t="s">
        <v>10107</v>
      </c>
      <c r="B288" t="s">
        <v>11718</v>
      </c>
      <c r="C288" t="s">
        <v>11705</v>
      </c>
      <c r="D288" t="str">
        <f>CONCATENATE(A288," : ",B288)</f>
        <v>C00562 : Phosphoprotein</v>
      </c>
    </row>
    <row r="289" spans="1:4" x14ac:dyDescent="0.25">
      <c r="A289" t="s">
        <v>10380</v>
      </c>
      <c r="B289" t="s">
        <v>11719</v>
      </c>
      <c r="C289" t="s">
        <v>11706</v>
      </c>
      <c r="D289" t="str">
        <f>CONCATENATE(A289," : ",B289)</f>
        <v>C00568 : 4-Aminobenzoate</v>
      </c>
    </row>
    <row r="290" spans="1:4" x14ac:dyDescent="0.25">
      <c r="A290" t="s">
        <v>10280</v>
      </c>
      <c r="B290" t="s">
        <v>11720</v>
      </c>
      <c r="C290" t="s">
        <v>11714</v>
      </c>
      <c r="D290" t="str">
        <f>CONCATENATE(A290," : ",B290)</f>
        <v>C00575 : 3', 5'-Cyclic AMP</v>
      </c>
    </row>
    <row r="291" spans="1:4" x14ac:dyDescent="0.25">
      <c r="A291" t="s">
        <v>10561</v>
      </c>
      <c r="B291" t="s">
        <v>10826</v>
      </c>
      <c r="C291" t="s">
        <v>11252</v>
      </c>
      <c r="D291" t="str">
        <f>CONCATENATE(A291," : ",B291)</f>
        <v xml:space="preserve">C00576 : Betaine aldehyde </v>
      </c>
    </row>
    <row r="292" spans="1:4" x14ac:dyDescent="0.25">
      <c r="A292" t="s">
        <v>9997</v>
      </c>
      <c r="B292" t="s">
        <v>11721</v>
      </c>
      <c r="C292" t="s">
        <v>11715</v>
      </c>
      <c r="D292" t="str">
        <f>CONCATENATE(A292," : ",B292)</f>
        <v>C00577 : D-Glyceraldehyde</v>
      </c>
    </row>
    <row r="293" spans="1:4" x14ac:dyDescent="0.25">
      <c r="A293" t="s">
        <v>9938</v>
      </c>
      <c r="B293" t="s">
        <v>11722</v>
      </c>
      <c r="C293" t="s">
        <v>11716</v>
      </c>
      <c r="D293" t="str">
        <f>CONCATENATE(A293," : ",B293)</f>
        <v>C00579 : Dihydrolipoamide</v>
      </c>
    </row>
    <row r="294" spans="1:4" x14ac:dyDescent="0.25">
      <c r="A294" t="s">
        <v>10324</v>
      </c>
      <c r="B294" t="s">
        <v>11723</v>
      </c>
      <c r="C294" t="s">
        <v>11717</v>
      </c>
      <c r="D294" t="str">
        <f>CONCATENATE(A294," : ",B294)</f>
        <v>C00582 : Phenylacetyl-CoA</v>
      </c>
    </row>
    <row r="295" spans="1:4" x14ac:dyDescent="0.25">
      <c r="A295" t="s">
        <v>10434</v>
      </c>
      <c r="B295" t="s">
        <v>10827</v>
      </c>
      <c r="C295" t="s">
        <v>11253</v>
      </c>
      <c r="D295" t="str">
        <f>CONCATENATE(A295," : ",B295)</f>
        <v>C00585 : Protein tyrosine</v>
      </c>
    </row>
    <row r="296" spans="1:4" x14ac:dyDescent="0.25">
      <c r="A296" t="s">
        <v>10341</v>
      </c>
      <c r="B296" t="s">
        <v>10828</v>
      </c>
      <c r="C296" t="s">
        <v>11254</v>
      </c>
      <c r="D296" t="str">
        <f>CONCATENATE(A296," : ",B296)</f>
        <v>C00605 : 2,3-Dehydroacyl-CoA</v>
      </c>
    </row>
    <row r="297" spans="1:4" x14ac:dyDescent="0.25">
      <c r="A297" t="s">
        <v>10371</v>
      </c>
      <c r="B297" t="s">
        <v>10829</v>
      </c>
      <c r="C297" t="s">
        <v>11255</v>
      </c>
      <c r="D297" t="str">
        <f>CONCATENATE(A297," : ",B297)</f>
        <v>C00606 : 3-Sulfino-L-alanine</v>
      </c>
    </row>
    <row r="298" spans="1:4" x14ac:dyDescent="0.25">
      <c r="A298" t="s">
        <v>10581</v>
      </c>
      <c r="B298" t="s">
        <v>10830</v>
      </c>
      <c r="C298" t="s">
        <v>11256</v>
      </c>
      <c r="D298" t="str">
        <f>CONCATENATE(A298," : ",B298)</f>
        <v>C00615 : Protein histidine</v>
      </c>
    </row>
    <row r="299" spans="1:4" x14ac:dyDescent="0.25">
      <c r="A299" t="s">
        <v>8097</v>
      </c>
      <c r="B299" t="s">
        <v>11724</v>
      </c>
      <c r="C299" t="s">
        <v>11735</v>
      </c>
      <c r="D299" t="str">
        <f>CONCATENATE(A299," : ",B299)</f>
        <v>C00620 : alpha-D-Ribose 1-phosphate</v>
      </c>
    </row>
    <row r="300" spans="1:4" x14ac:dyDescent="0.25">
      <c r="A300" t="s">
        <v>9984</v>
      </c>
      <c r="B300" t="s">
        <v>11725</v>
      </c>
      <c r="C300" t="s">
        <v>11736</v>
      </c>
      <c r="D300" t="str">
        <f>CONCATENATE(A300," : ",B300)</f>
        <v>C00624 : N-Acetyl-L-glutamate</v>
      </c>
    </row>
    <row r="301" spans="1:4" x14ac:dyDescent="0.25">
      <c r="A301" t="s">
        <v>9914</v>
      </c>
      <c r="B301" t="s">
        <v>11726</v>
      </c>
      <c r="C301" t="s">
        <v>11737</v>
      </c>
      <c r="D301" t="str">
        <f>CONCATENATE(A301," : ",B301)</f>
        <v>C00630 : 2-Methylpropanoyl-CoA</v>
      </c>
    </row>
    <row r="302" spans="1:4" x14ac:dyDescent="0.25">
      <c r="A302" t="s">
        <v>8089</v>
      </c>
      <c r="B302" t="s">
        <v>10831</v>
      </c>
      <c r="C302" t="s">
        <v>11257</v>
      </c>
      <c r="D302" t="str">
        <f>CONCATENATE(A302," : ",B302)</f>
        <v>C00631 : 2-Phospho-D-glycerate</v>
      </c>
    </row>
    <row r="303" spans="1:4" x14ac:dyDescent="0.25">
      <c r="A303" t="s">
        <v>10590</v>
      </c>
      <c r="B303" t="s">
        <v>11727</v>
      </c>
      <c r="C303" t="s">
        <v>11738</v>
      </c>
      <c r="D303" t="str">
        <f>CONCATENATE(A303," : ",B303)</f>
        <v>C00632 : 3-Hydroxyanthranilate</v>
      </c>
    </row>
    <row r="304" spans="1:4" x14ac:dyDescent="0.25">
      <c r="A304" t="s">
        <v>10015</v>
      </c>
      <c r="B304" t="s">
        <v>11728</v>
      </c>
      <c r="C304" t="s">
        <v>11739</v>
      </c>
      <c r="D304" t="str">
        <f>CONCATENATE(A304," : ",B304)</f>
        <v>C00636 : D-Mannose 1-phosphate</v>
      </c>
    </row>
    <row r="305" spans="1:4" x14ac:dyDescent="0.25">
      <c r="A305" t="s">
        <v>10295</v>
      </c>
      <c r="B305" t="s">
        <v>11729</v>
      </c>
      <c r="C305" t="s">
        <v>11740</v>
      </c>
      <c r="D305" t="str">
        <f>CONCATENATE(A305," : ",B305)</f>
        <v>C00637 : Indole-3-acetaldehyde</v>
      </c>
    </row>
    <row r="306" spans="1:4" x14ac:dyDescent="0.25">
      <c r="A306" t="s">
        <v>10142</v>
      </c>
      <c r="B306" t="s">
        <v>11730</v>
      </c>
      <c r="C306" t="s">
        <v>11731</v>
      </c>
      <c r="D306" t="str">
        <f>CONCATENATE(A306," : ",B306)</f>
        <v>C00638 : Long-chain fatty acid</v>
      </c>
    </row>
    <row r="307" spans="1:4" x14ac:dyDescent="0.25">
      <c r="A307" t="s">
        <v>8116</v>
      </c>
      <c r="B307" t="s">
        <v>11732</v>
      </c>
      <c r="C307" t="s">
        <v>11741</v>
      </c>
      <c r="D307" t="str">
        <f>CONCATENATE(A307," : ",B307)</f>
        <v>C00640 : ( S )-3-Hydroxyacyl-CoA</v>
      </c>
    </row>
    <row r="308" spans="1:4" x14ac:dyDescent="0.25">
      <c r="A308" t="s">
        <v>10168</v>
      </c>
      <c r="B308" t="s">
        <v>11733</v>
      </c>
      <c r="C308" t="s">
        <v>11742</v>
      </c>
      <c r="D308" t="str">
        <f>CONCATENATE(A308," : ",B308)</f>
        <v>C00641 : 1,2-Diacyl-sn-glycerol</v>
      </c>
    </row>
    <row r="309" spans="1:4" x14ac:dyDescent="0.25">
      <c r="A309" t="s">
        <v>10326</v>
      </c>
      <c r="B309" t="s">
        <v>11734</v>
      </c>
      <c r="C309" t="s">
        <v>11743</v>
      </c>
      <c r="D309" t="str">
        <f>CONCATENATE(A309," : ",B309)</f>
        <v>C00642 : 4-Hydroxyphenylacetate</v>
      </c>
    </row>
    <row r="310" spans="1:4" x14ac:dyDescent="0.25">
      <c r="A310" t="s">
        <v>10133</v>
      </c>
      <c r="B310" t="s">
        <v>10832</v>
      </c>
      <c r="C310" t="s">
        <v>11258</v>
      </c>
      <c r="D310" t="str">
        <f>CONCATENATE(A310," : ",B310)</f>
        <v>C00645 : N-Acetyl-D-mannosamine</v>
      </c>
    </row>
    <row r="311" spans="1:4" x14ac:dyDescent="0.25">
      <c r="A311" t="s">
        <v>9864</v>
      </c>
      <c r="B311" t="s">
        <v>10833</v>
      </c>
      <c r="C311" t="s">
        <v>11259</v>
      </c>
      <c r="D311" t="str">
        <f>CONCATENATE(A311," : ",B311)</f>
        <v>C00655 : Xanthosine 5'-phosphate</v>
      </c>
    </row>
    <row r="312" spans="1:4" x14ac:dyDescent="0.25">
      <c r="A312" t="s">
        <v>9961</v>
      </c>
      <c r="B312" t="s">
        <v>12218</v>
      </c>
      <c r="C312" t="s">
        <v>11744</v>
      </c>
      <c r="D312" t="str">
        <f>CONCATENATE(A312," : ",B312)</f>
        <v>C00658 : trans-2,3-Dehydroacyl-CoA</v>
      </c>
    </row>
    <row r="313" spans="1:4" x14ac:dyDescent="0.25">
      <c r="A313" t="s">
        <v>8369</v>
      </c>
      <c r="B313" t="s">
        <v>10834</v>
      </c>
      <c r="C313" t="s">
        <v>11260</v>
      </c>
      <c r="D313" t="str">
        <f>CONCATENATE(A313," : ",B313)</f>
        <v xml:space="preserve">C00668 : alpha-D-Glucose 6-phosphate </v>
      </c>
    </row>
    <row r="314" spans="1:4" x14ac:dyDescent="0.25">
      <c r="A314" t="s">
        <v>10632</v>
      </c>
      <c r="B314" t="s">
        <v>12219</v>
      </c>
      <c r="C314" t="s">
        <v>11745</v>
      </c>
      <c r="D314" t="str">
        <f>CONCATENATE(A314," : ",B314)</f>
        <v>C00670 : sn-Glycero-3-phosphocholine</v>
      </c>
    </row>
    <row r="315" spans="1:4" x14ac:dyDescent="0.25">
      <c r="A315" t="s">
        <v>9947</v>
      </c>
      <c r="B315" t="s">
        <v>10835</v>
      </c>
      <c r="C315" t="s">
        <v>11261</v>
      </c>
      <c r="D315" t="str">
        <f>CONCATENATE(A315," : ",B315)</f>
        <v>C00671 : (S)-3-Methyl-2-oxopentanoic acid</v>
      </c>
    </row>
    <row r="316" spans="1:4" x14ac:dyDescent="0.25">
      <c r="A316" t="s">
        <v>8376</v>
      </c>
      <c r="B316" t="s">
        <v>12220</v>
      </c>
      <c r="C316" t="s">
        <v>11746</v>
      </c>
      <c r="D316" t="str">
        <f>CONCATENATE(A316," : ",B316)</f>
        <v>C00672 : 2-Deoxy-D-ribose 1-phosphate</v>
      </c>
    </row>
    <row r="317" spans="1:4" x14ac:dyDescent="0.25">
      <c r="A317" t="s">
        <v>8297</v>
      </c>
      <c r="B317" t="s">
        <v>10836</v>
      </c>
      <c r="C317" t="s">
        <v>11262</v>
      </c>
      <c r="D317" t="str">
        <f>CONCATENATE(A317," : ",B317)</f>
        <v>C00673 : 2-Deoxy-D-ribose 5-phosphate</v>
      </c>
    </row>
    <row r="318" spans="1:4" x14ac:dyDescent="0.25">
      <c r="A318" t="s">
        <v>9817</v>
      </c>
      <c r="B318" t="s">
        <v>10837</v>
      </c>
      <c r="C318" t="s">
        <v>11263</v>
      </c>
      <c r="D318" t="str">
        <f>CONCATENATE(A318," : ",B318)</f>
        <v>C00677 : Deoxynucleoside triphosphate</v>
      </c>
    </row>
    <row r="319" spans="1:4" x14ac:dyDescent="0.25">
      <c r="A319" t="s">
        <v>8235</v>
      </c>
      <c r="B319" t="s">
        <v>10838</v>
      </c>
      <c r="C319" t="s">
        <v>11264</v>
      </c>
      <c r="D319" t="str">
        <f>CONCATENATE(A319," : ",B319)</f>
        <v>C00680 : meso-2,6-Diaminoheptanedioate</v>
      </c>
    </row>
    <row r="320" spans="1:4" x14ac:dyDescent="0.25">
      <c r="A320" t="s">
        <v>10583</v>
      </c>
      <c r="B320" t="s">
        <v>10839</v>
      </c>
      <c r="C320" t="s">
        <v>11265</v>
      </c>
      <c r="D320" t="str">
        <f>CONCATENATE(A320," : ",B320)</f>
        <v>C00681 : 1-Acyl-sn-glycerol 3-phosphate</v>
      </c>
    </row>
    <row r="321" spans="1:4" x14ac:dyDescent="0.25">
      <c r="A321" t="s">
        <v>10146</v>
      </c>
      <c r="B321" t="s">
        <v>12221</v>
      </c>
      <c r="C321" t="s">
        <v>11747</v>
      </c>
      <c r="D321" t="str">
        <f>CONCATENATE(A321," : ",B321)</f>
        <v>C00685 : 3-Oxoacyl-[acyl-carrier protein]</v>
      </c>
    </row>
    <row r="322" spans="1:4" x14ac:dyDescent="0.25">
      <c r="A322" t="s">
        <v>10402</v>
      </c>
      <c r="B322" t="s">
        <v>10840</v>
      </c>
      <c r="C322" t="s">
        <v>11266</v>
      </c>
      <c r="D322" t="str">
        <f>CONCATENATE(A322," : ",B322)</f>
        <v>C00692 : UDP-N-acetylmuramoyl-L-alanyl-D-glutamate</v>
      </c>
    </row>
    <row r="323" spans="1:4" x14ac:dyDescent="0.25">
      <c r="A323" t="s">
        <v>10035</v>
      </c>
      <c r="B323" t="s">
        <v>12222</v>
      </c>
      <c r="C323" t="s">
        <v>11748</v>
      </c>
      <c r="D323" t="str">
        <f>CONCATENATE(A323," : ",B323)</f>
        <v>C00693 : trans-2,3-Dehydroacyl-[acyl-carrier protein]</v>
      </c>
    </row>
    <row r="324" spans="1:4" x14ac:dyDescent="0.25">
      <c r="A324" t="s">
        <v>10614</v>
      </c>
      <c r="B324" t="s">
        <v>12223</v>
      </c>
      <c r="C324" t="s">
        <v>11749</v>
      </c>
      <c r="D324" t="str">
        <f>CONCATENATE(A324," : ",B324)</f>
        <v>C00700 : XTP</v>
      </c>
    </row>
    <row r="325" spans="1:4" x14ac:dyDescent="0.25">
      <c r="A325" t="s">
        <v>10442</v>
      </c>
      <c r="B325" t="s">
        <v>12224</v>
      </c>
      <c r="C325" t="s">
        <v>11750</v>
      </c>
      <c r="D325" t="str">
        <f>CONCATENATE(A325," : ",B325)</f>
        <v>C00704 : Superoxide</v>
      </c>
    </row>
    <row r="326" spans="1:4" x14ac:dyDescent="0.25">
      <c r="A326" t="s">
        <v>10094</v>
      </c>
      <c r="B326" t="s">
        <v>10841</v>
      </c>
      <c r="C326" t="s">
        <v>11267</v>
      </c>
      <c r="D326" t="str">
        <f>CONCATENATE(A326," : ",B326)</f>
        <v>C00705 : dCDP</v>
      </c>
    </row>
    <row r="327" spans="1:4" x14ac:dyDescent="0.25">
      <c r="A327" t="s">
        <v>8102</v>
      </c>
      <c r="B327" t="s">
        <v>10842</v>
      </c>
      <c r="C327" t="s">
        <v>11268</v>
      </c>
      <c r="D327" t="str">
        <f>CONCATENATE(A327," : ",B327)</f>
        <v>C00718 : Amylose</v>
      </c>
    </row>
    <row r="328" spans="1:4" x14ac:dyDescent="0.25">
      <c r="A328" t="s">
        <v>10545</v>
      </c>
      <c r="B328" t="s">
        <v>10843</v>
      </c>
      <c r="C328" t="s">
        <v>11269</v>
      </c>
      <c r="D328" t="str">
        <f>CONCATENATE(A328," : ",B328)</f>
        <v>C00756 : 1-Octanol</v>
      </c>
    </row>
    <row r="329" spans="1:4" x14ac:dyDescent="0.25">
      <c r="A329" t="s">
        <v>9928</v>
      </c>
      <c r="B329" t="s">
        <v>12225</v>
      </c>
      <c r="C329" t="s">
        <v>11751</v>
      </c>
      <c r="D329" t="str">
        <f>CONCATENATE(A329," : ",B329)</f>
        <v>C00760 : Cellulose</v>
      </c>
    </row>
    <row r="330" spans="1:4" x14ac:dyDescent="0.25">
      <c r="A330" t="s">
        <v>10569</v>
      </c>
      <c r="B330" t="s">
        <v>10844</v>
      </c>
      <c r="C330" t="s">
        <v>11270</v>
      </c>
      <c r="D330" t="str">
        <f>CONCATENATE(A330," : ",B330)</f>
        <v>C00772 : Mevaldate</v>
      </c>
    </row>
    <row r="331" spans="1:4" x14ac:dyDescent="0.25">
      <c r="A331" t="s">
        <v>10110</v>
      </c>
      <c r="B331" t="s">
        <v>10845</v>
      </c>
      <c r="C331" t="s">
        <v>11271</v>
      </c>
      <c r="D331" t="str">
        <f>CONCATENATE(A331," : ",B331)</f>
        <v>C00787 : tRNA(Tyr)</v>
      </c>
    </row>
    <row r="332" spans="1:4" x14ac:dyDescent="0.25">
      <c r="A332" t="s">
        <v>10516</v>
      </c>
      <c r="B332" t="s">
        <v>12226</v>
      </c>
      <c r="C332" t="s">
        <v>11752</v>
      </c>
      <c r="D332" t="str">
        <f>CONCATENATE(A332," : ",B332)</f>
        <v>C00794 : D-Sorbitol</v>
      </c>
    </row>
    <row r="333" spans="1:4" x14ac:dyDescent="0.25">
      <c r="A333" t="s">
        <v>10268</v>
      </c>
      <c r="B333" t="s">
        <v>12227</v>
      </c>
      <c r="C333" t="s">
        <v>11753</v>
      </c>
      <c r="D333" t="str">
        <f>CONCATENATE(A333," : ",B333)</f>
        <v>C00797 : Ethylamine</v>
      </c>
    </row>
    <row r="334" spans="1:4" x14ac:dyDescent="0.25">
      <c r="A334" t="s">
        <v>10298</v>
      </c>
      <c r="B334" t="s">
        <v>12228</v>
      </c>
      <c r="C334" t="s">
        <v>11754</v>
      </c>
      <c r="D334" t="str">
        <f>CONCATENATE(A334," : ",B334)</f>
        <v>C00804 : Propynoate</v>
      </c>
    </row>
    <row r="335" spans="1:4" x14ac:dyDescent="0.25">
      <c r="A335" t="s">
        <v>10319</v>
      </c>
      <c r="B335" t="s">
        <v>12229</v>
      </c>
      <c r="C335" t="s">
        <v>11755</v>
      </c>
      <c r="D335" t="str">
        <f>CONCATENATE(A335," : ",B335)</f>
        <v>C00818 : D-Glucarate</v>
      </c>
    </row>
    <row r="336" spans="1:4" x14ac:dyDescent="0.25">
      <c r="A336" t="s">
        <v>10194</v>
      </c>
      <c r="B336" t="s">
        <v>12230</v>
      </c>
      <c r="C336" t="s">
        <v>11756</v>
      </c>
      <c r="D336" t="str">
        <f>CONCATENATE(A336," : ",B336)</f>
        <v>C00821 : DNA adenine</v>
      </c>
    </row>
    <row r="337" spans="1:4" x14ac:dyDescent="0.25">
      <c r="A337" t="s">
        <v>10460</v>
      </c>
      <c r="B337" s="24" t="s">
        <v>12231</v>
      </c>
      <c r="C337" t="s">
        <v>11757</v>
      </c>
      <c r="D337" t="str">
        <f>CONCATENATE(A337," : ",B337)</f>
        <v>C00826 : L-Arogenate</v>
      </c>
    </row>
    <row r="338" spans="1:4" x14ac:dyDescent="0.25">
      <c r="A338" t="s">
        <v>10121</v>
      </c>
      <c r="B338" t="s">
        <v>10846</v>
      </c>
      <c r="C338" t="s">
        <v>11272</v>
      </c>
      <c r="D338" t="str">
        <f>CONCATENATE(A338," : ",B338)</f>
        <v xml:space="preserve">C00831 : Pantethiene </v>
      </c>
    </row>
    <row r="339" spans="1:4" x14ac:dyDescent="0.25">
      <c r="A339" t="s">
        <v>10499</v>
      </c>
      <c r="B339" t="s">
        <v>12233</v>
      </c>
      <c r="C339" t="s">
        <v>11758</v>
      </c>
      <c r="D339" t="str">
        <f>CONCATENATE(A339," : ",B339)</f>
        <v>C00835 : Sepiapterin</v>
      </c>
    </row>
    <row r="340" spans="1:4" x14ac:dyDescent="0.25">
      <c r="A340" t="s">
        <v>8220</v>
      </c>
      <c r="B340" t="s">
        <v>10847</v>
      </c>
      <c r="C340" t="s">
        <v>11273</v>
      </c>
      <c r="D340" t="str">
        <f>CONCATENATE(A340," : ",B340)</f>
        <v>C00842 : dTDP-glucose</v>
      </c>
    </row>
    <row r="341" spans="1:4" x14ac:dyDescent="0.25">
      <c r="A341" t="s">
        <v>8438</v>
      </c>
      <c r="B341" t="s">
        <v>12234</v>
      </c>
      <c r="C341" t="s">
        <v>11759</v>
      </c>
      <c r="D341" t="str">
        <f>CONCATENATE(A341," : ",B341)</f>
        <v>C00846 : 3-Oxoadipate</v>
      </c>
    </row>
    <row r="342" spans="1:4" x14ac:dyDescent="0.25">
      <c r="A342" t="s">
        <v>10247</v>
      </c>
      <c r="B342" t="s">
        <v>12235</v>
      </c>
      <c r="C342" t="s">
        <v>11760</v>
      </c>
      <c r="D342" t="str">
        <f>CONCATENATE(A342," : ",B342)</f>
        <v>C00853 : Cob(I)alamin</v>
      </c>
    </row>
    <row r="343" spans="1:4" x14ac:dyDescent="0.25">
      <c r="A343" t="s">
        <v>9927</v>
      </c>
      <c r="B343" t="s">
        <v>10848</v>
      </c>
      <c r="C343" t="s">
        <v>11274</v>
      </c>
      <c r="D343" t="str">
        <f>CONCATENATE(A343," : ",B343)</f>
        <v>C00857 : Deamino-NAD+</v>
      </c>
    </row>
    <row r="344" spans="1:4" x14ac:dyDescent="0.25">
      <c r="A344" t="s">
        <v>9894</v>
      </c>
      <c r="B344" t="s">
        <v>12236</v>
      </c>
      <c r="C344" t="s">
        <v>11761</v>
      </c>
      <c r="D344" t="str">
        <f>CONCATENATE(A344," : ",B344)</f>
        <v>C00860 : L-Histidinol</v>
      </c>
    </row>
    <row r="345" spans="1:4" x14ac:dyDescent="0.25">
      <c r="A345" t="s">
        <v>9995</v>
      </c>
      <c r="B345" t="s">
        <v>10849</v>
      </c>
      <c r="C345" t="s">
        <v>11275</v>
      </c>
      <c r="D345" t="str">
        <f>CONCATENATE(A345," : ",B345)</f>
        <v>C00864 : Pantothenate</v>
      </c>
    </row>
    <row r="346" spans="1:4" x14ac:dyDescent="0.25">
      <c r="A346" t="s">
        <v>10285</v>
      </c>
      <c r="B346" t="s">
        <v>12237</v>
      </c>
      <c r="C346" t="s">
        <v>11762</v>
      </c>
      <c r="D346" t="str">
        <f>CONCATENATE(A346," : ",B346)</f>
        <v>C00870 : 4-Nitrophenol</v>
      </c>
    </row>
    <row r="347" spans="1:4" x14ac:dyDescent="0.25">
      <c r="A347" t="s">
        <v>9911</v>
      </c>
      <c r="B347" t="s">
        <v>12238</v>
      </c>
      <c r="C347" t="s">
        <v>11763</v>
      </c>
      <c r="D347" t="str">
        <f>CONCATENATE(A347," : ",B347)</f>
        <v>C00877 : Crotonoyl-CoA</v>
      </c>
    </row>
    <row r="348" spans="1:4" x14ac:dyDescent="0.25">
      <c r="A348" t="s">
        <v>9871</v>
      </c>
      <c r="B348" t="s">
        <v>10850</v>
      </c>
      <c r="C348" t="s">
        <v>11276</v>
      </c>
      <c r="D348" t="str">
        <f>CONCATENATE(A348," : ",B348)</f>
        <v>C00881 : Deoxycytidine</v>
      </c>
    </row>
    <row r="349" spans="1:4" x14ac:dyDescent="0.25">
      <c r="A349" t="s">
        <v>10177</v>
      </c>
      <c r="B349" t="s">
        <v>10851</v>
      </c>
      <c r="C349" t="s">
        <v>11277</v>
      </c>
      <c r="D349" t="str">
        <f>CONCATENATE(A349," : ",B349)</f>
        <v>C00882 : Dephospho-CoA</v>
      </c>
    </row>
    <row r="350" spans="1:4" x14ac:dyDescent="0.25">
      <c r="A350" t="s">
        <v>10032</v>
      </c>
      <c r="B350" t="s">
        <v>10852</v>
      </c>
      <c r="C350" t="s">
        <v>11278</v>
      </c>
      <c r="D350" t="str">
        <f>CONCATENATE(A350," : ",B350)</f>
        <v>C00886 : L-Alanyl-tRNA</v>
      </c>
    </row>
    <row r="351" spans="1:4" x14ac:dyDescent="0.25">
      <c r="A351" t="s">
        <v>9921</v>
      </c>
      <c r="B351" t="s">
        <v>12239</v>
      </c>
      <c r="C351" t="s">
        <v>11764</v>
      </c>
      <c r="D351" t="str">
        <f>CONCATENATE(A351," : ",B351)</f>
        <v>C00894 : Propenoyl-CoA</v>
      </c>
    </row>
    <row r="352" spans="1:4" x14ac:dyDescent="0.25">
      <c r="A352" t="s">
        <v>10437</v>
      </c>
      <c r="B352" t="s">
        <v>12240</v>
      </c>
      <c r="C352" t="s">
        <v>11765</v>
      </c>
      <c r="D352" t="str">
        <f>CONCATENATE(A352," : ",B352)</f>
        <v>C00900 : 2-Acetolactate</v>
      </c>
    </row>
    <row r="353" spans="1:4" x14ac:dyDescent="0.25">
      <c r="A353" t="s">
        <v>9851</v>
      </c>
      <c r="B353" t="s">
        <v>10853</v>
      </c>
      <c r="C353" t="s">
        <v>11279</v>
      </c>
      <c r="D353" t="str">
        <f>CONCATENATE(A353," : ",B353)</f>
        <v>C00911 : Ribonucleoside</v>
      </c>
    </row>
    <row r="354" spans="1:4" x14ac:dyDescent="0.25">
      <c r="A354" t="s">
        <v>10130</v>
      </c>
      <c r="B354" t="s">
        <v>12241</v>
      </c>
      <c r="C354" t="s">
        <v>11766</v>
      </c>
      <c r="D354" t="str">
        <f>CONCATENATE(A354," : ",B354)</f>
        <v>C00921 : Dihydropteroate</v>
      </c>
    </row>
    <row r="355" spans="1:4" x14ac:dyDescent="0.25">
      <c r="A355" t="s">
        <v>10217</v>
      </c>
      <c r="B355" t="s">
        <v>12242</v>
      </c>
      <c r="C355" t="s">
        <v>11767</v>
      </c>
      <c r="D355" t="str">
        <f>CONCATENATE(A355," : ",B355)</f>
        <v>C00923 : Ferricytochrome</v>
      </c>
    </row>
    <row r="356" spans="1:4" x14ac:dyDescent="0.25">
      <c r="A356" t="s">
        <v>10216</v>
      </c>
      <c r="B356" t="s">
        <v>12243</v>
      </c>
      <c r="C356" t="s">
        <v>11768</v>
      </c>
      <c r="D356" t="str">
        <f>CONCATENATE(A356," : ",B356)</f>
        <v>C00924 : Ferrocytochrome</v>
      </c>
    </row>
    <row r="357" spans="1:4" x14ac:dyDescent="0.25">
      <c r="A357" t="s">
        <v>10106</v>
      </c>
      <c r="B357" t="s">
        <v>12244</v>
      </c>
      <c r="C357" t="s">
        <v>11769</v>
      </c>
      <c r="D357" t="str">
        <f>CONCATENATE(A357," : ",B357)</f>
        <v>C00931 : Porphobilinogen</v>
      </c>
    </row>
    <row r="358" spans="1:4" x14ac:dyDescent="0.25">
      <c r="A358" t="s">
        <v>10462</v>
      </c>
      <c r="B358" t="s">
        <v>12245</v>
      </c>
      <c r="C358" t="s">
        <v>11770</v>
      </c>
      <c r="D358" t="str">
        <f>CONCATENATE(A358," : ",B358)</f>
        <v>C00937 : ( R )-Lactaldehyde</v>
      </c>
    </row>
    <row r="359" spans="1:4" x14ac:dyDescent="0.25">
      <c r="A359" t="s">
        <v>10281</v>
      </c>
      <c r="B359" t="s">
        <v>12246</v>
      </c>
      <c r="C359" t="s">
        <v>11771</v>
      </c>
      <c r="D359" t="str">
        <f>CONCATENATE(A359," : ",B359)</f>
        <v>C00942 : 3', 5'-Cyclic GMP</v>
      </c>
    </row>
    <row r="360" spans="1:4" x14ac:dyDescent="0.25">
      <c r="A360" t="s">
        <v>8206</v>
      </c>
      <c r="B360" t="s">
        <v>12247</v>
      </c>
      <c r="C360" t="s">
        <v>11772</v>
      </c>
      <c r="D360" t="str">
        <f>CONCATENATE(A360," : ",B360)</f>
        <v>C00944 : 3-Dehydroquinate</v>
      </c>
    </row>
    <row r="361" spans="1:4" x14ac:dyDescent="0.25">
      <c r="A361" t="s">
        <v>10296</v>
      </c>
      <c r="B361" t="s">
        <v>12248</v>
      </c>
      <c r="C361" t="s">
        <v>11773</v>
      </c>
      <c r="D361" t="str">
        <f>CONCATENATE(A361," : ",B361)</f>
        <v>C00954 : Indole-3-acetate</v>
      </c>
    </row>
    <row r="362" spans="1:4" x14ac:dyDescent="0.25">
      <c r="A362" t="s">
        <v>10185</v>
      </c>
      <c r="B362" t="s">
        <v>10854</v>
      </c>
      <c r="C362" t="s">
        <v>11280</v>
      </c>
      <c r="D362" t="str">
        <f>CONCATENATE(A362," : ",B362)</f>
        <v>C00957 : Mercaptopyruvate</v>
      </c>
    </row>
    <row r="363" spans="1:4" x14ac:dyDescent="0.25">
      <c r="A363" t="s">
        <v>8351</v>
      </c>
      <c r="B363" t="s">
        <v>12249</v>
      </c>
      <c r="C363" t="s">
        <v>11774</v>
      </c>
      <c r="D363" t="str">
        <f>CONCATENATE(A363," : ",B363)</f>
        <v>C00966 : 2-Dehydropantoate</v>
      </c>
    </row>
    <row r="364" spans="1:4" x14ac:dyDescent="0.25">
      <c r="A364" t="s">
        <v>9838</v>
      </c>
      <c r="B364" t="s">
        <v>10855</v>
      </c>
      <c r="C364" t="s">
        <v>11281</v>
      </c>
      <c r="D364" t="str">
        <f>CONCATENATE(A364," : ",B364)</f>
        <v>C00979 : O-Acetyl-L-serine</v>
      </c>
    </row>
    <row r="365" spans="1:4" x14ac:dyDescent="0.25">
      <c r="A365" t="s">
        <v>10347</v>
      </c>
      <c r="B365" t="s">
        <v>10856</v>
      </c>
      <c r="C365" t="s">
        <v>11282</v>
      </c>
      <c r="D365" t="str">
        <f>CONCATENATE(A365," : ",B365)</f>
        <v>C00984 : alpha-D-Galactose</v>
      </c>
    </row>
    <row r="366" spans="1:4" x14ac:dyDescent="0.25">
      <c r="A366" t="s">
        <v>10066</v>
      </c>
      <c r="B366" t="s">
        <v>12250</v>
      </c>
      <c r="C366" t="s">
        <v>11775</v>
      </c>
      <c r="D366" t="str">
        <f>CONCATENATE(A366," : ",B366)</f>
        <v>C00986 : 1,3-Diaminopropane</v>
      </c>
    </row>
    <row r="367" spans="1:4" x14ac:dyDescent="0.25">
      <c r="A367" t="s">
        <v>10394</v>
      </c>
      <c r="B367" t="s">
        <v>10857</v>
      </c>
      <c r="C367" t="s">
        <v>11283</v>
      </c>
      <c r="D367" t="str">
        <f>CONCATENATE(A367," : ",B367)</f>
        <v>C00993 : D-Alanyl-D-alanine</v>
      </c>
    </row>
    <row r="368" spans="1:4" x14ac:dyDescent="0.25">
      <c r="A368" t="s">
        <v>10179</v>
      </c>
      <c r="B368" t="s">
        <v>12251</v>
      </c>
      <c r="C368" t="s">
        <v>11776</v>
      </c>
      <c r="D368" t="str">
        <f>CONCATENATE(A368," : ",B368)</f>
        <v>C00997 : Ferricytochrome c2</v>
      </c>
    </row>
    <row r="369" spans="1:4" x14ac:dyDescent="0.25">
      <c r="A369" t="s">
        <v>10178</v>
      </c>
      <c r="B369" t="s">
        <v>12252</v>
      </c>
      <c r="C369" t="s">
        <v>11777</v>
      </c>
      <c r="D369" t="str">
        <f>CONCATENATE(A369," : ",B369)</f>
        <v>C01000 : Ferrocytochrome c2</v>
      </c>
    </row>
    <row r="370" spans="1:4" x14ac:dyDescent="0.25">
      <c r="A370" t="s">
        <v>9849</v>
      </c>
      <c r="B370" t="s">
        <v>10858</v>
      </c>
      <c r="C370" t="s">
        <v>11284</v>
      </c>
      <c r="D370" t="str">
        <f>CONCATENATE(A370," : ",B370)</f>
        <v>C01005 : O-Phospho-L-serine</v>
      </c>
    </row>
    <row r="371" spans="1:4" x14ac:dyDescent="0.25">
      <c r="A371" t="s">
        <v>10340</v>
      </c>
      <c r="B371" t="s">
        <v>12253</v>
      </c>
      <c r="C371" t="s">
        <v>11778</v>
      </c>
      <c r="D371" t="str">
        <f>CONCATENATE(A371," : ",B371)</f>
        <v>C01010 : Urea-1-carboxylate</v>
      </c>
    </row>
    <row r="372" spans="1:4" x14ac:dyDescent="0.25">
      <c r="A372" t="s">
        <v>10598</v>
      </c>
      <c r="B372" t="s">
        <v>12254</v>
      </c>
      <c r="C372" t="s">
        <v>11779</v>
      </c>
      <c r="D372" t="str">
        <f>CONCATENATE(A372," : ",B372)</f>
        <v>C01019 : L-Fucose</v>
      </c>
    </row>
    <row r="373" spans="1:4" x14ac:dyDescent="0.25">
      <c r="A373" t="s">
        <v>8190</v>
      </c>
      <c r="B373" t="s">
        <v>12255</v>
      </c>
      <c r="C373" t="s">
        <v>11780</v>
      </c>
      <c r="D373" t="str">
        <f>CONCATENATE(A373," : ",B373)</f>
        <v>C01024 : Hydroxymethylbilane</v>
      </c>
    </row>
    <row r="374" spans="1:4" x14ac:dyDescent="0.25">
      <c r="A374" t="s">
        <v>10275</v>
      </c>
      <c r="B374" t="s">
        <v>12256</v>
      </c>
      <c r="C374" t="s">
        <v>11781</v>
      </c>
      <c r="D374" t="str">
        <f>CONCATENATE(A374," : ",B374)</f>
        <v>C01045 : N-Formyl-L-glutamate</v>
      </c>
    </row>
    <row r="375" spans="1:4" x14ac:dyDescent="0.25">
      <c r="A375" t="s">
        <v>10403</v>
      </c>
      <c r="B375" t="s">
        <v>10859</v>
      </c>
      <c r="C375" t="s">
        <v>11285</v>
      </c>
      <c r="D375" t="str">
        <f>CONCATENATE(A375," : ",B375)</f>
        <v>C01050 : UDP-N-acetylmuramate</v>
      </c>
    </row>
    <row r="376" spans="1:4" x14ac:dyDescent="0.25">
      <c r="A376" t="s">
        <v>8340</v>
      </c>
      <c r="B376" t="s">
        <v>12257</v>
      </c>
      <c r="C376" t="s">
        <v>11782</v>
      </c>
      <c r="D376" t="str">
        <f>CONCATENATE(A376," : ",B376)</f>
        <v>C01051 : Uroporphyrinogen III</v>
      </c>
    </row>
    <row r="377" spans="1:4" x14ac:dyDescent="0.25">
      <c r="A377" t="s">
        <v>10349</v>
      </c>
      <c r="B377" t="s">
        <v>12258</v>
      </c>
      <c r="C377" t="s">
        <v>11783</v>
      </c>
      <c r="D377" t="str">
        <f>CONCATENATE(A377," : ",B377)</f>
        <v>C01077 : O-Acetyl-L-homoserine</v>
      </c>
    </row>
    <row r="378" spans="1:4" x14ac:dyDescent="0.25">
      <c r="A378" t="s">
        <v>10513</v>
      </c>
      <c r="B378" t="s">
        <v>12259</v>
      </c>
      <c r="C378" t="s">
        <v>11784</v>
      </c>
      <c r="D378" t="str">
        <f>CONCATENATE(A378," : ",B378)</f>
        <v>C01079 : Protoporphyrinogen IX</v>
      </c>
    </row>
    <row r="379" spans="1:4" x14ac:dyDescent="0.25">
      <c r="A379" t="s">
        <v>10261</v>
      </c>
      <c r="B379" t="s">
        <v>12260</v>
      </c>
      <c r="C379" t="s">
        <v>11785</v>
      </c>
      <c r="D379" t="str">
        <f>CONCATENATE(A379," : ",B379)</f>
        <v>C01081 : Thiamin monophosphate</v>
      </c>
    </row>
    <row r="380" spans="1:4" x14ac:dyDescent="0.25">
      <c r="A380" t="s">
        <v>8129</v>
      </c>
      <c r="B380" t="s">
        <v>12261</v>
      </c>
      <c r="C380" t="s">
        <v>11786</v>
      </c>
      <c r="D380" t="str">
        <f>CONCATENATE(A380," : ",B380)</f>
        <v>C01086 : ( 3R )-3-Hydroxyacyl-CoA</v>
      </c>
    </row>
    <row r="381" spans="1:4" x14ac:dyDescent="0.25">
      <c r="A381" t="s">
        <v>10278</v>
      </c>
      <c r="B381" t="s">
        <v>12262</v>
      </c>
      <c r="C381" t="s">
        <v>11787</v>
      </c>
      <c r="D381" t="str">
        <f>CONCATENATE(A381," : ",B381)</f>
        <v>C01089 : ( R )-3-Hydroxybutanoate</v>
      </c>
    </row>
    <row r="382" spans="1:4" x14ac:dyDescent="0.25">
      <c r="A382" t="s">
        <v>8150</v>
      </c>
      <c r="B382" t="s">
        <v>10860</v>
      </c>
      <c r="C382" t="s">
        <v>11286</v>
      </c>
      <c r="D382" t="str">
        <f>CONCATENATE(A382," : ",B382)</f>
        <v>C01094 : D-Fructose 1-phosphate</v>
      </c>
    </row>
    <row r="383" spans="1:4" x14ac:dyDescent="0.25">
      <c r="A383" t="s">
        <v>10584</v>
      </c>
      <c r="B383" t="s">
        <v>12263</v>
      </c>
      <c r="C383" t="s">
        <v>11788</v>
      </c>
      <c r="D383" t="str">
        <f>CONCATENATE(A383," : ",B383)</f>
        <v>C01096 : Sorbitol 6-phosphate</v>
      </c>
    </row>
    <row r="384" spans="1:4" x14ac:dyDescent="0.25">
      <c r="A384" t="s">
        <v>10629</v>
      </c>
      <c r="B384" t="s">
        <v>10861</v>
      </c>
      <c r="C384" t="s">
        <v>11287</v>
      </c>
      <c r="D384" t="str">
        <f>CONCATENATE(A384," : ",B384)</f>
        <v>C01097 : D-Tagatose 6-phosphate</v>
      </c>
    </row>
    <row r="385" spans="1:4" x14ac:dyDescent="0.25">
      <c r="A385" t="s">
        <v>9893</v>
      </c>
      <c r="B385" t="s">
        <v>12264</v>
      </c>
      <c r="C385" t="s">
        <v>11789</v>
      </c>
      <c r="D385" t="str">
        <f>CONCATENATE(A385," : ",B385)</f>
        <v>C01100 : L-Histidinol phosphate</v>
      </c>
    </row>
    <row r="386" spans="1:4" x14ac:dyDescent="0.25">
      <c r="A386" t="s">
        <v>10113</v>
      </c>
      <c r="B386" t="s">
        <v>10862</v>
      </c>
      <c r="C386" t="s">
        <v>11288</v>
      </c>
      <c r="D386" t="str">
        <f>CONCATENATE(A386," : ",B386)</f>
        <v>C01102 : O-Phospho-L-homoserine</v>
      </c>
    </row>
    <row r="387" spans="1:4" x14ac:dyDescent="0.25">
      <c r="A387" t="s">
        <v>8154</v>
      </c>
      <c r="B387" t="s">
        <v>10863</v>
      </c>
      <c r="C387" t="s">
        <v>11289</v>
      </c>
      <c r="D387" t="str">
        <f>CONCATENATE(A387," : ",B387)</f>
        <v xml:space="preserve">C01103 : Orotidine 5'-phosphate </v>
      </c>
    </row>
    <row r="388" spans="1:4" x14ac:dyDescent="0.25">
      <c r="A388" t="s">
        <v>10601</v>
      </c>
      <c r="B388" t="s">
        <v>12265</v>
      </c>
      <c r="C388" t="s">
        <v>11790</v>
      </c>
      <c r="D388" t="str">
        <f>CONCATENATE(A388," : ",B388)</f>
        <v>C01115 : L-Galactono-1,4-lactone</v>
      </c>
    </row>
    <row r="389" spans="1:4" x14ac:dyDescent="0.25">
      <c r="A389" t="s">
        <v>10360</v>
      </c>
      <c r="B389" t="s">
        <v>12266</v>
      </c>
      <c r="C389" t="s">
        <v>11791</v>
      </c>
      <c r="D389" t="str">
        <f>CONCATENATE(A389," : ",B389)</f>
        <v>C01118 : O-Succinyl-L-homoserine</v>
      </c>
    </row>
    <row r="390" spans="1:4" x14ac:dyDescent="0.25">
      <c r="A390" t="s">
        <v>9971</v>
      </c>
      <c r="B390" t="s">
        <v>12267</v>
      </c>
      <c r="C390" t="s">
        <v>11792</v>
      </c>
      <c r="D390" t="str">
        <f>CONCATENATE(A390," : ",B390)</f>
        <v>C01122 : cis-2,3-Dehydroacyl-CoA</v>
      </c>
    </row>
    <row r="391" spans="1:4" x14ac:dyDescent="0.25">
      <c r="A391" t="s">
        <v>10077</v>
      </c>
      <c r="B391" t="s">
        <v>10864</v>
      </c>
      <c r="C391" t="s">
        <v>11290</v>
      </c>
      <c r="D391" t="str">
        <f>CONCATENATE(A391," : ",B391)</f>
        <v>C01134 : Pantetheine 4'-phosphate</v>
      </c>
    </row>
    <row r="392" spans="1:4" x14ac:dyDescent="0.25">
      <c r="A392" t="s">
        <v>10473</v>
      </c>
      <c r="B392" t="s">
        <v>12268</v>
      </c>
      <c r="C392" t="s">
        <v>11793</v>
      </c>
      <c r="D392" t="str">
        <f>CONCATENATE(A392," : ",B392)</f>
        <v>C01137 : S-Adenosylmethioninamine</v>
      </c>
    </row>
    <row r="393" spans="1:4" x14ac:dyDescent="0.25">
      <c r="A393" t="s">
        <v>8117</v>
      </c>
      <c r="B393" t="s">
        <v>12269</v>
      </c>
      <c r="C393" t="s">
        <v>11794</v>
      </c>
      <c r="D393" t="str">
        <f>CONCATENATE(A393," : ",B393)</f>
        <v>C01144 : ( S )-3-Hydroxybutanoyl-CoA</v>
      </c>
    </row>
    <row r="394" spans="1:4" x14ac:dyDescent="0.25">
      <c r="A394" t="s">
        <v>10299</v>
      </c>
      <c r="B394" t="s">
        <v>12270</v>
      </c>
      <c r="C394" t="s">
        <v>11795</v>
      </c>
      <c r="D394" t="str">
        <f>CONCATENATE(A394," : ",B394)</f>
        <v>C01149 : 4-Trimethylammoniobutanal</v>
      </c>
    </row>
    <row r="395" spans="1:4" x14ac:dyDescent="0.25">
      <c r="A395" t="s">
        <v>10282</v>
      </c>
      <c r="B395" t="s">
        <v>12271</v>
      </c>
      <c r="C395" t="s">
        <v>11796</v>
      </c>
      <c r="D395" t="str">
        <f>CONCATENATE(A395," : ",B395)</f>
        <v>C01153 : Orthophosphoric monoester</v>
      </c>
    </row>
    <row r="396" spans="1:4" x14ac:dyDescent="0.25">
      <c r="A396" t="s">
        <v>10507</v>
      </c>
      <c r="B396" t="s">
        <v>12272</v>
      </c>
      <c r="C396" t="s">
        <v>11797</v>
      </c>
      <c r="D396" t="str">
        <f>CONCATENATE(A396," : ",B396)</f>
        <v>C01157 : Hydroxyproline</v>
      </c>
    </row>
    <row r="397" spans="1:4" x14ac:dyDescent="0.25">
      <c r="A397" t="s">
        <v>10580</v>
      </c>
      <c r="B397" t="s">
        <v>12273</v>
      </c>
      <c r="C397" t="s">
        <v>11798</v>
      </c>
      <c r="D397" t="str">
        <f>CONCATENATE(A397," : ",B397)</f>
        <v>C01159 : 2,3-Bisphospho-D-glycerate</v>
      </c>
    </row>
    <row r="398" spans="1:4" x14ac:dyDescent="0.25">
      <c r="A398" t="s">
        <v>10325</v>
      </c>
      <c r="B398" t="s">
        <v>12274</v>
      </c>
      <c r="C398" t="s">
        <v>11799</v>
      </c>
      <c r="D398" t="str">
        <f>CONCATENATE(A398," : ",B398)</f>
        <v>C01161 : 3,4-Dihydroxyphenylacetate</v>
      </c>
    </row>
    <row r="399" spans="1:4" x14ac:dyDescent="0.25">
      <c r="A399" t="s">
        <v>10603</v>
      </c>
      <c r="B399" t="s">
        <v>12275</v>
      </c>
      <c r="C399" t="s">
        <v>11800</v>
      </c>
      <c r="D399" t="str">
        <f>CONCATENATE(A399," : ",B399)</f>
        <v>C01165 : L-Glutamate 5-semialdehyde</v>
      </c>
    </row>
    <row r="400" spans="1:4" x14ac:dyDescent="0.25">
      <c r="A400" t="s">
        <v>10433</v>
      </c>
      <c r="B400" t="s">
        <v>10865</v>
      </c>
      <c r="C400" t="s">
        <v>11291</v>
      </c>
      <c r="D400" t="str">
        <f>CONCATENATE(A400," : ",B400)</f>
        <v>C01167 : Protein tyrosine phosphate</v>
      </c>
    </row>
    <row r="401" spans="1:4" x14ac:dyDescent="0.25">
      <c r="A401" t="s">
        <v>10527</v>
      </c>
      <c r="B401" t="s">
        <v>12276</v>
      </c>
      <c r="C401" t="s">
        <v>11801</v>
      </c>
      <c r="D401" t="str">
        <f>CONCATENATE(A401," : ",B401)</f>
        <v>C01168 : Pseudouridine 5'-phosphate</v>
      </c>
    </row>
    <row r="402" spans="1:4" x14ac:dyDescent="0.25">
      <c r="A402" t="s">
        <v>8477</v>
      </c>
      <c r="B402" t="s">
        <v>10866</v>
      </c>
      <c r="C402" t="s">
        <v>11292</v>
      </c>
      <c r="D402" t="str">
        <f>CONCATENATE(A402," : ",B402)</f>
        <v>C01170 : UDP-N-acetyl-D-mannosamine</v>
      </c>
    </row>
    <row r="403" spans="1:4" x14ac:dyDescent="0.25">
      <c r="A403" t="s">
        <v>8098</v>
      </c>
      <c r="B403" t="s">
        <v>12277</v>
      </c>
      <c r="C403" t="s">
        <v>11802</v>
      </c>
      <c r="D403" t="str">
        <f>CONCATENATE(A403," : ",B403)</f>
        <v>C01171 : alpha-D-Hexose 1-phosphate</v>
      </c>
    </row>
    <row r="404" spans="1:4" x14ac:dyDescent="0.25">
      <c r="A404" t="s">
        <v>10609</v>
      </c>
      <c r="B404" t="s">
        <v>10867</v>
      </c>
      <c r="C404" t="s">
        <v>11293</v>
      </c>
      <c r="D404" t="str">
        <f>CONCATENATE(A404," : ",B404)</f>
        <v>C01172 : beta-D-Glucose 6-phosphate</v>
      </c>
    </row>
    <row r="405" spans="1:4" x14ac:dyDescent="0.25">
      <c r="A405" t="s">
        <v>10088</v>
      </c>
      <c r="B405" t="s">
        <v>12278</v>
      </c>
      <c r="C405" t="s">
        <v>11803</v>
      </c>
      <c r="D405" t="str">
        <f>CONCATENATE(A405," : ",B405)</f>
        <v>C01177 : Inositol 1-phosphate</v>
      </c>
    </row>
    <row r="406" spans="1:4" x14ac:dyDescent="0.25">
      <c r="A406" t="s">
        <v>10367</v>
      </c>
      <c r="B406" t="s">
        <v>10868</v>
      </c>
      <c r="C406" t="s">
        <v>11294</v>
      </c>
      <c r="D406" t="str">
        <f>CONCATENATE(A406," : ",B406)</f>
        <v>C01179 : 3-(4-Hydroxyphenyl)pyruvate</v>
      </c>
    </row>
    <row r="407" spans="1:4" x14ac:dyDescent="0.25">
      <c r="A407" t="s">
        <v>10300</v>
      </c>
      <c r="B407" t="s">
        <v>12279</v>
      </c>
      <c r="C407" t="s">
        <v>11804</v>
      </c>
      <c r="D407" t="str">
        <f>CONCATENATE(A407," : ",B407)</f>
        <v>C01181 : 4-Trimethylammoniobutanoate</v>
      </c>
    </row>
    <row r="408" spans="1:4" x14ac:dyDescent="0.25">
      <c r="A408" t="s">
        <v>9866</v>
      </c>
      <c r="B408" t="s">
        <v>10869</v>
      </c>
      <c r="C408" t="s">
        <v>11295</v>
      </c>
      <c r="D408" t="str">
        <f>CONCATENATE(A408," : ",B408)</f>
        <v>C01185 : Nicotinate D-ribonucleotide</v>
      </c>
    </row>
    <row r="409" spans="1:4" x14ac:dyDescent="0.25">
      <c r="A409" t="s">
        <v>10158</v>
      </c>
      <c r="B409" t="s">
        <v>12280</v>
      </c>
      <c r="C409" t="s">
        <v>11805</v>
      </c>
      <c r="D409" t="str">
        <f>CONCATENATE(A409," : ",B409)</f>
        <v>C01209 : Malonyl-[acyl-carrier protein]</v>
      </c>
    </row>
    <row r="410" spans="1:4" x14ac:dyDescent="0.25">
      <c r="A410" t="s">
        <v>10400</v>
      </c>
      <c r="B410" t="s">
        <v>10870</v>
      </c>
      <c r="C410" t="s">
        <v>11296</v>
      </c>
      <c r="D410" t="str">
        <f>CONCATENATE(A410," : ",B410)</f>
        <v>C01212 : UDP-N-acetylmuramoyl-L-alanine</v>
      </c>
    </row>
    <row r="411" spans="1:4" x14ac:dyDescent="0.25">
      <c r="A411" t="s">
        <v>8215</v>
      </c>
      <c r="B411" t="s">
        <v>12281</v>
      </c>
      <c r="C411" t="s">
        <v>11806</v>
      </c>
      <c r="D411" t="str">
        <f>CONCATENATE(A411," : ",B411)</f>
        <v>C01213 : ( R )-Methylmalonyl-CoA</v>
      </c>
    </row>
    <row r="412" spans="1:4" x14ac:dyDescent="0.25">
      <c r="A412" t="s">
        <v>10079</v>
      </c>
      <c r="B412" t="s">
        <v>10871</v>
      </c>
      <c r="C412" t="s">
        <v>11297</v>
      </c>
      <c r="D412" t="str">
        <f>CONCATENATE(A412," : ",B412)</f>
        <v>C01217 : 5,6,7,8-Tetrahydromethanopterin</v>
      </c>
    </row>
    <row r="413" spans="1:4" x14ac:dyDescent="0.25">
      <c r="A413" t="s">
        <v>8224</v>
      </c>
      <c r="B413" t="s">
        <v>12282</v>
      </c>
      <c r="C413" t="s">
        <v>11807</v>
      </c>
      <c r="D413" t="str">
        <f>CONCATENATE(A413," : ",B413)</f>
        <v>C01222 :   GDP-4-dehydro-6-deoxy-D-mannose</v>
      </c>
    </row>
    <row r="414" spans="1:4" x14ac:dyDescent="0.25">
      <c r="A414" t="s">
        <v>10633</v>
      </c>
      <c r="B414" t="s">
        <v>12283</v>
      </c>
      <c r="C414" t="s">
        <v>11808</v>
      </c>
      <c r="D414" t="str">
        <f>CONCATENATE(A414," : ",B414)</f>
        <v>C01233 : sn-Glycero-3-phosphoethanolamine</v>
      </c>
    </row>
    <row r="415" spans="1:4" x14ac:dyDescent="0.25">
      <c r="A415" t="s">
        <v>16430</v>
      </c>
      <c r="B415" t="s">
        <v>16432</v>
      </c>
      <c r="C415" t="s">
        <v>16431</v>
      </c>
      <c r="D415" t="str">
        <f>CONCATENATE(A415," : ",B415)</f>
        <v>C01242 : [Protein]-S8-aminomethyldihydrolipoyllysine</v>
      </c>
    </row>
    <row r="416" spans="1:4" x14ac:dyDescent="0.25">
      <c r="A416" t="s">
        <v>10172</v>
      </c>
      <c r="B416" t="s">
        <v>12284</v>
      </c>
      <c r="C416" t="s">
        <v>11809</v>
      </c>
      <c r="D416" t="str">
        <f>CONCATENATE(A416," : ",B416)</f>
        <v>C01250 : N-Acetyl-L-glutamate 5-semialdehyde</v>
      </c>
    </row>
    <row r="417" spans="1:4" x14ac:dyDescent="0.25">
      <c r="A417" t="s">
        <v>9924</v>
      </c>
      <c r="B417" t="s">
        <v>12285</v>
      </c>
      <c r="C417" t="s">
        <v>11810</v>
      </c>
      <c r="D417" t="str">
        <f>CONCATENATE(A417," : ",B417)</f>
        <v>C01251 : Homocitrate</v>
      </c>
    </row>
    <row r="418" spans="1:4" x14ac:dyDescent="0.25">
      <c r="A418" t="s">
        <v>10611</v>
      </c>
      <c r="B418" t="s">
        <v>10872</v>
      </c>
      <c r="C418" t="s">
        <v>11298</v>
      </c>
      <c r="D418" t="str">
        <f>CONCATENATE(A418," : ",B418)</f>
        <v>C01260 : P1,P4-Bis(5'-adenosyl)tetraphosphate</v>
      </c>
    </row>
    <row r="419" spans="1:4" x14ac:dyDescent="0.25">
      <c r="A419" t="s">
        <v>10610</v>
      </c>
      <c r="B419" t="s">
        <v>12286</v>
      </c>
      <c r="C419" t="s">
        <v>11811</v>
      </c>
      <c r="D419" t="str">
        <f>CONCATENATE(A419," : ",B419)</f>
        <v>C01261 : P1,P4-Bis(5'-guanosyl) tetraphosphate</v>
      </c>
    </row>
    <row r="420" spans="1:4" x14ac:dyDescent="0.25">
      <c r="A420" t="s">
        <v>10487</v>
      </c>
      <c r="B420" t="s">
        <v>12287</v>
      </c>
      <c r="C420" t="s">
        <v>11812</v>
      </c>
      <c r="D420" t="str">
        <f>CONCATENATE(A420," : ",B420)</f>
        <v>C01267 : 3-(Imidazol-4-yl)-2-oxopropyl phosphate</v>
      </c>
    </row>
    <row r="421" spans="1:4" x14ac:dyDescent="0.25">
      <c r="A421" t="s">
        <v>10163</v>
      </c>
      <c r="B421" t="s">
        <v>12288</v>
      </c>
      <c r="C421" t="s">
        <v>11813</v>
      </c>
      <c r="D421" t="str">
        <f>CONCATENATE(A421," : ",B421)</f>
        <v>C01268 : 5-Amino-6-(5'-phosphoribosylamino)uracil</v>
      </c>
    </row>
    <row r="422" spans="1:4" x14ac:dyDescent="0.25">
      <c r="A422" t="s">
        <v>8201</v>
      </c>
      <c r="B422" t="s">
        <v>12289</v>
      </c>
      <c r="C422" t="s">
        <v>11814</v>
      </c>
      <c r="D422" t="str">
        <f>CONCATENATE(A422," : ",B422)</f>
        <v>C01269 : 5-O-(1-Carboxyvinyl)-3-phosphoshikimate</v>
      </c>
    </row>
    <row r="423" spans="1:4" x14ac:dyDescent="0.25">
      <c r="A423" t="s">
        <v>8164</v>
      </c>
      <c r="B423" t="s">
        <v>12290</v>
      </c>
      <c r="C423" t="s">
        <v>11815</v>
      </c>
      <c r="D423" t="str">
        <f>CONCATENATE(A423," : ",B423)</f>
        <v>C01271 : (3R)-3-Hydroxyacyl-[acyl-carrier protein]</v>
      </c>
    </row>
    <row r="424" spans="1:4" x14ac:dyDescent="0.25">
      <c r="A424" t="s">
        <v>8189</v>
      </c>
      <c r="B424" t="s">
        <v>12291</v>
      </c>
      <c r="C424" t="s">
        <v>11816</v>
      </c>
      <c r="D424" t="str">
        <f>CONCATENATE(A424," : ",B424)</f>
        <v>C01278 : 2-Carboxy-2,5-dihydro-5-oxofuran-2-acetate</v>
      </c>
    </row>
    <row r="425" spans="1:4" x14ac:dyDescent="0.25">
      <c r="A425" t="s">
        <v>10009</v>
      </c>
      <c r="B425" t="s">
        <v>10873</v>
      </c>
      <c r="C425" t="s">
        <v>11299</v>
      </c>
      <c r="D425" t="str">
        <f>CONCATENATE(A425," : ",B425)</f>
        <v>C01279 : 4-Amino-5-hydroxymethyl-2-methylpyrimidine</v>
      </c>
    </row>
    <row r="426" spans="1:4" x14ac:dyDescent="0.25">
      <c r="A426" t="s">
        <v>10187</v>
      </c>
      <c r="B426" t="s">
        <v>12292</v>
      </c>
      <c r="C426" t="s">
        <v>11817</v>
      </c>
      <c r="D426" t="str">
        <f>CONCATENATE(A426," : ",B426)</f>
        <v>C01289 : N-Acetyl-D-glucosaminyldiphosphoundecaprenol</v>
      </c>
    </row>
    <row r="427" spans="1:4" x14ac:dyDescent="0.25">
      <c r="A427" t="s">
        <v>10016</v>
      </c>
      <c r="B427" t="s">
        <v>12293</v>
      </c>
      <c r="C427" t="s">
        <v>11818</v>
      </c>
      <c r="D427" t="str">
        <f>CONCATENATE(A427," : ",B427)</f>
        <v>C01300 : 6-(Hydroxymethyl)-7,8-dihydropterin</v>
      </c>
    </row>
    <row r="428" spans="1:4" x14ac:dyDescent="0.25">
      <c r="A428" t="s">
        <v>8295</v>
      </c>
      <c r="B428" t="s">
        <v>12294</v>
      </c>
      <c r="C428" t="s">
        <v>11819</v>
      </c>
      <c r="D428" t="str">
        <f>CONCATENATE(A428," : ",B428)</f>
        <v>C01302 : 1-(2-Carboxyphenylamino)-1-deoxy-D-ribulose 5-phosphate</v>
      </c>
    </row>
    <row r="429" spans="1:4" x14ac:dyDescent="0.25">
      <c r="A429" t="s">
        <v>10162</v>
      </c>
      <c r="B429" t="s">
        <v>12295</v>
      </c>
      <c r="C429" t="s">
        <v>11820</v>
      </c>
      <c r="D429" t="str">
        <f>CONCATENATE(A429," : ",B429)</f>
        <v>C01304 : 2,5-Diamino-6-(5-phospho-D-ribosylamino)pyrimidin-4(3H)-one</v>
      </c>
    </row>
    <row r="430" spans="1:4" x14ac:dyDescent="0.25">
      <c r="A430" t="s">
        <v>10034</v>
      </c>
      <c r="B430" t="s">
        <v>12296</v>
      </c>
      <c r="C430" t="s">
        <v>11821</v>
      </c>
      <c r="D430" t="str">
        <f>CONCATENATE(A430," : ",B430)</f>
        <v>C01327 : Hydrochloric acid</v>
      </c>
    </row>
    <row r="431" spans="1:4" x14ac:dyDescent="0.25">
      <c r="A431" t="s">
        <v>10523</v>
      </c>
      <c r="B431" t="s">
        <v>12297</v>
      </c>
      <c r="C431" t="s">
        <v>11822</v>
      </c>
      <c r="D431" t="str">
        <f>CONCATENATE(A431," : ",B431)</f>
        <v>C01335 : ROH</v>
      </c>
    </row>
    <row r="432" spans="1:4" x14ac:dyDescent="0.25">
      <c r="A432" t="s">
        <v>16433</v>
      </c>
      <c r="B432" t="s">
        <v>16436</v>
      </c>
      <c r="C432" t="s">
        <v>16434</v>
      </c>
      <c r="D432" t="str">
        <f>CONCATENATE(A432," : ",B432)</f>
        <v>C01344 : dIdp</v>
      </c>
    </row>
    <row r="433" spans="1:4" x14ac:dyDescent="0.25">
      <c r="A433" t="s">
        <v>16435</v>
      </c>
      <c r="B433" t="s">
        <v>16437</v>
      </c>
      <c r="C433" t="s">
        <v>16438</v>
      </c>
      <c r="D433" t="str">
        <f>CONCATENATE(A433," : ",B433)</f>
        <v>C01345 : dItp</v>
      </c>
    </row>
    <row r="434" spans="1:4" x14ac:dyDescent="0.25">
      <c r="A434" t="s">
        <v>10093</v>
      </c>
      <c r="B434" t="s">
        <v>10874</v>
      </c>
      <c r="C434" t="s">
        <v>11300</v>
      </c>
      <c r="D434" t="str">
        <f>CONCATENATE(A434," : ",B434)</f>
        <v>C01346 : dUDP</v>
      </c>
    </row>
    <row r="435" spans="1:4" x14ac:dyDescent="0.25">
      <c r="A435" t="s">
        <v>9910</v>
      </c>
      <c r="B435" t="s">
        <v>12298</v>
      </c>
      <c r="C435" t="s">
        <v>11823</v>
      </c>
      <c r="D435" t="str">
        <f>CONCATENATE(A435," : ",B435)</f>
        <v>C01352 : FADH2</v>
      </c>
    </row>
    <row r="436" spans="1:4" x14ac:dyDescent="0.25">
      <c r="A436" t="s">
        <v>10413</v>
      </c>
      <c r="B436" t="s">
        <v>12299</v>
      </c>
      <c r="C436" t="s">
        <v>11824</v>
      </c>
      <c r="D436" t="str">
        <f>CONCATENATE(A436," : ",B436)</f>
        <v>C01419 : L-Cysteinylglycine</v>
      </c>
    </row>
    <row r="437" spans="1:4" x14ac:dyDescent="0.25">
      <c r="A437" t="s">
        <v>10565</v>
      </c>
      <c r="B437" t="s">
        <v>10875</v>
      </c>
      <c r="C437" t="s">
        <v>11301</v>
      </c>
      <c r="D437" t="str">
        <f>CONCATENATE(A437," : ",B437)</f>
        <v>C01450 : Ketone</v>
      </c>
    </row>
    <row r="438" spans="1:4" x14ac:dyDescent="0.25">
      <c r="A438" t="s">
        <v>10514</v>
      </c>
      <c r="B438" t="s">
        <v>12300</v>
      </c>
      <c r="C438" t="s">
        <v>11825</v>
      </c>
      <c r="D438" t="str">
        <f>CONCATENATE(A438," : ",B438)</f>
        <v>C01507 : L-Iditol</v>
      </c>
    </row>
    <row r="439" spans="1:4" x14ac:dyDescent="0.25">
      <c r="A439" t="s">
        <v>9842</v>
      </c>
      <c r="B439" t="s">
        <v>10876</v>
      </c>
      <c r="C439" t="s">
        <v>11302</v>
      </c>
      <c r="D439" t="str">
        <f>CONCATENATE(A439," : ",B439)</f>
        <v>C01528 : Hydrogen Selenide</v>
      </c>
    </row>
    <row r="440" spans="1:4" x14ac:dyDescent="0.25">
      <c r="A440" t="s">
        <v>10546</v>
      </c>
      <c r="B440" t="s">
        <v>10877</v>
      </c>
      <c r="C440" t="s">
        <v>11303</v>
      </c>
      <c r="D440" t="str">
        <f>CONCATENATE(A440," : ",B440)</f>
        <v>C01545 : Octanal</v>
      </c>
    </row>
    <row r="441" spans="1:4" x14ac:dyDescent="0.25">
      <c r="A441" t="s">
        <v>9987</v>
      </c>
      <c r="B441" t="s">
        <v>10878</v>
      </c>
      <c r="C441" t="s">
        <v>11304</v>
      </c>
      <c r="D441" t="str">
        <f>CONCATENATE(A441," : ",B441)</f>
        <v>C01563 : Carbamate</v>
      </c>
    </row>
    <row r="442" spans="1:4" x14ac:dyDescent="0.25">
      <c r="A442" t="s">
        <v>10491</v>
      </c>
      <c r="B442" t="s">
        <v>12301</v>
      </c>
      <c r="C442" t="s">
        <v>11826</v>
      </c>
      <c r="D442" t="str">
        <f>CONCATENATE(A442," : ",B442)</f>
        <v>C01609 : Protamine</v>
      </c>
    </row>
    <row r="443" spans="1:4" x14ac:dyDescent="0.25">
      <c r="A443" t="s">
        <v>10564</v>
      </c>
      <c r="B443" t="s">
        <v>10879</v>
      </c>
      <c r="C443" t="s">
        <v>11305</v>
      </c>
      <c r="D443" t="str">
        <f>CONCATENATE(A443," : ",B443)</f>
        <v>C01612 : Secondary alcohol</v>
      </c>
    </row>
    <row r="444" spans="1:4" x14ac:dyDescent="0.25">
      <c r="A444" t="s">
        <v>10031</v>
      </c>
      <c r="B444" t="s">
        <v>10880</v>
      </c>
      <c r="C444" t="s">
        <v>11306</v>
      </c>
      <c r="D444" t="str">
        <f>CONCATENATE(A444," : ",B444)</f>
        <v>C01635 : tRNA(Ala)</v>
      </c>
    </row>
    <row r="445" spans="1:4" x14ac:dyDescent="0.25">
      <c r="A445" t="s">
        <v>10464</v>
      </c>
      <c r="B445" t="s">
        <v>10881</v>
      </c>
      <c r="C445" t="s">
        <v>11307</v>
      </c>
      <c r="D445" t="str">
        <f>CONCATENATE(A445," : ",B445)</f>
        <v>C01636 : tRNA(Arg)</v>
      </c>
    </row>
    <row r="446" spans="1:4" x14ac:dyDescent="0.25">
      <c r="A446" t="s">
        <v>10468</v>
      </c>
      <c r="B446" t="s">
        <v>12302</v>
      </c>
      <c r="C446" t="s">
        <v>11827</v>
      </c>
      <c r="D446" t="str">
        <f>CONCATENATE(A446," : ",B446)</f>
        <v>C01637 : tRNA(Asn)</v>
      </c>
    </row>
    <row r="447" spans="1:4" x14ac:dyDescent="0.25">
      <c r="A447" t="s">
        <v>10469</v>
      </c>
      <c r="B447" t="s">
        <v>10882</v>
      </c>
      <c r="C447" t="s">
        <v>11308</v>
      </c>
      <c r="D447" t="str">
        <f>CONCATENATE(A447," : ",B447)</f>
        <v>C01638 : tRNA(Asp)</v>
      </c>
    </row>
    <row r="448" spans="1:4" x14ac:dyDescent="0.25">
      <c r="A448" t="s">
        <v>10352</v>
      </c>
      <c r="B448" t="s">
        <v>10883</v>
      </c>
      <c r="C448" t="s">
        <v>11309</v>
      </c>
      <c r="D448" t="str">
        <f>CONCATENATE(A448," : ",B448)</f>
        <v>C01639 : tRNA(Cys)</v>
      </c>
    </row>
    <row r="449" spans="1:4" x14ac:dyDescent="0.25">
      <c r="A449" t="s">
        <v>10443</v>
      </c>
      <c r="B449" t="s">
        <v>12303</v>
      </c>
      <c r="C449" t="s">
        <v>11828</v>
      </c>
      <c r="D449" t="str">
        <f>CONCATENATE(A449," : ",B449)</f>
        <v>C01640 : tRNA(Gln)</v>
      </c>
    </row>
    <row r="450" spans="1:4" x14ac:dyDescent="0.25">
      <c r="A450" t="s">
        <v>10085</v>
      </c>
      <c r="B450" t="s">
        <v>10884</v>
      </c>
      <c r="C450" t="s">
        <v>11310</v>
      </c>
      <c r="D450" t="str">
        <f>CONCATENATE(A450," : ",B450)</f>
        <v>C01641 : tRNA(Glu)</v>
      </c>
    </row>
    <row r="451" spans="1:4" x14ac:dyDescent="0.25">
      <c r="A451" t="s">
        <v>10446</v>
      </c>
      <c r="B451" t="s">
        <v>10885</v>
      </c>
      <c r="C451" t="s">
        <v>11311</v>
      </c>
      <c r="D451" t="str">
        <f>CONCATENATE(A451," : ",B451)</f>
        <v>C01642 : tRNA(Gly)</v>
      </c>
    </row>
    <row r="452" spans="1:4" x14ac:dyDescent="0.25">
      <c r="A452" t="s">
        <v>10495</v>
      </c>
      <c r="B452" t="s">
        <v>12304</v>
      </c>
      <c r="C452" t="s">
        <v>11829</v>
      </c>
      <c r="D452" t="str">
        <f>CONCATENATE(A452," : ",B452)</f>
        <v>C01643 : tRNA(His)</v>
      </c>
    </row>
    <row r="453" spans="1:4" x14ac:dyDescent="0.25">
      <c r="A453" t="s">
        <v>10503</v>
      </c>
      <c r="B453" t="s">
        <v>10886</v>
      </c>
      <c r="C453" t="s">
        <v>11312</v>
      </c>
      <c r="D453" t="str">
        <f>CONCATENATE(A453," : ",B453)</f>
        <v>C01644 : tRNA(Ile)</v>
      </c>
    </row>
    <row r="454" spans="1:4" x14ac:dyDescent="0.25">
      <c r="A454" t="s">
        <v>10624</v>
      </c>
      <c r="B454" t="s">
        <v>10887</v>
      </c>
      <c r="C454" t="s">
        <v>11313</v>
      </c>
      <c r="D454" t="str">
        <f>CONCATENATE(A454," : ",B454)</f>
        <v>C01645 : tRNA(Leu)</v>
      </c>
    </row>
    <row r="455" spans="1:4" x14ac:dyDescent="0.25">
      <c r="A455" t="s">
        <v>10166</v>
      </c>
      <c r="B455" t="s">
        <v>10888</v>
      </c>
      <c r="C455" t="s">
        <v>11314</v>
      </c>
      <c r="D455" t="str">
        <f>CONCATENATE(A455," : ",B455)</f>
        <v>C01646 : tRNA(Lys)</v>
      </c>
    </row>
    <row r="456" spans="1:4" x14ac:dyDescent="0.25">
      <c r="A456" t="s">
        <v>10519</v>
      </c>
      <c r="B456" t="s">
        <v>10889</v>
      </c>
      <c r="C456" t="s">
        <v>11315</v>
      </c>
      <c r="D456" t="str">
        <f>CONCATENATE(A456," : ",B456)</f>
        <v>C01647 : tRNA(Met)</v>
      </c>
    </row>
    <row r="457" spans="1:4" x14ac:dyDescent="0.25">
      <c r="A457" t="s">
        <v>10627</v>
      </c>
      <c r="B457" t="s">
        <v>10890</v>
      </c>
      <c r="C457" t="s">
        <v>11316</v>
      </c>
      <c r="D457" t="str">
        <f>CONCATENATE(A457," : ",B457)</f>
        <v>C01648 : tRNA(Phe)</v>
      </c>
    </row>
    <row r="458" spans="1:4" x14ac:dyDescent="0.25">
      <c r="A458" t="s">
        <v>10578</v>
      </c>
      <c r="B458" t="s">
        <v>10891</v>
      </c>
      <c r="C458" t="s">
        <v>11317</v>
      </c>
      <c r="D458" t="str">
        <f>CONCATENATE(A458," : ",B458)</f>
        <v>C01649 : tRNA(Pro)</v>
      </c>
    </row>
    <row r="459" spans="1:4" x14ac:dyDescent="0.25">
      <c r="A459" t="s">
        <v>10354</v>
      </c>
      <c r="B459" t="s">
        <v>10892</v>
      </c>
      <c r="C459" t="s">
        <v>11318</v>
      </c>
      <c r="D459" t="str">
        <f>CONCATENATE(A459," : ",B459)</f>
        <v>C01650 : tRNA(Ser)</v>
      </c>
    </row>
    <row r="460" spans="1:4" x14ac:dyDescent="0.25">
      <c r="A460" t="s">
        <v>10605</v>
      </c>
      <c r="B460" t="s">
        <v>10893</v>
      </c>
      <c r="C460" t="s">
        <v>11319</v>
      </c>
      <c r="D460" t="str">
        <f>CONCATENATE(A460," : ",B460)</f>
        <v>C01651 : tRNA(Thr)</v>
      </c>
    </row>
    <row r="461" spans="1:4" x14ac:dyDescent="0.25">
      <c r="A461" t="s">
        <v>10430</v>
      </c>
      <c r="B461" t="s">
        <v>10894</v>
      </c>
      <c r="C461" t="s">
        <v>11320</v>
      </c>
      <c r="D461" t="str">
        <f>CONCATENATE(A461," : ",B461)</f>
        <v>C01653 : tRNA(Val)</v>
      </c>
    </row>
    <row r="462" spans="1:4" x14ac:dyDescent="0.25">
      <c r="A462" t="s">
        <v>16439</v>
      </c>
      <c r="B462" t="s">
        <v>16440</v>
      </c>
      <c r="C462" t="s">
        <v>16441</v>
      </c>
      <c r="D462" t="str">
        <f>CONCATENATE(A462," : ",B462)</f>
        <v>C01672 : Cadaverine</v>
      </c>
    </row>
    <row r="463" spans="1:4" x14ac:dyDescent="0.25">
      <c r="A463" t="s">
        <v>10377</v>
      </c>
      <c r="B463" t="s">
        <v>12305</v>
      </c>
      <c r="C463" t="s">
        <v>11830</v>
      </c>
      <c r="D463" t="str">
        <f>CONCATENATE(A463," : ",B463)</f>
        <v>C01755 : Thiocyanate</v>
      </c>
    </row>
    <row r="464" spans="1:4" x14ac:dyDescent="0.25">
      <c r="A464" t="s">
        <v>9865</v>
      </c>
      <c r="B464" t="s">
        <v>10895</v>
      </c>
      <c r="C464" t="s">
        <v>11321</v>
      </c>
      <c r="D464" t="str">
        <f>CONCATENATE(A464," : ",B464)</f>
        <v>C01762 : Xanthosine</v>
      </c>
    </row>
    <row r="465" spans="1:4" x14ac:dyDescent="0.25">
      <c r="A465" t="s">
        <v>10127</v>
      </c>
      <c r="B465" t="s">
        <v>12306</v>
      </c>
      <c r="C465" t="s">
        <v>11831</v>
      </c>
      <c r="D465" t="str">
        <f>CONCATENATE(A465," : ",B465)</f>
        <v>C01764 : tRNA containing uridine at position 54</v>
      </c>
    </row>
    <row r="466" spans="1:4" x14ac:dyDescent="0.25">
      <c r="A466" t="s">
        <v>10486</v>
      </c>
      <c r="B466" t="s">
        <v>10896</v>
      </c>
      <c r="C466" t="s">
        <v>11322</v>
      </c>
      <c r="D466" t="str">
        <f>CONCATENATE(A466," : ",B466)</f>
        <v>C01801 : Deoxyribose</v>
      </c>
    </row>
    <row r="467" spans="1:4" x14ac:dyDescent="0.25">
      <c r="A467" t="s">
        <v>10600</v>
      </c>
      <c r="B467" t="s">
        <v>12307</v>
      </c>
      <c r="C467" t="s">
        <v>11832</v>
      </c>
      <c r="D467" t="str">
        <f>CONCATENATE(A467," : ",B467)</f>
        <v>C01825 : L-Galactose</v>
      </c>
    </row>
    <row r="468" spans="1:4" x14ac:dyDescent="0.25">
      <c r="A468" t="s">
        <v>10343</v>
      </c>
      <c r="B468" t="s">
        <v>12308</v>
      </c>
      <c r="C468" t="s">
        <v>11833</v>
      </c>
      <c r="D468" t="str">
        <f>CONCATENATE(A468," : ",B468)</f>
        <v>C01832 : Lauroyl-CoA</v>
      </c>
    </row>
    <row r="469" spans="1:4" x14ac:dyDescent="0.25">
      <c r="A469" t="s">
        <v>10573</v>
      </c>
      <c r="B469" t="s">
        <v>12309</v>
      </c>
      <c r="C469" t="s">
        <v>11834</v>
      </c>
      <c r="D469" t="str">
        <f>CONCATENATE(A469," : ",B469)</f>
        <v>C01847 : Reduced FMN</v>
      </c>
    </row>
    <row r="470" spans="1:4" x14ac:dyDescent="0.25">
      <c r="A470" t="s">
        <v>8104</v>
      </c>
      <c r="B470" t="s">
        <v>12310</v>
      </c>
      <c r="C470" t="s">
        <v>11835</v>
      </c>
      <c r="D470" t="str">
        <f>CONCATENATE(A470," : ",B470)</f>
        <v>C01898 : Cellodextrin</v>
      </c>
    </row>
    <row r="471" spans="1:4" x14ac:dyDescent="0.25">
      <c r="A471" t="s">
        <v>10494</v>
      </c>
      <c r="B471" t="s">
        <v>12311</v>
      </c>
      <c r="C471" t="s">
        <v>11836</v>
      </c>
      <c r="D471" t="str">
        <f>CONCATENATE(A471," : ",B471)</f>
        <v>C01929 : L-Histidinal</v>
      </c>
    </row>
    <row r="472" spans="1:4" x14ac:dyDescent="0.25">
      <c r="A472" t="s">
        <v>10167</v>
      </c>
      <c r="B472" t="s">
        <v>10897</v>
      </c>
      <c r="C472" t="s">
        <v>11323</v>
      </c>
      <c r="D472" t="str">
        <f>CONCATENATE(A472," : ",B472)</f>
        <v>C01931 : L-Lysyl-tRNA</v>
      </c>
    </row>
    <row r="473" spans="1:4" x14ac:dyDescent="0.25">
      <c r="A473" t="s">
        <v>10342</v>
      </c>
      <c r="B473" t="s">
        <v>12312</v>
      </c>
      <c r="C473" t="s">
        <v>11837</v>
      </c>
      <c r="D473" t="str">
        <f>CONCATENATE(A473," : ",B473)</f>
        <v>C01944 : Octanoyl-CoA</v>
      </c>
    </row>
    <row r="474" spans="1:4" x14ac:dyDescent="0.25">
      <c r="A474" t="s">
        <v>10378</v>
      </c>
      <c r="B474" t="s">
        <v>10898</v>
      </c>
      <c r="C474" t="s">
        <v>11324</v>
      </c>
      <c r="D474" t="str">
        <f>CONCATENATE(A474," : ",B474)</f>
        <v>C01977 : tRNA guanine</v>
      </c>
    </row>
    <row r="475" spans="1:4" x14ac:dyDescent="0.25">
      <c r="A475" t="s">
        <v>10625</v>
      </c>
      <c r="B475" t="s">
        <v>10899</v>
      </c>
      <c r="C475" t="s">
        <v>11325</v>
      </c>
      <c r="D475" t="str">
        <f>CONCATENATE(A475," : ",B475)</f>
        <v>C02047 : L-Leucyl-tRNA</v>
      </c>
    </row>
    <row r="476" spans="1:4" x14ac:dyDescent="0.25">
      <c r="A476" t="s">
        <v>9935</v>
      </c>
      <c r="B476" t="s">
        <v>12313</v>
      </c>
      <c r="C476" t="s">
        <v>11838</v>
      </c>
      <c r="D476" t="str">
        <f>CONCATENATE(A476," : ",B476)</f>
        <v>C02051 : Lipoylprotein</v>
      </c>
    </row>
    <row r="477" spans="1:4" x14ac:dyDescent="0.25">
      <c r="A477" t="s">
        <v>10098</v>
      </c>
      <c r="B477" t="s">
        <v>10900</v>
      </c>
      <c r="C477" t="s">
        <v>11326</v>
      </c>
      <c r="D477" t="str">
        <f>CONCATENATE(A477," : ",B477)</f>
        <v>C02090 : Trypanothione</v>
      </c>
    </row>
    <row r="478" spans="1:4" x14ac:dyDescent="0.25">
      <c r="A478" t="s">
        <v>8497</v>
      </c>
      <c r="B478" t="s">
        <v>10901</v>
      </c>
      <c r="C478" t="s">
        <v>11327</v>
      </c>
      <c r="D478" t="str">
        <f>CONCATENATE(A478," : ",B478)</f>
        <v>C02097 : dTDP-galactose</v>
      </c>
    </row>
    <row r="479" spans="1:4" x14ac:dyDescent="0.25">
      <c r="A479" t="s">
        <v>16442</v>
      </c>
      <c r="B479" t="s">
        <v>16443</v>
      </c>
      <c r="C479" t="s">
        <v>16444</v>
      </c>
      <c r="D479" t="str">
        <f>CONCATENATE(A479," : ",B479)</f>
        <v>C02128 : 5'-Phospho-DNA</v>
      </c>
    </row>
    <row r="480" spans="1:4" x14ac:dyDescent="0.25">
      <c r="A480" t="s">
        <v>10451</v>
      </c>
      <c r="B480" t="s">
        <v>10902</v>
      </c>
      <c r="C480" t="s">
        <v>11328</v>
      </c>
      <c r="D480" t="str">
        <f>CONCATENATE(A480," : ",B480)</f>
        <v xml:space="preserve">C02133 : Acyl phosphate </v>
      </c>
    </row>
    <row r="481" spans="1:4" x14ac:dyDescent="0.25">
      <c r="A481" t="s">
        <v>10596</v>
      </c>
      <c r="B481" t="s">
        <v>12314</v>
      </c>
      <c r="C481" t="s">
        <v>11839</v>
      </c>
      <c r="D481" t="str">
        <f>CONCATENATE(A481," : ",B481)</f>
        <v>C02143 : D-threo-Aldose</v>
      </c>
    </row>
    <row r="482" spans="1:4" x14ac:dyDescent="0.25">
      <c r="A482" t="s">
        <v>10465</v>
      </c>
      <c r="B482" t="s">
        <v>10903</v>
      </c>
      <c r="C482" t="s">
        <v>11329</v>
      </c>
      <c r="D482" t="str">
        <f>CONCATENATE(A482," : ",B482)</f>
        <v>C02163 : L-Arginyl-tRNA(Arg)</v>
      </c>
    </row>
    <row r="483" spans="1:4" x14ac:dyDescent="0.25">
      <c r="A483" t="s">
        <v>10417</v>
      </c>
      <c r="B483" t="s">
        <v>12315</v>
      </c>
      <c r="C483" t="s">
        <v>11840</v>
      </c>
      <c r="D483" t="str">
        <f>CONCATENATE(A483," : ",B483)</f>
        <v>C02166 : Leukotriene C4</v>
      </c>
    </row>
    <row r="484" spans="1:4" x14ac:dyDescent="0.25">
      <c r="A484" t="s">
        <v>10302</v>
      </c>
      <c r="B484" t="s">
        <v>12316</v>
      </c>
      <c r="C484" t="s">
        <v>11841</v>
      </c>
      <c r="D484" t="str">
        <f>CONCATENATE(A484," : ",B484)</f>
        <v>C02170 : Methylmalonate</v>
      </c>
    </row>
    <row r="485" spans="1:4" x14ac:dyDescent="0.25">
      <c r="A485" t="s">
        <v>10191</v>
      </c>
      <c r="B485" t="s">
        <v>12317</v>
      </c>
      <c r="C485" t="s">
        <v>11842</v>
      </c>
      <c r="D485" t="str">
        <f>CONCATENATE(A485," : ",B485)</f>
        <v>C02191 : Protoporphyrin</v>
      </c>
    </row>
    <row r="486" spans="1:4" x14ac:dyDescent="0.25">
      <c r="A486" t="s">
        <v>10173</v>
      </c>
      <c r="B486" t="s">
        <v>10904</v>
      </c>
      <c r="C486" t="s">
        <v>11330</v>
      </c>
      <c r="D486" t="str">
        <f>CONCATENATE(A486," : ",B486)</f>
        <v>C02211 : tRNA precursor</v>
      </c>
    </row>
    <row r="487" spans="1:4" x14ac:dyDescent="0.25">
      <c r="A487" t="s">
        <v>8212</v>
      </c>
      <c r="B487" t="s">
        <v>12318</v>
      </c>
      <c r="C487" t="s">
        <v>11843</v>
      </c>
      <c r="D487" t="str">
        <f>CONCATENATE(A487," : ",B487)</f>
        <v>C02218 : Dehydroalanine</v>
      </c>
    </row>
    <row r="488" spans="1:4" x14ac:dyDescent="0.25">
      <c r="A488" t="s">
        <v>10205</v>
      </c>
      <c r="B488" t="s">
        <v>12319</v>
      </c>
      <c r="C488" t="s">
        <v>11844</v>
      </c>
      <c r="D488" t="str">
        <f>CONCATENATE(A488," : ",B488)</f>
        <v>C02232 : 3-Oxoadipyl-CoA</v>
      </c>
    </row>
    <row r="489" spans="1:4" x14ac:dyDescent="0.25">
      <c r="A489" t="s">
        <v>10444</v>
      </c>
      <c r="B489" t="s">
        <v>12320</v>
      </c>
      <c r="C489" t="s">
        <v>11845</v>
      </c>
      <c r="D489" t="str">
        <f>CONCATENATE(A489," : ",B489)</f>
        <v>C02282 : Glutaminyl-tRNA</v>
      </c>
    </row>
    <row r="490" spans="1:4" x14ac:dyDescent="0.25">
      <c r="A490" t="s">
        <v>10361</v>
      </c>
      <c r="B490" t="s">
        <v>12321</v>
      </c>
      <c r="C490" t="s">
        <v>11846</v>
      </c>
      <c r="D490" t="str">
        <f>CONCATENATE(A490," : ",B490)</f>
        <v>C02291 : L-Cystathionine</v>
      </c>
    </row>
    <row r="491" spans="1:4" x14ac:dyDescent="0.25">
      <c r="A491" t="s">
        <v>10421</v>
      </c>
      <c r="B491" t="s">
        <v>12322</v>
      </c>
      <c r="C491" t="s">
        <v>11847</v>
      </c>
      <c r="D491" t="str">
        <f>CONCATENATE(A491," : ",B491)</f>
        <v>C02320 : R-S-Glutathione</v>
      </c>
    </row>
    <row r="492" spans="1:4" x14ac:dyDescent="0.25">
      <c r="A492" t="s">
        <v>10074</v>
      </c>
      <c r="B492" t="s">
        <v>10905</v>
      </c>
      <c r="C492" t="s">
        <v>11331</v>
      </c>
      <c r="D492" t="str">
        <f>CONCATENATE(A492," : ",B492)</f>
        <v>C02336 : beta-D-Fructose</v>
      </c>
    </row>
    <row r="493" spans="1:4" x14ac:dyDescent="0.25">
      <c r="A493" t="s">
        <v>10588</v>
      </c>
      <c r="B493" t="s">
        <v>10906</v>
      </c>
      <c r="C493" t="s">
        <v>11332</v>
      </c>
      <c r="D493" t="str">
        <f>CONCATENATE(A493," : ",B493)</f>
        <v>C02356 : (S)-2-Aminobutanoate</v>
      </c>
    </row>
    <row r="494" spans="1:4" x14ac:dyDescent="0.25">
      <c r="A494" t="s">
        <v>10592</v>
      </c>
      <c r="B494" t="s">
        <v>10907</v>
      </c>
      <c r="C494" t="s">
        <v>11333</v>
      </c>
      <c r="D494" t="str">
        <f>CONCATENATE(A494," : ",B494)</f>
        <v>C02380 : 6-Mercaptopurine</v>
      </c>
    </row>
    <row r="495" spans="1:4" x14ac:dyDescent="0.25">
      <c r="A495" t="s">
        <v>8320</v>
      </c>
      <c r="B495" t="s">
        <v>12323</v>
      </c>
      <c r="C495" t="s">
        <v>11848</v>
      </c>
      <c r="D495" t="str">
        <f>CONCATENATE(A495," : ",B495)</f>
        <v>C02411 : Glutaconyl-1-CoA</v>
      </c>
    </row>
    <row r="496" spans="1:4" x14ac:dyDescent="0.25">
      <c r="A496" t="s">
        <v>10447</v>
      </c>
      <c r="B496" t="s">
        <v>10908</v>
      </c>
      <c r="C496" t="s">
        <v>11334</v>
      </c>
      <c r="D496" t="str">
        <f>CONCATENATE(A496," : ",B496)</f>
        <v>C02412 : Glycyl-tRNA(Gly)</v>
      </c>
    </row>
    <row r="497" spans="1:4" x14ac:dyDescent="0.25">
      <c r="A497" t="s">
        <v>10520</v>
      </c>
      <c r="B497" t="s">
        <v>10909</v>
      </c>
      <c r="C497" t="s">
        <v>11335</v>
      </c>
      <c r="D497" t="str">
        <f>CONCATENATE(A497," : ",B497)</f>
        <v>C02430 : L-Methionyl-tRNA</v>
      </c>
    </row>
    <row r="498" spans="1:4" x14ac:dyDescent="0.25">
      <c r="A498" t="s">
        <v>10254</v>
      </c>
      <c r="B498" t="s">
        <v>12324</v>
      </c>
      <c r="C498" t="s">
        <v>11849</v>
      </c>
      <c r="D498" t="str">
        <f>CONCATENATE(A498," : ",B498)</f>
        <v>C02463 : Precorrin 2</v>
      </c>
    </row>
    <row r="499" spans="1:4" x14ac:dyDescent="0.25">
      <c r="A499" t="s">
        <v>10256</v>
      </c>
      <c r="B499" t="s">
        <v>12325</v>
      </c>
      <c r="C499" t="s">
        <v>11850</v>
      </c>
      <c r="D499" t="str">
        <f>CONCATENATE(A499," : ",B499)</f>
        <v>C02469 : Uroporphyrin III</v>
      </c>
    </row>
    <row r="500" spans="1:4" x14ac:dyDescent="0.25">
      <c r="A500" t="s">
        <v>8159</v>
      </c>
      <c r="B500" t="s">
        <v>12326</v>
      </c>
      <c r="C500" t="s">
        <v>11851</v>
      </c>
      <c r="D500" t="str">
        <f>CONCATENATE(A500," : ",B500)</f>
        <v>C02480 : cis,cis-Muconate</v>
      </c>
    </row>
    <row r="501" spans="1:4" x14ac:dyDescent="0.25">
      <c r="A501" t="s">
        <v>8309</v>
      </c>
      <c r="B501" t="s">
        <v>12327</v>
      </c>
      <c r="C501" t="s">
        <v>11852</v>
      </c>
      <c r="D501" t="str">
        <f>CONCATENATE(A501," : ",B501)</f>
        <v>C02504 : alpha-Isopropylmalate</v>
      </c>
    </row>
    <row r="502" spans="1:4" x14ac:dyDescent="0.25">
      <c r="A502" t="s">
        <v>10423</v>
      </c>
      <c r="B502" t="s">
        <v>12328</v>
      </c>
      <c r="C502" t="s">
        <v>11853</v>
      </c>
      <c r="D502" t="str">
        <f>CONCATENATE(A502," : ",B502)</f>
        <v>C02512 : 3-Cyano-L-alanine</v>
      </c>
    </row>
    <row r="503" spans="1:4" x14ac:dyDescent="0.25">
      <c r="A503" t="s">
        <v>9850</v>
      </c>
      <c r="B503" t="s">
        <v>10910</v>
      </c>
      <c r="C503" t="s">
        <v>11336</v>
      </c>
      <c r="D503" t="str">
        <f>CONCATENATE(A503," : ",B503)</f>
        <v>C02520 : 5'-Ribonucleotide</v>
      </c>
    </row>
    <row r="504" spans="1:4" x14ac:dyDescent="0.25">
      <c r="A504" t="s">
        <v>10355</v>
      </c>
      <c r="B504" t="s">
        <v>10911</v>
      </c>
      <c r="C504" t="s">
        <v>11337</v>
      </c>
      <c r="D504" t="str">
        <f>CONCATENATE(A504," : ",B504)</f>
        <v>C02553 : L-Seryl-tRNA(Ser)</v>
      </c>
    </row>
    <row r="505" spans="1:4" x14ac:dyDescent="0.25">
      <c r="A505" t="s">
        <v>10431</v>
      </c>
      <c r="B505" t="s">
        <v>10912</v>
      </c>
      <c r="C505" t="s">
        <v>11338</v>
      </c>
      <c r="D505" t="str">
        <f>CONCATENATE(A505," : ",B505)</f>
        <v xml:space="preserve">C02554 : L-Valyl-tRNA(Val) </v>
      </c>
    </row>
    <row r="506" spans="1:4" x14ac:dyDescent="0.25">
      <c r="A506" t="s">
        <v>10313</v>
      </c>
      <c r="B506" t="s">
        <v>12329</v>
      </c>
      <c r="C506" t="s">
        <v>11854</v>
      </c>
      <c r="D506" t="str">
        <f>CONCATENATE(A506," : ",B506)</f>
        <v>C02576 : Perillyl aldehyde</v>
      </c>
    </row>
    <row r="507" spans="1:4" x14ac:dyDescent="0.25">
      <c r="A507" t="s">
        <v>10344</v>
      </c>
      <c r="B507" t="s">
        <v>12330</v>
      </c>
      <c r="C507" t="s">
        <v>11855</v>
      </c>
      <c r="D507" t="str">
        <f>CONCATENATE(A507," : ",B507)</f>
        <v>C02593 : Tetradecanoyl-CoA</v>
      </c>
    </row>
    <row r="508" spans="1:4" x14ac:dyDescent="0.25">
      <c r="A508" t="s">
        <v>10436</v>
      </c>
      <c r="B508" t="s">
        <v>12331</v>
      </c>
      <c r="C508" t="s">
        <v>11856</v>
      </c>
      <c r="D508" t="str">
        <f>CONCATENATE(A508," : ",B508)</f>
        <v>C02612 : ( R )-2-Methylmalate</v>
      </c>
    </row>
    <row r="509" spans="1:4" x14ac:dyDescent="0.25">
      <c r="A509" t="s">
        <v>10062</v>
      </c>
      <c r="B509" t="s">
        <v>12332</v>
      </c>
      <c r="C509" t="s">
        <v>11857</v>
      </c>
      <c r="D509" t="str">
        <f>CONCATENATE(A509," : ",B509)</f>
        <v>C02630 : 2-Hydroxyglutarate</v>
      </c>
    </row>
    <row r="510" spans="1:4" x14ac:dyDescent="0.25">
      <c r="A510" t="s">
        <v>10454</v>
      </c>
      <c r="B510" t="s">
        <v>12333</v>
      </c>
      <c r="C510" t="s">
        <v>11858</v>
      </c>
      <c r="D510" t="str">
        <f>CONCATENATE(A510," : ",B510)</f>
        <v>C02631 : 2-Isopropylmaleate</v>
      </c>
    </row>
    <row r="511" spans="1:4" x14ac:dyDescent="0.25">
      <c r="A511" t="s">
        <v>10125</v>
      </c>
      <c r="B511" t="s">
        <v>12334</v>
      </c>
      <c r="C511" t="s">
        <v>11859</v>
      </c>
      <c r="D511" t="str">
        <f>CONCATENATE(A511," : ",B511)</f>
        <v>C02637 : 3-Dehydroshikimate</v>
      </c>
    </row>
    <row r="512" spans="1:4" x14ac:dyDescent="0.25">
      <c r="A512" t="s">
        <v>10318</v>
      </c>
      <c r="B512" t="s">
        <v>12335</v>
      </c>
      <c r="C512" t="s">
        <v>11860</v>
      </c>
      <c r="D512" t="str">
        <f>CONCATENATE(A512," : ",B512)</f>
        <v>C02670 : D-Glucuronolactone</v>
      </c>
    </row>
    <row r="513" spans="1:4" x14ac:dyDescent="0.25">
      <c r="A513" t="s">
        <v>10579</v>
      </c>
      <c r="B513" t="s">
        <v>10913</v>
      </c>
      <c r="C513" t="s">
        <v>11339</v>
      </c>
      <c r="D513" t="str">
        <f>CONCATENATE(A513," : ",B513)</f>
        <v>C02702 : L-Prolyl-tRNA(Pro)</v>
      </c>
    </row>
    <row r="514" spans="1:4" x14ac:dyDescent="0.25">
      <c r="A514" t="s">
        <v>10124</v>
      </c>
      <c r="B514" t="s">
        <v>12336</v>
      </c>
      <c r="C514" t="s">
        <v>11861</v>
      </c>
      <c r="D514" t="str">
        <f>CONCATENATE(A514," : ",B514)</f>
        <v>C02713 : N-Acetylmuramate</v>
      </c>
    </row>
    <row r="515" spans="1:4" x14ac:dyDescent="0.25">
      <c r="A515" t="s">
        <v>10492</v>
      </c>
      <c r="B515" t="s">
        <v>12337</v>
      </c>
      <c r="C515" t="s">
        <v>11862</v>
      </c>
      <c r="D515" t="str">
        <f>CONCATENATE(A515," : ",B515)</f>
        <v>C02729 : O-Phosphoprotamine</v>
      </c>
    </row>
    <row r="516" spans="1:4" x14ac:dyDescent="0.25">
      <c r="A516" t="s">
        <v>10273</v>
      </c>
      <c r="B516" t="s">
        <v>12338</v>
      </c>
      <c r="C516" t="s">
        <v>11863</v>
      </c>
      <c r="D516" t="str">
        <f>CONCATENATE(A516," : ",B516)</f>
        <v>C02730 : 2-Succinylbenzoate</v>
      </c>
    </row>
    <row r="517" spans="1:4" x14ac:dyDescent="0.25">
      <c r="A517" t="s">
        <v>10466</v>
      </c>
      <c r="B517" t="s">
        <v>12339</v>
      </c>
      <c r="C517" t="s">
        <v>11864</v>
      </c>
      <c r="D517" t="str">
        <f>CONCATENATE(A517," : ",B517)</f>
        <v>C02739 : 1-(5-Phospho-D-ribosyl)-ATP</v>
      </c>
    </row>
    <row r="518" spans="1:4" x14ac:dyDescent="0.25">
      <c r="A518" t="s">
        <v>10467</v>
      </c>
      <c r="B518" t="s">
        <v>12340</v>
      </c>
      <c r="C518" t="s">
        <v>11865</v>
      </c>
      <c r="D518" t="str">
        <f>CONCATENATE(A518," : ",B518)</f>
        <v>C02741 : Phosphoribosyl-AMP</v>
      </c>
    </row>
    <row r="519" spans="1:4" x14ac:dyDescent="0.25">
      <c r="A519" t="s">
        <v>10027</v>
      </c>
      <c r="B519" t="s">
        <v>10914</v>
      </c>
      <c r="C519" t="s">
        <v>11340</v>
      </c>
      <c r="D519" t="str">
        <f>CONCATENATE(A519," : ",B519)</f>
        <v>C02743 : [Protein]-L-cysteine </v>
      </c>
    </row>
    <row r="520" spans="1:4" x14ac:dyDescent="0.25">
      <c r="A520" t="s">
        <v>10304</v>
      </c>
      <c r="B520" t="s">
        <v>12341</v>
      </c>
      <c r="C520" t="s">
        <v>11866</v>
      </c>
      <c r="D520" t="str">
        <f>CONCATENATE(A520," : ",B520)</f>
        <v>C02835 : Imidazole-4-acetate</v>
      </c>
    </row>
    <row r="521" spans="1:4" x14ac:dyDescent="0.25">
      <c r="A521" t="s">
        <v>10111</v>
      </c>
      <c r="B521" t="s">
        <v>10915</v>
      </c>
      <c r="C521" t="s">
        <v>11341</v>
      </c>
      <c r="D521" t="str">
        <f>CONCATENATE(A521," : ",B521)</f>
        <v>C02839 : L-Tyrosyl-tRNA(Tyr)</v>
      </c>
    </row>
    <row r="522" spans="1:4" x14ac:dyDescent="0.25">
      <c r="A522" t="s">
        <v>10143</v>
      </c>
      <c r="B522" t="s">
        <v>12342</v>
      </c>
      <c r="C522" t="s">
        <v>11867</v>
      </c>
      <c r="D522" t="str">
        <f>CONCATENATE(A522," : ",B522)</f>
        <v>C02843 : Long-chain acyl-CoA</v>
      </c>
    </row>
    <row r="523" spans="1:4" x14ac:dyDescent="0.25">
      <c r="A523" t="s">
        <v>10277</v>
      </c>
      <c r="B523" t="s">
        <v>10916</v>
      </c>
      <c r="C523" t="s">
        <v>11342</v>
      </c>
      <c r="D523" t="str">
        <f>CONCATENATE(A523," : ",B523)</f>
        <v>C02876 : Propanoyl phosphate</v>
      </c>
    </row>
    <row r="524" spans="1:4" x14ac:dyDescent="0.25">
      <c r="A524" t="s">
        <v>10554</v>
      </c>
      <c r="B524" t="s">
        <v>10917</v>
      </c>
      <c r="C524" t="s">
        <v>11343</v>
      </c>
      <c r="D524" t="str">
        <f>CONCATENATE(A524," : ",B524)</f>
        <v>C02909 : (2-Naphthyl)methanol</v>
      </c>
    </row>
    <row r="525" spans="1:4" x14ac:dyDescent="0.25">
      <c r="A525" t="s">
        <v>9942</v>
      </c>
      <c r="B525" t="s">
        <v>12343</v>
      </c>
      <c r="C525" t="s">
        <v>11868</v>
      </c>
      <c r="D525" t="str">
        <f>CONCATENATE(A525," : ",B525)</f>
        <v>C02939 : 3-Methylbutanoyl-CoA</v>
      </c>
    </row>
    <row r="526" spans="1:4" x14ac:dyDescent="0.25">
      <c r="A526" t="s">
        <v>10310</v>
      </c>
      <c r="B526" t="s">
        <v>12344</v>
      </c>
      <c r="C526" t="s">
        <v>11869</v>
      </c>
      <c r="D526" t="str">
        <f>CONCATENATE(A526," : ",B526)</f>
        <v>C02946 : 4-Acetamidobutanoate</v>
      </c>
    </row>
    <row r="527" spans="1:4" x14ac:dyDescent="0.25">
      <c r="A527" t="s">
        <v>10498</v>
      </c>
      <c r="B527" t="s">
        <v>10918</v>
      </c>
      <c r="C527" t="s">
        <v>11344</v>
      </c>
      <c r="D527" t="str">
        <f>CONCATENATE(A527," : ",B527)</f>
        <v>C02953 : 7,8-Dihydrobiopterin</v>
      </c>
    </row>
    <row r="528" spans="1:4" x14ac:dyDescent="0.25">
      <c r="A528" t="s">
        <v>10052</v>
      </c>
      <c r="B528" t="s">
        <v>12345</v>
      </c>
      <c r="C528" t="s">
        <v>11870</v>
      </c>
      <c r="D528" t="str">
        <f>CONCATENATE(A528," : ",B528)</f>
        <v>C02954 : 6-Aminopenicillanate</v>
      </c>
    </row>
    <row r="529" spans="1:4" x14ac:dyDescent="0.25">
      <c r="A529" t="s">
        <v>8345</v>
      </c>
      <c r="B529" t="s">
        <v>10919</v>
      </c>
      <c r="C529" t="s">
        <v>11345</v>
      </c>
      <c r="D529" t="str">
        <f>CONCATENATE(A529," : ",B529)</f>
        <v>C02962 : D-Allose 6-phosphate</v>
      </c>
    </row>
    <row r="530" spans="1:4" x14ac:dyDescent="0.25">
      <c r="A530" t="s">
        <v>9934</v>
      </c>
      <c r="B530" t="s">
        <v>12346</v>
      </c>
      <c r="C530" t="s">
        <v>11871</v>
      </c>
      <c r="D530" t="str">
        <f>CONCATENATE(A530," : ",B530)</f>
        <v>C02972 : Dihydrolipoylprotein</v>
      </c>
    </row>
    <row r="531" spans="1:4" x14ac:dyDescent="0.25">
      <c r="A531" t="s">
        <v>10470</v>
      </c>
      <c r="B531" t="s">
        <v>10920</v>
      </c>
      <c r="C531" t="s">
        <v>11346</v>
      </c>
      <c r="D531" t="str">
        <f>CONCATENATE(A531," : ",B531)</f>
        <v>C02984 : L-Aspartyl-tRNA(Asp)</v>
      </c>
    </row>
    <row r="532" spans="1:4" x14ac:dyDescent="0.25">
      <c r="A532" t="s">
        <v>10084</v>
      </c>
      <c r="B532" t="s">
        <v>10921</v>
      </c>
      <c r="C532" t="s">
        <v>11347</v>
      </c>
      <c r="D532" t="str">
        <f>CONCATENATE(A532," : ",B532)</f>
        <v>C02987 : L-Glutamyl-tRNA(Glu)</v>
      </c>
    </row>
    <row r="533" spans="1:4" x14ac:dyDescent="0.25">
      <c r="A533" t="s">
        <v>10496</v>
      </c>
      <c r="B533" t="s">
        <v>12347</v>
      </c>
      <c r="C533" t="s">
        <v>11872</v>
      </c>
      <c r="D533" t="str">
        <f>CONCATENATE(A533," : ",B533)</f>
        <v>C02988 : L-Histidyl-tRNA(His)</v>
      </c>
    </row>
    <row r="534" spans="1:4" x14ac:dyDescent="0.25">
      <c r="A534" t="s">
        <v>16445</v>
      </c>
      <c r="B534" t="s">
        <v>16446</v>
      </c>
      <c r="C534" t="s">
        <v>16447</v>
      </c>
      <c r="D534" t="str">
        <f>CONCATENATE(A534," : ",B534)</f>
        <v>C02929 : 2-Hydroxy carboxylate</v>
      </c>
    </row>
    <row r="535" spans="1:4" x14ac:dyDescent="0.25">
      <c r="A535" t="s">
        <v>10606</v>
      </c>
      <c r="B535" t="s">
        <v>10922</v>
      </c>
      <c r="C535" t="s">
        <v>11348</v>
      </c>
      <c r="D535" t="str">
        <f>CONCATENATE(A535," : ",B535)</f>
        <v>C02992 : L-Threonyl-tRNA(Thr)</v>
      </c>
    </row>
    <row r="536" spans="1:4" x14ac:dyDescent="0.25">
      <c r="A536" t="s">
        <v>10123</v>
      </c>
      <c r="B536" t="s">
        <v>12348</v>
      </c>
      <c r="C536" t="s">
        <v>11873</v>
      </c>
      <c r="D536" t="str">
        <f>CONCATENATE(A536," : ",B536)</f>
        <v>C02999 : N-Acetylmuramoyl-Ala</v>
      </c>
    </row>
    <row r="537" spans="1:4" x14ac:dyDescent="0.25">
      <c r="A537" t="s">
        <v>10242</v>
      </c>
      <c r="B537" t="s">
        <v>12349</v>
      </c>
      <c r="C537" t="s">
        <v>11874</v>
      </c>
      <c r="D537" t="str">
        <f>CONCATENATE(A537," : ",B537)</f>
        <v>C03024 : Reduced flavoprotein</v>
      </c>
    </row>
    <row r="538" spans="1:4" x14ac:dyDescent="0.25">
      <c r="A538" t="s">
        <v>10060</v>
      </c>
      <c r="B538" t="s">
        <v>10923</v>
      </c>
      <c r="C538" t="s">
        <v>11349</v>
      </c>
      <c r="D538" t="str">
        <f>CONCATENATE(A538," : ",B538)</f>
        <v xml:space="preserve">C03028 : Thiamine Triphosphate </v>
      </c>
    </row>
    <row r="539" spans="1:4" x14ac:dyDescent="0.25">
      <c r="A539" t="s">
        <v>10328</v>
      </c>
      <c r="B539" t="s">
        <v>12350</v>
      </c>
      <c r="C539" t="s">
        <v>11875</v>
      </c>
      <c r="D539" t="str">
        <f>CONCATENATE(A539," : ",B539)</f>
        <v>C03063 : 2-Oxohept-3-enedioate</v>
      </c>
    </row>
    <row r="540" spans="1:4" x14ac:dyDescent="0.25">
      <c r="A540" t="s">
        <v>9972</v>
      </c>
      <c r="B540" t="s">
        <v>12351</v>
      </c>
      <c r="C540" t="s">
        <v>11876</v>
      </c>
      <c r="D540" t="str">
        <f>CONCATENATE(A540," : ",B540)</f>
        <v>C03069 : 3-Methylcrotonyl-CoA</v>
      </c>
    </row>
    <row r="541" spans="1:4" x14ac:dyDescent="0.25">
      <c r="A541" t="s">
        <v>10445</v>
      </c>
      <c r="B541" t="s">
        <v>10924</v>
      </c>
      <c r="C541" t="s">
        <v>11350</v>
      </c>
      <c r="D541" t="str">
        <f>CONCATENATE(A541," : ",B541)</f>
        <v>C03082 : 4-Phospho-L-aspartate</v>
      </c>
    </row>
    <row r="542" spans="1:4" x14ac:dyDescent="0.25">
      <c r="A542" t="s">
        <v>10534</v>
      </c>
      <c r="B542" t="s">
        <v>10925</v>
      </c>
      <c r="C542" t="s">
        <v>11351</v>
      </c>
      <c r="D542" t="str">
        <f>CONCATENATE(A542," : ",B542)</f>
        <v>C03089 : 5-Methylthio-D-ribose</v>
      </c>
    </row>
    <row r="543" spans="1:4" x14ac:dyDescent="0.25">
      <c r="A543" t="s">
        <v>10081</v>
      </c>
      <c r="B543" t="s">
        <v>10926</v>
      </c>
      <c r="C543" t="s">
        <v>11352</v>
      </c>
      <c r="D543" t="str">
        <f>CONCATENATE(A543," : ",B543)</f>
        <v>C03090 : 5-Phosphoribosylamine</v>
      </c>
    </row>
    <row r="544" spans="1:4" x14ac:dyDescent="0.25">
      <c r="A544" t="s">
        <v>8287</v>
      </c>
      <c r="B544" t="s">
        <v>12352</v>
      </c>
      <c r="C544" t="s">
        <v>11877</v>
      </c>
      <c r="D544" t="str">
        <f>CONCATENATE(A544," : ",B544)</f>
        <v>C03103 : Cyclobutadipyrimidine</v>
      </c>
    </row>
    <row r="545" spans="1:4" x14ac:dyDescent="0.25">
      <c r="A545" t="s">
        <v>10240</v>
      </c>
      <c r="B545" t="s">
        <v>12353</v>
      </c>
      <c r="C545" t="s">
        <v>11878</v>
      </c>
      <c r="D545" t="str">
        <f>CONCATENATE(A545," : ",B545)</f>
        <v>C03114 : Dimethylbenzimidazole</v>
      </c>
    </row>
    <row r="546" spans="1:4" x14ac:dyDescent="0.25">
      <c r="A546" t="s">
        <v>10631</v>
      </c>
      <c r="B546" t="s">
        <v>12354</v>
      </c>
      <c r="C546" t="s">
        <v>11879</v>
      </c>
      <c r="D546" t="str">
        <f>CONCATENATE(A546," : ",B546)</f>
        <v>C03120 : Glycerophosphodiester</v>
      </c>
    </row>
    <row r="547" spans="1:4" x14ac:dyDescent="0.25">
      <c r="A547" t="s">
        <v>10353</v>
      </c>
      <c r="B547" t="s">
        <v>10927</v>
      </c>
      <c r="C547" t="s">
        <v>11353</v>
      </c>
      <c r="D547" t="str">
        <f>CONCATENATE(A547," : ",B547)</f>
        <v>C03125 : L-Cysteinyl-tRNA(Cys)</v>
      </c>
    </row>
    <row r="548" spans="1:4" x14ac:dyDescent="0.25">
      <c r="A548" t="s">
        <v>10504</v>
      </c>
      <c r="B548" t="s">
        <v>10928</v>
      </c>
      <c r="C548" t="s">
        <v>11354</v>
      </c>
      <c r="D548" t="str">
        <f>CONCATENATE(A548," : ",B548)</f>
        <v>C03127 : L-Isoleucyl-tRNA(Ile)</v>
      </c>
    </row>
    <row r="549" spans="1:4" x14ac:dyDescent="0.25">
      <c r="A549" t="s">
        <v>9863</v>
      </c>
      <c r="B549" t="s">
        <v>10929</v>
      </c>
      <c r="C549" t="s">
        <v>11355</v>
      </c>
      <c r="D549" t="str">
        <f>CONCATENATE(A549," : ",B549)</f>
        <v>C03150 : Nicotinamide-beta-riboside</v>
      </c>
    </row>
    <row r="550" spans="1:4" x14ac:dyDescent="0.25">
      <c r="A550" t="s">
        <v>10274</v>
      </c>
      <c r="B550" t="s">
        <v>12355</v>
      </c>
      <c r="C550" t="s">
        <v>11880</v>
      </c>
      <c r="D550" t="str">
        <f>CONCATENATE(A550," : ",B550)</f>
        <v>C03160 : 2-Succinylbenzoyl-CoA</v>
      </c>
    </row>
    <row r="551" spans="1:4" x14ac:dyDescent="0.25">
      <c r="A551" t="s">
        <v>10244</v>
      </c>
      <c r="B551" t="s">
        <v>12356</v>
      </c>
      <c r="C551" t="s">
        <v>11881</v>
      </c>
      <c r="D551" t="str">
        <f>CONCATENATE(A551," : ",B551)</f>
        <v>C03161 : Oxidized flavoprotein</v>
      </c>
    </row>
    <row r="552" spans="1:4" x14ac:dyDescent="0.25">
      <c r="A552" t="s">
        <v>10001</v>
      </c>
      <c r="B552" t="s">
        <v>12357</v>
      </c>
      <c r="C552" t="s">
        <v>11882</v>
      </c>
      <c r="D552" t="str">
        <f>CONCATENATE(A552," : ",B552)</f>
        <v>C03169 : Pyrimidine nucleoside</v>
      </c>
    </row>
    <row r="553" spans="1:4" x14ac:dyDescent="0.25">
      <c r="A553" t="s">
        <v>10097</v>
      </c>
      <c r="B553" t="s">
        <v>10930</v>
      </c>
      <c r="C553" t="s">
        <v>11356</v>
      </c>
      <c r="D553" t="str">
        <f>CONCATENATE(A553," : ",B553)</f>
        <v>C03170 : Trypanothione disulfide</v>
      </c>
    </row>
    <row r="554" spans="1:4" x14ac:dyDescent="0.25">
      <c r="A554" t="s">
        <v>10118</v>
      </c>
      <c r="B554" t="s">
        <v>12358</v>
      </c>
      <c r="C554" t="s">
        <v>11883</v>
      </c>
      <c r="D554" t="str">
        <f>CONCATENATE(A554," : ",B554)</f>
        <v>C03175 : Shikimate 3-phosphate</v>
      </c>
    </row>
    <row r="555" spans="1:4" x14ac:dyDescent="0.25">
      <c r="A555" t="s">
        <v>10407</v>
      </c>
      <c r="B555" t="s">
        <v>12359</v>
      </c>
      <c r="C555" t="s">
        <v>11884</v>
      </c>
      <c r="D555" t="str">
        <f>CONCATENATE(A555," : ",B555)</f>
        <v>C03193 : (5-L-Glutamyl)-peptide</v>
      </c>
    </row>
    <row r="556" spans="1:4" x14ac:dyDescent="0.25">
      <c r="A556" t="s">
        <v>10234</v>
      </c>
      <c r="B556" t="s">
        <v>12360</v>
      </c>
      <c r="C556" t="s">
        <v>11885</v>
      </c>
      <c r="D556" t="str">
        <f>CONCATENATE(A556," : ",B556)</f>
        <v>C03194 : ( R )-1-Aminopropan-2-ol</v>
      </c>
    </row>
    <row r="557" spans="1:4" x14ac:dyDescent="0.25">
      <c r="A557" t="s">
        <v>9962</v>
      </c>
      <c r="B557" t="s">
        <v>12361</v>
      </c>
      <c r="C557" t="s">
        <v>11886</v>
      </c>
      <c r="D557" t="str">
        <f>CONCATENATE(A557," : ",B557)</f>
        <v>C03221 : 2-trans-Dodecenoyl-CoA</v>
      </c>
    </row>
    <row r="558" spans="1:4" x14ac:dyDescent="0.25">
      <c r="A558" t="s">
        <v>10537</v>
      </c>
      <c r="B558" t="s">
        <v>12362</v>
      </c>
      <c r="C558" t="s">
        <v>11887</v>
      </c>
      <c r="D558" t="str">
        <f>CONCATENATE(A558," : ",B558)</f>
        <v>C03231 : 3-Methylglutaconyl-CoA</v>
      </c>
    </row>
    <row r="559" spans="1:4" x14ac:dyDescent="0.25">
      <c r="A559" t="s">
        <v>10061</v>
      </c>
      <c r="B559" t="s">
        <v>12363</v>
      </c>
      <c r="C559" t="s">
        <v>11888</v>
      </c>
      <c r="D559" t="str">
        <f>CONCATENATE(A559," : ",B559)</f>
        <v>C03232 : 3-Phosphonooxypyruvate</v>
      </c>
    </row>
    <row r="560" spans="1:4" x14ac:dyDescent="0.25">
      <c r="A560" t="s">
        <v>10509</v>
      </c>
      <c r="B560" t="s">
        <v>12364</v>
      </c>
      <c r="C560" t="s">
        <v>11889</v>
      </c>
      <c r="D560" t="str">
        <f>CONCATENATE(A560," : ",B560)</f>
        <v>C03263 : Coproporphyrinogen III</v>
      </c>
    </row>
    <row r="561" spans="1:4" x14ac:dyDescent="0.25">
      <c r="A561" t="s">
        <v>10346</v>
      </c>
      <c r="B561" t="s">
        <v>12365</v>
      </c>
      <c r="C561" t="s">
        <v>11890</v>
      </c>
      <c r="D561" t="str">
        <f>CONCATENATE(A561," : ",B561)</f>
        <v>C03284 : L-3-Aminoisobutanoate</v>
      </c>
    </row>
    <row r="562" spans="1:4" x14ac:dyDescent="0.25">
      <c r="A562" t="s">
        <v>10626</v>
      </c>
      <c r="B562" t="s">
        <v>12366</v>
      </c>
      <c r="C562" t="s">
        <v>11891</v>
      </c>
      <c r="D562" t="str">
        <f>CONCATENATE(A562," : ",B562)</f>
        <v>C03287 : L-Glutamyl 5-phosphate</v>
      </c>
    </row>
    <row r="563" spans="1:4" x14ac:dyDescent="0.25">
      <c r="A563" t="s">
        <v>10615</v>
      </c>
      <c r="B563" t="s">
        <v>10931</v>
      </c>
      <c r="C563" t="s">
        <v>11357</v>
      </c>
      <c r="D563" t="str">
        <f>CONCATENATE(A563," : ",B563)</f>
        <v>C03294 : N-Formylmethionyl-tRNA</v>
      </c>
    </row>
    <row r="564" spans="1:4" x14ac:dyDescent="0.25">
      <c r="A564" t="s">
        <v>10197</v>
      </c>
      <c r="B564" t="s">
        <v>12367</v>
      </c>
      <c r="C564" t="s">
        <v>11892</v>
      </c>
      <c r="D564" t="str">
        <f>CONCATENATE(A564," : ",B564)</f>
        <v>C03344 : 2-Methylacetoacetyl-CoA</v>
      </c>
    </row>
    <row r="565" spans="1:4" x14ac:dyDescent="0.25">
      <c r="A565" t="s">
        <v>9919</v>
      </c>
      <c r="B565" t="s">
        <v>12368</v>
      </c>
      <c r="C565" t="s">
        <v>11893</v>
      </c>
      <c r="D565" t="str">
        <f>CONCATENATE(A565," : ",B565)</f>
        <v>C03345 : 2-Methylbut-2-enoyl-CoA</v>
      </c>
    </row>
    <row r="566" spans="1:4" x14ac:dyDescent="0.25">
      <c r="A566" t="s">
        <v>8090</v>
      </c>
      <c r="B566" t="s">
        <v>10932</v>
      </c>
      <c r="C566" t="s">
        <v>11358</v>
      </c>
      <c r="D566" t="str">
        <f>CONCATENATE(A566," : ",B566)</f>
        <v>C03356 : 3-Phospho-D-erythronate</v>
      </c>
    </row>
    <row r="567" spans="1:4" x14ac:dyDescent="0.25">
      <c r="A567" t="s">
        <v>10284</v>
      </c>
      <c r="B567" t="s">
        <v>12369</v>
      </c>
      <c r="C567" t="s">
        <v>11894</v>
      </c>
      <c r="D567" t="str">
        <f>CONCATENATE(A567," : ",B567)</f>
        <v>C03360 : 4-Nitrophenyl phosphate</v>
      </c>
    </row>
    <row r="568" spans="1:4" x14ac:dyDescent="0.25">
      <c r="A568" t="s">
        <v>10410</v>
      </c>
      <c r="B568" t="s">
        <v>12370</v>
      </c>
      <c r="C568" t="s">
        <v>11895</v>
      </c>
      <c r="D568" t="str">
        <f>CONCATENATE(A568," : ",B568)</f>
        <v>C03363 : 5-L-Glutamyl amino acid</v>
      </c>
    </row>
    <row r="569" spans="1:4" x14ac:dyDescent="0.25">
      <c r="A569" t="s">
        <v>9886</v>
      </c>
      <c r="B569" t="s">
        <v>10933</v>
      </c>
      <c r="C569" t="s">
        <v>11359</v>
      </c>
      <c r="D569" t="str">
        <f>CONCATENATE(A569," : ",B569)</f>
        <v>C03373 : Aminoimidazole Ribotide</v>
      </c>
    </row>
    <row r="570" spans="1:4" x14ac:dyDescent="0.25">
      <c r="A570" t="s">
        <v>10195</v>
      </c>
      <c r="B570" t="s">
        <v>12371</v>
      </c>
      <c r="C570" t="s">
        <v>11896</v>
      </c>
      <c r="D570" t="str">
        <f>CONCATENATE(A570," : ",B570)</f>
        <v>C03391 : DNA 6-methylaminopurine</v>
      </c>
    </row>
    <row r="571" spans="1:4" x14ac:dyDescent="0.25">
      <c r="A571" t="s">
        <v>9887</v>
      </c>
      <c r="B571" t="s">
        <v>12372</v>
      </c>
      <c r="C571" t="s">
        <v>11897</v>
      </c>
      <c r="D571" t="str">
        <f>CONCATENATE(A571," : ",B571)</f>
        <v>C03402 : L-Asparaginyl-tRNA(Asn)</v>
      </c>
    </row>
    <row r="572" spans="1:4" x14ac:dyDescent="0.25">
      <c r="A572" t="s">
        <v>8136</v>
      </c>
      <c r="B572" t="s">
        <v>12373</v>
      </c>
      <c r="C572" t="s">
        <v>11898</v>
      </c>
      <c r="D572" t="str">
        <f>CONCATENATE(A572," : ",B572)</f>
        <v>C03406 : N-(L-Arginino)succinate</v>
      </c>
    </row>
    <row r="573" spans="1:4" x14ac:dyDescent="0.25">
      <c r="A573" t="s">
        <v>8286</v>
      </c>
      <c r="B573" t="s">
        <v>12374</v>
      </c>
      <c r="C573" t="s">
        <v>11899</v>
      </c>
      <c r="D573" t="str">
        <f>CONCATENATE(A573," : ",B573)</f>
        <v>C03427 : Prephytoene diphosphate</v>
      </c>
    </row>
    <row r="574" spans="1:4" x14ac:dyDescent="0.25">
      <c r="A574" t="s">
        <v>10358</v>
      </c>
      <c r="B574" t="s">
        <v>12375</v>
      </c>
      <c r="C574" t="s">
        <v>11900</v>
      </c>
      <c r="D574" t="str">
        <f>CONCATENATE(A574," : ",B574)</f>
        <v>C03431 : S-Inosyl-L-homocysteine</v>
      </c>
    </row>
    <row r="575" spans="1:4" x14ac:dyDescent="0.25">
      <c r="A575" t="s">
        <v>10129</v>
      </c>
      <c r="B575" t="s">
        <v>12376</v>
      </c>
      <c r="C575" t="s">
        <v>11901</v>
      </c>
      <c r="D575" t="str">
        <f>CONCATENATE(A575," : ",B575)</f>
        <v>C03446 : tRNA TpsiC</v>
      </c>
    </row>
    <row r="576" spans="1:4" x14ac:dyDescent="0.25">
      <c r="A576" t="s">
        <v>16448</v>
      </c>
      <c r="B576" t="s">
        <v>16450</v>
      </c>
      <c r="C576" t="s">
        <v>16449</v>
      </c>
      <c r="D576" t="str">
        <f>CONCATENATE(A576," : ",B576)</f>
        <v>C03451 : ( R )-S-Lactoylglutathione</v>
      </c>
    </row>
    <row r="577" spans="1:4" x14ac:dyDescent="0.25">
      <c r="A577" t="s">
        <v>9916</v>
      </c>
      <c r="B577" t="s">
        <v>12377</v>
      </c>
      <c r="C577" t="s">
        <v>11902</v>
      </c>
      <c r="D577" t="str">
        <f>CONCATENATE(A577," : ",B577)</f>
        <v>C03460 : 2-Methylprop-2-enoyl-CoA</v>
      </c>
    </row>
    <row r="578" spans="1:4" x14ac:dyDescent="0.25">
      <c r="A578" t="s">
        <v>10315</v>
      </c>
      <c r="B578" t="s">
        <v>12378</v>
      </c>
      <c r="C578" t="s">
        <v>11903</v>
      </c>
      <c r="D578" t="str">
        <f>CONCATENATE(A578," : ",B578)</f>
        <v>C03461 : 2-trans,6-trans-Farnesal</v>
      </c>
    </row>
    <row r="579" spans="1:4" x14ac:dyDescent="0.25">
      <c r="A579" t="s">
        <v>10103</v>
      </c>
      <c r="B579" t="s">
        <v>10934</v>
      </c>
      <c r="C579" t="s">
        <v>11360</v>
      </c>
      <c r="D579" t="str">
        <f>CONCATENATE(A579," : ",B579)</f>
        <v>C03479 : Folinic Acid</v>
      </c>
    </row>
    <row r="580" spans="1:4" x14ac:dyDescent="0.25">
      <c r="A580" t="s">
        <v>10120</v>
      </c>
      <c r="B580" t="s">
        <v>10935</v>
      </c>
      <c r="C580" t="s">
        <v>11361</v>
      </c>
      <c r="D580" t="str">
        <f>CONCATENATE(A580," : ",B580)</f>
        <v>C03492 : D-4'-Phosphopantothenate</v>
      </c>
    </row>
    <row r="581" spans="1:4" x14ac:dyDescent="0.25">
      <c r="A581" t="s">
        <v>10432</v>
      </c>
      <c r="B581" t="s">
        <v>12379</v>
      </c>
      <c r="C581" t="s">
        <v>11904</v>
      </c>
      <c r="D581" t="str">
        <f>CONCATENATE(A581," : ",B581)</f>
        <v>C03506 : Indoleglycerol phosphate</v>
      </c>
    </row>
    <row r="582" spans="1:4" x14ac:dyDescent="0.25">
      <c r="A582" t="s">
        <v>10450</v>
      </c>
      <c r="B582" t="s">
        <v>12380</v>
      </c>
      <c r="C582" t="s">
        <v>11905</v>
      </c>
      <c r="D582" t="str">
        <f>CONCATENATE(A582," : ",B582)</f>
        <v>C03508 : L-2-Amino-3-oxobutanoic acid</v>
      </c>
    </row>
    <row r="583" spans="1:4" x14ac:dyDescent="0.25">
      <c r="A583" t="s">
        <v>10628</v>
      </c>
      <c r="B583" t="s">
        <v>10936</v>
      </c>
      <c r="C583" t="s">
        <v>11362</v>
      </c>
      <c r="D583" t="str">
        <f>CONCATENATE(A583," : ",B583)</f>
        <v>C03511 : L-Phenylalanyl-tRNA(Phe)</v>
      </c>
    </row>
    <row r="584" spans="1:4" x14ac:dyDescent="0.25">
      <c r="A584" t="s">
        <v>10193</v>
      </c>
      <c r="B584" t="s">
        <v>12381</v>
      </c>
      <c r="C584" t="s">
        <v>11906</v>
      </c>
      <c r="D584" t="str">
        <f>CONCATENATE(A584," : ",B584)</f>
        <v>C03516 : Magnesium protoporphyrin</v>
      </c>
    </row>
    <row r="585" spans="1:4" x14ac:dyDescent="0.25">
      <c r="A585" t="s">
        <v>10531</v>
      </c>
      <c r="B585" t="s">
        <v>10937</v>
      </c>
      <c r="C585" t="s">
        <v>11363</v>
      </c>
      <c r="D585" t="str">
        <f>CONCATENATE(A585," : ",B585)</f>
        <v xml:space="preserve">C03523 : N-Substituted amino acid </v>
      </c>
    </row>
    <row r="586" spans="1:4" x14ac:dyDescent="0.25">
      <c r="A586" t="s">
        <v>8358</v>
      </c>
      <c r="B586" t="s">
        <v>10938</v>
      </c>
      <c r="C586" t="s">
        <v>11364</v>
      </c>
      <c r="D586" t="str">
        <f>CONCATENATE(A586," : ",B586)</f>
        <v>C03539 : S-Ribosyl-L-homocysteine</v>
      </c>
    </row>
    <row r="587" spans="1:4" x14ac:dyDescent="0.25">
      <c r="A587" t="s">
        <v>10089</v>
      </c>
      <c r="B587" t="s">
        <v>12382</v>
      </c>
      <c r="C587" t="s">
        <v>11907</v>
      </c>
      <c r="D587" t="str">
        <f>CONCATENATE(A587," : ",B587)</f>
        <v>C03546 : myo-Inositol 4-phosphate</v>
      </c>
    </row>
    <row r="588" spans="1:4" x14ac:dyDescent="0.25">
      <c r="A588" t="s">
        <v>8161</v>
      </c>
      <c r="B588" t="s">
        <v>12383</v>
      </c>
      <c r="C588" t="s">
        <v>11908</v>
      </c>
      <c r="D588" t="str">
        <f>CONCATENATE(A588," : ",B588)</f>
        <v>C03585 : 3-Chloro-cis,cis-muconate</v>
      </c>
    </row>
    <row r="589" spans="1:4" x14ac:dyDescent="0.25">
      <c r="A589" t="s">
        <v>10024</v>
      </c>
      <c r="B589" t="s">
        <v>12384</v>
      </c>
      <c r="C589" t="s">
        <v>11909</v>
      </c>
      <c r="D589" t="str">
        <f>CONCATENATE(A589," : ",B589)</f>
        <v>C03586 : 2-Oxo-2,3-dihydrofuran-5-acetate</v>
      </c>
    </row>
    <row r="590" spans="1:4" x14ac:dyDescent="0.25">
      <c r="A590" t="s">
        <v>10619</v>
      </c>
      <c r="B590" t="s">
        <v>10939</v>
      </c>
      <c r="C590" t="s">
        <v>11365</v>
      </c>
      <c r="D590" t="str">
        <f>CONCATENATE(A590," : ",B590)</f>
        <v>C03617 : L-Methionylaminoacyl-tRNA</v>
      </c>
    </row>
    <row r="591" spans="1:4" x14ac:dyDescent="0.25">
      <c r="A591" t="s">
        <v>8395</v>
      </c>
      <c r="B591" t="s">
        <v>10940</v>
      </c>
      <c r="C591" t="s">
        <v>11366</v>
      </c>
      <c r="D591" t="str">
        <f>CONCATENATE(A591," : ",B591)</f>
        <v>C03633 : Peptidylproline (omega=0)</v>
      </c>
    </row>
    <row r="592" spans="1:4" x14ac:dyDescent="0.25">
      <c r="A592" t="s">
        <v>10501</v>
      </c>
      <c r="B592" t="s">
        <v>12385</v>
      </c>
      <c r="C592" t="s">
        <v>11910</v>
      </c>
      <c r="D592" t="str">
        <f>CONCATENATE(A592," : ",B592)</f>
        <v>C03684 : 6-Pyruvoyltetrahydropterin</v>
      </c>
    </row>
    <row r="593" spans="1:4" x14ac:dyDescent="0.25">
      <c r="A593" t="s">
        <v>10114</v>
      </c>
      <c r="B593" t="s">
        <v>10941</v>
      </c>
      <c r="C593" t="s">
        <v>11367</v>
      </c>
      <c r="D593" t="str">
        <f>CONCATENATE(A593," : ",B593)</f>
        <v>C03688 : Apo-[acyl-carrier protein]</v>
      </c>
    </row>
    <row r="594" spans="1:4" x14ac:dyDescent="0.25">
      <c r="A594" t="s">
        <v>10339</v>
      </c>
      <c r="B594" t="s">
        <v>12386</v>
      </c>
      <c r="C594" t="s">
        <v>11911</v>
      </c>
      <c r="D594" t="str">
        <f>CONCATENATE(A594," : ",B594)</f>
        <v>C03722 : Quinolinate</v>
      </c>
    </row>
    <row r="595" spans="1:4" x14ac:dyDescent="0.25">
      <c r="A595" t="s">
        <v>10092</v>
      </c>
      <c r="B595" t="s">
        <v>10942</v>
      </c>
      <c r="C595" t="s">
        <v>11368</v>
      </c>
      <c r="D595" t="str">
        <f>CONCATENATE(A595," : ",B595)</f>
        <v>C03723 : Ribonucleoside diphosphate</v>
      </c>
    </row>
    <row r="596" spans="1:4" x14ac:dyDescent="0.25">
      <c r="A596" t="s">
        <v>8397</v>
      </c>
      <c r="B596" t="s">
        <v>12387</v>
      </c>
      <c r="C596" t="s">
        <v>11912</v>
      </c>
      <c r="D596" t="str">
        <f>CONCATENATE(A596," : ",B596)</f>
        <v>C03735 : alpha-D-Hexose 6-phosphate</v>
      </c>
    </row>
    <row r="597" spans="1:4" x14ac:dyDescent="0.25">
      <c r="A597" t="s">
        <v>10414</v>
      </c>
      <c r="B597" t="s">
        <v>12388</v>
      </c>
      <c r="C597" t="s">
        <v>11913</v>
      </c>
      <c r="D597" t="str">
        <f>CONCATENATE(A597," : ",B597)</f>
        <v>C03740 : (5-L-Glutamyl)-L-amino acid</v>
      </c>
    </row>
    <row r="598" spans="1:4" x14ac:dyDescent="0.25">
      <c r="A598" t="s">
        <v>8540</v>
      </c>
      <c r="B598" t="s">
        <v>12389</v>
      </c>
      <c r="C598" t="s">
        <v>11914</v>
      </c>
      <c r="D598" t="str">
        <f>CONCATENATE(A598," : ",B598)</f>
        <v>C03741 : ( S )-4-Amino-5-oxopentanoate</v>
      </c>
    </row>
    <row r="599" spans="1:4" x14ac:dyDescent="0.25">
      <c r="A599" t="s">
        <v>10630</v>
      </c>
      <c r="B599" t="s">
        <v>10943</v>
      </c>
      <c r="C599" t="s">
        <v>11369</v>
      </c>
      <c r="D599" t="str">
        <f>CONCATENATE(A599," : ",B599)</f>
        <v>C03785 : D-Tagatose 1,6-bisphosphate</v>
      </c>
    </row>
    <row r="600" spans="1:4" x14ac:dyDescent="0.25">
      <c r="A600" t="s">
        <v>8186</v>
      </c>
      <c r="B600" t="s">
        <v>10944</v>
      </c>
      <c r="C600" t="s">
        <v>11370</v>
      </c>
      <c r="D600" t="str">
        <f>CONCATENATE(A600," : ",B600)</f>
        <v>C03794 : N6-(1,2-Dicarboxyethyl)-AMP</v>
      </c>
    </row>
    <row r="601" spans="1:4" x14ac:dyDescent="0.25">
      <c r="A601" t="s">
        <v>8094</v>
      </c>
      <c r="B601" t="s">
        <v>10945</v>
      </c>
      <c r="C601" t="s">
        <v>11371</v>
      </c>
      <c r="D601" t="str">
        <f>CONCATENATE(A601," : ",B601)</f>
        <v>C03798 : Peptidylproline (omega=180)</v>
      </c>
    </row>
    <row r="602" spans="1:4" x14ac:dyDescent="0.25">
      <c r="A602" t="s">
        <v>10070</v>
      </c>
      <c r="B602" t="s">
        <v>10946</v>
      </c>
      <c r="C602" t="s">
        <v>11372</v>
      </c>
      <c r="D602" t="str">
        <f>CONCATENATE(A602," : ",B602)</f>
        <v>C03800 : Protein S-methyl-L-cysteine</v>
      </c>
    </row>
    <row r="603" spans="1:4" x14ac:dyDescent="0.25">
      <c r="A603" t="s">
        <v>16451</v>
      </c>
      <c r="B603" t="s">
        <v>16452</v>
      </c>
      <c r="C603" t="s">
        <v>16453</v>
      </c>
      <c r="D603" t="str">
        <f>CONCATENATE(A603," : ",B603)</f>
        <v>C03803 : Ribosomal-protein L-alanine</v>
      </c>
    </row>
    <row r="604" spans="1:4" x14ac:dyDescent="0.25">
      <c r="A604" t="s">
        <v>10459</v>
      </c>
      <c r="B604" t="s">
        <v>10947</v>
      </c>
      <c r="C604" t="s">
        <v>11373</v>
      </c>
      <c r="D604" t="str">
        <f>CONCATENATE(A604," : ",B604)</f>
        <v>C03838 : 5'-Phosphoribosylglycinamide</v>
      </c>
    </row>
    <row r="605" spans="1:4" x14ac:dyDescent="0.25">
      <c r="A605" t="s">
        <v>10530</v>
      </c>
      <c r="B605" t="s">
        <v>10948</v>
      </c>
      <c r="C605" t="s">
        <v>11374</v>
      </c>
      <c r="D605" t="str">
        <f>CONCATENATE(A605," : ",B605)</f>
        <v>C03880 : N-Substituted aminoacyl-tRNA</v>
      </c>
    </row>
    <row r="606" spans="1:4" x14ac:dyDescent="0.25">
      <c r="A606" t="s">
        <v>16454</v>
      </c>
      <c r="B606" t="s">
        <v>16455</v>
      </c>
      <c r="C606" t="s">
        <v>16456</v>
      </c>
      <c r="D606" t="str">
        <f>CONCATENATE(A606," : ",B606)</f>
        <v>C03899 : S-(2-Hydroxyacyl)glutathione</v>
      </c>
    </row>
    <row r="607" spans="1:4" x14ac:dyDescent="0.25">
      <c r="A607" t="s">
        <v>10506</v>
      </c>
      <c r="B607" t="s">
        <v>12390</v>
      </c>
      <c r="C607" t="s">
        <v>11915</v>
      </c>
      <c r="D607" t="str">
        <f>CONCATENATE(A607," : ",B607)</f>
        <v>C03912 : ( S )-1-Pyrroline-5-carboxylate</v>
      </c>
    </row>
    <row r="608" spans="1:4" x14ac:dyDescent="0.25">
      <c r="A608" t="s">
        <v>10475</v>
      </c>
      <c r="B608" t="s">
        <v>12391</v>
      </c>
      <c r="C608" t="s">
        <v>11916</v>
      </c>
      <c r="D608" t="str">
        <f>CONCATENATE(A608," : ",B608)</f>
        <v>C03939 : Acetyl-[acyl-carrier protein]</v>
      </c>
    </row>
    <row r="609" spans="1:4" x14ac:dyDescent="0.25">
      <c r="A609" t="s">
        <v>9926</v>
      </c>
      <c r="B609" t="s">
        <v>12392</v>
      </c>
      <c r="C609" t="s">
        <v>11917</v>
      </c>
      <c r="D609" t="str">
        <f>CONCATENATE(A609," : ",B609)</f>
        <v>C04002 : Homo-cis-aconitate</v>
      </c>
    </row>
    <row r="610" spans="1:4" x14ac:dyDescent="0.25">
      <c r="A610" t="s">
        <v>10090</v>
      </c>
      <c r="B610" t="s">
        <v>12393</v>
      </c>
      <c r="C610" t="s">
        <v>11918</v>
      </c>
      <c r="D610" t="str">
        <f>CONCATENATE(A610," : ",B610)</f>
        <v>C04006 : 1D-myo-Inositol 3-phosphate</v>
      </c>
    </row>
    <row r="611" spans="1:4" x14ac:dyDescent="0.25">
      <c r="A611" t="s">
        <v>8311</v>
      </c>
      <c r="B611" t="s">
        <v>12394</v>
      </c>
      <c r="C611" t="s">
        <v>11919</v>
      </c>
      <c r="D611" t="str">
        <f>CONCATENATE(A611," : ",B611)</f>
        <v>C04039 : 2,3-Dihydroxy-3-methylbutanoate</v>
      </c>
    </row>
    <row r="612" spans="1:4" x14ac:dyDescent="0.25">
      <c r="A612" t="s">
        <v>10102</v>
      </c>
      <c r="B612" t="s">
        <v>10949</v>
      </c>
      <c r="C612" t="s">
        <v>11375</v>
      </c>
      <c r="D612" t="str">
        <f>CONCATENATE(A612," : ",B612)</f>
        <v>C04051 : 5-Amino-4-imidazolecarboxyamide</v>
      </c>
    </row>
    <row r="613" spans="1:4" x14ac:dyDescent="0.25">
      <c r="A613" t="s">
        <v>8255</v>
      </c>
      <c r="B613" t="s">
        <v>12395</v>
      </c>
      <c r="C613" t="s">
        <v>11920</v>
      </c>
      <c r="D613" t="str">
        <f>CONCATENATE(A613," : ",B613)</f>
        <v>C04052 : 5-Carboxy-2-oxohept-3-enedioate</v>
      </c>
    </row>
    <row r="614" spans="1:4" x14ac:dyDescent="0.25">
      <c r="A614" t="s">
        <v>10122</v>
      </c>
      <c r="B614" t="s">
        <v>10950</v>
      </c>
      <c r="C614" t="s">
        <v>11376</v>
      </c>
      <c r="D614" t="str">
        <f>CONCATENATE(A614," : ",B614)</f>
        <v>C04079 : N-((R)-Pantothenoyl)-L-cysteine</v>
      </c>
    </row>
    <row r="615" spans="1:4" x14ac:dyDescent="0.25">
      <c r="A615" t="s">
        <v>10621</v>
      </c>
      <c r="B615" t="s">
        <v>12396</v>
      </c>
      <c r="C615" t="s">
        <v>11921</v>
      </c>
      <c r="D615" t="str">
        <f>CONCATENATE(A615," : ",B615)</f>
        <v>C04088 : Octadecanoyl-[acyl-carrier protein]</v>
      </c>
    </row>
    <row r="616" spans="1:4" x14ac:dyDescent="0.25">
      <c r="A616" t="s">
        <v>8158</v>
      </c>
      <c r="B616" t="s">
        <v>12397</v>
      </c>
      <c r="C616" t="s">
        <v>11922</v>
      </c>
      <c r="D616" t="str">
        <f>CONCATENATE(A616," : ",B616)</f>
        <v>C04105 : 2,5-Dihydro-5-oxofuran-2-acetate</v>
      </c>
    </row>
    <row r="617" spans="1:4" x14ac:dyDescent="0.25">
      <c r="A617" t="s">
        <v>8163</v>
      </c>
      <c r="B617" t="s">
        <v>12398</v>
      </c>
      <c r="C617" t="s">
        <v>11923</v>
      </c>
      <c r="D617" t="str">
        <f>CONCATENATE(A617," : ",B617)</f>
        <v>C04112 : 3-Methyl-cis,cis-hexadienedioate</v>
      </c>
    </row>
    <row r="618" spans="1:4" x14ac:dyDescent="0.25">
      <c r="A618" t="s">
        <v>10231</v>
      </c>
      <c r="B618" t="s">
        <v>12399</v>
      </c>
      <c r="C618" t="s">
        <v>11924</v>
      </c>
      <c r="D618" t="str">
        <f>CONCATENATE(A618," : ",B618)</f>
        <v>C04122 : D-1-Aminopropan-2-ol O-phosphate</v>
      </c>
    </row>
    <row r="619" spans="1:4" x14ac:dyDescent="0.25">
      <c r="A619" t="s">
        <v>10435</v>
      </c>
      <c r="B619" t="s">
        <v>12400</v>
      </c>
      <c r="C619" t="s">
        <v>11925</v>
      </c>
      <c r="D619" t="str">
        <f>CONCATENATE(A619," : ",B619)</f>
        <v>C04133 : N-Acetyl-L-glutamate 5-phosphate</v>
      </c>
    </row>
    <row r="620" spans="1:4" x14ac:dyDescent="0.25">
      <c r="A620" t="s">
        <v>10384</v>
      </c>
      <c r="B620" t="s">
        <v>10951</v>
      </c>
      <c r="C620" t="s">
        <v>11377</v>
      </c>
      <c r="D620" t="str">
        <f>CONCATENATE(A620," : ",B620)</f>
        <v>C04144 : Tetrahydropteroyltri-L-glutamate</v>
      </c>
    </row>
    <row r="621" spans="1:4" x14ac:dyDescent="0.25">
      <c r="A621" t="s">
        <v>10059</v>
      </c>
      <c r="B621" t="s">
        <v>12401</v>
      </c>
      <c r="C621" t="s">
        <v>11926</v>
      </c>
      <c r="D621" t="str">
        <f>CONCATENATE(A621," : ",B621)</f>
        <v>C04146 : all-trans-Octaprenyl diphosphate</v>
      </c>
    </row>
    <row r="622" spans="1:4" x14ac:dyDescent="0.25">
      <c r="A622" t="s">
        <v>16457</v>
      </c>
      <c r="B622" t="s">
        <v>16458</v>
      </c>
      <c r="C622" t="s">
        <v>16459</v>
      </c>
      <c r="D622" t="str">
        <f>CONCATENATE(A622," : ",B622)</f>
        <v>C04153 : rRNA containing N2-methylguanine</v>
      </c>
    </row>
    <row r="623" spans="1:4" x14ac:dyDescent="0.25">
      <c r="A623" t="s">
        <v>10379</v>
      </c>
      <c r="B623" t="s">
        <v>10952</v>
      </c>
      <c r="C623" t="s">
        <v>11378</v>
      </c>
      <c r="D623" t="str">
        <f>CONCATENATE(A623," : ",B623)</f>
        <v>C04157 : tRNA containing N1-methylguanine</v>
      </c>
    </row>
    <row r="624" spans="1:4" x14ac:dyDescent="0.25">
      <c r="A624" t="s">
        <v>16460</v>
      </c>
      <c r="B624" t="s">
        <v>16461</v>
      </c>
      <c r="C624" t="s">
        <v>16462</v>
      </c>
      <c r="D624" t="str">
        <f>CONCATENATE(A624," : ",B624)</f>
        <v>C04160 : tRNA containing N7-methylguanine</v>
      </c>
    </row>
    <row r="625" spans="1:4" x14ac:dyDescent="0.25">
      <c r="A625" t="s">
        <v>8569</v>
      </c>
      <c r="B625" t="s">
        <v>12402</v>
      </c>
      <c r="C625" t="s">
        <v>11927</v>
      </c>
      <c r="D625" t="str">
        <f>CONCATENATE(A625," : ",B625)</f>
        <v>C04181 : 3-Hydroxy-3-methyl-2-oxobutanoic acid</v>
      </c>
    </row>
    <row r="626" spans="1:4" x14ac:dyDescent="0.25">
      <c r="A626" t="s">
        <v>8317</v>
      </c>
      <c r="B626" t="s">
        <v>12403</v>
      </c>
      <c r="C626" t="s">
        <v>11928</v>
      </c>
      <c r="D626" t="str">
        <f>CONCATENATE(A626," : ",B626)</f>
        <v>C04186 : 5-Carboxymethyl-2-hydroxymuconate</v>
      </c>
    </row>
    <row r="627" spans="1:4" x14ac:dyDescent="0.25">
      <c r="A627" t="s">
        <v>8308</v>
      </c>
      <c r="B627" t="s">
        <v>12404</v>
      </c>
      <c r="C627" t="s">
        <v>11929</v>
      </c>
      <c r="D627" t="str">
        <f>CONCATENATE(A627," : ",B627)</f>
        <v>C04188 : S-Methyl-5-thio-D-ribose 1-phosphate</v>
      </c>
    </row>
    <row r="628" spans="1:4" x14ac:dyDescent="0.25">
      <c r="A628" t="s">
        <v>10091</v>
      </c>
      <c r="B628" t="s">
        <v>10953</v>
      </c>
      <c r="C628" t="s">
        <v>11379</v>
      </c>
      <c r="D628" t="str">
        <f>CONCATENATE(A628," : ",B628)</f>
        <v>C04232 : 2'-Deoxyribonucleoside diphosphate</v>
      </c>
    </row>
    <row r="629" spans="1:4" x14ac:dyDescent="0.25">
      <c r="A629" t="s">
        <v>8575</v>
      </c>
      <c r="B629" t="s">
        <v>12405</v>
      </c>
      <c r="C629" t="s">
        <v>11930</v>
      </c>
      <c r="D629" t="str">
        <f>CONCATENATE(A629," : ",B629)</f>
        <v>C04236 : ( 2S )-2-Isopropyl-3-oxosuccinate</v>
      </c>
    </row>
    <row r="630" spans="1:4" x14ac:dyDescent="0.25">
      <c r="A630" t="s">
        <v>10388</v>
      </c>
      <c r="B630" t="s">
        <v>10954</v>
      </c>
      <c r="C630" t="s">
        <v>11380</v>
      </c>
      <c r="D630" t="str">
        <f>CONCATENATE(A630," : ",B630)</f>
        <v>C04242 : 5-Fluorodeoxyuridine monophosphate</v>
      </c>
    </row>
    <row r="631" spans="1:4" x14ac:dyDescent="0.25">
      <c r="A631" t="s">
        <v>8336</v>
      </c>
      <c r="B631" t="s">
        <v>12406</v>
      </c>
      <c r="C631" t="s">
        <v>11931</v>
      </c>
      <c r="D631" t="str">
        <f>CONCATENATE(A631," : ",B631)</f>
        <v>C04244 : 6-Lactoyl-5,6,7,8-tetrahydropterin</v>
      </c>
    </row>
    <row r="632" spans="1:4" x14ac:dyDescent="0.25">
      <c r="A632" t="s">
        <v>10036</v>
      </c>
      <c r="B632" t="s">
        <v>12407</v>
      </c>
      <c r="C632" t="s">
        <v>11932</v>
      </c>
      <c r="D632" t="str">
        <f>CONCATENATE(A632," : ",B632)</f>
        <v>C04246 : But-2-enoyl-[acyl-carrier protein]</v>
      </c>
    </row>
    <row r="633" spans="1:4" x14ac:dyDescent="0.25">
      <c r="A633" t="s">
        <v>10069</v>
      </c>
      <c r="B633" t="s">
        <v>10955</v>
      </c>
      <c r="C633" t="s">
        <v>11381</v>
      </c>
      <c r="D633" t="str">
        <f>CONCATENATE(A633," : ",B633)</f>
        <v>C04250 : DNA containing 6-O-methylguanine</v>
      </c>
    </row>
    <row r="634" spans="1:4" x14ac:dyDescent="0.25">
      <c r="A634" t="s">
        <v>9905</v>
      </c>
      <c r="B634" t="s">
        <v>12408</v>
      </c>
      <c r="C634" t="s">
        <v>11933</v>
      </c>
      <c r="D634" t="str">
        <f>CONCATENATE(A634," : ",B634)</f>
        <v>C04253 : Electron-transferring flavoprotein</v>
      </c>
    </row>
    <row r="635" spans="1:4" x14ac:dyDescent="0.25">
      <c r="A635" t="s">
        <v>10618</v>
      </c>
      <c r="B635" t="s">
        <v>10956</v>
      </c>
      <c r="C635" t="s">
        <v>11382</v>
      </c>
      <c r="D635" t="str">
        <f>CONCATENATE(A635," : ",B635)</f>
        <v>C04258 : N-Formyl-L-methionylaminoacyl-tRNA</v>
      </c>
    </row>
    <row r="636" spans="1:4" x14ac:dyDescent="0.25">
      <c r="A636" t="s">
        <v>10582</v>
      </c>
      <c r="B636" t="s">
        <v>12409</v>
      </c>
      <c r="C636" t="s">
        <v>11934</v>
      </c>
      <c r="D636" t="str">
        <f>CONCATENATE(A636," : ",B636)</f>
        <v>C04262 : Protein N(tau)-phospho-L-histidine</v>
      </c>
    </row>
    <row r="637" spans="1:4" x14ac:dyDescent="0.25">
      <c r="A637" t="s">
        <v>8312</v>
      </c>
      <c r="B637" t="s">
        <v>12410</v>
      </c>
      <c r="C637" t="s">
        <v>11935</v>
      </c>
      <c r="D637" t="str">
        <f>CONCATENATE(A637," : ",B637)</f>
        <v>C04272 : (R)-2,3-Dihydroxy-3-methylbutanoate</v>
      </c>
    </row>
    <row r="638" spans="1:4" x14ac:dyDescent="0.25">
      <c r="A638" t="s">
        <v>10508</v>
      </c>
      <c r="B638" t="s">
        <v>12411</v>
      </c>
      <c r="C638" t="s">
        <v>11936</v>
      </c>
      <c r="D638" t="str">
        <f>CONCATENATE(A638," : ",B638)</f>
        <v>C04281 : L-1-Pyrroline-3-hydroxy-5-carboxylate</v>
      </c>
    </row>
    <row r="639" spans="1:4" x14ac:dyDescent="0.25">
      <c r="A639" t="s">
        <v>10011</v>
      </c>
      <c r="B639" t="s">
        <v>12412</v>
      </c>
      <c r="C639" t="s">
        <v>11937</v>
      </c>
      <c r="D639" t="str">
        <f>CONCATENATE(A639," : ",B639)</f>
        <v>C04294 : 5-(2-Hydroxyethyl)-4-methylthiazole</v>
      </c>
    </row>
    <row r="640" spans="1:4" x14ac:dyDescent="0.25">
      <c r="A640" t="s">
        <v>8191</v>
      </c>
      <c r="B640" t="s">
        <v>12413</v>
      </c>
      <c r="C640" t="s">
        <v>11938</v>
      </c>
      <c r="D640" t="str">
        <f>CONCATENATE(A640," : ",B640)</f>
        <v>C04302 : N-(5-Phospho-D-ribosyl)anthranilate</v>
      </c>
    </row>
    <row r="641" spans="1:4" x14ac:dyDescent="0.25">
      <c r="A641" t="s">
        <v>9825</v>
      </c>
      <c r="B641" t="s">
        <v>10957</v>
      </c>
      <c r="C641" t="s">
        <v>11383</v>
      </c>
      <c r="D641" t="str">
        <f>CONCATENATE(A641," : ",B641)</f>
        <v>C04309 : Phosphoenol-4-deoxy-3-tetrulosonate</v>
      </c>
    </row>
    <row r="642" spans="1:4" x14ac:dyDescent="0.25">
      <c r="A642" t="s">
        <v>8582</v>
      </c>
      <c r="B642" t="s">
        <v>12414</v>
      </c>
      <c r="C642" t="s">
        <v>11939</v>
      </c>
      <c r="D642" t="str">
        <f>CONCATENATE(A642," : ",B642)</f>
        <v>C04324 : (1E,3E)-4-Hydroxybuta-1,3-diene-1,2,4-tricarboxylate</v>
      </c>
    </row>
    <row r="643" spans="1:4" x14ac:dyDescent="0.25">
      <c r="A643" t="s">
        <v>10260</v>
      </c>
      <c r="B643" t="s">
        <v>12415</v>
      </c>
      <c r="C643" t="s">
        <v>11940</v>
      </c>
      <c r="D643" t="str">
        <f>CONCATENATE(A643," : ",B643)</f>
        <v>C04327 : 4-Methyl-5-(2-phosphooxyethyl)thiazole</v>
      </c>
    </row>
    <row r="644" spans="1:4" x14ac:dyDescent="0.25">
      <c r="A644" t="s">
        <v>8213</v>
      </c>
      <c r="B644" t="s">
        <v>12416</v>
      </c>
      <c r="C644" t="s">
        <v>11941</v>
      </c>
      <c r="D644" t="str">
        <f>CONCATENATE(A644," : ",B644)</f>
        <v>C04332 : 6,7-Dimethyl-8-(D-ribityl)lumazine</v>
      </c>
    </row>
    <row r="645" spans="1:4" x14ac:dyDescent="0.25">
      <c r="A645" t="s">
        <v>16463</v>
      </c>
      <c r="B645" t="s">
        <v>16464</v>
      </c>
      <c r="C645" t="s">
        <v>16465</v>
      </c>
      <c r="D645" t="str">
        <f>CONCATENATE(A645," : ",B645)</f>
        <v>C04341 : Ribosomal-protein N-acetyl-L-alanine</v>
      </c>
    </row>
    <row r="646" spans="1:4" x14ac:dyDescent="0.25">
      <c r="A646" t="s">
        <v>8184</v>
      </c>
      <c r="B646" t="s">
        <v>10958</v>
      </c>
      <c r="C646" t="s">
        <v>11384</v>
      </c>
      <c r="D646" t="str">
        <f>CONCATENATE(A646," : ",B646)</f>
        <v>C04352 : ( R )- 4' - Phosphopantothenoyl -L-cysteine</v>
      </c>
    </row>
    <row r="647" spans="1:4" x14ac:dyDescent="0.25">
      <c r="A647" t="s">
        <v>10082</v>
      </c>
      <c r="B647" t="s">
        <v>10959</v>
      </c>
      <c r="C647" t="s">
        <v>11385</v>
      </c>
      <c r="D647" t="str">
        <f>CONCATENATE(A647," : ",B647)</f>
        <v>C04376 : 5'-Phosphoribosyl-N-formylglycinamide</v>
      </c>
    </row>
    <row r="648" spans="1:4" x14ac:dyDescent="0.25">
      <c r="A648" t="s">
        <v>10080</v>
      </c>
      <c r="B648" t="s">
        <v>10960</v>
      </c>
      <c r="C648" t="s">
        <v>11386</v>
      </c>
      <c r="D648" t="str">
        <f>CONCATENATE(A648," : ",B648)</f>
        <v>C04377 : 5,10-Methylenetetrahydromenthanopterin</v>
      </c>
    </row>
    <row r="649" spans="1:4" x14ac:dyDescent="0.25">
      <c r="A649" t="s">
        <v>10613</v>
      </c>
      <c r="B649" t="s">
        <v>12417</v>
      </c>
      <c r="C649" t="s">
        <v>11942</v>
      </c>
      <c r="D649" t="str">
        <f>CONCATENATE(A649," : ",B649)</f>
        <v>C04392 : P1,P4-Bis(5'-xanthosyl) tetraphosphate</v>
      </c>
    </row>
    <row r="650" spans="1:4" x14ac:dyDescent="0.25">
      <c r="A650" t="s">
        <v>8120</v>
      </c>
      <c r="B650" t="s">
        <v>12418</v>
      </c>
      <c r="C650" t="s">
        <v>11943</v>
      </c>
      <c r="D650" t="str">
        <f>CONCATENATE(A650," : ",B650)</f>
        <v>C04405 : (2S,3S)-3-Hydroxy-2-methylbutanoyl-CoA</v>
      </c>
    </row>
    <row r="651" spans="1:4" x14ac:dyDescent="0.25">
      <c r="A651" t="s">
        <v>8310</v>
      </c>
      <c r="B651" t="s">
        <v>12419</v>
      </c>
      <c r="C651" t="s">
        <v>11944</v>
      </c>
      <c r="D651" t="str">
        <f>CONCATENATE(A651," : ",B651)</f>
        <v>C04411 : (2R,3S)-3-Isopropylmalate</v>
      </c>
    </row>
    <row r="652" spans="1:4" x14ac:dyDescent="0.25">
      <c r="A652" t="s">
        <v>10182</v>
      </c>
      <c r="B652" t="s">
        <v>12420</v>
      </c>
      <c r="C652" t="s">
        <v>11945</v>
      </c>
      <c r="D652" t="str">
        <f>CONCATENATE(A652," : ",B652)</f>
        <v>C04419 : Carboxybiotin-carboxyl-carrier protein</v>
      </c>
    </row>
    <row r="653" spans="1:4" x14ac:dyDescent="0.25">
      <c r="A653" t="s">
        <v>10386</v>
      </c>
      <c r="B653" t="s">
        <v>10961</v>
      </c>
      <c r="C653" t="s">
        <v>11387</v>
      </c>
      <c r="D653" t="str">
        <f>CONCATENATE(A653," : ",B653)</f>
        <v>C04432 : tRNA containing 6-isopentenyladenosine</v>
      </c>
    </row>
    <row r="654" spans="1:4" x14ac:dyDescent="0.25">
      <c r="A654" t="s">
        <v>10382</v>
      </c>
      <c r="B654" t="s">
        <v>10962</v>
      </c>
      <c r="C654" t="s">
        <v>11388</v>
      </c>
      <c r="D654" t="str">
        <f>CONCATENATE(A654," : ",B654)</f>
        <v>C04489 : 5-Methyltetrahydropteroyltri-L-glutamate</v>
      </c>
    </row>
    <row r="655" spans="1:4" x14ac:dyDescent="0.25">
      <c r="A655" t="s">
        <v>9960</v>
      </c>
      <c r="B655" t="s">
        <v>12421</v>
      </c>
      <c r="C655" t="s">
        <v>11946</v>
      </c>
      <c r="D655" t="str">
        <f>CONCATENATE(A655," : ",B655)</f>
        <v>C04494 : Guanosine 3'-diphosphate 5'-triphosphate</v>
      </c>
    </row>
    <row r="656" spans="1:4" x14ac:dyDescent="0.25">
      <c r="A656" t="s">
        <v>16466</v>
      </c>
      <c r="B656" t="s">
        <v>16467</v>
      </c>
      <c r="C656" t="s">
        <v>16468</v>
      </c>
      <c r="D656" t="str">
        <f>CONCATENATE(A656," : ",B656)</f>
        <v>C04501 : N-Acetyl-alpha-D-glucosamine 1-phosphate</v>
      </c>
    </row>
    <row r="657" spans="1:4" x14ac:dyDescent="0.25">
      <c r="A657" t="s">
        <v>10190</v>
      </c>
      <c r="B657" t="s">
        <v>12422</v>
      </c>
      <c r="C657" t="s">
        <v>11947</v>
      </c>
      <c r="D657" t="str">
        <f>CONCATENATE(A657," : ",B657)</f>
        <v>C04507 : alpha-D-Galactosyl-diphosphoundecaprenol</v>
      </c>
    </row>
    <row r="658" spans="1:4" x14ac:dyDescent="0.25">
      <c r="A658" t="s">
        <v>10586</v>
      </c>
      <c r="B658" t="s">
        <v>12423</v>
      </c>
      <c r="C658" t="s">
        <v>11948</v>
      </c>
      <c r="D658" t="str">
        <f>CONCATENATE(A658," : ",B658)</f>
        <v>C04545 : tRNA containing 2'-O-methylguanosine</v>
      </c>
    </row>
    <row r="659" spans="1:4" x14ac:dyDescent="0.25">
      <c r="A659" t="s">
        <v>10306</v>
      </c>
      <c r="B659" t="s">
        <v>12424</v>
      </c>
      <c r="C659" t="s">
        <v>11949</v>
      </c>
      <c r="D659" t="str">
        <f>CONCATENATE(A659," : ",B659)</f>
        <v>C04554 : 3alpha,7alpha-Dihydroxy-5beta-cholestanate</v>
      </c>
    </row>
    <row r="660" spans="1:4" x14ac:dyDescent="0.25">
      <c r="A660" t="s">
        <v>10269</v>
      </c>
      <c r="B660" t="s">
        <v>10963</v>
      </c>
      <c r="C660" t="s">
        <v>11389</v>
      </c>
      <c r="D660" t="str">
        <f>CONCATENATE(A660," : ",B660)</f>
        <v>C04556 : 4-Amino-2-methyl-5-(phosphooxymethyl)pyrimidine</v>
      </c>
    </row>
    <row r="661" spans="1:4" x14ac:dyDescent="0.25">
      <c r="A661" t="s">
        <v>8444</v>
      </c>
      <c r="B661" t="s">
        <v>12425</v>
      </c>
      <c r="C661" t="s">
        <v>11950</v>
      </c>
      <c r="D661" t="str">
        <f>CONCATENATE(A661," : ",B661)</f>
        <v>C04558 : 3-Methylmuconolactone</v>
      </c>
    </row>
    <row r="662" spans="1:4" x14ac:dyDescent="0.25">
      <c r="A662" t="s">
        <v>8160</v>
      </c>
      <c r="B662" t="s">
        <v>12426</v>
      </c>
      <c r="C662" t="s">
        <v>11951</v>
      </c>
      <c r="D662" t="str">
        <f>CONCATENATE(A662," : ",B662)</f>
        <v>C04559 : 4-Methylmuconolactone</v>
      </c>
    </row>
    <row r="663" spans="1:4" x14ac:dyDescent="0.25">
      <c r="A663" t="s">
        <v>9907</v>
      </c>
      <c r="B663" t="s">
        <v>12427</v>
      </c>
      <c r="C663" t="s">
        <v>11952</v>
      </c>
      <c r="D663" t="str">
        <f>CONCATENATE(A663," : ",B663)</f>
        <v>C04570 : Reduced electron-transferring flavoprotein</v>
      </c>
    </row>
    <row r="664" spans="1:4" x14ac:dyDescent="0.25">
      <c r="A664" t="s">
        <v>8548</v>
      </c>
      <c r="B664" t="s">
        <v>10964</v>
      </c>
      <c r="C664" t="s">
        <v>11390</v>
      </c>
      <c r="D664" t="str">
        <f>CONCATENATE(A664," : ",B664)</f>
        <v>C04574 : di-trans,poly-cis-Undecaprenyl diphosphate</v>
      </c>
    </row>
    <row r="665" spans="1:4" x14ac:dyDescent="0.25">
      <c r="A665" t="s">
        <v>8574</v>
      </c>
      <c r="B665" t="s">
        <v>12428</v>
      </c>
      <c r="C665" t="s">
        <v>11953</v>
      </c>
      <c r="D665" t="str">
        <f>CONCATENATE(A665," : ",B665)</f>
        <v>C04582 : S-Methyl-5-thio-D-ribulose 1-phosphate</v>
      </c>
    </row>
    <row r="666" spans="1:4" x14ac:dyDescent="0.25">
      <c r="A666" t="s">
        <v>8165</v>
      </c>
      <c r="B666" t="s">
        <v>12429</v>
      </c>
      <c r="C666" t="s">
        <v>11954</v>
      </c>
      <c r="D666" t="str">
        <f>CONCATENATE(A666," : ",B666)</f>
        <v>C04618 : (3R)-3-Hydroxybutanoyl-[acyl-carrier protein]</v>
      </c>
    </row>
    <row r="667" spans="1:4" x14ac:dyDescent="0.25">
      <c r="A667" t="s">
        <v>8166</v>
      </c>
      <c r="B667" t="s">
        <v>12430</v>
      </c>
      <c r="C667" t="s">
        <v>11955</v>
      </c>
      <c r="D667" t="str">
        <f>CONCATENATE(A667," : ",B667)</f>
        <v>C04619 : (3R)-3-Hydroxydecanoyl-[acyl-carrier protein]</v>
      </c>
    </row>
    <row r="668" spans="1:4" x14ac:dyDescent="0.25">
      <c r="A668" t="s">
        <v>8167</v>
      </c>
      <c r="B668" t="s">
        <v>12431</v>
      </c>
      <c r="C668" t="s">
        <v>11956</v>
      </c>
      <c r="D668" t="str">
        <f>CONCATENATE(A668," : ",B668)</f>
        <v>C04620 : (3R)-3-Hydroxyoctanoyl-[acyl-carrier protein]</v>
      </c>
    </row>
    <row r="669" spans="1:4" x14ac:dyDescent="0.25">
      <c r="A669" t="s">
        <v>10404</v>
      </c>
      <c r="B669" t="s">
        <v>10965</v>
      </c>
      <c r="C669" t="s">
        <v>11391</v>
      </c>
      <c r="D669" t="str">
        <f>CONCATENATE(A669," : ",B669)</f>
        <v>C04631 : UDP-N-acetyl-3-(1-carboxyvinyl)-D-glucosamine</v>
      </c>
    </row>
    <row r="670" spans="1:4" x14ac:dyDescent="0.25">
      <c r="A670" t="s">
        <v>8168</v>
      </c>
      <c r="B670" t="s">
        <v>12432</v>
      </c>
      <c r="C670" t="s">
        <v>11957</v>
      </c>
      <c r="D670" t="str">
        <f>CONCATENATE(A670," : ",B670)</f>
        <v>C04633 : (3R)-3-Hydroxypalmitoyl-[acyl-carrier protein]</v>
      </c>
    </row>
    <row r="671" spans="1:4" x14ac:dyDescent="0.25">
      <c r="A671" t="s">
        <v>9885</v>
      </c>
      <c r="B671" t="s">
        <v>10966</v>
      </c>
      <c r="C671" t="s">
        <v>11392</v>
      </c>
      <c r="D671" t="str">
        <f>CONCATENATE(A671," : ",B671)</f>
        <v>C04640 : 2-(Formamido)-N1-(5'-phosphoribosyl)acetamidine</v>
      </c>
    </row>
    <row r="672" spans="1:4" x14ac:dyDescent="0.25">
      <c r="A672" t="s">
        <v>8528</v>
      </c>
      <c r="B672" t="s">
        <v>12433</v>
      </c>
      <c r="C672" t="s">
        <v>11958</v>
      </c>
      <c r="D672" t="str">
        <f>CONCATENATE(A672," : ",B672)</f>
        <v>C04642 : 2-Hydroxy-5-carboxymethylmuconate semialdehyde</v>
      </c>
    </row>
    <row r="673" spans="1:4" x14ac:dyDescent="0.25">
      <c r="A673" t="s">
        <v>9883</v>
      </c>
      <c r="B673" t="s">
        <v>10967</v>
      </c>
      <c r="C673" t="s">
        <v>11393</v>
      </c>
      <c r="D673" t="str">
        <f>CONCATENATE(A673," : ",B673)</f>
        <v>C04646 : 6-Thioinosine-5'-monophosphate</v>
      </c>
    </row>
    <row r="674" spans="1:4" x14ac:dyDescent="0.25">
      <c r="A674" t="s">
        <v>8328</v>
      </c>
      <c r="B674" t="s">
        <v>12434</v>
      </c>
      <c r="C674" t="s">
        <v>11959</v>
      </c>
      <c r="D674" t="str">
        <f>CONCATENATE(A674," : ",B674)</f>
        <v>C04666 : D-erythro-1-(Imidazol-4-yl)glycerol 3-phosphate</v>
      </c>
    </row>
    <row r="675" spans="1:4" x14ac:dyDescent="0.25">
      <c r="A675" t="s">
        <v>8360</v>
      </c>
      <c r="B675" t="s">
        <v>12435</v>
      </c>
      <c r="C675" t="s">
        <v>11960</v>
      </c>
      <c r="D675" t="str">
        <f>CONCATENATE(A675," : ",B675)</f>
        <v>C04675 : 3-Hydroxy-3-(4-methylpent-3-en-1-yl)glutaryl-CoA</v>
      </c>
    </row>
    <row r="676" spans="1:4" x14ac:dyDescent="0.25">
      <c r="A676" t="s">
        <v>10083</v>
      </c>
      <c r="B676" t="s">
        <v>10968</v>
      </c>
      <c r="C676" t="s">
        <v>11394</v>
      </c>
      <c r="D676" t="str">
        <f>CONCATENATE(A676," : ",B676)</f>
        <v>C04677 : 1-(5'-Phosphoribosyl)-5-amino-4-imidazolecarboxamide</v>
      </c>
    </row>
    <row r="677" spans="1:4" x14ac:dyDescent="0.25">
      <c r="A677" t="s">
        <v>9956</v>
      </c>
      <c r="B677" t="s">
        <v>12436</v>
      </c>
      <c r="C677" t="s">
        <v>11961</v>
      </c>
      <c r="D677" t="str">
        <f>CONCATENATE(A677," : ",B677)</f>
        <v>C04682 : [Methylmalonyl-CoA:pyruvate carboxytransferase]</v>
      </c>
    </row>
    <row r="678" spans="1:4" x14ac:dyDescent="0.25">
      <c r="A678" t="s">
        <v>8169</v>
      </c>
      <c r="B678" t="s">
        <v>12437</v>
      </c>
      <c r="C678" t="s">
        <v>11962</v>
      </c>
      <c r="D678" t="str">
        <f>CONCATENATE(A678," : ",B678)</f>
        <v>C04688 : (3R)-3-Hydroxytetradecanoyl-[acyl-carrier protein]</v>
      </c>
    </row>
    <row r="679" spans="1:4" x14ac:dyDescent="0.25">
      <c r="A679" t="s">
        <v>8199</v>
      </c>
      <c r="B679" t="s">
        <v>12438</v>
      </c>
      <c r="C679" t="s">
        <v>11963</v>
      </c>
      <c r="D679" t="str">
        <f>CONCATENATE(A679," : ",B679)</f>
        <v>C04691 : 2-Dehydro-3-deoxy-D-arabino-heptonate 7-phosphate</v>
      </c>
    </row>
    <row r="680" spans="1:4" x14ac:dyDescent="0.25">
      <c r="A680" t="s">
        <v>10395</v>
      </c>
      <c r="B680" t="s">
        <v>10969</v>
      </c>
      <c r="C680" t="s">
        <v>11395</v>
      </c>
      <c r="D680" t="str">
        <f>CONCATENATE(A680," : ",B680)</f>
        <v>C04702 : UDPMurNAc(oyl-L-Ala-D-gamma-Glu-L-Lys-D-Ala-D-Ala)</v>
      </c>
    </row>
    <row r="681" spans="1:4" x14ac:dyDescent="0.25">
      <c r="A681" t="s">
        <v>9891</v>
      </c>
      <c r="B681" t="s">
        <v>12439</v>
      </c>
      <c r="C681" t="s">
        <v>11964</v>
      </c>
      <c r="D681" t="str">
        <f>CONCATENATE(A681," : ",B681)</f>
        <v>C04732 : 5-Amino-6-(1-D-ribitylamino)uracil</v>
      </c>
    </row>
    <row r="682" spans="1:4" x14ac:dyDescent="0.25">
      <c r="A682" t="s">
        <v>8511</v>
      </c>
      <c r="B682" t="s">
        <v>10970</v>
      </c>
      <c r="C682" t="s">
        <v>11396</v>
      </c>
      <c r="D682" t="str">
        <f>CONCATENATE(A682," : ",B682)</f>
        <v>C04734 : 1-(5'-Phosphoribosyl)-5-formamido-4-imidazolecarboxamide</v>
      </c>
    </row>
    <row r="683" spans="1:4" x14ac:dyDescent="0.25">
      <c r="A683" t="s">
        <v>9955</v>
      </c>
      <c r="B683" t="s">
        <v>12440</v>
      </c>
      <c r="C683" t="s">
        <v>11965</v>
      </c>
      <c r="D683" t="str">
        <f>CONCATENATE(A683," : ",B683)</f>
        <v>C04736 : Apo-[methylmalonyl-CoA:pyruvate carboxytransferase]</v>
      </c>
    </row>
    <row r="684" spans="1:4" x14ac:dyDescent="0.25">
      <c r="A684" t="s">
        <v>8349</v>
      </c>
      <c r="B684" t="s">
        <v>10971</v>
      </c>
      <c r="C684" t="s">
        <v>11397</v>
      </c>
      <c r="D684" t="str">
        <f>CONCATENATE(A684," : ",B684)</f>
        <v>C04751 : 1-(5-Phospho-D-ribosyl)-5-amino-4-imidazolecarboxylate</v>
      </c>
    </row>
    <row r="685" spans="1:4" x14ac:dyDescent="0.25">
      <c r="A685" t="s">
        <v>10259</v>
      </c>
      <c r="B685" t="s">
        <v>10972</v>
      </c>
      <c r="C685" t="s">
        <v>11398</v>
      </c>
      <c r="D685" t="str">
        <f>CONCATENATE(A685," : ",B685)</f>
        <v>C04752 : 4-Amino-5-hydroxymethyl-2-methylpyrimidine diphosphate</v>
      </c>
    </row>
    <row r="686" spans="1:4" x14ac:dyDescent="0.25">
      <c r="A686" t="s">
        <v>10236</v>
      </c>
      <c r="B686" t="s">
        <v>12441</v>
      </c>
      <c r="C686" t="s">
        <v>11966</v>
      </c>
      <c r="D686" t="str">
        <f>CONCATENATE(A686," : ",B686)</f>
        <v>C04778 : alpha-Ribazole 5'-phosphate</v>
      </c>
    </row>
    <row r="687" spans="1:4" x14ac:dyDescent="0.25">
      <c r="A687" t="s">
        <v>10017</v>
      </c>
      <c r="B687" t="s">
        <v>12442</v>
      </c>
      <c r="C687" t="s">
        <v>11967</v>
      </c>
      <c r="D687" t="str">
        <f>CONCATENATE(A687," : ",B687)</f>
        <v>C04807 : 6-Hydroxymethyl-7,8-dihydropterin diphosphate</v>
      </c>
    </row>
    <row r="688" spans="1:4" x14ac:dyDescent="0.25">
      <c r="A688" t="s">
        <v>8187</v>
      </c>
      <c r="B688" t="s">
        <v>10973</v>
      </c>
      <c r="C688" t="s">
        <v>11399</v>
      </c>
      <c r="D688" t="str">
        <f>CONCATENATE(A688," : ",B688)</f>
        <v>C04823 : 1-(5'-Phosphoribosyl)-5-amino-4-(N-succinocarboxamide)-imidazole</v>
      </c>
    </row>
    <row r="689" spans="1:4" x14ac:dyDescent="0.25">
      <c r="A689" t="s">
        <v>10398</v>
      </c>
      <c r="B689" t="s">
        <v>10974</v>
      </c>
      <c r="C689" t="s">
        <v>11400</v>
      </c>
      <c r="D689" t="str">
        <f>CONCATENATE(A689," : ",B689)</f>
        <v>C04851 : MurAc(oyl-L-Ala-D-gamma-Glu-L-Lys-D-Ala-D-Ala)-diphospho-undecaprenol</v>
      </c>
    </row>
    <row r="690" spans="1:4" x14ac:dyDescent="0.25">
      <c r="A690" t="s">
        <v>10288</v>
      </c>
      <c r="B690" t="s">
        <v>12443</v>
      </c>
      <c r="C690" t="s">
        <v>11968</v>
      </c>
      <c r="D690" t="str">
        <f>CONCATENATE(A690," : ",B690)</f>
        <v>C04874 : 7,8-Dihydroneopterin</v>
      </c>
    </row>
    <row r="691" spans="1:4" x14ac:dyDescent="0.25">
      <c r="A691" t="s">
        <v>10396</v>
      </c>
      <c r="B691" t="s">
        <v>10975</v>
      </c>
      <c r="C691" t="s">
        <v>11401</v>
      </c>
      <c r="D691" t="str">
        <f>CONCATENATE(A691," : ",B691)</f>
        <v>C04877 : UDP-N-acetylmuramoyl-L-alanyl-gamma-D-glutamyl-meso-2,6-diaminopimelate</v>
      </c>
    </row>
    <row r="692" spans="1:4" x14ac:dyDescent="0.25">
      <c r="A692" t="s">
        <v>10188</v>
      </c>
      <c r="B692" t="s">
        <v>12444</v>
      </c>
      <c r="C692" t="s">
        <v>11969</v>
      </c>
      <c r="D692" t="str">
        <f>CONCATENATE(A692," : ",B692)</f>
        <v>C04881 : N-Acetyl-beta-D-mannosaminyl-1,4-N-acetyl-D-glucosaminyldiphosphoundecaprenol</v>
      </c>
    </row>
    <row r="693" spans="1:4" x14ac:dyDescent="0.25">
      <c r="A693" t="s">
        <v>10397</v>
      </c>
      <c r="B693" t="s">
        <v>10976</v>
      </c>
      <c r="C693" t="s">
        <v>11402</v>
      </c>
      <c r="D693" t="str">
        <f>CONCATENATE(A693," : ",B693)</f>
        <v xml:space="preserve">C04882 : UDP-N-acetylmuramoyl-L-alanyl-D-glutamyl-6-carboxyl-L-lysyl-D-alanyl-D-alanine </v>
      </c>
    </row>
    <row r="694" spans="1:4" x14ac:dyDescent="0.25">
      <c r="A694" t="s">
        <v>10287</v>
      </c>
      <c r="B694" t="s">
        <v>12445</v>
      </c>
      <c r="C694" t="s">
        <v>11970</v>
      </c>
      <c r="D694" t="str">
        <f>CONCATENATE(A694," : ",B694)</f>
        <v>C04895 : 7,8-Dihydroneopterin 3'-triphosphate</v>
      </c>
    </row>
    <row r="695" spans="1:4" x14ac:dyDescent="0.25">
      <c r="A695" t="s">
        <v>8294</v>
      </c>
      <c r="B695" t="s">
        <v>12446</v>
      </c>
      <c r="C695" t="s">
        <v>11971</v>
      </c>
      <c r="D695" t="str">
        <f>CONCATENATE(A695," : ",B695)</f>
        <v>C04896 : 5-(5-Phospho-D-ribosylaminoformimino)-1-(5-phosphoribosyl)-imidazole-4-carboxamide</v>
      </c>
    </row>
    <row r="696" spans="1:4" x14ac:dyDescent="0.25">
      <c r="A696" t="s">
        <v>8565</v>
      </c>
      <c r="B696" t="s">
        <v>12447</v>
      </c>
      <c r="C696" t="s">
        <v>11972</v>
      </c>
      <c r="D696" t="str">
        <f>CONCATENATE(A696," : ",B696)</f>
        <v>C04916 : N-(5'-Phospho-D-1'-ribulosylformimino)-5-amino-1-(5''-phospho-D-ribosyl)-4-imidazolecarboxamide</v>
      </c>
    </row>
    <row r="697" spans="1:4" x14ac:dyDescent="0.25">
      <c r="A697" t="s">
        <v>9970</v>
      </c>
      <c r="B697" t="s">
        <v>12448</v>
      </c>
      <c r="C697" t="s">
        <v>11973</v>
      </c>
      <c r="D697" t="str">
        <f>CONCATENATE(A697," : ",B697)</f>
        <v>C05067 : trans-3-Enoyl-CoA</v>
      </c>
    </row>
    <row r="698" spans="1:4" x14ac:dyDescent="0.25">
      <c r="A698" t="s">
        <v>8411</v>
      </c>
      <c r="B698" t="s">
        <v>12449</v>
      </c>
      <c r="C698" t="s">
        <v>11974</v>
      </c>
      <c r="D698" t="str">
        <f>CONCATENATE(A698," : ",B698)</f>
        <v>C05116 : 3-Hydroxybutanoyl-CoA</v>
      </c>
    </row>
    <row r="699" spans="1:4" x14ac:dyDescent="0.25">
      <c r="A699" t="s">
        <v>10438</v>
      </c>
      <c r="B699" t="s">
        <v>12450</v>
      </c>
      <c r="C699" t="s">
        <v>11975</v>
      </c>
      <c r="D699" t="str">
        <f>CONCATENATE(A699," : ",B699)</f>
        <v>C05125 : 2-(alpha-Hydroxyethyl)thiamine diphosphate</v>
      </c>
    </row>
    <row r="700" spans="1:4" x14ac:dyDescent="0.25">
      <c r="A700" t="s">
        <v>10303</v>
      </c>
      <c r="B700" t="s">
        <v>12451</v>
      </c>
      <c r="C700" t="s">
        <v>11976</v>
      </c>
      <c r="D700" t="str">
        <f>CONCATENATE(A700," : ",B700)</f>
        <v>C05130 : Imidazole-4-acetaldehyde</v>
      </c>
    </row>
    <row r="701" spans="1:4" x14ac:dyDescent="0.25">
      <c r="A701" t="s">
        <v>8144</v>
      </c>
      <c r="B701" t="s">
        <v>12452</v>
      </c>
      <c r="C701" t="s">
        <v>12453</v>
      </c>
      <c r="D701" t="str">
        <f>CONCATENATE(A701," : ",B701)</f>
        <v>C05167 : alpha-Amino acid</v>
      </c>
    </row>
    <row r="702" spans="1:4" x14ac:dyDescent="0.25">
      <c r="A702" t="s">
        <v>10270</v>
      </c>
      <c r="B702" t="s">
        <v>10977</v>
      </c>
      <c r="C702" t="s">
        <v>11403</v>
      </c>
      <c r="D702" t="str">
        <f>CONCATENATE(A702," : ",B702)</f>
        <v>C05198 : 5'-Deoxyadenosine</v>
      </c>
    </row>
    <row r="703" spans="1:4" x14ac:dyDescent="0.25">
      <c r="A703" t="s">
        <v>10476</v>
      </c>
      <c r="B703" t="s">
        <v>12454</v>
      </c>
      <c r="C703" t="s">
        <v>11977</v>
      </c>
      <c r="D703" t="str">
        <f>CONCATENATE(A703," : ",B703)</f>
        <v>C05223 : Dodecanoyl-[acyl-carrier protein]</v>
      </c>
    </row>
    <row r="704" spans="1:4" x14ac:dyDescent="0.25">
      <c r="A704" t="s">
        <v>8229</v>
      </c>
      <c r="B704" t="s">
        <v>12455</v>
      </c>
      <c r="C704" t="s">
        <v>11978</v>
      </c>
      <c r="D704" t="str">
        <f>CONCATENATE(A704," : ",B704)</f>
        <v>C05232 : (2S)-2-Methylacyl-CoA</v>
      </c>
    </row>
    <row r="705" spans="1:4" x14ac:dyDescent="0.25">
      <c r="A705" t="s">
        <v>8121</v>
      </c>
      <c r="B705" t="s">
        <v>12456</v>
      </c>
      <c r="C705" t="s">
        <v>11979</v>
      </c>
      <c r="D705" t="str">
        <f>CONCATENATE(A705," : ",B705)</f>
        <v>C05258 : (S)-3-Hydroxyhexadecanoyl-CoA</v>
      </c>
    </row>
    <row r="706" spans="1:4" x14ac:dyDescent="0.25">
      <c r="A706" t="s">
        <v>10200</v>
      </c>
      <c r="B706" t="s">
        <v>12457</v>
      </c>
      <c r="C706" t="s">
        <v>11980</v>
      </c>
      <c r="D706" t="str">
        <f>CONCATENATE(A706," : ",B706)</f>
        <v>C05259 : 3-Oxopalmitoyl-CoA</v>
      </c>
    </row>
    <row r="707" spans="1:4" x14ac:dyDescent="0.25">
      <c r="A707" t="s">
        <v>8122</v>
      </c>
      <c r="B707" t="s">
        <v>12458</v>
      </c>
      <c r="C707" t="s">
        <v>11981</v>
      </c>
      <c r="D707" t="str">
        <f>CONCATENATE(A707," : ",B707)</f>
        <v>C05260 : (S)-3-Hydroxytetradecanoyl-CoA</v>
      </c>
    </row>
    <row r="708" spans="1:4" x14ac:dyDescent="0.25">
      <c r="A708" t="s">
        <v>10201</v>
      </c>
      <c r="B708" t="s">
        <v>12459</v>
      </c>
      <c r="C708" t="s">
        <v>11982</v>
      </c>
      <c r="D708" t="str">
        <f>CONCATENATE(A708," : ",B708)</f>
        <v>C05261 : 3-Oxotetradecanoyl-CoA</v>
      </c>
    </row>
    <row r="709" spans="1:4" x14ac:dyDescent="0.25">
      <c r="A709" t="s">
        <v>8119</v>
      </c>
      <c r="B709" t="s">
        <v>12460</v>
      </c>
      <c r="C709" t="s">
        <v>11983</v>
      </c>
      <c r="D709" t="str">
        <f>CONCATENATE(A709," : ",B709)</f>
        <v>C05262 : (S)-3-Hydroxydodecanoyl-CoA</v>
      </c>
    </row>
    <row r="710" spans="1:4" x14ac:dyDescent="0.25">
      <c r="A710" t="s">
        <v>10202</v>
      </c>
      <c r="B710" t="s">
        <v>12461</v>
      </c>
      <c r="C710" t="s">
        <v>11984</v>
      </c>
      <c r="D710" t="str">
        <f>CONCATENATE(A710," : ",B710)</f>
        <v>C05263 : 3-Oxododecanoyl-CoA</v>
      </c>
    </row>
    <row r="711" spans="1:4" x14ac:dyDescent="0.25">
      <c r="A711" t="s">
        <v>8123</v>
      </c>
      <c r="B711" t="s">
        <v>12462</v>
      </c>
      <c r="C711" t="s">
        <v>11985</v>
      </c>
      <c r="D711" t="str">
        <f>CONCATENATE(A711," : ",B711)</f>
        <v>C05264 : (S)-Hydroxydecanoyl-CoA</v>
      </c>
    </row>
    <row r="712" spans="1:4" x14ac:dyDescent="0.25">
      <c r="A712" t="s">
        <v>10203</v>
      </c>
      <c r="B712" t="s">
        <v>12463</v>
      </c>
      <c r="C712" t="s">
        <v>11986</v>
      </c>
      <c r="D712" t="str">
        <f>CONCATENATE(A712," : ",B712)</f>
        <v>C05265 : 3-Oxodecanoyl-CoA</v>
      </c>
    </row>
    <row r="713" spans="1:4" x14ac:dyDescent="0.25">
      <c r="A713" t="s">
        <v>8124</v>
      </c>
      <c r="B713" t="s">
        <v>12464</v>
      </c>
      <c r="C713" t="s">
        <v>11987</v>
      </c>
      <c r="D713" t="str">
        <f>CONCATENATE(A713," : ",B713)</f>
        <v>C05266 : (S)-3-Hydroxyoctanoyl-CoA</v>
      </c>
    </row>
    <row r="714" spans="1:4" x14ac:dyDescent="0.25">
      <c r="A714" t="s">
        <v>10204</v>
      </c>
      <c r="B714" t="s">
        <v>12465</v>
      </c>
      <c r="C714" t="s">
        <v>11988</v>
      </c>
      <c r="D714" t="str">
        <f>CONCATENATE(A714," : ",B714)</f>
        <v>C05267 : 3-Oxooctanoyl-CoA</v>
      </c>
    </row>
    <row r="715" spans="1:4" x14ac:dyDescent="0.25">
      <c r="A715" t="s">
        <v>8125</v>
      </c>
      <c r="B715" t="s">
        <v>12466</v>
      </c>
      <c r="C715" t="s">
        <v>11989</v>
      </c>
      <c r="D715" t="str">
        <f>CONCATENATE(A715," : ",B715)</f>
        <v>C05268 : (S)-Hydroxyhexanoyl-CoA</v>
      </c>
    </row>
    <row r="716" spans="1:4" x14ac:dyDescent="0.25">
      <c r="A716" t="s">
        <v>10198</v>
      </c>
      <c r="B716" t="s">
        <v>12467</v>
      </c>
      <c r="C716" t="s">
        <v>11990</v>
      </c>
      <c r="D716" t="str">
        <f>CONCATENATE(A716," : ",B716)</f>
        <v>C05269 : 3-Oxohexanoyl-CoA</v>
      </c>
    </row>
    <row r="717" spans="1:4" x14ac:dyDescent="0.25">
      <c r="A717" t="s">
        <v>9912</v>
      </c>
      <c r="B717" t="s">
        <v>12468</v>
      </c>
      <c r="C717" t="s">
        <v>11991</v>
      </c>
      <c r="D717" t="str">
        <f>CONCATENATE(A717," : ",B717)</f>
        <v>C05270 : Hexanoyl-CoA</v>
      </c>
    </row>
    <row r="718" spans="1:4" x14ac:dyDescent="0.25">
      <c r="A718" t="s">
        <v>9913</v>
      </c>
      <c r="B718" t="s">
        <v>12469</v>
      </c>
      <c r="C718" t="s">
        <v>11992</v>
      </c>
      <c r="D718" t="str">
        <f>CONCATENATE(A718," : ",B718)</f>
        <v>C05271 : trans-Hex-2-enoyl-CoA</v>
      </c>
    </row>
    <row r="719" spans="1:4" x14ac:dyDescent="0.25">
      <c r="A719" t="s">
        <v>9963</v>
      </c>
      <c r="B719" t="s">
        <v>12470</v>
      </c>
      <c r="C719" t="s">
        <v>11993</v>
      </c>
      <c r="D719" t="str">
        <f>CONCATENATE(A719," : ",B719)</f>
        <v>C05272 : trans-Hexadec-2-enoyl-CoA</v>
      </c>
    </row>
    <row r="720" spans="1:4" x14ac:dyDescent="0.25">
      <c r="A720" t="s">
        <v>9964</v>
      </c>
      <c r="B720" t="s">
        <v>12471</v>
      </c>
      <c r="C720" t="s">
        <v>11994</v>
      </c>
      <c r="D720" t="str">
        <f>CONCATENATE(A720," : ",B720)</f>
        <v>C05273 : trans-Tetradec-2-enoyl-CoA</v>
      </c>
    </row>
    <row r="721" spans="1:4" x14ac:dyDescent="0.25">
      <c r="A721" t="s">
        <v>10345</v>
      </c>
      <c r="B721" t="s">
        <v>12472</v>
      </c>
      <c r="C721" t="s">
        <v>11995</v>
      </c>
      <c r="D721" t="str">
        <f>CONCATENATE(A721," : ",B721)</f>
        <v>C05274 : Decanoyl-CoA</v>
      </c>
    </row>
    <row r="722" spans="1:4" x14ac:dyDescent="0.25">
      <c r="A722" t="s">
        <v>9965</v>
      </c>
      <c r="B722" t="s">
        <v>12473</v>
      </c>
      <c r="C722" t="s">
        <v>11996</v>
      </c>
      <c r="D722" t="str">
        <f>CONCATENATE(A722," : ",B722)</f>
        <v>C05275 : trans-Dec-2-enoyl-CoA</v>
      </c>
    </row>
    <row r="723" spans="1:4" x14ac:dyDescent="0.25">
      <c r="A723" t="s">
        <v>9966</v>
      </c>
      <c r="B723" t="s">
        <v>12474</v>
      </c>
      <c r="C723" t="s">
        <v>11997</v>
      </c>
      <c r="D723" t="str">
        <f>CONCATENATE(A723," : ",B723)</f>
        <v>C05276 : trans-Oct-2-enoyl-CoA</v>
      </c>
    </row>
    <row r="724" spans="1:4" x14ac:dyDescent="0.25">
      <c r="A724" t="s">
        <v>10427</v>
      </c>
      <c r="B724" t="s">
        <v>12475</v>
      </c>
      <c r="C724" t="s">
        <v>11998</v>
      </c>
      <c r="D724" t="str">
        <f>CONCATENATE(A724," : ",B724)</f>
        <v>C05309 : Semiquinone</v>
      </c>
    </row>
    <row r="725" spans="1:4" x14ac:dyDescent="0.25">
      <c r="A725" t="s">
        <v>8506</v>
      </c>
      <c r="B725" t="s">
        <v>12476</v>
      </c>
      <c r="C725" t="s">
        <v>11999</v>
      </c>
      <c r="D725" t="str">
        <f>CONCATENATE(A725," : ",B725)</f>
        <v>C05329 : (2R)-2-Methylacyl-CoA</v>
      </c>
    </row>
    <row r="726" spans="1:4" x14ac:dyDescent="0.25">
      <c r="A726" t="s">
        <v>10383</v>
      </c>
      <c r="B726" t="s">
        <v>10978</v>
      </c>
      <c r="C726" t="s">
        <v>11404</v>
      </c>
      <c r="D726" t="str">
        <f>CONCATENATE(A726," : ",B726)</f>
        <v>C05335 : L-Selenomethionine</v>
      </c>
    </row>
    <row r="727" spans="1:4" x14ac:dyDescent="0.25">
      <c r="A727" t="s">
        <v>10521</v>
      </c>
      <c r="B727" t="s">
        <v>10979</v>
      </c>
      <c r="C727" t="s">
        <v>11405</v>
      </c>
      <c r="D727" t="str">
        <f>CONCATENATE(A727," : ",B727)</f>
        <v>C05336 : Selenomethionyl-tRNA(Met)</v>
      </c>
    </row>
    <row r="728" spans="1:4" x14ac:dyDescent="0.25">
      <c r="A728" t="s">
        <v>8524</v>
      </c>
      <c r="B728" t="s">
        <v>10980</v>
      </c>
      <c r="C728" t="s">
        <v>11406</v>
      </c>
      <c r="D728" t="str">
        <f>CONCATENATE(A728," : ",B728)</f>
        <v>C05345 : beta-D-Fructose 6-phosphate</v>
      </c>
    </row>
    <row r="729" spans="1:4" x14ac:dyDescent="0.25">
      <c r="A729" t="s">
        <v>10221</v>
      </c>
      <c r="B729" t="s">
        <v>12477</v>
      </c>
      <c r="C729" t="s">
        <v>12000</v>
      </c>
      <c r="D729" t="str">
        <f>CONCATENATE(A729," : ",B729)</f>
        <v>C05357 : Oxidized azurin</v>
      </c>
    </row>
    <row r="730" spans="1:4" x14ac:dyDescent="0.25">
      <c r="A730" t="s">
        <v>10223</v>
      </c>
      <c r="B730" t="s">
        <v>12478</v>
      </c>
      <c r="C730" t="s">
        <v>12001</v>
      </c>
      <c r="D730" t="str">
        <f>CONCATENATE(A730," : ",B730)</f>
        <v>C05358 : Reduced azurin</v>
      </c>
    </row>
    <row r="731" spans="1:4" x14ac:dyDescent="0.25">
      <c r="A731" t="s">
        <v>8318</v>
      </c>
      <c r="B731" t="s">
        <v>12479</v>
      </c>
      <c r="C731" t="s">
        <v>12002</v>
      </c>
      <c r="D731" t="str">
        <f>CONCATENATE(A731," : ",B731)</f>
        <v>C05364 : 4-Carboxy-2-oxo-3-hexenedioate</v>
      </c>
    </row>
    <row r="732" spans="1:4" x14ac:dyDescent="0.25">
      <c r="A732" t="s">
        <v>8148</v>
      </c>
      <c r="B732" t="s">
        <v>10981</v>
      </c>
      <c r="C732" t="s">
        <v>11407</v>
      </c>
      <c r="D732" t="str">
        <f>CONCATENATE(A732," : ",B732)</f>
        <v>C05378 : beta-D-Fructose 1,6-bisphosphate</v>
      </c>
    </row>
    <row r="733" spans="1:4" x14ac:dyDescent="0.25">
      <c r="A733" t="s">
        <v>8321</v>
      </c>
      <c r="B733" t="s">
        <v>12480</v>
      </c>
      <c r="C733" t="s">
        <v>12003</v>
      </c>
      <c r="D733" t="str">
        <f>CONCATENATE(A733," : ",B733)</f>
        <v>C05379 : Oxalosuccinate</v>
      </c>
    </row>
    <row r="734" spans="1:4" x14ac:dyDescent="0.25">
      <c r="A734" t="s">
        <v>9978</v>
      </c>
      <c r="B734" t="s">
        <v>12481</v>
      </c>
      <c r="C734" t="s">
        <v>12004</v>
      </c>
      <c r="D734" t="str">
        <f>CONCATENATE(A734," : ",B734)</f>
        <v>C05381 : 3-Carboxy-1-hydroxypropyl-ThPP</v>
      </c>
    </row>
    <row r="735" spans="1:4" x14ac:dyDescent="0.25">
      <c r="A735" t="s">
        <v>10232</v>
      </c>
      <c r="B735" t="s">
        <v>10982</v>
      </c>
      <c r="C735" t="s">
        <v>11408</v>
      </c>
      <c r="D735" t="str">
        <f>CONCATENATE(A735," : ",B735)</f>
        <v>C05382 : Sedoheptulose 7-phosphate</v>
      </c>
    </row>
    <row r="736" spans="1:4" x14ac:dyDescent="0.25">
      <c r="A736" t="s">
        <v>10406</v>
      </c>
      <c r="B736" t="s">
        <v>12482</v>
      </c>
      <c r="C736" t="s">
        <v>12005</v>
      </c>
      <c r="D736" t="str">
        <f>CONCATENATE(A736," : ",B736)</f>
        <v>C05413 : all-trans-Phytoene</v>
      </c>
    </row>
    <row r="737" spans="1:4" x14ac:dyDescent="0.25">
      <c r="A737" t="s">
        <v>10405</v>
      </c>
      <c r="B737" t="s">
        <v>12483</v>
      </c>
      <c r="C737" t="s">
        <v>12006</v>
      </c>
      <c r="D737" t="str">
        <f>CONCATENATE(A737," : ",B737)</f>
        <v>C05421 : 15-cis-Phytoene</v>
      </c>
    </row>
    <row r="738" spans="1:4" x14ac:dyDescent="0.25">
      <c r="A738" t="s">
        <v>10547</v>
      </c>
      <c r="B738" t="s">
        <v>10983</v>
      </c>
      <c r="C738" t="s">
        <v>11409</v>
      </c>
      <c r="D738" t="str">
        <f>CONCATENATE(A738," : ",B738)</f>
        <v>C05444 : 3alpha,7alpha,26-Trihydroxy-5beta-cholestane</v>
      </c>
    </row>
    <row r="739" spans="1:4" x14ac:dyDescent="0.25">
      <c r="A739" t="s">
        <v>10305</v>
      </c>
      <c r="B739" t="s">
        <v>10984</v>
      </c>
      <c r="C739" t="s">
        <v>11410</v>
      </c>
      <c r="D739" t="str">
        <f>CONCATENATE(A739," : ",B739)</f>
        <v>C05445 : 3alpha,7alpha-Dihydroxy-5beta-cholestan-26-al</v>
      </c>
    </row>
    <row r="740" spans="1:4" x14ac:dyDescent="0.25">
      <c r="A740" t="s">
        <v>9879</v>
      </c>
      <c r="B740" t="s">
        <v>10985</v>
      </c>
      <c r="C740" t="s">
        <v>11411</v>
      </c>
      <c r="D740" t="str">
        <f>CONCATENATE(A740," : ",B740)</f>
        <v>C05512 : Deoxyinosine</v>
      </c>
    </row>
    <row r="741" spans="1:4" x14ac:dyDescent="0.25">
      <c r="A741" t="s">
        <v>8291</v>
      </c>
      <c r="B741" t="s">
        <v>12484</v>
      </c>
      <c r="C741" t="s">
        <v>12007</v>
      </c>
      <c r="D741" t="str">
        <f>CONCATENATE(A741," : ",B741)</f>
        <v>C05519 : L-Allothreonine</v>
      </c>
    </row>
    <row r="742" spans="1:4" x14ac:dyDescent="0.25">
      <c r="A742" t="s">
        <v>10439</v>
      </c>
      <c r="B742" t="s">
        <v>10986</v>
      </c>
      <c r="C742" t="s">
        <v>11412</v>
      </c>
      <c r="D742" t="str">
        <f>CONCATENATE(A742," : ",B742)</f>
        <v>C05526 : S-Glutathionyl-L-cysteine</v>
      </c>
    </row>
    <row r="743" spans="1:4" x14ac:dyDescent="0.25">
      <c r="A743" t="s">
        <v>10372</v>
      </c>
      <c r="B743" t="s">
        <v>10987</v>
      </c>
      <c r="C743" t="s">
        <v>11413</v>
      </c>
      <c r="D743" t="str">
        <f>CONCATENATE(A743," : ",B743)</f>
        <v>C05527 : 3-Sulfinylpyruvate</v>
      </c>
    </row>
    <row r="744" spans="1:4" x14ac:dyDescent="0.25">
      <c r="A744" t="s">
        <v>10370</v>
      </c>
      <c r="B744" t="s">
        <v>10988</v>
      </c>
      <c r="C744" t="s">
        <v>11414</v>
      </c>
      <c r="D744" t="str">
        <f>CONCATENATE(A744," : ",B744)</f>
        <v>C05528 : 3-Sulfopyruvate</v>
      </c>
    </row>
    <row r="745" spans="1:4" x14ac:dyDescent="0.25">
      <c r="A745" t="s">
        <v>8202</v>
      </c>
      <c r="B745" t="s">
        <v>12485</v>
      </c>
      <c r="C745" t="s">
        <v>12008</v>
      </c>
      <c r="D745" t="str">
        <f>CONCATENATE(A745," : ",B745)</f>
        <v>C05533 : Oxaloglutarate</v>
      </c>
    </row>
    <row r="746" spans="1:4" x14ac:dyDescent="0.25">
      <c r="A746" t="s">
        <v>10053</v>
      </c>
      <c r="B746" t="s">
        <v>12486</v>
      </c>
      <c r="C746" t="s">
        <v>12009</v>
      </c>
      <c r="D746" t="str">
        <f>CONCATENATE(A746," : ",B746)</f>
        <v>C05551 : Penicillin G</v>
      </c>
    </row>
    <row r="747" spans="1:4" x14ac:dyDescent="0.25">
      <c r="A747" t="s">
        <v>10548</v>
      </c>
      <c r="B747" t="s">
        <v>10989</v>
      </c>
      <c r="C747" t="s">
        <v>11415</v>
      </c>
      <c r="D747" t="str">
        <f>CONCATENATE(A747," : ",B747)</f>
        <v>C05576 : 3,4-Dihydroxyphenylethyleneglycol</v>
      </c>
    </row>
    <row r="748" spans="1:4" x14ac:dyDescent="0.25">
      <c r="A748" t="s">
        <v>10549</v>
      </c>
      <c r="B748" t="s">
        <v>10990</v>
      </c>
      <c r="C748" t="s">
        <v>11416</v>
      </c>
      <c r="D748" t="str">
        <f>CONCATENATE(A748," : ",B748)</f>
        <v>C05577 : 3,4-Dihydroxymandelaldehyde</v>
      </c>
    </row>
    <row r="749" spans="1:4" x14ac:dyDescent="0.25">
      <c r="A749" t="s">
        <v>10327</v>
      </c>
      <c r="B749" t="s">
        <v>12487</v>
      </c>
      <c r="C749" t="s">
        <v>12010</v>
      </c>
      <c r="D749" t="str">
        <f>CONCATENATE(A749," : ",B749)</f>
        <v>C05593 : 3-Hydroxyphenylacetate</v>
      </c>
    </row>
    <row r="750" spans="1:4" x14ac:dyDescent="0.25">
      <c r="A750" t="s">
        <v>10329</v>
      </c>
      <c r="B750" t="s">
        <v>12488</v>
      </c>
      <c r="C750" t="s">
        <v>12011</v>
      </c>
      <c r="D750" t="str">
        <f>CONCATENATE(A750," : ",B750)</f>
        <v>C05600 : 2-Hydroxyhepta-2,4-dienedioate</v>
      </c>
    </row>
    <row r="751" spans="1:4" x14ac:dyDescent="0.25">
      <c r="A751" t="s">
        <v>10307</v>
      </c>
      <c r="B751" t="s">
        <v>12489</v>
      </c>
      <c r="C751" t="s">
        <v>12012</v>
      </c>
      <c r="D751" t="str">
        <f>CONCATENATE(A751," : ",B751)</f>
        <v>C05634 : 5-Hydroxyindoleacetaldehyde</v>
      </c>
    </row>
    <row r="752" spans="1:4" x14ac:dyDescent="0.25">
      <c r="A752" t="s">
        <v>10308</v>
      </c>
      <c r="B752" t="s">
        <v>12490</v>
      </c>
      <c r="C752" t="s">
        <v>12013</v>
      </c>
      <c r="D752" t="str">
        <f>CONCATENATE(A752," : ",B752)</f>
        <v>C05635 : 5-Hydroxyindoleacetate</v>
      </c>
    </row>
    <row r="753" spans="1:4" x14ac:dyDescent="0.25">
      <c r="A753" t="s">
        <v>10591</v>
      </c>
      <c r="B753" t="s">
        <v>12491</v>
      </c>
      <c r="C753" t="s">
        <v>12014</v>
      </c>
      <c r="D753" t="str">
        <f>CONCATENATE(A753," : ",B753)</f>
        <v>C05640 : Cinnavalininate</v>
      </c>
    </row>
    <row r="754" spans="1:4" x14ac:dyDescent="0.25">
      <c r="A754" t="s">
        <v>8101</v>
      </c>
      <c r="B754" t="s">
        <v>12492</v>
      </c>
      <c r="C754" t="s">
        <v>12015</v>
      </c>
      <c r="D754" t="str">
        <f>CONCATENATE(A754," : ",B754)</f>
        <v>C05662 : Homoisocitrate</v>
      </c>
    </row>
    <row r="755" spans="1:4" x14ac:dyDescent="0.25">
      <c r="A755" t="s">
        <v>10292</v>
      </c>
      <c r="B755" t="s">
        <v>12493</v>
      </c>
      <c r="C755" t="s">
        <v>12016</v>
      </c>
      <c r="D755" t="str">
        <f>CONCATENATE(A755," : ",B755)</f>
        <v>C05665 : 3-Aminopropanal</v>
      </c>
    </row>
    <row r="756" spans="1:4" x14ac:dyDescent="0.25">
      <c r="A756" t="s">
        <v>8118</v>
      </c>
      <c r="B756" t="s">
        <v>12494</v>
      </c>
      <c r="C756" t="s">
        <v>12017</v>
      </c>
      <c r="D756" t="str">
        <f>CONCATENATE(A756," : ",B756)</f>
        <v>C05668 : 3-Hydroxypropionyl-CoA</v>
      </c>
    </row>
    <row r="757" spans="1:4" x14ac:dyDescent="0.25">
      <c r="A757" t="s">
        <v>10425</v>
      </c>
      <c r="B757" t="s">
        <v>12495</v>
      </c>
      <c r="C757" t="s">
        <v>12018</v>
      </c>
      <c r="D757" t="str">
        <f>CONCATENATE(A757," : ",B757)</f>
        <v>C05670 : 3-Aminopropiononitrile</v>
      </c>
    </row>
    <row r="758" spans="1:4" x14ac:dyDescent="0.25">
      <c r="A758" t="s">
        <v>10258</v>
      </c>
      <c r="B758" t="s">
        <v>10991</v>
      </c>
      <c r="C758" t="s">
        <v>11417</v>
      </c>
      <c r="D758" t="str">
        <f>CONCATENATE(A758," : ",B758)</f>
        <v>C05684 : Selenite</v>
      </c>
    </row>
    <row r="759" spans="1:4" x14ac:dyDescent="0.25">
      <c r="A759" t="s">
        <v>10253</v>
      </c>
      <c r="B759" t="s">
        <v>12496</v>
      </c>
      <c r="C759" t="s">
        <v>12019</v>
      </c>
      <c r="D759" t="str">
        <f>CONCATENATE(A759," : ",B759)</f>
        <v>C05686 : Adenylylselenate</v>
      </c>
    </row>
    <row r="760" spans="1:4" x14ac:dyDescent="0.25">
      <c r="A760" t="s">
        <v>9843</v>
      </c>
      <c r="B760" t="s">
        <v>10992</v>
      </c>
      <c r="C760" t="s">
        <v>11418</v>
      </c>
      <c r="D760" t="str">
        <f>CONCATENATE(A760," : ",B760)</f>
        <v>C05688 : L-Selenocysteine</v>
      </c>
    </row>
    <row r="761" spans="1:4" x14ac:dyDescent="0.25">
      <c r="A761" t="s">
        <v>10419</v>
      </c>
      <c r="B761" t="s">
        <v>12497</v>
      </c>
      <c r="C761" t="s">
        <v>12020</v>
      </c>
      <c r="D761" t="str">
        <f>CONCATENATE(A761," : ",B761)</f>
        <v>C05689 : Se-Methyl-L-selenocysteine</v>
      </c>
    </row>
    <row r="762" spans="1:4" x14ac:dyDescent="0.25">
      <c r="A762" t="s">
        <v>16469</v>
      </c>
      <c r="B762" t="s">
        <v>16470</v>
      </c>
      <c r="C762" t="s">
        <v>16471</v>
      </c>
      <c r="D762" t="str">
        <f>CONCATENATE(A762," : ",B762)</f>
        <v>C05691 : Se-Adenosylselenomethionine</v>
      </c>
    </row>
    <row r="763" spans="1:4" x14ac:dyDescent="0.25">
      <c r="A763" t="s">
        <v>10420</v>
      </c>
      <c r="B763" t="s">
        <v>12498</v>
      </c>
      <c r="C763" t="s">
        <v>12021</v>
      </c>
      <c r="D763" t="str">
        <f>CONCATENATE(A763," : ",B763)</f>
        <v>C05695 : gamma-Glutamyl-Se-methylselenocysteine</v>
      </c>
    </row>
    <row r="764" spans="1:4" x14ac:dyDescent="0.25">
      <c r="A764" t="s">
        <v>10252</v>
      </c>
      <c r="B764" t="s">
        <v>12499</v>
      </c>
      <c r="C764" t="s">
        <v>12022</v>
      </c>
      <c r="D764" t="str">
        <f>CONCATENATE(A764," : ",B764)</f>
        <v>C05697 : Selenate</v>
      </c>
    </row>
    <row r="765" spans="1:4" x14ac:dyDescent="0.25">
      <c r="A765" t="s">
        <v>10381</v>
      </c>
      <c r="B765" t="s">
        <v>10993</v>
      </c>
      <c r="C765" t="s">
        <v>11419</v>
      </c>
      <c r="D765" t="str">
        <f>CONCATENATE(A765," : ",B765)</f>
        <v>C05698 : Selenohomocysteine</v>
      </c>
    </row>
    <row r="766" spans="1:4" x14ac:dyDescent="0.25">
      <c r="A766" t="s">
        <v>10364</v>
      </c>
      <c r="B766" t="s">
        <v>12500</v>
      </c>
      <c r="C766" t="s">
        <v>12023</v>
      </c>
      <c r="D766" t="str">
        <f>CONCATENATE(A766," : ",B766)</f>
        <v>C05699 : L-Selenocystathionine</v>
      </c>
    </row>
    <row r="767" spans="1:4" x14ac:dyDescent="0.25">
      <c r="A767" t="s">
        <v>10363</v>
      </c>
      <c r="B767" t="s">
        <v>12501</v>
      </c>
      <c r="C767" t="s">
        <v>12024</v>
      </c>
      <c r="D767" t="str">
        <f>CONCATENATE(A767," : ",B767)</f>
        <v>C05702 : O-Phosphorylhomoserine</v>
      </c>
    </row>
    <row r="768" spans="1:4" x14ac:dyDescent="0.25">
      <c r="A768" t="s">
        <v>10441</v>
      </c>
      <c r="B768" t="s">
        <v>10994</v>
      </c>
      <c r="C768" t="s">
        <v>11420</v>
      </c>
      <c r="D768" t="str">
        <f>CONCATENATE(A768," : ",B768)</f>
        <v>C05703 : Methaneselenol</v>
      </c>
    </row>
    <row r="769" spans="1:4" x14ac:dyDescent="0.25">
      <c r="A769" t="s">
        <v>10424</v>
      </c>
      <c r="B769" t="s">
        <v>12503</v>
      </c>
      <c r="C769" t="s">
        <v>12025</v>
      </c>
      <c r="D769" t="str">
        <f>CONCATENATE(A769," : ",B769)</f>
        <v>C05711 : gamma-Glutamyl-beta-cyanoalanine</v>
      </c>
    </row>
    <row r="770" spans="1:4" x14ac:dyDescent="0.25">
      <c r="A770" t="s">
        <v>16472</v>
      </c>
      <c r="B770" t="s">
        <v>16473</v>
      </c>
      <c r="C770" t="s">
        <v>16474</v>
      </c>
      <c r="D770" t="str">
        <f>CONCATENATE(A770," : ",B770)</f>
        <v>C05726 : S-Substituted L-cysteine</v>
      </c>
    </row>
    <row r="771" spans="1:4" x14ac:dyDescent="0.25">
      <c r="A771" t="s">
        <v>10422</v>
      </c>
      <c r="B771" t="s">
        <v>12502</v>
      </c>
      <c r="C771" t="s">
        <v>12026</v>
      </c>
      <c r="D771" t="str">
        <f>CONCATENATE(A771," : ",B771)</f>
        <v>C05729 : R-S-Cysteinylglycine</v>
      </c>
    </row>
    <row r="772" spans="1:4" x14ac:dyDescent="0.25">
      <c r="A772" t="s">
        <v>10147</v>
      </c>
      <c r="B772" t="s">
        <v>12504</v>
      </c>
      <c r="C772" t="s">
        <v>12027</v>
      </c>
      <c r="D772" t="str">
        <f>CONCATENATE(A772," : ",B772)</f>
        <v>C05744 : Acetoacetyl-[acp]</v>
      </c>
    </row>
    <row r="773" spans="1:4" x14ac:dyDescent="0.25">
      <c r="A773" t="s">
        <v>10477</v>
      </c>
      <c r="B773" t="s">
        <v>12505</v>
      </c>
      <c r="C773" t="s">
        <v>12028</v>
      </c>
      <c r="D773" t="str">
        <f>CONCATENATE(A773," : ",B773)</f>
        <v>C05745 : Butyryl-[acp]</v>
      </c>
    </row>
    <row r="774" spans="1:4" x14ac:dyDescent="0.25">
      <c r="A774" t="s">
        <v>10152</v>
      </c>
      <c r="B774" t="s">
        <v>12506</v>
      </c>
      <c r="C774" t="s">
        <v>12029</v>
      </c>
      <c r="D774" t="str">
        <f>CONCATENATE(A774," : ",B774)</f>
        <v>C05746 : 3-Oxohexanoyl-[acp]</v>
      </c>
    </row>
    <row r="775" spans="1:4" x14ac:dyDescent="0.25">
      <c r="A775" t="s">
        <v>8170</v>
      </c>
      <c r="B775" t="s">
        <v>12507</v>
      </c>
      <c r="C775" t="s">
        <v>12030</v>
      </c>
      <c r="D775" t="str">
        <f>CONCATENATE(A775," : ",B775)</f>
        <v>C05747 : (3R)-3-Hydroxyhexanoyl-[acyl-carrier protein]</v>
      </c>
    </row>
    <row r="776" spans="1:4" x14ac:dyDescent="0.25">
      <c r="A776" t="s">
        <v>10041</v>
      </c>
      <c r="B776" t="s">
        <v>12508</v>
      </c>
      <c r="C776" t="s">
        <v>12031</v>
      </c>
      <c r="D776" t="str">
        <f>CONCATENATE(A776," : ",B776)</f>
        <v>C05748 : trans-Hex-2-enoyl-[acp]</v>
      </c>
    </row>
    <row r="777" spans="1:4" x14ac:dyDescent="0.25">
      <c r="A777" t="s">
        <v>10478</v>
      </c>
      <c r="B777" t="s">
        <v>12509</v>
      </c>
      <c r="C777" t="s">
        <v>12032</v>
      </c>
      <c r="D777" t="str">
        <f>CONCATENATE(A777," : ",B777)</f>
        <v>C05749 : Hexanoyl-[acp]</v>
      </c>
    </row>
    <row r="778" spans="1:4" x14ac:dyDescent="0.25">
      <c r="A778" t="s">
        <v>10149</v>
      </c>
      <c r="B778" t="s">
        <v>12510</v>
      </c>
      <c r="C778" t="s">
        <v>12033</v>
      </c>
      <c r="D778" t="str">
        <f>CONCATENATE(A778," : ",B778)</f>
        <v>C05750 : 3-Oxooctanoyl-[acp]</v>
      </c>
    </row>
    <row r="779" spans="1:4" x14ac:dyDescent="0.25">
      <c r="A779" t="s">
        <v>10038</v>
      </c>
      <c r="B779" t="s">
        <v>12511</v>
      </c>
      <c r="C779" t="s">
        <v>12034</v>
      </c>
      <c r="D779" t="str">
        <f>CONCATENATE(A779," : ",B779)</f>
        <v>C05751 : trans-Oct-2-enoyl-[acp]</v>
      </c>
    </row>
    <row r="780" spans="1:4" x14ac:dyDescent="0.25">
      <c r="A780" t="s">
        <v>10479</v>
      </c>
      <c r="B780" t="s">
        <v>12512</v>
      </c>
      <c r="C780" t="s">
        <v>12035</v>
      </c>
      <c r="D780" t="str">
        <f>CONCATENATE(A780," : ",B780)</f>
        <v>C05752 : Octanoyl-[acp]</v>
      </c>
    </row>
    <row r="781" spans="1:4" x14ac:dyDescent="0.25">
      <c r="A781" t="s">
        <v>10148</v>
      </c>
      <c r="B781" t="s">
        <v>12513</v>
      </c>
      <c r="C781" t="s">
        <v>12036</v>
      </c>
      <c r="D781" t="str">
        <f>CONCATENATE(A781," : ",B781)</f>
        <v>C05753 : 3-Oxodecanoyl-[acp]</v>
      </c>
    </row>
    <row r="782" spans="1:4" x14ac:dyDescent="0.25">
      <c r="A782" t="s">
        <v>10037</v>
      </c>
      <c r="B782" t="s">
        <v>12514</v>
      </c>
      <c r="C782" t="s">
        <v>12037</v>
      </c>
      <c r="D782" t="str">
        <f>CONCATENATE(A782," : ",B782)</f>
        <v>C05754 : trans-Dec-2-enoyl-[acp]</v>
      </c>
    </row>
    <row r="783" spans="1:4" x14ac:dyDescent="0.25">
      <c r="A783" t="s">
        <v>10480</v>
      </c>
      <c r="B783" t="s">
        <v>12515</v>
      </c>
      <c r="C783" t="s">
        <v>12038</v>
      </c>
      <c r="D783" t="str">
        <f>CONCATENATE(A783," : ",B783)</f>
        <v>C05755 : Decanoyl-[acp]</v>
      </c>
    </row>
    <row r="784" spans="1:4" x14ac:dyDescent="0.25">
      <c r="A784" t="s">
        <v>10153</v>
      </c>
      <c r="B784" t="s">
        <v>12516</v>
      </c>
      <c r="C784" t="s">
        <v>12039</v>
      </c>
      <c r="D784" t="str">
        <f>CONCATENATE(A784," : ",B784)</f>
        <v>C05756 : 3-Oxododecanoyl-[acp]</v>
      </c>
    </row>
    <row r="785" spans="1:4" x14ac:dyDescent="0.25">
      <c r="A785" t="s">
        <v>8171</v>
      </c>
      <c r="B785" t="s">
        <v>12517</v>
      </c>
      <c r="C785" t="s">
        <v>12040</v>
      </c>
      <c r="D785" t="str">
        <f>CONCATENATE(A785," : ",B785)</f>
        <v>C05757 : (3R)-3-Hydroxydodecanoyl-[acyl-carrier protein]</v>
      </c>
    </row>
    <row r="786" spans="1:4" x14ac:dyDescent="0.25">
      <c r="A786" t="s">
        <v>10042</v>
      </c>
      <c r="B786" t="s">
        <v>12518</v>
      </c>
      <c r="C786" t="s">
        <v>12041</v>
      </c>
      <c r="D786" t="str">
        <f>CONCATENATE(A786," : ",B786)</f>
        <v>C05758 : trans-Dodec-2-enoyl-[acp]</v>
      </c>
    </row>
    <row r="787" spans="1:4" x14ac:dyDescent="0.25">
      <c r="A787" t="s">
        <v>10151</v>
      </c>
      <c r="B787" t="s">
        <v>12519</v>
      </c>
      <c r="C787" t="s">
        <v>12042</v>
      </c>
      <c r="D787" t="str">
        <f>CONCATENATE(A787," : ",B787)</f>
        <v>C05759 : 3-Oxotetradecanoyl-[acp]</v>
      </c>
    </row>
    <row r="788" spans="1:4" x14ac:dyDescent="0.25">
      <c r="A788" t="s">
        <v>10040</v>
      </c>
      <c r="B788" t="s">
        <v>12520</v>
      </c>
      <c r="C788" t="s">
        <v>12043</v>
      </c>
      <c r="D788" t="str">
        <f>CONCATENATE(A788," : ",B788)</f>
        <v>C05760 : trans-Tetradec-2-enoyl-[acp]</v>
      </c>
    </row>
    <row r="789" spans="1:4" x14ac:dyDescent="0.25">
      <c r="A789" t="s">
        <v>10481</v>
      </c>
      <c r="B789" t="s">
        <v>12521</v>
      </c>
      <c r="C789" t="s">
        <v>12044</v>
      </c>
      <c r="D789" t="str">
        <f>CONCATENATE(A789," : ",B789)</f>
        <v>C05761 : Tetradecanoyl-[acp]</v>
      </c>
    </row>
    <row r="790" spans="1:4" x14ac:dyDescent="0.25">
      <c r="A790" t="s">
        <v>10150</v>
      </c>
      <c r="B790" t="s">
        <v>12522</v>
      </c>
      <c r="C790" t="s">
        <v>12045</v>
      </c>
      <c r="D790" t="str">
        <f>CONCATENATE(A790," : ",B790)</f>
        <v>C05762 : 3-Oxohexadecanoyl-[acp]</v>
      </c>
    </row>
    <row r="791" spans="1:4" x14ac:dyDescent="0.25">
      <c r="A791" t="s">
        <v>10039</v>
      </c>
      <c r="B791" t="s">
        <v>12523</v>
      </c>
      <c r="C791" t="s">
        <v>12046</v>
      </c>
      <c r="D791" t="str">
        <f>CONCATENATE(A791," : ",B791)</f>
        <v>C05763 : trans-Hexadec-2-enoyl-[acp]</v>
      </c>
    </row>
    <row r="792" spans="1:4" x14ac:dyDescent="0.25">
      <c r="A792" t="s">
        <v>10482</v>
      </c>
      <c r="B792" t="s">
        <v>12524</v>
      </c>
      <c r="C792" t="s">
        <v>12047</v>
      </c>
      <c r="D792" t="str">
        <f>CONCATENATE(A792," : ",B792)</f>
        <v>C05764 : Hexadecanoyl-[acp]</v>
      </c>
    </row>
    <row r="793" spans="1:4" x14ac:dyDescent="0.25">
      <c r="A793" t="s">
        <v>8341</v>
      </c>
      <c r="B793" t="s">
        <v>12525</v>
      </c>
      <c r="C793" t="s">
        <v>12048</v>
      </c>
      <c r="D793" t="str">
        <f>CONCATENATE(A793," : ",B793)</f>
        <v>C05766 : Uroporphyrinogen I</v>
      </c>
    </row>
    <row r="794" spans="1:4" x14ac:dyDescent="0.25">
      <c r="A794" t="s">
        <v>10510</v>
      </c>
      <c r="B794" t="s">
        <v>12526</v>
      </c>
      <c r="C794" t="s">
        <v>12049</v>
      </c>
      <c r="D794" t="str">
        <f>CONCATENATE(A794," : ",B794)</f>
        <v>C05768 : Coproporphyrinogen I</v>
      </c>
    </row>
    <row r="795" spans="1:4" x14ac:dyDescent="0.25">
      <c r="A795" t="s">
        <v>10336</v>
      </c>
      <c r="B795" t="s">
        <v>12527</v>
      </c>
      <c r="C795" t="s">
        <v>12050</v>
      </c>
      <c r="D795" t="str">
        <f>CONCATENATE(A795," : ",B795)</f>
        <v>C05772 : Precorrin 3A</v>
      </c>
    </row>
    <row r="796" spans="1:4" x14ac:dyDescent="0.25">
      <c r="A796" t="s">
        <v>10249</v>
      </c>
      <c r="B796" t="s">
        <v>12528</v>
      </c>
      <c r="C796" t="s">
        <v>12051</v>
      </c>
      <c r="D796" t="str">
        <f>CONCATENATE(A796," : ",B796)</f>
        <v>C05774 : Cobinamide</v>
      </c>
    </row>
    <row r="797" spans="1:4" x14ac:dyDescent="0.25">
      <c r="A797" t="s">
        <v>10237</v>
      </c>
      <c r="B797" t="s">
        <v>12529</v>
      </c>
      <c r="C797" t="s">
        <v>12052</v>
      </c>
      <c r="D797" t="str">
        <f>CONCATENATE(A797," : ",B797)</f>
        <v>C05775 : alpha-Ribazole</v>
      </c>
    </row>
    <row r="798" spans="1:4" x14ac:dyDescent="0.25">
      <c r="A798" t="s">
        <v>10257</v>
      </c>
      <c r="B798" t="s">
        <v>12530</v>
      </c>
      <c r="C798" t="s">
        <v>12053</v>
      </c>
      <c r="D798" t="str">
        <f>CONCATENATE(A798," : ",B798)</f>
        <v>C05778 : Sirohydrochlorin</v>
      </c>
    </row>
    <row r="799" spans="1:4" x14ac:dyDescent="0.25">
      <c r="A799" t="s">
        <v>16475</v>
      </c>
      <c r="B799" t="s">
        <v>16476</v>
      </c>
      <c r="C799" t="s">
        <v>16477</v>
      </c>
      <c r="D799" t="str">
        <f>CONCATENATE(A799," : ",B799)</f>
        <v>C05819 : Menaquinol</v>
      </c>
    </row>
    <row r="800" spans="1:4" x14ac:dyDescent="0.25">
      <c r="A800" t="s">
        <v>10184</v>
      </c>
      <c r="B800" t="s">
        <v>10995</v>
      </c>
      <c r="C800" t="s">
        <v>11421</v>
      </c>
      <c r="D800" t="str">
        <f>CONCATENATE(A800," : ",B800)</f>
        <v>C05823 : 3-Mercaptolactate</v>
      </c>
    </row>
    <row r="801" spans="1:4" x14ac:dyDescent="0.25">
      <c r="A801" t="s">
        <v>10337</v>
      </c>
      <c r="B801" t="s">
        <v>12531</v>
      </c>
      <c r="C801" t="s">
        <v>12054</v>
      </c>
      <c r="D801" t="str">
        <f>CONCATENATE(A801," : ",B801)</f>
        <v>C05840 : Iminoaspartate</v>
      </c>
    </row>
    <row r="802" spans="1:4" x14ac:dyDescent="0.25">
      <c r="A802" t="s">
        <v>9867</v>
      </c>
      <c r="B802" t="s">
        <v>10996</v>
      </c>
      <c r="C802" t="s">
        <v>11422</v>
      </c>
      <c r="D802" t="str">
        <f>CONCATENATE(A802," : ",B802)</f>
        <v>C05841 : Nicotinate D-ribonucleoside</v>
      </c>
    </row>
    <row r="803" spans="1:4" x14ac:dyDescent="0.25">
      <c r="A803" t="s">
        <v>10416</v>
      </c>
      <c r="B803" t="s">
        <v>12532</v>
      </c>
      <c r="C803" t="s">
        <v>12055</v>
      </c>
      <c r="D803" t="str">
        <f>CONCATENATE(A803," : ",B803)</f>
        <v>C05844 : 5-L-Glutamyl-taurine</v>
      </c>
    </row>
    <row r="804" spans="1:4" x14ac:dyDescent="0.25">
      <c r="A804" t="s">
        <v>10393</v>
      </c>
      <c r="B804" t="s">
        <v>10997</v>
      </c>
      <c r="C804" t="s">
        <v>11423</v>
      </c>
      <c r="D804" t="str">
        <f>CONCATENATE(A804," : ",B804)</f>
        <v>C05892 : UDP-N-acetylmuramoyl-L-alanyl-gamma-D-glutamyl-L-lysine</v>
      </c>
    </row>
    <row r="805" spans="1:4" x14ac:dyDescent="0.25">
      <c r="A805" t="s">
        <v>10389</v>
      </c>
      <c r="B805" t="s">
        <v>10998</v>
      </c>
      <c r="C805" t="s">
        <v>11424</v>
      </c>
      <c r="D805" t="str">
        <f>CONCATENATE(A805," : ",B805)</f>
        <v>C05893 : Undecaprenyl-diphospho-N-acetylmuramoyl-(N-acetylglucosamine)-L-alanyl-gamma-D-glutamyl-L-lysyl-D-alanyl-D-alanine</v>
      </c>
    </row>
    <row r="806" spans="1:4" x14ac:dyDescent="0.25">
      <c r="A806" t="s">
        <v>10399</v>
      </c>
      <c r="B806" t="s">
        <v>10999</v>
      </c>
      <c r="C806" t="s">
        <v>11425</v>
      </c>
      <c r="D806" t="str">
        <f>CONCATENATE(A806," : ",B806)</f>
        <v>C05897 : Undecaprenyl-diphospho-N-acetylmuramoyl-L-alanyl-D-glutamyl-meso-2,6-diaminopimeloyl-D-alanyl-D-alanine</v>
      </c>
    </row>
    <row r="807" spans="1:4" x14ac:dyDescent="0.25">
      <c r="A807" t="s">
        <v>10391</v>
      </c>
      <c r="B807" t="s">
        <v>11000</v>
      </c>
      <c r="C807" t="s">
        <v>11426</v>
      </c>
      <c r="D807" t="str">
        <f>CONCATENATE(A807," : ",B807)</f>
        <v>C05898 : Undecaprenyl-diphospho-N-acetylmuramoyl-(N-acetylglucosamine)-L-alanyl-D-glutamyl-meso-2,6-diaminopimeloyl-D-alanyl-D-alanine</v>
      </c>
    </row>
    <row r="808" spans="1:4" x14ac:dyDescent="0.25">
      <c r="A808" t="s">
        <v>9957</v>
      </c>
      <c r="B808" t="s">
        <v>12533</v>
      </c>
      <c r="C808" t="s">
        <v>12056</v>
      </c>
      <c r="D808" t="str">
        <f>CONCATENATE(A808," : ",B808)</f>
        <v>C05921 : Biotinyl-5'-AMP</v>
      </c>
    </row>
    <row r="809" spans="1:4" x14ac:dyDescent="0.25">
      <c r="A809" t="s">
        <v>8627</v>
      </c>
      <c r="B809" t="s">
        <v>12534</v>
      </c>
      <c r="C809" t="s">
        <v>12057</v>
      </c>
      <c r="D809" t="str">
        <f>CONCATENATE(A809," : ",B809)</f>
        <v>C05922 : Formamidopyrimidine nucleoside triphosphate</v>
      </c>
    </row>
    <row r="810" spans="1:4" x14ac:dyDescent="0.25">
      <c r="A810" t="s">
        <v>8374</v>
      </c>
      <c r="B810" t="s">
        <v>12535</v>
      </c>
      <c r="C810" t="s">
        <v>12058</v>
      </c>
      <c r="D810" t="str">
        <f>CONCATENATE(A810," : ",B810)</f>
        <v>C05923 : 2,5-Diaminopyrimidine nucleoside triphosphate</v>
      </c>
    </row>
    <row r="811" spans="1:4" x14ac:dyDescent="0.25">
      <c r="A811" t="s">
        <v>10132</v>
      </c>
      <c r="B811" t="s">
        <v>12536</v>
      </c>
      <c r="C811" t="s">
        <v>12059</v>
      </c>
      <c r="D811" t="str">
        <f>CONCATENATE(A811," : ",B811)</f>
        <v>C05928 : (6R)-10-Formyltetrahydropteroyldiglutamate</v>
      </c>
    </row>
    <row r="812" spans="1:4" x14ac:dyDescent="0.25">
      <c r="A812" t="s">
        <v>10309</v>
      </c>
      <c r="B812" t="s">
        <v>12537</v>
      </c>
      <c r="C812" t="s">
        <v>12060</v>
      </c>
      <c r="D812" t="str">
        <f>CONCATENATE(A812," : ",B812)</f>
        <v>C05936 : N4-Acetylaminobutanal</v>
      </c>
    </row>
    <row r="813" spans="1:4" x14ac:dyDescent="0.25">
      <c r="A813" t="s">
        <v>10604</v>
      </c>
      <c r="B813" t="s">
        <v>12538</v>
      </c>
      <c r="C813" t="s">
        <v>12061</v>
      </c>
      <c r="D813" t="str">
        <f>CONCATENATE(A813," : ",B813)</f>
        <v>C05938 : L-4-Hydroxyglutamate semialdehyde</v>
      </c>
    </row>
    <row r="814" spans="1:4" x14ac:dyDescent="0.25">
      <c r="A814" t="s">
        <v>10374</v>
      </c>
      <c r="B814" t="s">
        <v>11001</v>
      </c>
      <c r="C814" t="s">
        <v>11427</v>
      </c>
      <c r="D814" t="str">
        <f>CONCATENATE(A814," : ",B814)</f>
        <v>C05946 : (4R)-4-Hydroxy-2-oxoglutarate</v>
      </c>
    </row>
    <row r="815" spans="1:4" x14ac:dyDescent="0.25">
      <c r="A815" t="s">
        <v>10373</v>
      </c>
      <c r="B815" t="s">
        <v>11002</v>
      </c>
      <c r="C815" t="s">
        <v>11428</v>
      </c>
      <c r="D815" t="str">
        <f>CONCATENATE(A815," : ",B815)</f>
        <v>C05947 : L-erythro-4-Hydroxyglutamate</v>
      </c>
    </row>
    <row r="816" spans="1:4" x14ac:dyDescent="0.25">
      <c r="A816" t="s">
        <v>10418</v>
      </c>
      <c r="B816" t="s">
        <v>12539</v>
      </c>
      <c r="C816" t="s">
        <v>12062</v>
      </c>
      <c r="D816" t="str">
        <f>CONCATENATE(A816," : ",B816)</f>
        <v>C05951 : Leukotriene D4</v>
      </c>
    </row>
    <row r="817" spans="1:4" x14ac:dyDescent="0.25">
      <c r="A817" t="s">
        <v>10458</v>
      </c>
      <c r="B817" t="s">
        <v>12540</v>
      </c>
      <c r="C817" t="s">
        <v>12063</v>
      </c>
      <c r="D817" t="str">
        <f>CONCATENATE(A817," : ",B817)</f>
        <v>C05983 : Propionyladenylate</v>
      </c>
    </row>
    <row r="818" spans="1:4" x14ac:dyDescent="0.25">
      <c r="A818" t="s">
        <v>10183</v>
      </c>
      <c r="B818" t="s">
        <v>11003</v>
      </c>
      <c r="C818" t="s">
        <v>11429</v>
      </c>
      <c r="D818" t="str">
        <f>CONCATENATE(A818," : ",B818)</f>
        <v xml:space="preserve">C05984 : 2-Hydroxybutanoic acid </v>
      </c>
    </row>
    <row r="819" spans="1:4" x14ac:dyDescent="0.25">
      <c r="A819" t="s">
        <v>10297</v>
      </c>
      <c r="B819" t="s">
        <v>12541</v>
      </c>
      <c r="C819" t="s">
        <v>12064</v>
      </c>
      <c r="D819" t="str">
        <f>CONCATENATE(A819," : ",B819)</f>
        <v>C05985 : 2-Propynal</v>
      </c>
    </row>
    <row r="820" spans="1:4" x14ac:dyDescent="0.25">
      <c r="A820" t="s">
        <v>10456</v>
      </c>
      <c r="B820" t="s">
        <v>12542</v>
      </c>
      <c r="C820" t="s">
        <v>12065</v>
      </c>
      <c r="D820" t="str">
        <f>CONCATENATE(A820," : ",B820)</f>
        <v>C05993 : Acetyl adenylate</v>
      </c>
    </row>
    <row r="821" spans="1:4" x14ac:dyDescent="0.25">
      <c r="A821" t="s">
        <v>8130</v>
      </c>
      <c r="B821" t="s">
        <v>12543</v>
      </c>
      <c r="C821" t="s">
        <v>12066</v>
      </c>
      <c r="D821" t="str">
        <f>CONCATENATE(A821," : ",B821)</f>
        <v>C05998 : 3-Hydroxyisovaleryl-CoA</v>
      </c>
    </row>
    <row r="822" spans="1:4" x14ac:dyDescent="0.25">
      <c r="A822" t="s">
        <v>8410</v>
      </c>
      <c r="B822" t="s">
        <v>12544</v>
      </c>
      <c r="C822" t="s">
        <v>12067</v>
      </c>
      <c r="D822" t="str">
        <f>CONCATENATE(A822," : ",B822)</f>
        <v>C06000 : ( S )-3-Hydroxyisobutyryl-CoA</v>
      </c>
    </row>
    <row r="823" spans="1:4" x14ac:dyDescent="0.25">
      <c r="A823" t="s">
        <v>10301</v>
      </c>
      <c r="B823" t="s">
        <v>12545</v>
      </c>
      <c r="C823" t="s">
        <v>12068</v>
      </c>
      <c r="D823" t="str">
        <f>CONCATENATE(A823," : ",B823)</f>
        <v>C06002 : ( S )-Methylmalonate semialdehyde</v>
      </c>
    </row>
    <row r="824" spans="1:4" x14ac:dyDescent="0.25">
      <c r="A824" t="s">
        <v>8298</v>
      </c>
      <c r="B824" t="s">
        <v>12546</v>
      </c>
      <c r="C824" t="s">
        <v>12069</v>
      </c>
      <c r="D824" t="str">
        <f>CONCATENATE(A824," : ",B824)</f>
        <v>C06006 : ( S )-2-Aceto-2-hydroxybutanoate</v>
      </c>
    </row>
    <row r="825" spans="1:4" x14ac:dyDescent="0.25">
      <c r="A825" t="s">
        <v>8313</v>
      </c>
      <c r="B825" t="s">
        <v>12547</v>
      </c>
      <c r="C825" t="s">
        <v>12070</v>
      </c>
      <c r="D825" t="str">
        <f>CONCATENATE(A825," : ",B825)</f>
        <v>C06007 : (R)-2,3-Dihydroxy-3-methylpentanoate</v>
      </c>
    </row>
    <row r="826" spans="1:4" x14ac:dyDescent="0.25">
      <c r="A826" t="s">
        <v>8299</v>
      </c>
      <c r="B826" t="s">
        <v>12548</v>
      </c>
      <c r="C826" t="s">
        <v>12071</v>
      </c>
      <c r="D826" t="str">
        <f>CONCATENATE(A826," : ",B826)</f>
        <v>C06010 : ( S )-2-Acetolactate</v>
      </c>
    </row>
    <row r="827" spans="1:4" x14ac:dyDescent="0.25">
      <c r="A827" t="s">
        <v>10455</v>
      </c>
      <c r="B827" t="s">
        <v>12549</v>
      </c>
      <c r="C827" t="s">
        <v>12072</v>
      </c>
      <c r="D827" t="str">
        <f>CONCATENATE(A827," : ",B827)</f>
        <v>C06032 : D-erythro-3-Methylmalate</v>
      </c>
    </row>
    <row r="828" spans="1:4" x14ac:dyDescent="0.25">
      <c r="A828" t="s">
        <v>10539</v>
      </c>
      <c r="B828" t="s">
        <v>11004</v>
      </c>
      <c r="C828" t="s">
        <v>11430</v>
      </c>
      <c r="D828" t="str">
        <f>CONCATENATE(A828," : ",B828)</f>
        <v>C06055 : O-Phospho-4-hydroxy-L-threonine</v>
      </c>
    </row>
    <row r="829" spans="1:4" x14ac:dyDescent="0.25">
      <c r="A829" t="s">
        <v>10540</v>
      </c>
      <c r="B829" t="s">
        <v>11005</v>
      </c>
      <c r="C829" t="s">
        <v>11431</v>
      </c>
      <c r="D829" t="str">
        <f>CONCATENATE(A829," : ",B829)</f>
        <v>C06056 : 4-Hydroxy-L-threonine</v>
      </c>
    </row>
    <row r="830" spans="1:4" x14ac:dyDescent="0.25">
      <c r="A830" t="s">
        <v>9889</v>
      </c>
      <c r="B830" t="s">
        <v>12550</v>
      </c>
      <c r="C830" t="s">
        <v>12073</v>
      </c>
      <c r="D830" t="str">
        <f>CONCATENATE(A830," : ",B830)</f>
        <v>C06113 : L-Aspartyl-tRNA(Asn)</v>
      </c>
    </row>
    <row r="831" spans="1:4" x14ac:dyDescent="0.25">
      <c r="A831" t="s">
        <v>10426</v>
      </c>
      <c r="B831" t="s">
        <v>12551</v>
      </c>
      <c r="C831" t="s">
        <v>12074</v>
      </c>
      <c r="D831" t="str">
        <f>CONCATENATE(A831," : ",B831)</f>
        <v>C06114 : gamma-Glutamyl-beta-aminopropiononitrile</v>
      </c>
    </row>
    <row r="832" spans="1:4" x14ac:dyDescent="0.25">
      <c r="A832" t="s">
        <v>8628</v>
      </c>
      <c r="B832" t="s">
        <v>12552</v>
      </c>
      <c r="C832" t="s">
        <v>12075</v>
      </c>
      <c r="D832" t="str">
        <f>CONCATENATE(A832," : ",B832)</f>
        <v>C06148 : 2,5-Diamino-6-(5'-triphosphoryl-3',4'-trihydroxy-2'-oxopentyl)-amino-4-oxopyrimidine</v>
      </c>
    </row>
    <row r="833" spans="1:4" x14ac:dyDescent="0.25">
      <c r="A833" t="s">
        <v>8209</v>
      </c>
      <c r="B833" t="s">
        <v>11006</v>
      </c>
      <c r="C833" t="s">
        <v>11432</v>
      </c>
      <c r="D833" t="str">
        <f>CONCATENATE(A833," : ",B833)</f>
        <v>C06156 : alpha-D-Glucosamine 1-phosphate</v>
      </c>
    </row>
    <row r="834" spans="1:4" x14ac:dyDescent="0.25">
      <c r="A834" t="s">
        <v>9980</v>
      </c>
      <c r="B834" t="s">
        <v>12553</v>
      </c>
      <c r="C834" t="s">
        <v>12076</v>
      </c>
      <c r="D834" t="str">
        <f>CONCATENATE(A834," : ",B834)</f>
        <v>C06157 : S-Glutaryldihydrolipoamide-E</v>
      </c>
    </row>
    <row r="835" spans="1:4" x14ac:dyDescent="0.25">
      <c r="A835" t="s">
        <v>9878</v>
      </c>
      <c r="B835" t="s">
        <v>11007</v>
      </c>
      <c r="C835" t="s">
        <v>11433</v>
      </c>
      <c r="D835" t="str">
        <f>CONCATENATE(A835," : ",B835)</f>
        <v>C06196 : 2'-Deoxyinosine 5'-phosphate</v>
      </c>
    </row>
    <row r="836" spans="1:4" x14ac:dyDescent="0.25">
      <c r="A836" t="s">
        <v>10612</v>
      </c>
      <c r="B836" t="s">
        <v>12554</v>
      </c>
      <c r="C836" t="s">
        <v>12077</v>
      </c>
      <c r="D836" t="str">
        <f>CONCATENATE(A836," : ",B836)</f>
        <v>C06198 : P1,P4-Bis(5'-uridyl) tetraphosphate</v>
      </c>
    </row>
    <row r="837" spans="1:4" x14ac:dyDescent="0.25">
      <c r="A837" t="s">
        <v>10452</v>
      </c>
      <c r="B837" t="s">
        <v>12555</v>
      </c>
      <c r="C837" t="s">
        <v>12078</v>
      </c>
      <c r="D837" t="str">
        <f>CONCATENATE(A837," : ",B837)</f>
        <v>C06206 : Benzoyl phosphate</v>
      </c>
    </row>
    <row r="838" spans="1:4" x14ac:dyDescent="0.25">
      <c r="A838" t="s">
        <v>9958</v>
      </c>
      <c r="B838" t="s">
        <v>12556</v>
      </c>
      <c r="C838" t="s">
        <v>12079</v>
      </c>
      <c r="D838" t="str">
        <f>CONCATENATE(A838," : ",B838)</f>
        <v>C06249 : Apo-[carboxylase]</v>
      </c>
    </row>
    <row r="839" spans="1:4" x14ac:dyDescent="0.25">
      <c r="A839" t="s">
        <v>9959</v>
      </c>
      <c r="B839" t="s">
        <v>12557</v>
      </c>
      <c r="C839" t="s">
        <v>12080</v>
      </c>
      <c r="D839" t="str">
        <f>CONCATENATE(A839," : ",B839)</f>
        <v>C06250 : Holo-[carboxylase]</v>
      </c>
    </row>
    <row r="840" spans="1:4" x14ac:dyDescent="0.25">
      <c r="A840" t="s">
        <v>10218</v>
      </c>
      <c r="B840" t="s">
        <v>12558</v>
      </c>
      <c r="C840" t="s">
        <v>12081</v>
      </c>
      <c r="D840" t="str">
        <f>CONCATENATE(A840," : ",B840)</f>
        <v>C06259 : Ferrocytochrome b</v>
      </c>
    </row>
    <row r="841" spans="1:4" x14ac:dyDescent="0.25">
      <c r="A841" t="s">
        <v>10219</v>
      </c>
      <c r="B841" t="s">
        <v>12559</v>
      </c>
      <c r="C841" t="s">
        <v>12082</v>
      </c>
      <c r="D841" t="str">
        <f>CONCATENATE(A841," : ",B841)</f>
        <v>C06260 : Ferricytochrome b</v>
      </c>
    </row>
    <row r="842" spans="1:4" x14ac:dyDescent="0.25">
      <c r="A842" t="s">
        <v>8530</v>
      </c>
      <c r="B842" t="s">
        <v>12560</v>
      </c>
      <c r="C842" t="s">
        <v>12083</v>
      </c>
      <c r="D842" t="str">
        <f>CONCATENATE(A842," : ",B842)</f>
        <v>C06399 : Hydrogenobyrinate</v>
      </c>
    </row>
    <row r="843" spans="1:4" x14ac:dyDescent="0.25">
      <c r="A843" t="s">
        <v>10334</v>
      </c>
      <c r="B843" t="s">
        <v>12561</v>
      </c>
      <c r="C843" t="s">
        <v>12084</v>
      </c>
      <c r="D843" t="str">
        <f>CONCATENATE(A843," : ",B843)</f>
        <v>C06407 : Precorrin 4</v>
      </c>
    </row>
    <row r="844" spans="1:4" x14ac:dyDescent="0.25">
      <c r="A844" t="s">
        <v>8258</v>
      </c>
      <c r="B844" t="s">
        <v>12562</v>
      </c>
      <c r="C844" t="s">
        <v>12085</v>
      </c>
      <c r="D844" t="str">
        <f>CONCATENATE(A844," : ",B844)</f>
        <v>C06408 : Precorrin 8X</v>
      </c>
    </row>
    <row r="845" spans="1:4" x14ac:dyDescent="0.25">
      <c r="A845" t="s">
        <v>10335</v>
      </c>
      <c r="B845" t="s">
        <v>12563</v>
      </c>
      <c r="C845" t="s">
        <v>12086</v>
      </c>
      <c r="D845" t="str">
        <f>CONCATENATE(A845," : ",B845)</f>
        <v>C06416 : Precorrin 5</v>
      </c>
    </row>
    <row r="846" spans="1:4" x14ac:dyDescent="0.25">
      <c r="A846" t="s">
        <v>10357</v>
      </c>
      <c r="B846" t="s">
        <v>11008</v>
      </c>
      <c r="C846" t="s">
        <v>11434</v>
      </c>
      <c r="D846" t="str">
        <f>CONCATENATE(A846," : ",B846)</f>
        <v>C06481 : L-Seryl-tRNA(Sec)</v>
      </c>
    </row>
    <row r="847" spans="1:4" x14ac:dyDescent="0.25">
      <c r="A847" t="s">
        <v>10245</v>
      </c>
      <c r="B847" t="s">
        <v>12564</v>
      </c>
      <c r="C847" t="s">
        <v>12087</v>
      </c>
      <c r="D847" t="str">
        <f>CONCATENATE(A847," : ",B847)</f>
        <v>C06504 : Cob(II)yrinate a,c diamide</v>
      </c>
    </row>
    <row r="848" spans="1:4" x14ac:dyDescent="0.25">
      <c r="A848" t="s">
        <v>10248</v>
      </c>
      <c r="B848" t="s">
        <v>12565</v>
      </c>
      <c r="C848" t="s">
        <v>12088</v>
      </c>
      <c r="D848" t="str">
        <f>CONCATENATE(A848," : ",B848)</f>
        <v>C06505 : Cob(I)yrinate a,c diamide</v>
      </c>
    </row>
    <row r="849" spans="1:4" x14ac:dyDescent="0.25">
      <c r="A849" t="s">
        <v>10246</v>
      </c>
      <c r="B849" t="s">
        <v>12566</v>
      </c>
      <c r="C849" t="s">
        <v>12089</v>
      </c>
      <c r="D849" t="str">
        <f>CONCATENATE(A849," : ",B849)</f>
        <v>C06506 : Adenosyl cobyrinate a,c diamide</v>
      </c>
    </row>
    <row r="850" spans="1:4" x14ac:dyDescent="0.25">
      <c r="A850" t="s">
        <v>10233</v>
      </c>
      <c r="B850" t="s">
        <v>12567</v>
      </c>
      <c r="C850" t="s">
        <v>12090</v>
      </c>
      <c r="D850" t="str">
        <f>CONCATENATE(A850," : ",B850)</f>
        <v>C06507 : Adenosyl cobyrinate hexaamide</v>
      </c>
    </row>
    <row r="851" spans="1:4" x14ac:dyDescent="0.25">
      <c r="A851" t="s">
        <v>10235</v>
      </c>
      <c r="B851" t="s">
        <v>12568</v>
      </c>
      <c r="C851" t="s">
        <v>12091</v>
      </c>
      <c r="D851" t="str">
        <f>CONCATENATE(A851," : ",B851)</f>
        <v>C06508 : Adenosyl cobinamide</v>
      </c>
    </row>
    <row r="852" spans="1:4" x14ac:dyDescent="0.25">
      <c r="A852" t="s">
        <v>10229</v>
      </c>
      <c r="B852" t="s">
        <v>12569</v>
      </c>
      <c r="C852" t="s">
        <v>12092</v>
      </c>
      <c r="D852" t="str">
        <f>CONCATENATE(A852," : ",B852)</f>
        <v>C06509 : Adenosyl cobinamide phosphate</v>
      </c>
    </row>
    <row r="853" spans="1:4" x14ac:dyDescent="0.25">
      <c r="A853" t="s">
        <v>10230</v>
      </c>
      <c r="B853" t="s">
        <v>12570</v>
      </c>
      <c r="C853" t="s">
        <v>12093</v>
      </c>
      <c r="D853" t="str">
        <f>CONCATENATE(A853," : ",B853)</f>
        <v>C06510 : Adenosine-GDP-cobinamide</v>
      </c>
    </row>
    <row r="854" spans="1:4" x14ac:dyDescent="0.25">
      <c r="A854" t="s">
        <v>10550</v>
      </c>
      <c r="B854" t="s">
        <v>11009</v>
      </c>
      <c r="C854" t="s">
        <v>11435</v>
      </c>
      <c r="D854" t="str">
        <f>CONCATENATE(A854," : ",B854)</f>
        <v>C06611 : trans-3-Chloro-2-propene-1-ol</v>
      </c>
    </row>
    <row r="855" spans="1:4" x14ac:dyDescent="0.25">
      <c r="A855" t="s">
        <v>10551</v>
      </c>
      <c r="B855" t="s">
        <v>11010</v>
      </c>
      <c r="C855" t="s">
        <v>11436</v>
      </c>
      <c r="D855" t="str">
        <f>CONCATENATE(A855," : ",B855)</f>
        <v>C06612 : cis-3-Chloro-2-propene-1-ol</v>
      </c>
    </row>
    <row r="856" spans="1:4" x14ac:dyDescent="0.25">
      <c r="A856" t="s">
        <v>10320</v>
      </c>
      <c r="B856" t="s">
        <v>11011</v>
      </c>
      <c r="C856" t="s">
        <v>11437</v>
      </c>
      <c r="D856" t="str">
        <f>CONCATENATE(A856," : ",B856)</f>
        <v>C06613 : trans-3-Chloroallyl aldehyde</v>
      </c>
    </row>
    <row r="857" spans="1:4" x14ac:dyDescent="0.25">
      <c r="A857" t="s">
        <v>10321</v>
      </c>
      <c r="B857" t="s">
        <v>12571</v>
      </c>
      <c r="C857" t="s">
        <v>12094</v>
      </c>
      <c r="D857" t="str">
        <f>CONCATENATE(A857," : ",B857)</f>
        <v>C06614 : trans-3-Chloroacrylic acid</v>
      </c>
    </row>
    <row r="858" spans="1:4" x14ac:dyDescent="0.25">
      <c r="A858" t="s">
        <v>10323</v>
      </c>
      <c r="B858" t="s">
        <v>12572</v>
      </c>
      <c r="C858" t="s">
        <v>12095</v>
      </c>
      <c r="D858" t="str">
        <f>CONCATENATE(A858," : ",B858)</f>
        <v>C06615 : cis-3-Chloroacrylic acid</v>
      </c>
    </row>
    <row r="859" spans="1:4" x14ac:dyDescent="0.25">
      <c r="A859" t="s">
        <v>10220</v>
      </c>
      <c r="B859" t="s">
        <v>12573</v>
      </c>
      <c r="C859" t="s">
        <v>12096</v>
      </c>
      <c r="D859" t="str">
        <f>CONCATENATE(A859," : ",B859)</f>
        <v>C06697 : Arsenite</v>
      </c>
    </row>
    <row r="860" spans="1:4" x14ac:dyDescent="0.25">
      <c r="A860" t="s">
        <v>10209</v>
      </c>
      <c r="B860" t="s">
        <v>12574</v>
      </c>
      <c r="C860" t="s">
        <v>12097</v>
      </c>
      <c r="D860" t="str">
        <f>CONCATENATE(A860," : ",B860)</f>
        <v>C06714 : 3-Hydroxypimeloyl-CoA</v>
      </c>
    </row>
    <row r="861" spans="1:4" x14ac:dyDescent="0.25">
      <c r="A861" t="s">
        <v>10210</v>
      </c>
      <c r="B861" t="s">
        <v>12575</v>
      </c>
      <c r="C861" t="s">
        <v>12098</v>
      </c>
      <c r="D861" t="str">
        <f>CONCATENATE(A861," : ",B861)</f>
        <v>C06715 : 3-Oxopimeloyl-CoA</v>
      </c>
    </row>
    <row r="862" spans="1:4" x14ac:dyDescent="0.25">
      <c r="A862" t="s">
        <v>10311</v>
      </c>
      <c r="B862" t="s">
        <v>12576</v>
      </c>
      <c r="C862" t="s">
        <v>12099</v>
      </c>
      <c r="D862" t="str">
        <f>CONCATENATE(A862," : ",B862)</f>
        <v>C06754 : Chloroacetaldehyde</v>
      </c>
    </row>
    <row r="863" spans="1:4" x14ac:dyDescent="0.25">
      <c r="A863" t="s">
        <v>10312</v>
      </c>
      <c r="B863" t="s">
        <v>12577</v>
      </c>
      <c r="C863" t="s">
        <v>12100</v>
      </c>
      <c r="D863" t="str">
        <f>CONCATENATE(A863," : ",B863)</f>
        <v>C06755 : Chloroacetic acid</v>
      </c>
    </row>
    <row r="864" spans="1:4" x14ac:dyDescent="0.25">
      <c r="A864" t="s">
        <v>10570</v>
      </c>
      <c r="B864" t="s">
        <v>11012</v>
      </c>
      <c r="C864" t="s">
        <v>11438</v>
      </c>
      <c r="D864" t="str">
        <f>CONCATENATE(A864," : ",B864)</f>
        <v>C06899 : Chloral hydrate</v>
      </c>
    </row>
    <row r="865" spans="1:4" x14ac:dyDescent="0.25">
      <c r="A865" t="s">
        <v>10054</v>
      </c>
      <c r="B865" t="s">
        <v>12578</v>
      </c>
      <c r="C865" t="s">
        <v>12101</v>
      </c>
      <c r="D865" t="str">
        <f>CONCATENATE(A865," : ",B865)</f>
        <v>C07086 : Phenylacetic acid</v>
      </c>
    </row>
    <row r="866" spans="1:4" x14ac:dyDescent="0.25">
      <c r="A866" t="s">
        <v>10033</v>
      </c>
      <c r="B866" t="s">
        <v>12579</v>
      </c>
      <c r="C866" t="s">
        <v>12102</v>
      </c>
      <c r="D866" t="str">
        <f>CONCATENATE(A866," : ",B866)</f>
        <v>C07090 : Protoanemonin</v>
      </c>
    </row>
    <row r="867" spans="1:4" x14ac:dyDescent="0.25">
      <c r="A867" t="s">
        <v>10063</v>
      </c>
      <c r="B867" t="s">
        <v>12580</v>
      </c>
      <c r="C867" t="s">
        <v>12103</v>
      </c>
      <c r="D867" t="str">
        <f>CONCATENATE(A867," : ",B867)</f>
        <v>C07281 : [eIF5A-precursor]-lysine</v>
      </c>
    </row>
    <row r="868" spans="1:4" x14ac:dyDescent="0.25">
      <c r="A868" t="s">
        <v>10065</v>
      </c>
      <c r="B868" t="s">
        <v>12581</v>
      </c>
      <c r="C868" t="s">
        <v>12104</v>
      </c>
      <c r="D868" t="str">
        <f>CONCATENATE(A868," : ",B868)</f>
        <v>C07282 : [eIF5A-precursor]-deoxyhypusine</v>
      </c>
    </row>
    <row r="869" spans="1:4" x14ac:dyDescent="0.25">
      <c r="A869" t="s">
        <v>10524</v>
      </c>
      <c r="B869" t="s">
        <v>12582</v>
      </c>
      <c r="C869" t="s">
        <v>12105</v>
      </c>
      <c r="D869" t="str">
        <f>CONCATENATE(A869," : ",B869)</f>
        <v>C07292 : Glutaredoxin</v>
      </c>
    </row>
    <row r="870" spans="1:4" x14ac:dyDescent="0.25">
      <c r="A870" t="s">
        <v>10525</v>
      </c>
      <c r="B870" t="s">
        <v>12583</v>
      </c>
      <c r="C870" t="s">
        <v>12106</v>
      </c>
      <c r="D870" t="str">
        <f>CONCATENATE(A870," : ",B870)</f>
        <v>C07293 : Glutaredoxin disulfide</v>
      </c>
    </row>
    <row r="871" spans="1:4" x14ac:dyDescent="0.25">
      <c r="A871" t="s">
        <v>10571</v>
      </c>
      <c r="B871" t="s">
        <v>11013</v>
      </c>
      <c r="C871" t="s">
        <v>11439</v>
      </c>
      <c r="D871" t="str">
        <f>CONCATENATE(A871," : ",B871)</f>
        <v>C07490 : Trichloroethanol</v>
      </c>
    </row>
    <row r="872" spans="1:4" x14ac:dyDescent="0.25">
      <c r="A872" t="s">
        <v>10556</v>
      </c>
      <c r="B872" t="s">
        <v>11014</v>
      </c>
      <c r="C872" t="s">
        <v>11440</v>
      </c>
      <c r="D872" t="str">
        <f>CONCATENATE(A872," : ",B872)</f>
        <v>C07645 : Aldophosphamide</v>
      </c>
    </row>
    <row r="873" spans="1:4" x14ac:dyDescent="0.25">
      <c r="A873" t="s">
        <v>10595</v>
      </c>
      <c r="B873" t="s">
        <v>11015</v>
      </c>
      <c r="C873" t="s">
        <v>11441</v>
      </c>
      <c r="D873" t="str">
        <f>CONCATENATE(A873," : ",B873)</f>
        <v>C07648 : Thioguanine</v>
      </c>
    </row>
    <row r="874" spans="1:4" x14ac:dyDescent="0.25">
      <c r="A874" t="s">
        <v>10021</v>
      </c>
      <c r="B874" t="s">
        <v>11016</v>
      </c>
      <c r="C874" t="s">
        <v>11442</v>
      </c>
      <c r="D874" t="str">
        <f>CONCATENATE(A874," : ",B874)</f>
        <v>C07649 : 5-FU</v>
      </c>
    </row>
    <row r="875" spans="1:4" x14ac:dyDescent="0.25">
      <c r="A875" t="s">
        <v>8558</v>
      </c>
      <c r="B875" t="s">
        <v>12584</v>
      </c>
      <c r="C875" t="s">
        <v>12107</v>
      </c>
      <c r="D875" t="str">
        <f>CONCATENATE(A875," : ",B875)</f>
        <v>C08249 : Pyrimidine 5'-deoxynucleotide</v>
      </c>
    </row>
    <row r="876" spans="1:4" x14ac:dyDescent="0.25">
      <c r="A876" t="s">
        <v>10563</v>
      </c>
      <c r="B876" t="s">
        <v>11017</v>
      </c>
      <c r="C876" t="s">
        <v>11443</v>
      </c>
      <c r="D876" t="str">
        <f>CONCATENATE(A876," : ",B876)</f>
        <v>C08492 : 3-Hexenol</v>
      </c>
    </row>
    <row r="877" spans="1:4" x14ac:dyDescent="0.25">
      <c r="A877" t="s">
        <v>16478</v>
      </c>
      <c r="B877" t="s">
        <v>16479</v>
      </c>
      <c r="C877" t="s">
        <v>16480</v>
      </c>
      <c r="D877" t="str">
        <f>CONCATENATE(A877," : ",B877)</f>
        <v>C11038 : 2'-Deoxy-5-hydroxymethylcytidine-5'-diphosphate</v>
      </c>
    </row>
    <row r="878" spans="1:4" x14ac:dyDescent="0.25">
      <c r="A878" t="s">
        <v>8088</v>
      </c>
      <c r="B878" t="s">
        <v>11018</v>
      </c>
      <c r="C878" t="s">
        <v>11444</v>
      </c>
      <c r="D878" t="str">
        <f>CONCATENATE(A878," : ",B878)</f>
        <v>C11039 : 2'-Deoxy-5-hydroxymethylcytidine-5'-triphosphate</v>
      </c>
    </row>
    <row r="879" spans="1:4" x14ac:dyDescent="0.25">
      <c r="A879" t="s">
        <v>10222</v>
      </c>
      <c r="B879" t="s">
        <v>12585</v>
      </c>
      <c r="C879" t="s">
        <v>12108</v>
      </c>
      <c r="D879" t="str">
        <f>CONCATENATE(A879," : ",B879)</f>
        <v>C11215 : Arsenate ion</v>
      </c>
    </row>
    <row r="880" spans="1:4" x14ac:dyDescent="0.25">
      <c r="A880" t="s">
        <v>8276</v>
      </c>
      <c r="B880" t="s">
        <v>12586</v>
      </c>
      <c r="C880" t="s">
        <v>12109</v>
      </c>
      <c r="D880" t="str">
        <f>CONCATENATE(A880," : ",B880)</f>
        <v>C11355 : 4-Amino-4-deoxychorismate</v>
      </c>
    </row>
    <row r="881" spans="1:4" x14ac:dyDescent="0.25">
      <c r="A881" t="s">
        <v>10006</v>
      </c>
      <c r="B881" t="s">
        <v>12589</v>
      </c>
      <c r="C881" t="s">
        <v>12110</v>
      </c>
      <c r="D881" t="str">
        <f>CONCATENATE(A881," : ",B881)</f>
        <v>C11434 : 2-C-Methyl-D-erythritol 4-phosphate</v>
      </c>
    </row>
    <row r="882" spans="1:4" x14ac:dyDescent="0.25">
      <c r="A882" t="s">
        <v>10007</v>
      </c>
      <c r="B882" t="s">
        <v>12587</v>
      </c>
      <c r="C882" t="s">
        <v>12111</v>
      </c>
      <c r="D882" t="str">
        <f>CONCATENATE(A882," : ",B882)</f>
        <v>C11435 : 4-(Cytidine 5'-diphospho)-2-C-methyl-D-erythritol</v>
      </c>
    </row>
    <row r="883" spans="1:4" x14ac:dyDescent="0.25">
      <c r="A883" t="s">
        <v>8095</v>
      </c>
      <c r="B883" t="s">
        <v>12588</v>
      </c>
      <c r="C883" t="s">
        <v>12112</v>
      </c>
      <c r="D883" t="str">
        <f>CONCATENATE(A883," : ",B883)</f>
        <v>C11436 : 2-Phospho-4-(cytidine 5'-diphospho)-2-C-methyl-D-erythritol</v>
      </c>
    </row>
    <row r="884" spans="1:4" x14ac:dyDescent="0.25">
      <c r="A884" t="s">
        <v>9836</v>
      </c>
      <c r="B884" t="s">
        <v>11019</v>
      </c>
      <c r="C884" t="s">
        <v>11445</v>
      </c>
      <c r="D884" t="str">
        <f>CONCATENATE(A884," : ",B884)</f>
        <v>C11437 : 1-Deoxy-D-xylulose 5-phosphate</v>
      </c>
    </row>
    <row r="885" spans="1:4" x14ac:dyDescent="0.25">
      <c r="A885" t="s">
        <v>10616</v>
      </c>
      <c r="B885" t="s">
        <v>11020</v>
      </c>
      <c r="C885" t="s">
        <v>11446</v>
      </c>
      <c r="D885" t="str">
        <f>CONCATENATE(A885," : ",B885)</f>
        <v>C11439 : Formyl-L-methionyl peptide</v>
      </c>
    </row>
    <row r="886" spans="1:4" x14ac:dyDescent="0.25">
      <c r="A886" t="s">
        <v>10617</v>
      </c>
      <c r="B886" t="s">
        <v>11021</v>
      </c>
      <c r="C886" t="s">
        <v>11447</v>
      </c>
      <c r="D886" t="str">
        <f>CONCATENATE(A886," : ",B886)</f>
        <v>C11440 : Methionyl peptide</v>
      </c>
    </row>
    <row r="887" spans="1:4" x14ac:dyDescent="0.25">
      <c r="A887" t="s">
        <v>9880</v>
      </c>
      <c r="B887" t="s">
        <v>12590</v>
      </c>
      <c r="C887" t="s">
        <v>12113</v>
      </c>
      <c r="D887" t="str">
        <f>CONCATENATE(A887," : ",B887)</f>
        <v>C11453 : 2-C-Methyl-D-erythritol 2,4-cyclodiphosphate</v>
      </c>
    </row>
    <row r="888" spans="1:4" x14ac:dyDescent="0.25">
      <c r="A888" t="s">
        <v>10071</v>
      </c>
      <c r="B888" t="s">
        <v>11022</v>
      </c>
      <c r="C888" t="s">
        <v>11448</v>
      </c>
      <c r="D888" t="str">
        <f>CONCATENATE(A888," : ",B888)</f>
        <v>C11475 : DNA containing guanine</v>
      </c>
    </row>
    <row r="889" spans="1:4" x14ac:dyDescent="0.25">
      <c r="A889" t="s">
        <v>10134</v>
      </c>
      <c r="B889" t="s">
        <v>12591</v>
      </c>
      <c r="C889" t="s">
        <v>12114</v>
      </c>
      <c r="D889" t="str">
        <f>CONCATENATE(A889," : ",B889)</f>
        <v>C11536 : ( 2R )-O-Phospho-3-sulfolactate</v>
      </c>
    </row>
    <row r="890" spans="1:4" x14ac:dyDescent="0.25">
      <c r="A890" t="s">
        <v>10135</v>
      </c>
      <c r="B890" t="s">
        <v>12592</v>
      </c>
      <c r="C890" t="s">
        <v>12115</v>
      </c>
      <c r="D890" t="str">
        <f>CONCATENATE(A890," : ",B890)</f>
        <v>C11537 : ( 2R )-3-Sulfolactate</v>
      </c>
    </row>
    <row r="891" spans="1:4" x14ac:dyDescent="0.25">
      <c r="A891" t="s">
        <v>10333</v>
      </c>
      <c r="B891" t="s">
        <v>12593</v>
      </c>
      <c r="C891" t="s">
        <v>12116</v>
      </c>
      <c r="D891" t="str">
        <f>CONCATENATE(A891," : ",B891)</f>
        <v>C11538 : Cobalt-sirohydrochlorin</v>
      </c>
    </row>
    <row r="892" spans="1:4" x14ac:dyDescent="0.25">
      <c r="A892" t="s">
        <v>10267</v>
      </c>
      <c r="B892" t="s">
        <v>12594</v>
      </c>
      <c r="C892" t="s">
        <v>12117</v>
      </c>
      <c r="D892" t="str">
        <f>CONCATENATE(A892," : ",B892)</f>
        <v>C11735 : N-Ethylglycine</v>
      </c>
    </row>
    <row r="893" spans="1:4" x14ac:dyDescent="0.25">
      <c r="A893" t="s">
        <v>10387</v>
      </c>
      <c r="B893" t="s">
        <v>11023</v>
      </c>
      <c r="C893" t="s">
        <v>11449</v>
      </c>
      <c r="D893" t="str">
        <f>CONCATENATE(A893," : ",B893)</f>
        <v>C11736 : 5-Fluorodeoxyuridine</v>
      </c>
    </row>
    <row r="894" spans="1:4" x14ac:dyDescent="0.25">
      <c r="A894" t="s">
        <v>10056</v>
      </c>
      <c r="B894" t="s">
        <v>12595</v>
      </c>
      <c r="C894" t="s">
        <v>12118</v>
      </c>
      <c r="D894" t="str">
        <f>CONCATENATE(A894," : ",B894)</f>
        <v>C11811 : 1-Hydroxy-2-methyl-2-butenyl 4-diphosphate</v>
      </c>
    </row>
    <row r="895" spans="1:4" x14ac:dyDescent="0.25">
      <c r="A895" t="s">
        <v>10390</v>
      </c>
      <c r="B895" t="s">
        <v>11024</v>
      </c>
      <c r="C895" t="s">
        <v>11450</v>
      </c>
      <c r="D895" t="str">
        <f>CONCATENATE(A895," : ",B895)</f>
        <v>C11826 : [GlcNAc-(1-&gt;4)-Mur2Ac(oyl-L-Ala-g-D-Glu-L-Lys-D-Ala-D-Ala)]n-diphosphoundecaprenol</v>
      </c>
    </row>
    <row r="896" spans="1:4" x14ac:dyDescent="0.25">
      <c r="A896" t="s">
        <v>10392</v>
      </c>
      <c r="B896" t="s">
        <v>11025</v>
      </c>
      <c r="C896" t="s">
        <v>11451</v>
      </c>
      <c r="D896" t="str">
        <f>CONCATENATE(A896," : ",B896)</f>
        <v>C11827 : [GlcNAc-(1-&gt;4)-Mur2Ac(oyl-L-Ala-g-D-Glu-A2pm-D-Ala-D-Ala)]n-diphosphoundecaprenol</v>
      </c>
    </row>
    <row r="897" spans="1:4" x14ac:dyDescent="0.25">
      <c r="A897" t="s">
        <v>10535</v>
      </c>
      <c r="B897" t="s">
        <v>11026</v>
      </c>
      <c r="C897" t="s">
        <v>11452</v>
      </c>
      <c r="D897" t="str">
        <f>CONCATENATE(A897," : ",B897)</f>
        <v>C11838 : (S)-4,5-Dihydroxypentane-2,3-dione</v>
      </c>
    </row>
    <row r="898" spans="1:4" x14ac:dyDescent="0.25">
      <c r="A898" t="s">
        <v>10314</v>
      </c>
      <c r="B898" t="s">
        <v>12596</v>
      </c>
      <c r="C898" t="s">
        <v>12119</v>
      </c>
      <c r="D898" t="str">
        <f>CONCATENATE(A898," : ",B898)</f>
        <v>C11924 : Perillic acid</v>
      </c>
    </row>
    <row r="899" spans="1:4" x14ac:dyDescent="0.25">
      <c r="A899" t="s">
        <v>9974</v>
      </c>
      <c r="B899" t="s">
        <v>12597</v>
      </c>
      <c r="C899" t="s">
        <v>12120</v>
      </c>
      <c r="D899" t="str">
        <f>CONCATENATE(A899," : ",B899)</f>
        <v>C11945 : trans-2-Methyl-5-isopropylhexa-2,5-dienoyl-CoA</v>
      </c>
    </row>
    <row r="900" spans="1:4" x14ac:dyDescent="0.25">
      <c r="A900" t="s">
        <v>9973</v>
      </c>
      <c r="B900" t="s">
        <v>12598</v>
      </c>
      <c r="C900" t="s">
        <v>12121</v>
      </c>
      <c r="D900" t="str">
        <f>CONCATENATE(A900," : ",B900)</f>
        <v>C11946 : cis-2-Methyl-5-isopropylhexa-2,5-dienoyl-CoA</v>
      </c>
    </row>
    <row r="901" spans="1:4" x14ac:dyDescent="0.25">
      <c r="A901" t="s">
        <v>8412</v>
      </c>
      <c r="B901" t="s">
        <v>12599</v>
      </c>
      <c r="C901" t="s">
        <v>12122</v>
      </c>
      <c r="D901" t="str">
        <f>CONCATENATE(A901," : ",B901)</f>
        <v>C11947 : 3-Hydroxy-2,6-dimethyl-5-methylene-heptanoyl-CoA</v>
      </c>
    </row>
    <row r="902" spans="1:4" x14ac:dyDescent="0.25">
      <c r="A902" t="s">
        <v>8236</v>
      </c>
      <c r="B902" t="s">
        <v>12600</v>
      </c>
      <c r="C902" t="s">
        <v>12123</v>
      </c>
      <c r="D902" t="str">
        <f>CONCATENATE(A902," : ",B902)</f>
        <v>C12147 : L-Threonine O-3-phosphate</v>
      </c>
    </row>
    <row r="903" spans="1:4" x14ac:dyDescent="0.25">
      <c r="A903" t="s">
        <v>10575</v>
      </c>
      <c r="B903" t="s">
        <v>12601</v>
      </c>
      <c r="C903" t="s">
        <v>12124</v>
      </c>
      <c r="D903" t="str">
        <f>CONCATENATE(A903," : ",B903)</f>
        <v>C12214 : Aminofructose 6-phosphate</v>
      </c>
    </row>
    <row r="904" spans="1:4" x14ac:dyDescent="0.25">
      <c r="A904" t="s">
        <v>10576</v>
      </c>
      <c r="B904" t="s">
        <v>12602</v>
      </c>
      <c r="C904" t="s">
        <v>12125</v>
      </c>
      <c r="D904" t="str">
        <f>CONCATENATE(A904," : ",B904)</f>
        <v>C12215 : Iminoerythrose 4-phosphate</v>
      </c>
    </row>
    <row r="905" spans="1:4" x14ac:dyDescent="0.25">
      <c r="A905" t="s">
        <v>10161</v>
      </c>
      <c r="B905" t="s">
        <v>12603</v>
      </c>
      <c r="C905" t="s">
        <v>12126</v>
      </c>
      <c r="D905" t="str">
        <f>CONCATENATE(A905," : ",B905)</f>
        <v>C12739 : 5'-Deoxy-5-fluorouridine</v>
      </c>
    </row>
    <row r="906" spans="1:4" x14ac:dyDescent="0.25">
      <c r="A906" t="s">
        <v>10577</v>
      </c>
      <c r="B906" t="s">
        <v>12604</v>
      </c>
      <c r="C906" t="s">
        <v>12127</v>
      </c>
      <c r="D906" t="str">
        <f>CONCATENATE(A906," : ",B906)</f>
        <v>C13378 : alpha,beta-Dihydroxyethyl-TPP</v>
      </c>
    </row>
    <row r="907" spans="1:4" x14ac:dyDescent="0.25">
      <c r="A907" t="s">
        <v>10552</v>
      </c>
      <c r="B907" t="s">
        <v>11027</v>
      </c>
      <c r="C907" t="s">
        <v>11453</v>
      </c>
      <c r="D907" t="str">
        <f>CONCATENATE(A907," : ",B907)</f>
        <v>C14089 : 1-Hydroxymethylnaphthalene</v>
      </c>
    </row>
    <row r="908" spans="1:4" x14ac:dyDescent="0.25">
      <c r="A908" t="s">
        <v>10553</v>
      </c>
      <c r="B908" t="s">
        <v>11028</v>
      </c>
      <c r="C908" t="s">
        <v>11454</v>
      </c>
      <c r="D908" t="str">
        <f>CONCATENATE(A908," : ",B908)</f>
        <v>C14090 : 1-Naphthaldehyde</v>
      </c>
    </row>
    <row r="909" spans="1:4" x14ac:dyDescent="0.25">
      <c r="A909" t="s">
        <v>10555</v>
      </c>
      <c r="B909" t="s">
        <v>11029</v>
      </c>
      <c r="C909" t="s">
        <v>11455</v>
      </c>
      <c r="D909" t="str">
        <f>CONCATENATE(A909," : ",B909)</f>
        <v>C14099 : 2-Naphthaldehyde</v>
      </c>
    </row>
    <row r="910" spans="1:4" x14ac:dyDescent="0.25">
      <c r="A910" t="s">
        <v>9975</v>
      </c>
      <c r="B910" t="s">
        <v>12605</v>
      </c>
      <c r="C910" t="s">
        <v>12128</v>
      </c>
      <c r="D910" t="str">
        <f>CONCATENATE(A910," : ",B910)</f>
        <v>C14144 : 5-Carboxy-2-pentenoyl-CoA</v>
      </c>
    </row>
    <row r="911" spans="1:4" x14ac:dyDescent="0.25">
      <c r="A911" t="s">
        <v>8413</v>
      </c>
      <c r="B911" t="s">
        <v>12606</v>
      </c>
      <c r="C911" t="s">
        <v>12129</v>
      </c>
      <c r="D911" t="str">
        <f>CONCATENATE(A911," : ",B911)</f>
        <v>C14145 : ( 3S )-3-Hydroxyadipyl-CoA</v>
      </c>
    </row>
    <row r="912" spans="1:4" x14ac:dyDescent="0.25">
      <c r="A912" t="s">
        <v>8568</v>
      </c>
      <c r="B912" t="s">
        <v>12607</v>
      </c>
      <c r="C912" t="s">
        <v>12130</v>
      </c>
      <c r="D912" t="str">
        <f>CONCATENATE(A912," : ",B912)</f>
        <v>C14463 : ( R )-3-Hydroxy-3-methyl-2-oxopentanoate</v>
      </c>
    </row>
    <row r="913" spans="1:4" x14ac:dyDescent="0.25">
      <c r="A913" t="s">
        <v>8442</v>
      </c>
      <c r="B913" t="s">
        <v>12608</v>
      </c>
      <c r="C913" t="s">
        <v>12131</v>
      </c>
      <c r="D913" t="str">
        <f>CONCATENATE(A913," : ",B913)</f>
        <v>C14610 : ( S )-5-Oxo-2,5-dihydrofuran-2-acetate</v>
      </c>
    </row>
    <row r="914" spans="1:4" x14ac:dyDescent="0.25">
      <c r="A914" t="s">
        <v>10511</v>
      </c>
      <c r="B914" t="s">
        <v>12609</v>
      </c>
      <c r="C914" t="s">
        <v>12132</v>
      </c>
      <c r="D914" t="str">
        <f>CONCATENATE(A914," : ",B914)</f>
        <v>C14818 : Fe2+</v>
      </c>
    </row>
    <row r="915" spans="1:4" x14ac:dyDescent="0.25">
      <c r="A915" t="s">
        <v>8500</v>
      </c>
      <c r="B915" t="s">
        <v>12610</v>
      </c>
      <c r="C915" t="s">
        <v>12133</v>
      </c>
      <c r="D915" t="str">
        <f>CONCATENATE(A915," : ",B915)</f>
        <v>C14830 : GDP-4-keto-6-L-deoxygalactose</v>
      </c>
    </row>
    <row r="916" spans="1:4" x14ac:dyDescent="0.25">
      <c r="A916" t="s">
        <v>10522</v>
      </c>
      <c r="B916" t="s">
        <v>12611</v>
      </c>
      <c r="C916" t="s">
        <v>12134</v>
      </c>
      <c r="D916" t="str">
        <f>CONCATENATE(A916," : ",B916)</f>
        <v>C15498 : Hydroperoxide</v>
      </c>
    </row>
    <row r="917" spans="1:4" x14ac:dyDescent="0.25">
      <c r="A917" t="s">
        <v>8177</v>
      </c>
      <c r="B917" t="s">
        <v>12612</v>
      </c>
      <c r="C917" t="s">
        <v>12135</v>
      </c>
      <c r="D917" t="str">
        <f>CONCATENATE(A917," : ",B917)</f>
        <v>C15522 : 4a-Hydroxytetrahydrobiopterin</v>
      </c>
    </row>
    <row r="918" spans="1:4" x14ac:dyDescent="0.25">
      <c r="A918" t="s">
        <v>10255</v>
      </c>
      <c r="B918" t="s">
        <v>12613</v>
      </c>
      <c r="C918" t="s">
        <v>12136</v>
      </c>
      <c r="D918" t="str">
        <f>CONCATENATE(A918," : ",B918)</f>
        <v>C15527 : Precorrin 1</v>
      </c>
    </row>
    <row r="919" spans="1:4" x14ac:dyDescent="0.25">
      <c r="A919" t="s">
        <v>10607</v>
      </c>
      <c r="B919" t="s">
        <v>12614</v>
      </c>
      <c r="C919" t="s">
        <v>12137</v>
      </c>
      <c r="D919" t="str">
        <f>CONCATENATE(A919," : ",B919)</f>
        <v>C15532 : N-Acetyl-L-citrulline</v>
      </c>
    </row>
    <row r="920" spans="1:4" x14ac:dyDescent="0.25">
      <c r="A920" t="s">
        <v>9892</v>
      </c>
      <c r="B920" t="s">
        <v>12615</v>
      </c>
      <c r="C920" t="s">
        <v>12138</v>
      </c>
      <c r="D920" t="str">
        <f>CONCATENATE(A920," : ",B920)</f>
        <v>C15556 : L-3,4-Dihydroxybutan-2-one 4-phosphate</v>
      </c>
    </row>
    <row r="921" spans="1:4" x14ac:dyDescent="0.25">
      <c r="A921" t="s">
        <v>10086</v>
      </c>
      <c r="B921" t="s">
        <v>12616</v>
      </c>
      <c r="C921" t="s">
        <v>12139</v>
      </c>
      <c r="D921" t="str">
        <f>CONCATENATE(A921," : ",B921)</f>
        <v>C15585 : myo-Inositol phosphate</v>
      </c>
    </row>
    <row r="922" spans="1:4" x14ac:dyDescent="0.25">
      <c r="A922" t="s">
        <v>10136</v>
      </c>
      <c r="B922" t="s">
        <v>12617</v>
      </c>
      <c r="C922" t="s">
        <v>12140</v>
      </c>
      <c r="D922" t="str">
        <f>CONCATENATE(A922," : ",B922)</f>
        <v>C15586 : N-D-Ribosylpurine</v>
      </c>
    </row>
    <row r="923" spans="1:4" x14ac:dyDescent="0.25">
      <c r="A923" t="s">
        <v>10137</v>
      </c>
      <c r="B923" t="s">
        <v>12618</v>
      </c>
      <c r="C923" t="s">
        <v>12141</v>
      </c>
      <c r="D923" t="str">
        <f>CONCATENATE(A923," : ",B923)</f>
        <v>C15587 : Purine</v>
      </c>
    </row>
    <row r="924" spans="1:4" x14ac:dyDescent="0.25">
      <c r="A924" t="s">
        <v>10215</v>
      </c>
      <c r="B924" t="s">
        <v>12619</v>
      </c>
      <c r="C924" t="s">
        <v>12142</v>
      </c>
      <c r="D924" t="str">
        <f>CONCATENATE(A924," : ",B924)</f>
        <v>C15602 : Quinone</v>
      </c>
    </row>
    <row r="925" spans="1:4" x14ac:dyDescent="0.25">
      <c r="A925" t="s">
        <v>10214</v>
      </c>
      <c r="B925" t="s">
        <v>12620</v>
      </c>
      <c r="C925" t="s">
        <v>12143</v>
      </c>
      <c r="D925" t="str">
        <f>CONCATENATE(A925," : ",B925)</f>
        <v>C15603 : Hydroquinone</v>
      </c>
    </row>
    <row r="926" spans="1:4" x14ac:dyDescent="0.25">
      <c r="A926" t="s">
        <v>8230</v>
      </c>
      <c r="B926" t="s">
        <v>12621</v>
      </c>
      <c r="C926" t="s">
        <v>12144</v>
      </c>
      <c r="D926" t="str">
        <f>CONCATENATE(A926," : ",B926)</f>
        <v>C15613 : (25R)-3alpha,7alpha,12alpha-Trihydroxy-5beta-cholestan-26-oyl-CoA</v>
      </c>
    </row>
    <row r="927" spans="1:4" x14ac:dyDescent="0.25">
      <c r="A927" t="s">
        <v>10264</v>
      </c>
      <c r="B927" t="s">
        <v>12622</v>
      </c>
      <c r="C927" t="s">
        <v>12145</v>
      </c>
      <c r="D927" t="str">
        <f>CONCATENATE(A927," : ",B927)</f>
        <v>C15809 : Iminoglycine</v>
      </c>
    </row>
    <row r="928" spans="1:4" x14ac:dyDescent="0.25">
      <c r="A928" t="s">
        <v>10025</v>
      </c>
      <c r="B928" t="s">
        <v>11030</v>
      </c>
      <c r="C928" t="s">
        <v>11456</v>
      </c>
      <c r="D928" t="str">
        <f>CONCATENATE(A928," : ",B928)</f>
        <v>C15811 : [Enzyme]-cysteine</v>
      </c>
    </row>
    <row r="929" spans="1:4" x14ac:dyDescent="0.25">
      <c r="A929" t="s">
        <v>10026</v>
      </c>
      <c r="B929" t="s">
        <v>11031</v>
      </c>
      <c r="C929" t="s">
        <v>11457</v>
      </c>
      <c r="D929" t="str">
        <f>CONCATENATE(A929," : ",B929)</f>
        <v>C15812 : [Enzyme]-S-sulfanylcysteine</v>
      </c>
    </row>
    <row r="930" spans="1:4" x14ac:dyDescent="0.25">
      <c r="A930" t="s">
        <v>10067</v>
      </c>
      <c r="B930" t="s">
        <v>12624</v>
      </c>
      <c r="C930" t="s">
        <v>12146</v>
      </c>
      <c r="D930" t="str">
        <f>CONCATENATE(A930," : ",B930)</f>
        <v>C15853 : Dehydrospermidine</v>
      </c>
    </row>
    <row r="931" spans="1:4" x14ac:dyDescent="0.25">
      <c r="A931" t="s">
        <v>10068</v>
      </c>
      <c r="B931" t="s">
        <v>12625</v>
      </c>
      <c r="C931" t="s">
        <v>12147</v>
      </c>
      <c r="D931" t="str">
        <f>CONCATENATE(A931," : ",B931)</f>
        <v>C15854 : N-(4-Aminobutylidene)-[eIF5A-precursor]-lysine</v>
      </c>
    </row>
    <row r="932" spans="1:4" x14ac:dyDescent="0.25">
      <c r="A932" t="s">
        <v>9937</v>
      </c>
      <c r="B932" t="s">
        <v>12626</v>
      </c>
      <c r="C932" t="s">
        <v>12148</v>
      </c>
      <c r="D932" t="str">
        <f>CONCATENATE(A932," : ",B932)</f>
        <v>C15972 : Enzyme N6-(lipoyl)lysine</v>
      </c>
    </row>
    <row r="933" spans="1:4" x14ac:dyDescent="0.25">
      <c r="A933" t="s">
        <v>9936</v>
      </c>
      <c r="B933" t="s">
        <v>12627</v>
      </c>
      <c r="C933" t="s">
        <v>12149</v>
      </c>
      <c r="D933" t="str">
        <f>CONCATENATE(A933," : ",B933)</f>
        <v>C15973 : Enzyme N6-(dihydrolipoyl)lysine</v>
      </c>
    </row>
    <row r="934" spans="1:4" x14ac:dyDescent="0.25">
      <c r="A934" t="s">
        <v>9950</v>
      </c>
      <c r="B934" t="s">
        <v>12628</v>
      </c>
      <c r="C934" t="s">
        <v>12150</v>
      </c>
      <c r="D934" t="str">
        <f>CONCATENATE(A934," : ",B934)</f>
        <v>C15974 : 3-Methyl-1-hydroxybutyl-ThPP</v>
      </c>
    </row>
    <row r="935" spans="1:4" x14ac:dyDescent="0.25">
      <c r="A935" t="s">
        <v>9943</v>
      </c>
      <c r="B935" t="s">
        <v>12629</v>
      </c>
      <c r="C935" t="s">
        <v>12151</v>
      </c>
      <c r="D935" t="str">
        <f>CONCATENATE(A935," : ",B935)</f>
        <v>C15975 : S-(3-Methylbutanoyl)-dihydrolipoamide-E</v>
      </c>
    </row>
    <row r="936" spans="1:4" x14ac:dyDescent="0.25">
      <c r="A936" t="s">
        <v>9949</v>
      </c>
      <c r="B936" t="s">
        <v>12630</v>
      </c>
      <c r="C936" t="s">
        <v>12152</v>
      </c>
      <c r="D936" t="str">
        <f>CONCATENATE(A936," : ",B936)</f>
        <v>C15976 : 2-Methyl-1-hydroxypropyl-ThPP</v>
      </c>
    </row>
    <row r="937" spans="1:4" x14ac:dyDescent="0.25">
      <c r="A937" t="s">
        <v>9940</v>
      </c>
      <c r="B937" t="s">
        <v>12631</v>
      </c>
      <c r="C937" t="s">
        <v>12153</v>
      </c>
      <c r="D937" t="str">
        <f>CONCATENATE(A937," : ",B937)</f>
        <v>C15977 : Enzyme N6-(S-[2-methylpropanoyl]dihydrolipoyl)lysine</v>
      </c>
    </row>
    <row r="938" spans="1:4" x14ac:dyDescent="0.25">
      <c r="A938" t="s">
        <v>9951</v>
      </c>
      <c r="B938" t="s">
        <v>12632</v>
      </c>
      <c r="C938" t="s">
        <v>12154</v>
      </c>
      <c r="D938" t="str">
        <f>CONCATENATE(A938," : ",B938)</f>
        <v>C15978 : 2-Methyl-1-hydroxybutyl-ThPP</v>
      </c>
    </row>
    <row r="939" spans="1:4" x14ac:dyDescent="0.25">
      <c r="A939" t="s">
        <v>9941</v>
      </c>
      <c r="B939" t="s">
        <v>12633</v>
      </c>
      <c r="C939" t="s">
        <v>12155</v>
      </c>
      <c r="D939" t="str">
        <f>CONCATENATE(A939," : ",B939)</f>
        <v>C15979 : S-(2-Methylbutanoyl)-dihydrolipoamide-E</v>
      </c>
    </row>
    <row r="940" spans="1:4" x14ac:dyDescent="0.25">
      <c r="A940" t="s">
        <v>9918</v>
      </c>
      <c r="B940" t="s">
        <v>12634</v>
      </c>
      <c r="C940" t="s">
        <v>12156</v>
      </c>
      <c r="D940" t="str">
        <f>CONCATENATE(A940," : ",B940)</f>
        <v>C15980 : (S)-2-Methylbutanoyl-CoA</v>
      </c>
    </row>
    <row r="941" spans="1:4" x14ac:dyDescent="0.25">
      <c r="A941" t="s">
        <v>10154</v>
      </c>
      <c r="B941" t="s">
        <v>12635</v>
      </c>
      <c r="C941" t="s">
        <v>12157</v>
      </c>
      <c r="D941" t="str">
        <f>CONCATENATE(A941," : ",B941)</f>
        <v>C16219 : 3-Oxostearoyl-[acp]</v>
      </c>
    </row>
    <row r="942" spans="1:4" x14ac:dyDescent="0.25">
      <c r="A942" t="s">
        <v>10155</v>
      </c>
      <c r="B942" t="s">
        <v>12636</v>
      </c>
      <c r="C942" t="s">
        <v>12158</v>
      </c>
      <c r="D942" t="str">
        <f>CONCATENATE(A942," : ",B942)</f>
        <v>C16220 : (3R)-3-Hydroxyoctadecanoyl-[acyl-carrier protein]</v>
      </c>
    </row>
    <row r="943" spans="1:4" x14ac:dyDescent="0.25">
      <c r="A943" t="s">
        <v>10620</v>
      </c>
      <c r="B943" t="s">
        <v>12637</v>
      </c>
      <c r="C943" t="s">
        <v>12159</v>
      </c>
      <c r="D943" t="str">
        <f>CONCATENATE(A943," : ",B943)</f>
        <v>C16221 : (2E)-Octadecenoyl-[acp]</v>
      </c>
    </row>
    <row r="944" spans="1:4" x14ac:dyDescent="0.25">
      <c r="A944" t="s">
        <v>9933</v>
      </c>
      <c r="B944" t="s">
        <v>12638</v>
      </c>
      <c r="C944" t="s">
        <v>12160</v>
      </c>
      <c r="D944" t="str">
        <f>CONCATENATE(A944," : ",B944)</f>
        <v>C16237 : Protein N6-(lipoyl)lysine</v>
      </c>
    </row>
    <row r="945" spans="1:4" x14ac:dyDescent="0.25">
      <c r="A945" t="s">
        <v>9977</v>
      </c>
      <c r="B945" t="s">
        <v>12639</v>
      </c>
      <c r="C945" t="s">
        <v>12161</v>
      </c>
      <c r="D945" t="str">
        <f>CONCATENATE(A945," : ",B945)</f>
        <v>C16254 : Enzyme N6-(S-succinyldihydrolipoyl)lysine</v>
      </c>
    </row>
    <row r="946" spans="1:4" x14ac:dyDescent="0.25">
      <c r="A946" t="s">
        <v>16482</v>
      </c>
      <c r="B946" t="s">
        <v>16481</v>
      </c>
      <c r="C946" t="s">
        <v>16483</v>
      </c>
      <c r="D946" t="str">
        <f>CONCATENATE(A946," : ",B946)</f>
        <v>C16255 : S-Acetyldihydrolipoamide-E</v>
      </c>
    </row>
    <row r="947" spans="1:4" x14ac:dyDescent="0.25">
      <c r="A947" t="s">
        <v>10562</v>
      </c>
      <c r="B947" t="s">
        <v>11032</v>
      </c>
      <c r="C947" t="s">
        <v>11458</v>
      </c>
      <c r="D947" t="str">
        <f>CONCATENATE(A947," : ",B947)</f>
        <v>C16310 : 3-Hexenal</v>
      </c>
    </row>
    <row r="948" spans="1:4" x14ac:dyDescent="0.25">
      <c r="A948" t="s">
        <v>9967</v>
      </c>
      <c r="B948" t="s">
        <v>12640</v>
      </c>
      <c r="C948" t="s">
        <v>12162</v>
      </c>
      <c r="D948" t="str">
        <f>CONCATENATE(A948," : ",B948)</f>
        <v>C16328 : trans-2-Enoyl-OPC8-CoA</v>
      </c>
    </row>
    <row r="949" spans="1:4" x14ac:dyDescent="0.25">
      <c r="A949" t="s">
        <v>8126</v>
      </c>
      <c r="B949" t="s">
        <v>12641</v>
      </c>
      <c r="C949" t="s">
        <v>12163</v>
      </c>
      <c r="D949" t="str">
        <f>CONCATENATE(A949," : ",B949)</f>
        <v>C16329 : 3-Hydroxy-OPC8-CoA</v>
      </c>
    </row>
    <row r="950" spans="1:4" x14ac:dyDescent="0.25">
      <c r="A950" t="s">
        <v>10206</v>
      </c>
      <c r="B950" t="s">
        <v>12642</v>
      </c>
      <c r="C950" t="s">
        <v>12164</v>
      </c>
      <c r="D950" t="str">
        <f>CONCATENATE(A950," : ",B950)</f>
        <v>C16330 : 3-Oxo-OPC8-CoA</v>
      </c>
    </row>
    <row r="951" spans="1:4" x14ac:dyDescent="0.25">
      <c r="A951" t="s">
        <v>9968</v>
      </c>
      <c r="B951" t="s">
        <v>12643</v>
      </c>
      <c r="C951" t="s">
        <v>12165</v>
      </c>
      <c r="D951" t="str">
        <f>CONCATENATE(A951," : ",B951)</f>
        <v>C16332 : trans-2-Enoyl-OPC6-CoA</v>
      </c>
    </row>
    <row r="952" spans="1:4" x14ac:dyDescent="0.25">
      <c r="A952" t="s">
        <v>8127</v>
      </c>
      <c r="B952" t="s">
        <v>12644</v>
      </c>
      <c r="C952" t="s">
        <v>12166</v>
      </c>
      <c r="D952" t="str">
        <f>CONCATENATE(A952," : ",B952)</f>
        <v>C16333 : 3-Hydroxy-OPC6-CoA</v>
      </c>
    </row>
    <row r="953" spans="1:4" x14ac:dyDescent="0.25">
      <c r="A953" t="s">
        <v>10207</v>
      </c>
      <c r="B953" t="s">
        <v>12645</v>
      </c>
      <c r="C953" t="s">
        <v>12167</v>
      </c>
      <c r="D953" t="str">
        <f>CONCATENATE(A953," : ",B953)</f>
        <v>C16334 : 3-Oxo-OPC6-CoA</v>
      </c>
    </row>
    <row r="954" spans="1:4" x14ac:dyDescent="0.25">
      <c r="A954" t="s">
        <v>9969</v>
      </c>
      <c r="B954" t="s">
        <v>12646</v>
      </c>
      <c r="C954" t="s">
        <v>12168</v>
      </c>
      <c r="D954" t="str">
        <f>CONCATENATE(A954," : ",B954)</f>
        <v>C16336 : trans-2-Enoyl-OPC4-CoA</v>
      </c>
    </row>
    <row r="955" spans="1:4" x14ac:dyDescent="0.25">
      <c r="A955" t="s">
        <v>8128</v>
      </c>
      <c r="B955" t="s">
        <v>12647</v>
      </c>
      <c r="C955" t="s">
        <v>12169</v>
      </c>
      <c r="D955" t="str">
        <f>CONCATENATE(A955," : ",B955)</f>
        <v>C16337 : 3-Hydroxy-OPC4-CoA</v>
      </c>
    </row>
    <row r="956" spans="1:4" x14ac:dyDescent="0.25">
      <c r="A956" t="s">
        <v>10208</v>
      </c>
      <c r="B956" t="s">
        <v>12648</v>
      </c>
      <c r="C956" t="s">
        <v>12170</v>
      </c>
      <c r="D956" t="str">
        <f>CONCATENATE(A956," : ",B956)</f>
        <v>C16338 : 3-Oxo-OPC4-CoA</v>
      </c>
    </row>
    <row r="957" spans="1:4" x14ac:dyDescent="0.25">
      <c r="A957" t="s">
        <v>10322</v>
      </c>
      <c r="B957" t="s">
        <v>11033</v>
      </c>
      <c r="C957" t="s">
        <v>11459</v>
      </c>
      <c r="D957" t="str">
        <f>CONCATENATE(A957," : ",B957)</f>
        <v>C16348 : cis-3-Chloroallyl aldehyde</v>
      </c>
    </row>
    <row r="958" spans="1:4" x14ac:dyDescent="0.25">
      <c r="A958" t="s">
        <v>10538</v>
      </c>
      <c r="B958" t="s">
        <v>12649</v>
      </c>
      <c r="C958" t="s">
        <v>12171</v>
      </c>
      <c r="D958" t="str">
        <f>CONCATENATE(A958," : ",B958)</f>
        <v>C16466 : 7-Methyl-3-oxo-6-octenoyl-CoA</v>
      </c>
    </row>
    <row r="959" spans="1:4" x14ac:dyDescent="0.25">
      <c r="A959" t="s">
        <v>9976</v>
      </c>
      <c r="B959" t="s">
        <v>12650</v>
      </c>
      <c r="C959" t="s">
        <v>12172</v>
      </c>
      <c r="D959" t="str">
        <f>CONCATENATE(A959," : ",B959)</f>
        <v>C16468 : (2E)-5-Methylhexa-2,4-dienoyl-CoA</v>
      </c>
    </row>
    <row r="960" spans="1:4" x14ac:dyDescent="0.25">
      <c r="A960" t="s">
        <v>8414</v>
      </c>
      <c r="B960" t="s">
        <v>12651</v>
      </c>
      <c r="C960" t="s">
        <v>12173</v>
      </c>
      <c r="D960" t="str">
        <f>CONCATENATE(A960," : ",B960)</f>
        <v>C16469 : 3-Hydroxy-5-methylhex-4-enoyl-CoA</v>
      </c>
    </row>
    <row r="961" spans="1:4" x14ac:dyDescent="0.25">
      <c r="A961" t="s">
        <v>10211</v>
      </c>
      <c r="B961" t="s">
        <v>12652</v>
      </c>
      <c r="C961" t="s">
        <v>12174</v>
      </c>
      <c r="D961" t="str">
        <f>CONCATENATE(A961," : ",B961)</f>
        <v>C16471 : 5-Methyl-3-oxo-4-hexenoyl-CoA</v>
      </c>
    </row>
    <row r="962" spans="1:4" x14ac:dyDescent="0.25">
      <c r="A962" t="s">
        <v>8162</v>
      </c>
      <c r="B962" t="s">
        <v>12653</v>
      </c>
      <c r="C962" t="s">
        <v>12175</v>
      </c>
      <c r="D962" t="str">
        <f>CONCATENATE(A962," : ",B962)</f>
        <v>C16474 : 3-Fluoro-cis,cis-muconate</v>
      </c>
    </row>
    <row r="963" spans="1:4" x14ac:dyDescent="0.25">
      <c r="A963" t="s">
        <v>8443</v>
      </c>
      <c r="B963" t="s">
        <v>12654</v>
      </c>
      <c r="C963" t="s">
        <v>12176</v>
      </c>
      <c r="D963" t="str">
        <f>CONCATENATE(A963," : ",B963)</f>
        <v>C16476 : 4-Fluoromuconolactone</v>
      </c>
    </row>
    <row r="964" spans="1:4" x14ac:dyDescent="0.25">
      <c r="A964" t="s">
        <v>10316</v>
      </c>
      <c r="B964" t="s">
        <v>12655</v>
      </c>
      <c r="C964" t="s">
        <v>12177</v>
      </c>
      <c r="D964" t="str">
        <f>CONCATENATE(A964," : ",B964)</f>
        <v>C16502 : Farnesoic acid</v>
      </c>
    </row>
    <row r="965" spans="1:4" x14ac:dyDescent="0.25">
      <c r="A965" t="s">
        <v>10557</v>
      </c>
      <c r="B965" t="s">
        <v>11034</v>
      </c>
      <c r="C965" t="s">
        <v>11460</v>
      </c>
      <c r="D965" t="str">
        <f>CONCATENATE(A965," : ",B965)</f>
        <v>C16551 : Alcophosphamide</v>
      </c>
    </row>
    <row r="966" spans="1:4" x14ac:dyDescent="0.25">
      <c r="A966" t="s">
        <v>16484</v>
      </c>
      <c r="B966" t="s">
        <v>16485</v>
      </c>
      <c r="C966" t="s">
        <v>16486</v>
      </c>
      <c r="D966" t="str">
        <f>CONCATENATE(A966," : ",B966)</f>
        <v>C16565 : Aminopropylcadaverine</v>
      </c>
    </row>
    <row r="967" spans="1:4" x14ac:dyDescent="0.25">
      <c r="A967" t="s">
        <v>10597</v>
      </c>
      <c r="B967" t="s">
        <v>12656</v>
      </c>
      <c r="C967" t="s">
        <v>12178</v>
      </c>
      <c r="D967" t="str">
        <f>CONCATENATE(A967," : ",B967)</f>
        <v>C16581 : D-threo-Aldono-1,5-lactone</v>
      </c>
    </row>
    <row r="968" spans="1:4" x14ac:dyDescent="0.25">
      <c r="A968" t="s">
        <v>10558</v>
      </c>
      <c r="B968" t="s">
        <v>11035</v>
      </c>
      <c r="C968" t="s">
        <v>11461</v>
      </c>
      <c r="D968" t="str">
        <f>CONCATENATE(A968," : ",B968)</f>
        <v>C16586 : 2-Phenyl-1,3-propanediol monocarbamate</v>
      </c>
    </row>
    <row r="969" spans="1:4" x14ac:dyDescent="0.25">
      <c r="A969" t="s">
        <v>10559</v>
      </c>
      <c r="B969" t="s">
        <v>11036</v>
      </c>
      <c r="C969" t="s">
        <v>11462</v>
      </c>
      <c r="D969" t="str">
        <f>CONCATENATE(A969," : ",B969)</f>
        <v>C16587 : 3-Carbamoyl-2-phenylpropionaldehyde</v>
      </c>
    </row>
    <row r="970" spans="1:4" x14ac:dyDescent="0.25">
      <c r="A970" t="s">
        <v>10566</v>
      </c>
      <c r="B970" t="s">
        <v>11037</v>
      </c>
      <c r="C970" t="s">
        <v>11463</v>
      </c>
      <c r="D970" t="str">
        <f>CONCATENATE(A970," : ",B970)</f>
        <v>C16595 : 4-Hydroxy-5-phenyltetrahydro-1,3-oxazin-2-one</v>
      </c>
    </row>
    <row r="971" spans="1:4" x14ac:dyDescent="0.25">
      <c r="A971" t="s">
        <v>10567</v>
      </c>
      <c r="B971" t="s">
        <v>11038</v>
      </c>
      <c r="C971" t="s">
        <v>11464</v>
      </c>
      <c r="D971" t="str">
        <f>CONCATENATE(A971," : ",B971)</f>
        <v>C16596 : 5-Phenyl-1,3-oxazinane-2,4-dione</v>
      </c>
    </row>
    <row r="972" spans="1:4" x14ac:dyDescent="0.25">
      <c r="A972" t="s">
        <v>10593</v>
      </c>
      <c r="B972" t="s">
        <v>11039</v>
      </c>
      <c r="C972" t="s">
        <v>11465</v>
      </c>
      <c r="D972" t="str">
        <f>CONCATENATE(A972," : ",B972)</f>
        <v>C16614 : 6-Methylmercaptopurine</v>
      </c>
    </row>
    <row r="973" spans="1:4" x14ac:dyDescent="0.25">
      <c r="A973" t="s">
        <v>10594</v>
      </c>
      <c r="B973" t="s">
        <v>11040</v>
      </c>
      <c r="C973" t="s">
        <v>11466</v>
      </c>
      <c r="D973" t="str">
        <f>CONCATENATE(A973," : ",B973)</f>
        <v>C16615 : 6-Methylthiopurine 5'-monophosphate ribonucleotide</v>
      </c>
    </row>
    <row r="974" spans="1:4" x14ac:dyDescent="0.25">
      <c r="A974" t="s">
        <v>9884</v>
      </c>
      <c r="B974" t="s">
        <v>11041</v>
      </c>
      <c r="C974" t="s">
        <v>11467</v>
      </c>
      <c r="D974" t="str">
        <f>CONCATENATE(A974," : ",B974)</f>
        <v>C16618 : 6-Thioxanthine 5'-monophosphate</v>
      </c>
    </row>
    <row r="975" spans="1:4" x14ac:dyDescent="0.25">
      <c r="A975" t="s">
        <v>10536</v>
      </c>
      <c r="B975" t="s">
        <v>11042</v>
      </c>
      <c r="C975" t="s">
        <v>11468</v>
      </c>
      <c r="D975" t="str">
        <f>CONCATENATE(A975," : ",B975)</f>
        <v>C16619 : 6-Thioguanosine monophosphate</v>
      </c>
    </row>
    <row r="976" spans="1:4" x14ac:dyDescent="0.25">
      <c r="A976" t="s">
        <v>10022</v>
      </c>
      <c r="B976" t="s">
        <v>11043</v>
      </c>
      <c r="C976" t="s">
        <v>11469</v>
      </c>
      <c r="D976" t="str">
        <f>CONCATENATE(A976," : ",B976)</f>
        <v>C16634 : 5-Fluorouridine monophosphate</v>
      </c>
    </row>
    <row r="977" spans="1:4" x14ac:dyDescent="0.25">
      <c r="A977" t="s">
        <v>10160</v>
      </c>
      <c r="B977" t="s">
        <v>12657</v>
      </c>
      <c r="C977" t="s">
        <v>12179</v>
      </c>
      <c r="D977" t="str">
        <f>CONCATENATE(A977," : ",B977)</f>
        <v>C16635 : 5'-Deoxy-5-fluorocytidine</v>
      </c>
    </row>
    <row r="978" spans="1:4" x14ac:dyDescent="0.25">
      <c r="A978" t="s">
        <v>10356</v>
      </c>
      <c r="B978" t="s">
        <v>11044</v>
      </c>
      <c r="C978" t="s">
        <v>11470</v>
      </c>
      <c r="D978" t="str">
        <f>CONCATENATE(A978," : ",B978)</f>
        <v>C16636 : tRNA(Sec)</v>
      </c>
    </row>
    <row r="979" spans="1:4" x14ac:dyDescent="0.25">
      <c r="A979" t="s">
        <v>10096</v>
      </c>
      <c r="B979" t="s">
        <v>11045</v>
      </c>
      <c r="C979" t="s">
        <v>11471</v>
      </c>
      <c r="D979" t="str">
        <f>CONCATENATE(A979," : ",B979)</f>
        <v xml:space="preserve">C16663 : Tryparedoxin </v>
      </c>
    </row>
    <row r="980" spans="1:4" x14ac:dyDescent="0.25">
      <c r="A980" t="s">
        <v>10095</v>
      </c>
      <c r="B980" t="s">
        <v>11046</v>
      </c>
      <c r="C980" t="s">
        <v>11472</v>
      </c>
      <c r="D980" t="str">
        <f>CONCATENATE(A980," : ",B980)</f>
        <v>C16664 : Tryparedoxin disulfide</v>
      </c>
    </row>
    <row r="981" spans="1:4" x14ac:dyDescent="0.25">
      <c r="A981" t="s">
        <v>10622</v>
      </c>
      <c r="B981" t="s">
        <v>12658</v>
      </c>
      <c r="C981" t="s">
        <v>12180</v>
      </c>
      <c r="D981" t="str">
        <f>CONCATENATE(A981," : ",B981)</f>
        <v>C16675 : 7-Aminomethyl-7-carbaguanine</v>
      </c>
    </row>
    <row r="982" spans="1:4" x14ac:dyDescent="0.25">
      <c r="A982" t="s">
        <v>9932</v>
      </c>
      <c r="B982" t="s">
        <v>12659</v>
      </c>
      <c r="C982" t="s">
        <v>12181</v>
      </c>
      <c r="D982" t="str">
        <f>CONCATENATE(A982," : ",B982)</f>
        <v>C16832 : Protein N6-(dihydrolipoyl)lysine</v>
      </c>
    </row>
    <row r="983" spans="1:4" x14ac:dyDescent="0.25">
      <c r="A983" t="s">
        <v>8142</v>
      </c>
      <c r="B983" t="s">
        <v>12660</v>
      </c>
      <c r="C983" t="s">
        <v>12182</v>
      </c>
      <c r="D983" t="str">
        <f>CONCATENATE(A983," : ",B983)</f>
        <v>C17234 : 2-Aminobut-2-enoate</v>
      </c>
    </row>
    <row r="984" spans="1:4" x14ac:dyDescent="0.25">
      <c r="A984" t="s">
        <v>10385</v>
      </c>
      <c r="B984" t="s">
        <v>11047</v>
      </c>
      <c r="C984" t="s">
        <v>11473</v>
      </c>
      <c r="D984" t="str">
        <f>CONCATENATE(A984," : ",B984)</f>
        <v>C17324 : tRNA adenine</v>
      </c>
    </row>
    <row r="985" spans="1:4" x14ac:dyDescent="0.25">
      <c r="A985" t="s">
        <v>8507</v>
      </c>
      <c r="B985" t="s">
        <v>12661</v>
      </c>
      <c r="C985" t="s">
        <v>12183</v>
      </c>
      <c r="D985" t="str">
        <f>CONCATENATE(A985," : ",B985)</f>
        <v>C17343 : (25S)-3alpha,7alpha,12alpha-Trihydroxy-5beta-cholestan-26-oyl-CoA</v>
      </c>
    </row>
    <row r="986" spans="1:4" x14ac:dyDescent="0.25">
      <c r="A986" t="s">
        <v>8231</v>
      </c>
      <c r="B986" t="s">
        <v>12662</v>
      </c>
      <c r="C986" t="s">
        <v>12184</v>
      </c>
      <c r="D986" t="str">
        <f>CONCATENATE(A986," : ",B986)</f>
        <v>C17345 : (25R)-3alpha,7alpha-Dihydroxy-5beta-cholestanoyl-CoA</v>
      </c>
    </row>
    <row r="987" spans="1:4" x14ac:dyDescent="0.25">
      <c r="A987" t="s">
        <v>8508</v>
      </c>
      <c r="B987" t="s">
        <v>12663</v>
      </c>
      <c r="C987" t="s">
        <v>12185</v>
      </c>
      <c r="D987" t="str">
        <f>CONCATENATE(A987," : ",B987)</f>
        <v>C17346 : (25S)-3alpha,7alpha-Dihydroxy-5beta-cholestanoyl-CoA</v>
      </c>
    </row>
    <row r="988" spans="1:4" x14ac:dyDescent="0.25">
      <c r="A988" t="s">
        <v>8288</v>
      </c>
      <c r="B988" t="s">
        <v>12664</v>
      </c>
      <c r="C988" t="s">
        <v>12186</v>
      </c>
      <c r="D988" t="str">
        <f>CONCATENATE(A988," : ",B988)</f>
        <v>C17509 : Thymine dimer</v>
      </c>
    </row>
    <row r="989" spans="1:4" x14ac:dyDescent="0.25">
      <c r="A989" t="s">
        <v>8559</v>
      </c>
      <c r="B989" t="s">
        <v>12665</v>
      </c>
      <c r="C989" t="s">
        <v>12187</v>
      </c>
      <c r="D989" t="str">
        <f>CONCATENATE(A989," : ",B989)</f>
        <v>C17510 : Two thymine residues (in DNA)</v>
      </c>
    </row>
    <row r="990" spans="1:4" x14ac:dyDescent="0.25">
      <c r="A990" t="s">
        <v>10005</v>
      </c>
      <c r="B990" t="s">
        <v>11048</v>
      </c>
      <c r="C990" t="s">
        <v>11474</v>
      </c>
      <c r="D990" t="str">
        <f>CONCATENATE(A990," : ",B990)</f>
        <v>C17556 : di-trans,poly-cis-Undecaprenyl phosphate</v>
      </c>
    </row>
    <row r="991" spans="1:4" x14ac:dyDescent="0.25">
      <c r="A991" t="s">
        <v>10599</v>
      </c>
      <c r="B991" t="s">
        <v>12666</v>
      </c>
      <c r="C991" t="s">
        <v>12188</v>
      </c>
      <c r="D991" t="str">
        <f>CONCATENATE(A991," : ",B991)</f>
        <v>C18028 : L-Fucono-1,5-lactone</v>
      </c>
    </row>
    <row r="992" spans="1:4" x14ac:dyDescent="0.25">
      <c r="A992" t="s">
        <v>10572</v>
      </c>
      <c r="B992" t="s">
        <v>12667</v>
      </c>
      <c r="C992" t="s">
        <v>12189</v>
      </c>
      <c r="D992" t="str">
        <f>CONCATENATE(A992," : ",B992)</f>
        <v>C18091 : Ethylnitronate</v>
      </c>
    </row>
    <row r="993" spans="1:4" x14ac:dyDescent="0.25">
      <c r="A993" t="s">
        <v>8598</v>
      </c>
      <c r="B993" t="s">
        <v>11049</v>
      </c>
      <c r="C993" t="s">
        <v>11475</v>
      </c>
      <c r="D993" t="str">
        <f>CONCATENATE(A993," : ",B993)</f>
        <v>C18096 : D-Allulose 6-phosphate</v>
      </c>
    </row>
    <row r="994" spans="1:4" x14ac:dyDescent="0.25">
      <c r="A994" t="s">
        <v>10440</v>
      </c>
      <c r="B994" t="s">
        <v>11050</v>
      </c>
      <c r="C994" t="s">
        <v>11476</v>
      </c>
      <c r="D994" t="str">
        <f>CONCATENATE(A994," : ",B994)</f>
        <v xml:space="preserve">C18902 : Methylselenic acid </v>
      </c>
    </row>
    <row r="995" spans="1:4" x14ac:dyDescent="0.25">
      <c r="A995" t="s">
        <v>10175</v>
      </c>
      <c r="B995" t="s">
        <v>11051</v>
      </c>
      <c r="C995" t="s">
        <v>11477</v>
      </c>
      <c r="D995" t="str">
        <f>CONCATENATE(A995," : ",B995)</f>
        <v>C19078 : tRNA with a 3' cytidine</v>
      </c>
    </row>
    <row r="996" spans="1:4" x14ac:dyDescent="0.25">
      <c r="A996" t="s">
        <v>10176</v>
      </c>
      <c r="B996" t="s">
        <v>11052</v>
      </c>
      <c r="C996" t="s">
        <v>11478</v>
      </c>
      <c r="D996" t="str">
        <f>CONCATENATE(A996," : ",B996)</f>
        <v>C19080 : tRNA with a 3' CC end</v>
      </c>
    </row>
    <row r="997" spans="1:4" x14ac:dyDescent="0.25">
      <c r="A997" t="s">
        <v>10174</v>
      </c>
      <c r="B997" t="s">
        <v>11053</v>
      </c>
      <c r="C997" t="s">
        <v>11479</v>
      </c>
      <c r="D997" t="str">
        <f>CONCATENATE(A997," : ",B997)</f>
        <v>C19085 : tRNA with a 3' CCA end</v>
      </c>
    </row>
    <row r="998" spans="1:4" x14ac:dyDescent="0.25">
      <c r="A998" t="s">
        <v>10483</v>
      </c>
      <c r="B998" t="s">
        <v>12668</v>
      </c>
      <c r="C998" t="s">
        <v>12190</v>
      </c>
      <c r="D998" t="str">
        <f>CONCATENATE(A998," : ",B998)</f>
        <v>C19673 : Malonyl-[acp] methyl ester</v>
      </c>
    </row>
    <row r="999" spans="1:4" x14ac:dyDescent="0.25">
      <c r="A999" t="s">
        <v>10013</v>
      </c>
      <c r="B999" t="s">
        <v>12669</v>
      </c>
      <c r="C999" t="s">
        <v>12191</v>
      </c>
      <c r="D999" t="str">
        <f>CONCATENATE(A999," : ",B999)</f>
        <v>C19709 : Cyanophycin</v>
      </c>
    </row>
    <row r="1000" spans="1:4" x14ac:dyDescent="0.25">
      <c r="A1000" t="s">
        <v>10012</v>
      </c>
      <c r="B1000" t="s">
        <v>12670</v>
      </c>
      <c r="C1000" t="s">
        <v>12192</v>
      </c>
      <c r="D1000" t="str">
        <f>CONCATENATE(A1000," : ",B1000)</f>
        <v>C19713 : [L-Asp(4-L-Arg)]n+1</v>
      </c>
    </row>
    <row r="1001" spans="1:4" x14ac:dyDescent="0.25">
      <c r="A1001" t="s">
        <v>10014</v>
      </c>
      <c r="B1001" t="s">
        <v>12671</v>
      </c>
      <c r="C1001" t="s">
        <v>12193</v>
      </c>
      <c r="D1001" t="str">
        <f>CONCATENATE(A1001," : ",B1001)</f>
        <v>C19843 : L-Asp(4-L-Arg)</v>
      </c>
    </row>
    <row r="1002" spans="1:4" x14ac:dyDescent="0.25">
      <c r="A1002" t="s">
        <v>16487</v>
      </c>
      <c r="B1002" t="s">
        <v>16488</v>
      </c>
      <c r="C1002" t="s">
        <v>16489</v>
      </c>
      <c r="D1002" t="str">
        <f>CONCATENATE(A1002," : ",B1002)</f>
        <v>C19847 : Demethylmenaquinol</v>
      </c>
    </row>
    <row r="1003" spans="1:4" x14ac:dyDescent="0.25">
      <c r="A1003" t="s">
        <v>10263</v>
      </c>
      <c r="B1003" t="s">
        <v>12672</v>
      </c>
      <c r="C1003" t="s">
        <v>12194</v>
      </c>
      <c r="D1003" t="str">
        <f>CONCATENATE(A1003," : ",B1003)</f>
        <v>C20246 : 2-[(2R,5Z)-2-Carboxy-4-methylthiazol-5(2H)-ylidene]ethyl phosphate</v>
      </c>
    </row>
    <row r="1004" spans="1:4" x14ac:dyDescent="0.25">
      <c r="A1004" t="s">
        <v>10262</v>
      </c>
      <c r="B1004" t="s">
        <v>12673</v>
      </c>
      <c r="C1004" t="s">
        <v>12195</v>
      </c>
      <c r="D1004" t="str">
        <f>CONCATENATE(A1004," : ",B1004)</f>
        <v>C20247 : 2-(2-Carboxy-4-methylthiazol-5-yl)ethyl phosphate</v>
      </c>
    </row>
    <row r="1005" spans="1:4" x14ac:dyDescent="0.25">
      <c r="A1005" t="s">
        <v>10331</v>
      </c>
      <c r="B1005" t="s">
        <v>11054</v>
      </c>
      <c r="C1005" t="s">
        <v>11480</v>
      </c>
      <c r="D1005" t="str">
        <f>CONCATENATE(A1005," : ",B1005)</f>
        <v>C20258 : (2S,4S)-4-Hydroxy-2,3,4,5-tetrahydrodipicolinate</v>
      </c>
    </row>
    <row r="1006" spans="1:4" x14ac:dyDescent="0.25">
      <c r="A1006" t="s">
        <v>10008</v>
      </c>
      <c r="B1006" t="s">
        <v>12674</v>
      </c>
      <c r="C1006" t="s">
        <v>12196</v>
      </c>
      <c r="D1006" t="str">
        <f>CONCATENATE(A1006," : ",B1006)</f>
        <v>C20267 : 4-Amino-5-aminomethyl-2-methylpyrimidine</v>
      </c>
    </row>
    <row r="1007" spans="1:4" x14ac:dyDescent="0.25">
      <c r="A1007" t="s">
        <v>10156</v>
      </c>
      <c r="B1007" t="s">
        <v>12675</v>
      </c>
      <c r="C1007" t="s">
        <v>12197</v>
      </c>
      <c r="D1007" t="str">
        <f>CONCATENATE(A1007," : ",B1007)</f>
        <v>C20372 : 3-Ketoglutaryl-[acp] methyl ester</v>
      </c>
    </row>
    <row r="1008" spans="1:4" x14ac:dyDescent="0.25">
      <c r="A1008" t="s">
        <v>8172</v>
      </c>
      <c r="B1008" t="s">
        <v>12676</v>
      </c>
      <c r="C1008" t="s">
        <v>12198</v>
      </c>
      <c r="D1008" t="str">
        <f>CONCATENATE(A1008," : ",B1008)</f>
        <v>C20373 : 3-Hydroxyglutaryl-[acp] methyl ester</v>
      </c>
    </row>
    <row r="1009" spans="1:4" x14ac:dyDescent="0.25">
      <c r="A1009" t="s">
        <v>10043</v>
      </c>
      <c r="B1009" t="s">
        <v>12677</v>
      </c>
      <c r="C1009" t="s">
        <v>12199</v>
      </c>
      <c r="D1009" t="str">
        <f>CONCATENATE(A1009," : ",B1009)</f>
        <v>C20374 : Enoylglutaryl-[acp] methyl ester</v>
      </c>
    </row>
    <row r="1010" spans="1:4" x14ac:dyDescent="0.25">
      <c r="A1010" t="s">
        <v>10484</v>
      </c>
      <c r="B1010" t="s">
        <v>12678</v>
      </c>
      <c r="C1010" t="s">
        <v>12200</v>
      </c>
      <c r="D1010" t="str">
        <f>CONCATENATE(A1010," : ",B1010)</f>
        <v>C20375 : Glutaryl-[acp] methyl ester</v>
      </c>
    </row>
    <row r="1011" spans="1:4" x14ac:dyDescent="0.25">
      <c r="A1011" t="s">
        <v>10157</v>
      </c>
      <c r="B1011" t="s">
        <v>12679</v>
      </c>
      <c r="C1011" t="s">
        <v>12201</v>
      </c>
      <c r="D1011" t="str">
        <f>CONCATENATE(A1011," : ",B1011)</f>
        <v>C20376 : 3-Ketopimeloyl-[acp] methyl ester</v>
      </c>
    </row>
    <row r="1012" spans="1:4" x14ac:dyDescent="0.25">
      <c r="A1012" t="s">
        <v>8173</v>
      </c>
      <c r="B1012" t="s">
        <v>12680</v>
      </c>
      <c r="C1012" t="s">
        <v>12202</v>
      </c>
      <c r="D1012" t="str">
        <f>CONCATENATE(A1012," : ",B1012)</f>
        <v>C20377 : 3-Hydroxypimeloyl-[acp] methyl ester</v>
      </c>
    </row>
    <row r="1013" spans="1:4" x14ac:dyDescent="0.25">
      <c r="A1013" t="s">
        <v>10044</v>
      </c>
      <c r="B1013" t="s">
        <v>12681</v>
      </c>
      <c r="C1013" t="s">
        <v>12203</v>
      </c>
      <c r="D1013" t="str">
        <f>CONCATENATE(A1013," : ",B1013)</f>
        <v>C20378 : Enoylpimeloyl-[acp] methyl ester</v>
      </c>
    </row>
    <row r="1014" spans="1:4" x14ac:dyDescent="0.25">
      <c r="A1014" t="s">
        <v>10623</v>
      </c>
      <c r="B1014" t="s">
        <v>12682</v>
      </c>
      <c r="C1014" t="s">
        <v>12204</v>
      </c>
      <c r="D1014" t="str">
        <f>CONCATENATE(A1014," : ",B1014)</f>
        <v>C20446 : tRNA 7-aminomethyl-7-carbaguanine</v>
      </c>
    </row>
    <row r="1015" spans="1:4" x14ac:dyDescent="0.25">
      <c r="A1015" t="s">
        <v>10141</v>
      </c>
      <c r="B1015" t="s">
        <v>12683</v>
      </c>
      <c r="C1015" t="s">
        <v>12205</v>
      </c>
      <c r="D1015" t="str">
        <f>CONCATENATE(A1015," : ",B1015)</f>
        <v>C20463 : Purine deoxyribonucleoside</v>
      </c>
    </row>
    <row r="1016" spans="1:4" x14ac:dyDescent="0.25">
      <c r="A1016" t="s">
        <v>10488</v>
      </c>
      <c r="B1016" t="s">
        <v>11055</v>
      </c>
      <c r="C1016" t="s">
        <v>11481</v>
      </c>
      <c r="D1016" t="str">
        <f>CONCATENATE(A1016," : ",B1016)</f>
        <v>C20648 : Adenine in rRNA</v>
      </c>
    </row>
    <row r="1017" spans="1:4" x14ac:dyDescent="0.25">
      <c r="A1017" t="s">
        <v>9904</v>
      </c>
      <c r="B1017" t="s">
        <v>12684</v>
      </c>
      <c r="C1017" t="s">
        <v>12206</v>
      </c>
      <c r="D1017" t="str">
        <f>CONCATENATE(A1017," : ",B1017)</f>
        <v>C20675 : Short-chain acyl-CoA</v>
      </c>
    </row>
    <row r="1018" spans="1:4" x14ac:dyDescent="0.25">
      <c r="A1018" t="s">
        <v>9906</v>
      </c>
      <c r="B1018" t="s">
        <v>12685</v>
      </c>
      <c r="C1018" t="s">
        <v>12207</v>
      </c>
      <c r="D1018" t="str">
        <f>CONCATENATE(A1018," : ",B1018)</f>
        <v>C20676 : Short-chain trans-2,3-dehydroacyl-CoA</v>
      </c>
    </row>
    <row r="1019" spans="1:4" x14ac:dyDescent="0.25">
      <c r="A1019" t="s">
        <v>10489</v>
      </c>
      <c r="B1019" t="s">
        <v>11056</v>
      </c>
      <c r="C1019" t="s">
        <v>11482</v>
      </c>
      <c r="D1019" t="str">
        <f>CONCATENATE(A1019," : ",B1019)</f>
        <v>C20796 : N6-Dimethyladenine in rRNA</v>
      </c>
    </row>
    <row r="1020" spans="1:4" x14ac:dyDescent="0.25">
      <c r="A1020" t="s">
        <v>8509</v>
      </c>
      <c r="B1020" t="s">
        <v>12686</v>
      </c>
      <c r="C1020" t="s">
        <v>12208</v>
      </c>
      <c r="D1020" t="str">
        <f>CONCATENATE(A1020," : ",B1020)</f>
        <v>C20840 : (25S)-3-Oxocholest-4-en-26-oyl-CoA</v>
      </c>
    </row>
    <row r="1021" spans="1:4" x14ac:dyDescent="0.25">
      <c r="A1021" t="s">
        <v>10045</v>
      </c>
      <c r="B1021" t="s">
        <v>11057</v>
      </c>
      <c r="C1021" t="s">
        <v>11483</v>
      </c>
      <c r="D1021" t="str">
        <f>CONCATENATE(A1021," : ",B1021)</f>
        <v>C20864 : 5'Triphospho-[mRNA]</v>
      </c>
    </row>
    <row r="1022" spans="1:4" x14ac:dyDescent="0.25">
      <c r="A1022" t="s">
        <v>8490</v>
      </c>
      <c r="B1022" t="s">
        <v>12687</v>
      </c>
      <c r="C1022" t="s">
        <v>12209</v>
      </c>
      <c r="D1022" t="str">
        <f>CONCATENATE(A1022," : ",B1022)</f>
        <v>C20904 : 2-Iminopropanoate</v>
      </c>
    </row>
    <row r="1023" spans="1:4" x14ac:dyDescent="0.25">
      <c r="A1023" t="s">
        <v>8423</v>
      </c>
      <c r="B1023" t="s">
        <v>12688</v>
      </c>
      <c r="C1023" t="s">
        <v>12210</v>
      </c>
      <c r="D1023" t="str">
        <f>CONCATENATE(A1023," : ",B1023)</f>
        <v>C20905 : 2-Iminobutanoate</v>
      </c>
    </row>
    <row r="1024" spans="1:4" x14ac:dyDescent="0.25">
      <c r="A1024" t="s">
        <v>9988</v>
      </c>
      <c r="B1024" t="s">
        <v>11058</v>
      </c>
      <c r="C1024" t="s">
        <v>11484</v>
      </c>
      <c r="D1024" t="str">
        <f>CONCATENATE(A1024," : ",B1024)</f>
        <v>C20969 : Carboxyphosphate</v>
      </c>
    </row>
    <row r="1025" spans="1:4" x14ac:dyDescent="0.25">
      <c r="A1025" t="s">
        <v>9953</v>
      </c>
      <c r="B1025" t="s">
        <v>12689</v>
      </c>
      <c r="C1025" t="s">
        <v>12211</v>
      </c>
      <c r="D1025" t="str">
        <f>CONCATENATE(A1025," : ",B1025)</f>
        <v>C21017 : 2-(alpha-Hydroxypropyl)thiamine diphosphate</v>
      </c>
    </row>
    <row r="1026" spans="1:4" x14ac:dyDescent="0.25">
      <c r="A1026" t="s">
        <v>9944</v>
      </c>
      <c r="B1026" t="s">
        <v>12690</v>
      </c>
      <c r="C1026" t="s">
        <v>12212</v>
      </c>
      <c r="D1026" t="str">
        <f>CONCATENATE(A1026," : ",B1026)</f>
        <v>C21018 : Enzyme N6-(S-propyldihydrolipoyl)lysine</v>
      </c>
    </row>
    <row r="1027" spans="1:4" x14ac:dyDescent="0.25">
      <c r="A1027" t="s">
        <v>8391</v>
      </c>
      <c r="B1027" t="s">
        <v>11059</v>
      </c>
      <c r="C1027" t="s">
        <v>11485</v>
      </c>
      <c r="D1027" t="str">
        <f>CONCATENATE(A1027," : ",B1027)</f>
        <v>C21031 : 5-Hydroxymethylcytosine in DNA</v>
      </c>
    </row>
    <row r="1028" spans="1:4" x14ac:dyDescent="0.25">
      <c r="A1028" t="s">
        <v>10238</v>
      </c>
      <c r="B1028" t="s">
        <v>12691</v>
      </c>
      <c r="C1028" t="s">
        <v>12213</v>
      </c>
      <c r="D1028" t="str">
        <f>CONCATENATE(A1028," : ",B1028)</f>
        <v>C21153 : Adenosylcobalamin 5'-phosphate</v>
      </c>
    </row>
    <row r="1029" spans="1:4" x14ac:dyDescent="0.25">
      <c r="A1029" t="s">
        <v>10028</v>
      </c>
      <c r="B1029" t="s">
        <v>12692</v>
      </c>
      <c r="C1029" t="s">
        <v>12214</v>
      </c>
      <c r="D1029" t="str">
        <f>CONCATENATE(A1029," : ",B1029)</f>
        <v>C21440 : [Protein]-S-sulfanyl-L-cysteine</v>
      </c>
    </row>
    <row r="1030" spans="1:4" x14ac:dyDescent="0.25">
      <c r="A1030" t="s">
        <v>8593</v>
      </c>
      <c r="B1030" t="s">
        <v>12693</v>
      </c>
      <c r="C1030" t="s">
        <v>12215</v>
      </c>
      <c r="D1030" t="str">
        <f>CONCATENATE(A1030," : ",B1030)</f>
        <v>C21640 : 6-(1'-Hydroxy-2'-oxopropyl)-tetrahydropterin</v>
      </c>
    </row>
    <row r="1031" spans="1:4" x14ac:dyDescent="0.25">
      <c r="A1031" t="s">
        <v>10100</v>
      </c>
      <c r="B1031" t="s">
        <v>11060</v>
      </c>
      <c r="C1031" t="s">
        <v>11486</v>
      </c>
      <c r="D1031" t="str">
        <f>CONCATENATE(A1031," : ",B1031)</f>
        <v>C21748 : 5-Fluorouridine diphosphate</v>
      </c>
    </row>
    <row r="1032" spans="1:4" x14ac:dyDescent="0.25">
      <c r="A1032" t="s">
        <v>16490</v>
      </c>
      <c r="B1032" t="s">
        <v>16491</v>
      </c>
      <c r="C1032" t="s">
        <v>16492</v>
      </c>
      <c r="D1032" t="str">
        <f>CONCATENATE(A1032," : ",B1032)</f>
        <v>C21749 : 5-Fluorouridine triphosphate</v>
      </c>
    </row>
    <row r="1033" spans="1:4" x14ac:dyDescent="0.25">
      <c r="A1033" t="s">
        <v>10099</v>
      </c>
      <c r="B1033" t="s">
        <v>11061</v>
      </c>
      <c r="C1033" t="s">
        <v>11487</v>
      </c>
      <c r="D1033" t="str">
        <f>CONCATENATE(A1033," : ",B1033)</f>
        <v>C21750 : 5-Fluorodeoxyuridine diphosphate</v>
      </c>
    </row>
    <row r="1034" spans="1:4" x14ac:dyDescent="0.25">
      <c r="A1034" t="s">
        <v>16493</v>
      </c>
      <c r="B1034" t="s">
        <v>16494</v>
      </c>
      <c r="C1034" t="s">
        <v>16495</v>
      </c>
      <c r="D1034" t="str">
        <f>CONCATENATE(A1034," : ",B1034)</f>
        <v>C21751 : 5-Fluorodeoxyuridine triphosphate</v>
      </c>
    </row>
    <row r="1035" spans="1:4" x14ac:dyDescent="0.25">
      <c r="A1035" t="s">
        <v>8188</v>
      </c>
      <c r="B1035" t="s">
        <v>11062</v>
      </c>
      <c r="C1035" t="s">
        <v>11488</v>
      </c>
      <c r="D1035" t="str">
        <f>CONCATENATE(A1035," : ",B1035)</f>
        <v>C22395 :  N6-Succino-2-amino-2'-deoxyadenylate</v>
      </c>
    </row>
    <row r="1036" spans="1:4" x14ac:dyDescent="0.25">
      <c r="A1036" t="s">
        <v>10170</v>
      </c>
      <c r="B1036" t="s">
        <v>12694</v>
      </c>
      <c r="C1036" t="s">
        <v>12216</v>
      </c>
      <c r="D1036" t="str">
        <f>CONCATENATE(A1036," : ",B1036)</f>
        <v>C22438 : 3,5-Dehydroshikimate</v>
      </c>
    </row>
    <row r="1037" spans="1:4" x14ac:dyDescent="0.25">
      <c r="A1037" t="s">
        <v>10075</v>
      </c>
      <c r="B1037" t="s">
        <v>11063</v>
      </c>
      <c r="C1037" t="s">
        <v>11489</v>
      </c>
      <c r="D1037" t="str">
        <f>CONCATENATE(A1037," : ",B1037)</f>
        <v>C22441 : dZMP</v>
      </c>
    </row>
    <row r="1038" spans="1:4" x14ac:dyDescent="0.25">
      <c r="A1038" t="s">
        <v>10076</v>
      </c>
      <c r="B1038" t="s">
        <v>11064</v>
      </c>
      <c r="C1038" t="s">
        <v>11490</v>
      </c>
      <c r="D1038" t="str">
        <f>CONCATENATE(A1038," : ",B1038)</f>
        <v>C22442 : dZDP</v>
      </c>
    </row>
    <row r="1039" spans="1:4" x14ac:dyDescent="0.25">
      <c r="A1039" t="s">
        <v>16496</v>
      </c>
      <c r="B1039" t="s">
        <v>16497</v>
      </c>
      <c r="C1039" t="s">
        <v>16498</v>
      </c>
      <c r="D1039" t="str">
        <f>CONCATENATE(A1039," : ",B1039)</f>
        <v>C22443 : dZTP</v>
      </c>
    </row>
    <row r="1040" spans="1:4" x14ac:dyDescent="0.25">
      <c r="A1040" t="s">
        <v>8232</v>
      </c>
      <c r="B1040" t="s">
        <v>12695</v>
      </c>
      <c r="C1040" t="s">
        <v>12217</v>
      </c>
      <c r="D1040" t="str">
        <f>CONCATENATE(A1040," : ",B1040)</f>
        <v>C23011 : (25R)-3-Oxocholest-4-en-26-oyl-CoA</v>
      </c>
    </row>
    <row r="1041" spans="1:4" x14ac:dyDescent="0.25">
      <c r="A1041" t="s">
        <v>16389</v>
      </c>
      <c r="B1041" t="s">
        <v>16499</v>
      </c>
      <c r="C1041" t="s">
        <v>16398</v>
      </c>
      <c r="D1041" t="str">
        <f>CONCATENATE(A1041," : ",B1041)</f>
        <v>G00177 : Und-PP-GlcNAc-ManNAc</v>
      </c>
    </row>
    <row r="1042" spans="1:4" x14ac:dyDescent="0.25">
      <c r="A1042" t="s">
        <v>13474</v>
      </c>
      <c r="B1042" t="s">
        <v>11612</v>
      </c>
      <c r="C1042" t="s">
        <v>16399</v>
      </c>
      <c r="D1042" t="str">
        <f>CONCATENATE(A1042," : ",B1042)</f>
        <v>G00275 : Maltose</v>
      </c>
    </row>
    <row r="1043" spans="1:4" x14ac:dyDescent="0.25">
      <c r="A1043" t="s">
        <v>16390</v>
      </c>
      <c r="B1043" t="s">
        <v>11610</v>
      </c>
      <c r="C1043" t="s">
        <v>16400</v>
      </c>
      <c r="D1043" t="str">
        <f t="shared" ref="D1043:D1060" si="2">CONCATENATE(A1043," : ",B1043)</f>
        <v>G00289 : Cellobiose</v>
      </c>
    </row>
    <row r="1044" spans="1:4" x14ac:dyDescent="0.25">
      <c r="A1044" t="s">
        <v>16381</v>
      </c>
      <c r="B1044" t="s">
        <v>12225</v>
      </c>
      <c r="C1044" t="s">
        <v>16401</v>
      </c>
      <c r="D1044" t="str">
        <f>CONCATENATE(A1044," : ",B1044)</f>
        <v>G10481 : Cellulose</v>
      </c>
    </row>
    <row r="1045" spans="1:4" x14ac:dyDescent="0.25">
      <c r="A1045" t="s">
        <v>12797</v>
      </c>
      <c r="B1045" t="s">
        <v>10842</v>
      </c>
      <c r="C1045" t="s">
        <v>16402</v>
      </c>
      <c r="D1045" t="str">
        <f t="shared" si="2"/>
        <v>G10495 : Amylose</v>
      </c>
    </row>
    <row r="1046" spans="1:4" x14ac:dyDescent="0.25">
      <c r="A1046" t="s">
        <v>12798</v>
      </c>
      <c r="B1046" t="s">
        <v>10800</v>
      </c>
      <c r="C1046" t="s">
        <v>16403</v>
      </c>
      <c r="D1046" t="str">
        <f t="shared" si="2"/>
        <v>G10545 : Starch</v>
      </c>
    </row>
    <row r="1047" spans="1:4" x14ac:dyDescent="0.25">
      <c r="A1047" t="s">
        <v>16391</v>
      </c>
      <c r="B1047" t="s">
        <v>16500</v>
      </c>
      <c r="C1047" t="s">
        <v>16405</v>
      </c>
      <c r="D1047" t="str">
        <f t="shared" si="2"/>
        <v>G10550 : (GlcNAc)1 (MurNAc)1 (D-Ala-D-Ala-Lys-D-Glu-Ala)1 (PP-Und)1</v>
      </c>
    </row>
    <row r="1048" spans="1:4" x14ac:dyDescent="0.25">
      <c r="A1048" t="s">
        <v>16382</v>
      </c>
      <c r="B1048" t="s">
        <v>16501</v>
      </c>
      <c r="C1048" t="s">
        <v>16404</v>
      </c>
      <c r="D1048" t="str">
        <f t="shared" si="2"/>
        <v>G10551 : (MurNAc)1 (D-Ala-D-Ala-Lys-D-Glu-Ala)1 (PP-Und)1</v>
      </c>
    </row>
    <row r="1049" spans="1:4" x14ac:dyDescent="0.25">
      <c r="A1049" t="s">
        <v>16383</v>
      </c>
      <c r="B1049" t="s">
        <v>16502</v>
      </c>
      <c r="C1049" t="s">
        <v>16407</v>
      </c>
      <c r="D1049" t="str">
        <f t="shared" si="2"/>
        <v>G10552 : (MurNAc)1 (D-Ala-D-Ala-Lys-gamma-D-Glu-Ala)1 (PP-Und)1</v>
      </c>
    </row>
    <row r="1050" spans="1:4" x14ac:dyDescent="0.25">
      <c r="A1050" t="s">
        <v>16384</v>
      </c>
      <c r="B1050" t="s">
        <v>16503</v>
      </c>
      <c r="C1050" t="s">
        <v>16406</v>
      </c>
      <c r="D1050" t="str">
        <f t="shared" si="2"/>
        <v>G10553 : (GlcNAc)1 (MurNAc)1 (D-Ala-D-Ala-Lys-gamma-D-Glu-Ala)1 (PP-Und)1</v>
      </c>
    </row>
    <row r="1051" spans="1:4" x14ac:dyDescent="0.25">
      <c r="A1051" t="s">
        <v>16386</v>
      </c>
      <c r="B1051" t="s">
        <v>16504</v>
      </c>
      <c r="C1051" t="s">
        <v>16408</v>
      </c>
      <c r="D1051" t="str">
        <f t="shared" si="2"/>
        <v>G10554 : (GlcNAc)1 (MurNAc)1 (*)1 (D-Ala-D-Ala-Lys-gamma-D-Glu-Ala)1 (PP-Und)1</v>
      </c>
    </row>
    <row r="1052" spans="1:4" x14ac:dyDescent="0.25">
      <c r="A1052" t="s">
        <v>16385</v>
      </c>
      <c r="B1052" t="s">
        <v>16505</v>
      </c>
      <c r="C1052" t="s">
        <v>16409</v>
      </c>
      <c r="D1052" t="str">
        <f t="shared" si="2"/>
        <v>G10555 : (GlcNAc)1 (MurNAc)1 (D-Ala-D-Ala-A2pm-gamma-D-Glu-Ala)1 (PP-Und)1</v>
      </c>
    </row>
    <row r="1053" spans="1:4" x14ac:dyDescent="0.25">
      <c r="A1053" t="s">
        <v>16388</v>
      </c>
      <c r="B1053" t="s">
        <v>16506</v>
      </c>
      <c r="C1053" t="s">
        <v>16410</v>
      </c>
      <c r="D1053" t="str">
        <f t="shared" si="2"/>
        <v>G10556 : (MurNAc)1 (D-Ala-D-Ala-A2pm-gamma-D-Glu-Ala)1 (PP-Und)1</v>
      </c>
    </row>
    <row r="1054" spans="1:4" x14ac:dyDescent="0.25">
      <c r="A1054" t="s">
        <v>16387</v>
      </c>
      <c r="B1054" t="s">
        <v>16507</v>
      </c>
      <c r="C1054" t="s">
        <v>16411</v>
      </c>
      <c r="D1054" t="str">
        <f t="shared" si="2"/>
        <v>G10557 : (GlcNAc)1 (MurNAc)1 (*)1 (D-Ala-D-Ala-A2pm-gamma-D-Glu-Ala)1 (PP-Und)1</v>
      </c>
    </row>
    <row r="1055" spans="1:4" x14ac:dyDescent="0.25">
      <c r="A1055" t="s">
        <v>16392</v>
      </c>
      <c r="B1055" t="s">
        <v>16508</v>
      </c>
      <c r="C1055" t="s">
        <v>16412</v>
      </c>
      <c r="D1055" t="str">
        <f t="shared" si="2"/>
        <v>G10610 : UDP-N-acetyl-D-glucosamine</v>
      </c>
    </row>
    <row r="1056" spans="1:4" x14ac:dyDescent="0.25">
      <c r="A1056" t="s">
        <v>16393</v>
      </c>
      <c r="B1056" t="s">
        <v>10650</v>
      </c>
      <c r="C1056" t="s">
        <v>16413</v>
      </c>
      <c r="D1056" t="str">
        <f t="shared" si="2"/>
        <v>G10619 : UDP</v>
      </c>
    </row>
    <row r="1057" spans="1:4" x14ac:dyDescent="0.25">
      <c r="A1057" t="s">
        <v>16394</v>
      </c>
      <c r="B1057" t="s">
        <v>10822</v>
      </c>
      <c r="C1057" t="s">
        <v>16414</v>
      </c>
      <c r="D1057" t="str">
        <f t="shared" si="2"/>
        <v>G11109 : ADP-glucose</v>
      </c>
    </row>
    <row r="1058" spans="1:4" x14ac:dyDescent="0.25">
      <c r="A1058" t="s">
        <v>16395</v>
      </c>
      <c r="B1058" t="s">
        <v>10866</v>
      </c>
      <c r="C1058" t="s">
        <v>16415</v>
      </c>
      <c r="D1058" t="str">
        <f t="shared" si="2"/>
        <v>G11112 : UDP-N-acetyl-D-mannosamine</v>
      </c>
    </row>
    <row r="1059" spans="1:4" x14ac:dyDescent="0.25">
      <c r="A1059" t="s">
        <v>16396</v>
      </c>
      <c r="B1059" t="s">
        <v>10643</v>
      </c>
      <c r="C1059" t="s">
        <v>16416</v>
      </c>
      <c r="D1059" t="str">
        <f t="shared" si="2"/>
        <v>G11113 : ADP</v>
      </c>
    </row>
    <row r="1060" spans="1:4" x14ac:dyDescent="0.25">
      <c r="A1060" t="s">
        <v>16397</v>
      </c>
      <c r="B1060" t="s">
        <v>16509</v>
      </c>
      <c r="C1060" t="s">
        <v>16417</v>
      </c>
      <c r="D1060" t="str">
        <f t="shared" si="2"/>
        <v>G13164 : N-Acetyl-alpha-D-glucosaminyl-diphospho-ditrans,octacis-undecaprenol</v>
      </c>
    </row>
  </sheetData>
  <autoFilter ref="D1:D7565" xr:uid="{A0F9B40F-3176-4237-AC26-AC4206BE5886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4941-32A5-4E31-8EA5-5FB8B53A1AD9}">
  <dimension ref="A1:N432"/>
  <sheetViews>
    <sheetView topLeftCell="J401" workbookViewId="0">
      <selection activeCell="N2" sqref="N2:N432"/>
    </sheetView>
  </sheetViews>
  <sheetFormatPr defaultRowHeight="15" x14ac:dyDescent="0.25"/>
  <cols>
    <col min="2" max="2" width="15.85546875" customWidth="1"/>
    <col min="3" max="3" width="22" customWidth="1"/>
    <col min="4" max="4" width="16" customWidth="1"/>
    <col min="5" max="5" width="23.28515625" customWidth="1"/>
    <col min="6" max="6" width="19.85546875" customWidth="1"/>
    <col min="7" max="7" width="37" customWidth="1"/>
    <col min="8" max="8" width="24.5703125" customWidth="1"/>
    <col min="9" max="9" width="37.5703125" customWidth="1"/>
    <col min="10" max="10" width="34" customWidth="1"/>
    <col min="11" max="11" width="35.5703125" customWidth="1"/>
    <col min="12" max="12" width="52" customWidth="1"/>
    <col min="13" max="13" width="64" customWidth="1"/>
    <col min="14" max="14" width="83.42578125" customWidth="1"/>
  </cols>
  <sheetData>
    <row r="1" spans="1:14" x14ac:dyDescent="0.25">
      <c r="A1" s="13" t="s">
        <v>8647</v>
      </c>
      <c r="B1" s="13" t="s">
        <v>7330</v>
      </c>
      <c r="C1" t="s">
        <v>11492</v>
      </c>
      <c r="D1" t="s">
        <v>8646</v>
      </c>
      <c r="E1" t="s">
        <v>11493</v>
      </c>
      <c r="F1" t="s">
        <v>11494</v>
      </c>
      <c r="G1" t="s">
        <v>11495</v>
      </c>
      <c r="H1" t="s">
        <v>11496</v>
      </c>
      <c r="I1" t="s">
        <v>11497</v>
      </c>
      <c r="J1" t="s">
        <v>11498</v>
      </c>
      <c r="K1" t="s">
        <v>11499</v>
      </c>
      <c r="L1" t="s">
        <v>11500</v>
      </c>
      <c r="M1" t="s">
        <v>11501</v>
      </c>
      <c r="N1" t="s">
        <v>11502</v>
      </c>
    </row>
    <row r="2" spans="1:14" x14ac:dyDescent="0.25">
      <c r="A2">
        <f t="shared" ref="A2:A63" si="0">ROW()-1</f>
        <v>1</v>
      </c>
      <c r="B2" s="5" t="s">
        <v>9744</v>
      </c>
      <c r="C2" t="str">
        <f>CONCATENATE(D2,"_mRNA")</f>
        <v>E1_1_1_1_mRNA</v>
      </c>
      <c r="D2" t="str">
        <f>CONCATENATE("E",B2)</f>
        <v>E1_1_1_1</v>
      </c>
      <c r="E2" t="str">
        <f>CONCATENATE("E",B2,"_kcat : 13.7")</f>
        <v>E1_1_1_1_kcat : 13.7</v>
      </c>
      <c r="F2" t="str">
        <f>CONCATENATE("E",B2,"_km : 1")</f>
        <v>E1_1_1_1_km : 1</v>
      </c>
      <c r="G2" t="str">
        <f>CONCATENATE(C2," : ",C2)</f>
        <v>E1_1_1_1_mRNA : E1_1_1_1_mRNA</v>
      </c>
      <c r="H2" t="str">
        <f>CONCATENATE(D2," : ",D2)</f>
        <v>E1_1_1_1 : E1_1_1_1</v>
      </c>
      <c r="I2" t="str">
        <f>CONCATENATE(C2," : ","0")</f>
        <v>E1_1_1_1_mRNA : 0</v>
      </c>
      <c r="J2" t="str">
        <f>CONCATENATE(D2," : ","0")</f>
        <v>E1_1_1_1 : 0</v>
      </c>
      <c r="K2" t="str">
        <f>CONCATENATE("0.00292 - (0.0093 * ",C2,")")</f>
        <v>0.00292 - (0.0093 * E1_1_1_1_mRNA)</v>
      </c>
      <c r="L2" t="str">
        <f>CONCATENATE("(0.278 * ",C2,")"," - (0.00000278 * ",D2,")")</f>
        <v>(0.278 * E1_1_1_1_mRNA) - (0.00000278 * E1_1_1_1)</v>
      </c>
      <c r="M2" t="str">
        <f>CONCATENATE("mRNA",A2,": -&gt; ",C2," | ","0.00292"," - ","(","0.0093"," * ",C2,")")</f>
        <v>mRNA1: -&gt; E1_1_1_1_mRNA | 0.00292 - (0.0093 * E1_1_1_1_mRNA)</v>
      </c>
      <c r="N2" t="str">
        <f>CONCATENATE("Peptide",A2,": ",C2," -&gt; ",D2," | ","(","0.278"," * ",C2,")"," - ","(","0.000000278"," * ",D2,")")</f>
        <v>Peptide1: E1_1_1_1_mRNA -&gt; E1_1_1_1 | (0.278 * E1_1_1_1_mRNA) - (0.000000278 * E1_1_1_1)</v>
      </c>
    </row>
    <row r="3" spans="1:14" x14ac:dyDescent="0.25">
      <c r="A3">
        <f t="shared" si="0"/>
        <v>2</v>
      </c>
      <c r="B3" s="5" t="s">
        <v>9508</v>
      </c>
      <c r="C3" t="str">
        <f t="shared" ref="C3:C63" si="1">CONCATENATE(D3,"_mRNA")</f>
        <v>E1_1_1_100_mRNA</v>
      </c>
      <c r="D3" t="str">
        <f t="shared" ref="D3:D63" si="2">CONCATENATE("E",B3)</f>
        <v>E1_1_1_100</v>
      </c>
      <c r="E3" t="str">
        <f t="shared" ref="E3:E63" si="3">CONCATENATE("E",B3,"_kcat : 13.7")</f>
        <v>E1_1_1_100_kcat : 13.7</v>
      </c>
      <c r="F3" t="str">
        <f t="shared" ref="F3:F63" si="4">CONCATENATE("E",B3,"_km : 1")</f>
        <v>E1_1_1_100_km : 1</v>
      </c>
      <c r="G3" t="str">
        <f t="shared" ref="G3:G63" si="5">CONCATENATE(C3," : ",C3)</f>
        <v>E1_1_1_100_mRNA : E1_1_1_100_mRNA</v>
      </c>
      <c r="H3" t="str">
        <f t="shared" ref="H3:H63" si="6">CONCATENATE(D3," : ",D3)</f>
        <v>E1_1_1_100 : E1_1_1_100</v>
      </c>
      <c r="I3" t="str">
        <f t="shared" ref="I3:I63" si="7">CONCATENATE(C3," : ","0")</f>
        <v>E1_1_1_100_mRNA : 0</v>
      </c>
      <c r="J3" t="str">
        <f t="shared" ref="J3:J63" si="8">CONCATENATE(D3," : ","0")</f>
        <v>E1_1_1_100 : 0</v>
      </c>
      <c r="K3" t="str">
        <f t="shared" ref="K3:K63" si="9">CONCATENATE("0.00292 - (0.0093 * ",C3,")")</f>
        <v>0.00292 - (0.0093 * E1_1_1_100_mRNA)</v>
      </c>
      <c r="L3" t="str">
        <f t="shared" ref="L3:L63" si="10">CONCATENATE("(0.278 * ",C3,")"," - (0.00000278 * ",D3,")")</f>
        <v>(0.278 * E1_1_1_100_mRNA) - (0.00000278 * E1_1_1_100)</v>
      </c>
      <c r="M3" t="str">
        <f t="shared" ref="M3:M63" si="11">CONCATENATE("mRNA",A3,": -&gt; ",C3," | ","0.00292"," - ","(","0.0093"," * ",C3,")")</f>
        <v>mRNA2: -&gt; E1_1_1_100_mRNA | 0.00292 - (0.0093 * E1_1_1_100_mRNA)</v>
      </c>
      <c r="N3" t="str">
        <f t="shared" ref="N3:N63" si="12">CONCATENATE("Peptide",A3,": ",C3," -&gt; ",D3," | ","(","0.278"," * ",C3,")"," - ","(","0.000000278"," * ",D3,")")</f>
        <v>Peptide2: E1_1_1_100_mRNA -&gt; E1_1_1_100 | (0.278 * E1_1_1_100_mRNA) - (0.000000278 * E1_1_1_100)</v>
      </c>
    </row>
    <row r="4" spans="1:14" x14ac:dyDescent="0.25">
      <c r="A4">
        <f t="shared" si="0"/>
        <v>3</v>
      </c>
      <c r="B4" s="5" t="s">
        <v>9659</v>
      </c>
      <c r="C4" t="str">
        <f t="shared" si="1"/>
        <v>E1_1_1_103_mRNA</v>
      </c>
      <c r="D4" t="str">
        <f t="shared" si="2"/>
        <v>E1_1_1_103</v>
      </c>
      <c r="E4" t="str">
        <f t="shared" si="3"/>
        <v>E1_1_1_103_kcat : 13.7</v>
      </c>
      <c r="F4" t="str">
        <f t="shared" si="4"/>
        <v>E1_1_1_103_km : 1</v>
      </c>
      <c r="G4" t="str">
        <f t="shared" si="5"/>
        <v>E1_1_1_103_mRNA : E1_1_1_103_mRNA</v>
      </c>
      <c r="H4" t="str">
        <f t="shared" si="6"/>
        <v>E1_1_1_103 : E1_1_1_103</v>
      </c>
      <c r="I4" t="str">
        <f t="shared" si="7"/>
        <v>E1_1_1_103_mRNA : 0</v>
      </c>
      <c r="J4" t="str">
        <f t="shared" si="8"/>
        <v>E1_1_1_103 : 0</v>
      </c>
      <c r="K4" t="str">
        <f t="shared" si="9"/>
        <v>0.00292 - (0.0093 * E1_1_1_103_mRNA)</v>
      </c>
      <c r="L4" t="str">
        <f t="shared" si="10"/>
        <v>(0.278 * E1_1_1_103_mRNA) - (0.00000278 * E1_1_1_103)</v>
      </c>
      <c r="M4" t="str">
        <f t="shared" si="11"/>
        <v>mRNA3: -&gt; E1_1_1_103_mRNA | 0.00292 - (0.0093 * E1_1_1_103_mRNA)</v>
      </c>
      <c r="N4" t="str">
        <f t="shared" si="12"/>
        <v>Peptide3: E1_1_1_103_mRNA -&gt; E1_1_1_103 | (0.278 * E1_1_1_103_mRNA) - (0.000000278 * E1_1_1_103)</v>
      </c>
    </row>
    <row r="5" spans="1:14" x14ac:dyDescent="0.25">
      <c r="A5">
        <f t="shared" si="0"/>
        <v>4</v>
      </c>
      <c r="B5" s="5" t="s">
        <v>9765</v>
      </c>
      <c r="C5" t="str">
        <f t="shared" si="1"/>
        <v>E1_1_1_122_mRNA</v>
      </c>
      <c r="D5" t="str">
        <f t="shared" si="2"/>
        <v>E1_1_1_122</v>
      </c>
      <c r="E5" t="str">
        <f t="shared" si="3"/>
        <v>E1_1_1_122_kcat : 13.7</v>
      </c>
      <c r="F5" t="str">
        <f t="shared" si="4"/>
        <v>E1_1_1_122_km : 1</v>
      </c>
      <c r="G5" t="str">
        <f t="shared" si="5"/>
        <v>E1_1_1_122_mRNA : E1_1_1_122_mRNA</v>
      </c>
      <c r="H5" t="str">
        <f t="shared" si="6"/>
        <v>E1_1_1_122 : E1_1_1_122</v>
      </c>
      <c r="I5" t="str">
        <f t="shared" si="7"/>
        <v>E1_1_1_122_mRNA : 0</v>
      </c>
      <c r="J5" t="str">
        <f t="shared" si="8"/>
        <v>E1_1_1_122 : 0</v>
      </c>
      <c r="K5" t="str">
        <f t="shared" si="9"/>
        <v>0.00292 - (0.0093 * E1_1_1_122_mRNA)</v>
      </c>
      <c r="L5" t="str">
        <f t="shared" si="10"/>
        <v>(0.278 * E1_1_1_122_mRNA) - (0.00000278 * E1_1_1_122)</v>
      </c>
      <c r="M5" t="str">
        <f t="shared" si="11"/>
        <v>mRNA4: -&gt; E1_1_1_122_mRNA | 0.00292 - (0.0093 * E1_1_1_122_mRNA)</v>
      </c>
      <c r="N5" t="str">
        <f t="shared" si="12"/>
        <v>Peptide4: E1_1_1_122_mRNA -&gt; E1_1_1_122 | (0.278 * E1_1_1_122_mRNA) - (0.000000278 * E1_1_1_122)</v>
      </c>
    </row>
    <row r="6" spans="1:14" x14ac:dyDescent="0.25">
      <c r="A6">
        <f t="shared" si="0"/>
        <v>5</v>
      </c>
      <c r="B6" s="5" t="s">
        <v>9708</v>
      </c>
      <c r="C6" t="str">
        <f t="shared" si="1"/>
        <v>E1_1_1_14_mRNA</v>
      </c>
      <c r="D6" t="str">
        <f t="shared" si="2"/>
        <v>E1_1_1_14</v>
      </c>
      <c r="E6" t="str">
        <f t="shared" si="3"/>
        <v>E1_1_1_14_kcat : 13.7</v>
      </c>
      <c r="F6" t="str">
        <f t="shared" si="4"/>
        <v>E1_1_1_14_km : 1</v>
      </c>
      <c r="G6" t="str">
        <f t="shared" si="5"/>
        <v>E1_1_1_14_mRNA : E1_1_1_14_mRNA</v>
      </c>
      <c r="H6" t="str">
        <f t="shared" si="6"/>
        <v>E1_1_1_14 : E1_1_1_14</v>
      </c>
      <c r="I6" t="str">
        <f t="shared" si="7"/>
        <v>E1_1_1_14_mRNA : 0</v>
      </c>
      <c r="J6" t="str">
        <f t="shared" si="8"/>
        <v>E1_1_1_14 : 0</v>
      </c>
      <c r="K6" t="str">
        <f t="shared" si="9"/>
        <v>0.00292 - (0.0093 * E1_1_1_14_mRNA)</v>
      </c>
      <c r="L6" t="str">
        <f t="shared" si="10"/>
        <v>(0.278 * E1_1_1_14_mRNA) - (0.00000278 * E1_1_1_14)</v>
      </c>
      <c r="M6" t="str">
        <f t="shared" si="11"/>
        <v>mRNA5: -&gt; E1_1_1_14_mRNA | 0.00292 - (0.0093 * E1_1_1_14_mRNA)</v>
      </c>
      <c r="N6" t="str">
        <f t="shared" si="12"/>
        <v>Peptide5: E1_1_1_14_mRNA -&gt; E1_1_1_14 | (0.278 * E1_1_1_14_mRNA) - (0.000000278 * E1_1_1_14)</v>
      </c>
    </row>
    <row r="7" spans="1:14" x14ac:dyDescent="0.25">
      <c r="A7">
        <f t="shared" si="0"/>
        <v>6</v>
      </c>
      <c r="B7" s="5" t="s">
        <v>9756</v>
      </c>
      <c r="C7" t="str">
        <f t="shared" si="1"/>
        <v>E1_1_1_140_mRNA</v>
      </c>
      <c r="D7" t="str">
        <f t="shared" si="2"/>
        <v>E1_1_1_140</v>
      </c>
      <c r="E7" t="str">
        <f t="shared" si="3"/>
        <v>E1_1_1_140_kcat : 13.7</v>
      </c>
      <c r="F7" t="str">
        <f t="shared" si="4"/>
        <v>E1_1_1_140_km : 1</v>
      </c>
      <c r="G7" t="str">
        <f t="shared" si="5"/>
        <v>E1_1_1_140_mRNA : E1_1_1_140_mRNA</v>
      </c>
      <c r="H7" t="str">
        <f t="shared" si="6"/>
        <v>E1_1_1_140 : E1_1_1_140</v>
      </c>
      <c r="I7" t="str">
        <f t="shared" si="7"/>
        <v>E1_1_1_140_mRNA : 0</v>
      </c>
      <c r="J7" t="str">
        <f t="shared" si="8"/>
        <v>E1_1_1_140 : 0</v>
      </c>
      <c r="K7" t="str">
        <f t="shared" si="9"/>
        <v>0.00292 - (0.0093 * E1_1_1_140_mRNA)</v>
      </c>
      <c r="L7" t="str">
        <f t="shared" si="10"/>
        <v>(0.278 * E1_1_1_140_mRNA) - (0.00000278 * E1_1_1_140)</v>
      </c>
      <c r="M7" t="str">
        <f t="shared" si="11"/>
        <v>mRNA6: -&gt; E1_1_1_140_mRNA | 0.00292 - (0.0093 * E1_1_1_140_mRNA)</v>
      </c>
      <c r="N7" t="str">
        <f t="shared" si="12"/>
        <v>Peptide6: E1_1_1_140_mRNA -&gt; E1_1_1_140 | (0.278 * E1_1_1_140_mRNA) - (0.000000278 * E1_1_1_140)</v>
      </c>
    </row>
    <row r="8" spans="1:14" x14ac:dyDescent="0.25">
      <c r="A8">
        <f t="shared" si="0"/>
        <v>7</v>
      </c>
      <c r="B8" s="5" t="s">
        <v>9698</v>
      </c>
      <c r="C8" t="str">
        <f t="shared" si="1"/>
        <v>E1_1_1_153_mRNA</v>
      </c>
      <c r="D8" t="str">
        <f t="shared" si="2"/>
        <v>E1_1_1_153</v>
      </c>
      <c r="E8" t="str">
        <f t="shared" si="3"/>
        <v>E1_1_1_153_kcat : 13.7</v>
      </c>
      <c r="F8" t="str">
        <f t="shared" si="4"/>
        <v>E1_1_1_153_km : 1</v>
      </c>
      <c r="G8" t="str">
        <f t="shared" si="5"/>
        <v>E1_1_1_153_mRNA : E1_1_1_153_mRNA</v>
      </c>
      <c r="H8" t="str">
        <f t="shared" si="6"/>
        <v>E1_1_1_153 : E1_1_1_153</v>
      </c>
      <c r="I8" t="str">
        <f t="shared" si="7"/>
        <v>E1_1_1_153_mRNA : 0</v>
      </c>
      <c r="J8" t="str">
        <f t="shared" si="8"/>
        <v>E1_1_1_153 : 0</v>
      </c>
      <c r="K8" t="str">
        <f t="shared" si="9"/>
        <v>0.00292 - (0.0093 * E1_1_1_153_mRNA)</v>
      </c>
      <c r="L8" t="str">
        <f t="shared" si="10"/>
        <v>(0.278 * E1_1_1_153_mRNA) - (0.00000278 * E1_1_1_153)</v>
      </c>
      <c r="M8" t="str">
        <f t="shared" si="11"/>
        <v>mRNA7: -&gt; E1_1_1_153_mRNA | 0.00292 - (0.0093 * E1_1_1_153_mRNA)</v>
      </c>
      <c r="N8" t="str">
        <f t="shared" si="12"/>
        <v>Peptide7: E1_1_1_153_mRNA -&gt; E1_1_1_153 | (0.278 * E1_1_1_153_mRNA) - (0.000000278 * E1_1_1_153)</v>
      </c>
    </row>
    <row r="9" spans="1:14" x14ac:dyDescent="0.25">
      <c r="A9">
        <f t="shared" si="0"/>
        <v>8</v>
      </c>
      <c r="B9" s="5" t="s">
        <v>9657</v>
      </c>
      <c r="C9" t="str">
        <f t="shared" si="1"/>
        <v>E1_1_1_157_mRNA</v>
      </c>
      <c r="D9" t="str">
        <f t="shared" si="2"/>
        <v>E1_1_1_157</v>
      </c>
      <c r="E9" t="str">
        <f t="shared" si="3"/>
        <v>E1_1_1_157_kcat : 13.7</v>
      </c>
      <c r="F9" t="str">
        <f t="shared" si="4"/>
        <v>E1_1_1_157_km : 1</v>
      </c>
      <c r="G9" t="str">
        <f t="shared" si="5"/>
        <v>E1_1_1_157_mRNA : E1_1_1_157_mRNA</v>
      </c>
      <c r="H9" t="str">
        <f t="shared" si="6"/>
        <v>E1_1_1_157 : E1_1_1_157</v>
      </c>
      <c r="I9" t="str">
        <f t="shared" si="7"/>
        <v>E1_1_1_157_mRNA : 0</v>
      </c>
      <c r="J9" t="str">
        <f t="shared" si="8"/>
        <v>E1_1_1_157 : 0</v>
      </c>
      <c r="K9" t="str">
        <f t="shared" si="9"/>
        <v>0.00292 - (0.0093 * E1_1_1_157_mRNA)</v>
      </c>
      <c r="L9" t="str">
        <f t="shared" si="10"/>
        <v>(0.278 * E1_1_1_157_mRNA) - (0.00000278 * E1_1_1_157)</v>
      </c>
      <c r="M9" t="str">
        <f t="shared" si="11"/>
        <v>mRNA8: -&gt; E1_1_1_157_mRNA | 0.00292 - (0.0093 * E1_1_1_157_mRNA)</v>
      </c>
      <c r="N9" t="str">
        <f t="shared" si="12"/>
        <v>Peptide8: E1_1_1_157_mRNA -&gt; E1_1_1_157 | (0.278 * E1_1_1_157_mRNA) - (0.000000278 * E1_1_1_157)</v>
      </c>
    </row>
    <row r="10" spans="1:14" x14ac:dyDescent="0.25">
      <c r="A10">
        <f t="shared" si="0"/>
        <v>9</v>
      </c>
      <c r="B10" s="5" t="s">
        <v>9395</v>
      </c>
      <c r="C10" t="str">
        <f t="shared" si="1"/>
        <v>E1_1_1_205_mRNA</v>
      </c>
      <c r="D10" t="str">
        <f t="shared" si="2"/>
        <v>E1_1_1_205</v>
      </c>
      <c r="E10" t="str">
        <f t="shared" si="3"/>
        <v>E1_1_1_205_kcat : 13.7</v>
      </c>
      <c r="F10" t="str">
        <f t="shared" si="4"/>
        <v>E1_1_1_205_km : 1</v>
      </c>
      <c r="G10" t="str">
        <f t="shared" si="5"/>
        <v>E1_1_1_205_mRNA : E1_1_1_205_mRNA</v>
      </c>
      <c r="H10" t="str">
        <f t="shared" si="6"/>
        <v>E1_1_1_205 : E1_1_1_205</v>
      </c>
      <c r="I10" t="str">
        <f t="shared" si="7"/>
        <v>E1_1_1_205_mRNA : 0</v>
      </c>
      <c r="J10" t="str">
        <f t="shared" si="8"/>
        <v>E1_1_1_205 : 0</v>
      </c>
      <c r="K10" t="str">
        <f t="shared" si="9"/>
        <v>0.00292 - (0.0093 * E1_1_1_205_mRNA)</v>
      </c>
      <c r="L10" t="str">
        <f t="shared" si="10"/>
        <v>(0.278 * E1_1_1_205_mRNA) - (0.00000278 * E1_1_1_205)</v>
      </c>
      <c r="M10" t="str">
        <f t="shared" si="11"/>
        <v>mRNA9: -&gt; E1_1_1_205_mRNA | 0.00292 - (0.0093 * E1_1_1_205_mRNA)</v>
      </c>
      <c r="N10" t="str">
        <f t="shared" si="12"/>
        <v>Peptide9: E1_1_1_205_mRNA -&gt; E1_1_1_205 | (0.278 * E1_1_1_205_mRNA) - (0.000000278 * E1_1_1_205)</v>
      </c>
    </row>
    <row r="11" spans="1:14" x14ac:dyDescent="0.25">
      <c r="A11">
        <f t="shared" si="0"/>
        <v>10</v>
      </c>
      <c r="B11" s="5" t="s">
        <v>9530</v>
      </c>
      <c r="C11" t="str">
        <f t="shared" si="1"/>
        <v>E1_1_1_22_mRNA</v>
      </c>
      <c r="D11" t="str">
        <f t="shared" si="2"/>
        <v>E1_1_1_22</v>
      </c>
      <c r="E11" t="str">
        <f t="shared" si="3"/>
        <v>E1_1_1_22_kcat : 13.7</v>
      </c>
      <c r="F11" t="str">
        <f t="shared" si="4"/>
        <v>E1_1_1_22_km : 1</v>
      </c>
      <c r="G11" t="str">
        <f t="shared" si="5"/>
        <v>E1_1_1_22_mRNA : E1_1_1_22_mRNA</v>
      </c>
      <c r="H11" t="str">
        <f t="shared" si="6"/>
        <v>E1_1_1_22 : E1_1_1_22</v>
      </c>
      <c r="I11" t="str">
        <f t="shared" si="7"/>
        <v>E1_1_1_22_mRNA : 0</v>
      </c>
      <c r="J11" t="str">
        <f t="shared" si="8"/>
        <v>E1_1_1_22 : 0</v>
      </c>
      <c r="K11" t="str">
        <f t="shared" si="9"/>
        <v>0.00292 - (0.0093 * E1_1_1_22_mRNA)</v>
      </c>
      <c r="L11" t="str">
        <f t="shared" si="10"/>
        <v>(0.278 * E1_1_1_22_mRNA) - (0.00000278 * E1_1_1_22)</v>
      </c>
      <c r="M11" t="str">
        <f t="shared" si="11"/>
        <v>mRNA10: -&gt; E1_1_1_22_mRNA | 0.00292 - (0.0093 * E1_1_1_22_mRNA)</v>
      </c>
      <c r="N11" t="str">
        <f t="shared" si="12"/>
        <v>Peptide10: E1_1_1_22_mRNA -&gt; E1_1_1_22 | (0.278 * E1_1_1_22_mRNA) - (0.000000278 * E1_1_1_22)</v>
      </c>
    </row>
    <row r="12" spans="1:14" x14ac:dyDescent="0.25">
      <c r="A12">
        <f t="shared" si="0"/>
        <v>11</v>
      </c>
      <c r="B12" s="5" t="s">
        <v>9694</v>
      </c>
      <c r="C12" t="str">
        <f t="shared" si="1"/>
        <v>E1_1_1_23_mRNA</v>
      </c>
      <c r="D12" t="str">
        <f t="shared" si="2"/>
        <v>E1_1_1_23</v>
      </c>
      <c r="E12" t="str">
        <f t="shared" si="3"/>
        <v>E1_1_1_23_kcat : 13.7</v>
      </c>
      <c r="F12" t="str">
        <f t="shared" si="4"/>
        <v>E1_1_1_23_km : 1</v>
      </c>
      <c r="G12" t="str">
        <f t="shared" si="5"/>
        <v>E1_1_1_23_mRNA : E1_1_1_23_mRNA</v>
      </c>
      <c r="H12" t="str">
        <f t="shared" si="6"/>
        <v>E1_1_1_23 : E1_1_1_23</v>
      </c>
      <c r="I12" t="str">
        <f t="shared" si="7"/>
        <v>E1_1_1_23_mRNA : 0</v>
      </c>
      <c r="J12" t="str">
        <f t="shared" si="8"/>
        <v>E1_1_1_23 : 0</v>
      </c>
      <c r="K12" t="str">
        <f t="shared" si="9"/>
        <v>0.00292 - (0.0093 * E1_1_1_23_mRNA)</v>
      </c>
      <c r="L12" t="str">
        <f t="shared" si="10"/>
        <v>(0.278 * E1_1_1_23_mRNA) - (0.00000278 * E1_1_1_23)</v>
      </c>
      <c r="M12" t="str">
        <f t="shared" si="11"/>
        <v>mRNA11: -&gt; E1_1_1_23_mRNA | 0.00292 - (0.0093 * E1_1_1_23_mRNA)</v>
      </c>
      <c r="N12" t="str">
        <f t="shared" si="12"/>
        <v>Peptide11: E1_1_1_23_mRNA -&gt; E1_1_1_23 | (0.278 * E1_1_1_23_mRNA) - (0.000000278 * E1_1_1_23)</v>
      </c>
    </row>
    <row r="13" spans="1:14" x14ac:dyDescent="0.25">
      <c r="A13">
        <f t="shared" si="0"/>
        <v>12</v>
      </c>
      <c r="B13" s="5" t="s">
        <v>9520</v>
      </c>
      <c r="C13" t="str">
        <f t="shared" si="1"/>
        <v>E1_1_1_25_mRNA</v>
      </c>
      <c r="D13" t="str">
        <f t="shared" si="2"/>
        <v>E1_1_1_25</v>
      </c>
      <c r="E13" t="str">
        <f t="shared" si="3"/>
        <v>E1_1_1_25_kcat : 13.7</v>
      </c>
      <c r="F13" t="str">
        <f t="shared" si="4"/>
        <v>E1_1_1_25_km : 1</v>
      </c>
      <c r="G13" t="str">
        <f t="shared" si="5"/>
        <v>E1_1_1_25_mRNA : E1_1_1_25_mRNA</v>
      </c>
      <c r="H13" t="str">
        <f t="shared" si="6"/>
        <v>E1_1_1_25 : E1_1_1_25</v>
      </c>
      <c r="I13" t="str">
        <f t="shared" si="7"/>
        <v>E1_1_1_25_mRNA : 0</v>
      </c>
      <c r="J13" t="str">
        <f t="shared" si="8"/>
        <v>E1_1_1_25 : 0</v>
      </c>
      <c r="K13" t="str">
        <f t="shared" si="9"/>
        <v>0.00292 - (0.0093 * E1_1_1_25_mRNA)</v>
      </c>
      <c r="L13" t="str">
        <f t="shared" si="10"/>
        <v>(0.278 * E1_1_1_25_mRNA) - (0.00000278 * E1_1_1_25)</v>
      </c>
      <c r="M13" t="str">
        <f t="shared" si="11"/>
        <v>mRNA12: -&gt; E1_1_1_25_mRNA | 0.00292 - (0.0093 * E1_1_1_25_mRNA)</v>
      </c>
      <c r="N13" t="str">
        <f t="shared" si="12"/>
        <v>Peptide12: E1_1_1_25_mRNA -&gt; E1_1_1_25 | (0.278 * E1_1_1_25_mRNA) - (0.000000278 * E1_1_1_25)</v>
      </c>
    </row>
    <row r="14" spans="1:14" x14ac:dyDescent="0.25">
      <c r="A14">
        <f t="shared" si="0"/>
        <v>13</v>
      </c>
      <c r="B14" s="5" t="s">
        <v>9703</v>
      </c>
      <c r="C14" t="str">
        <f t="shared" si="1"/>
        <v>E1_1_1_267_mRNA</v>
      </c>
      <c r="D14" t="str">
        <f t="shared" si="2"/>
        <v>E1_1_1_267</v>
      </c>
      <c r="E14" t="str">
        <f t="shared" si="3"/>
        <v>E1_1_1_267_kcat : 13.7</v>
      </c>
      <c r="F14" t="str">
        <f t="shared" si="4"/>
        <v>E1_1_1_267_km : 1</v>
      </c>
      <c r="G14" t="str">
        <f t="shared" si="5"/>
        <v>E1_1_1_267_mRNA : E1_1_1_267_mRNA</v>
      </c>
      <c r="H14" t="str">
        <f t="shared" si="6"/>
        <v>E1_1_1_267 : E1_1_1_267</v>
      </c>
      <c r="I14" t="str">
        <f t="shared" si="7"/>
        <v>E1_1_1_267_mRNA : 0</v>
      </c>
      <c r="J14" t="str">
        <f t="shared" si="8"/>
        <v>E1_1_1_267 : 0</v>
      </c>
      <c r="K14" t="str">
        <f t="shared" si="9"/>
        <v>0.00292 - (0.0093 * E1_1_1_267_mRNA)</v>
      </c>
      <c r="L14" t="str">
        <f t="shared" si="10"/>
        <v>(0.278 * E1_1_1_267_mRNA) - (0.00000278 * E1_1_1_267)</v>
      </c>
      <c r="M14" t="str">
        <f t="shared" si="11"/>
        <v>mRNA13: -&gt; E1_1_1_267_mRNA | 0.00292 - (0.0093 * E1_1_1_267_mRNA)</v>
      </c>
      <c r="N14" t="str">
        <f t="shared" si="12"/>
        <v>Peptide13: E1_1_1_267_mRNA -&gt; E1_1_1_267 | (0.278 * E1_1_1_267_mRNA) - (0.000000278 * E1_1_1_267)</v>
      </c>
    </row>
    <row r="15" spans="1:14" x14ac:dyDescent="0.25">
      <c r="A15">
        <f t="shared" si="0"/>
        <v>14</v>
      </c>
      <c r="B15" s="5" t="s">
        <v>9529</v>
      </c>
      <c r="C15" t="str">
        <f t="shared" si="1"/>
        <v>E1_1_1_27_mRNA</v>
      </c>
      <c r="D15" t="str">
        <f t="shared" si="2"/>
        <v>E1_1_1_27</v>
      </c>
      <c r="E15" t="str">
        <f t="shared" si="3"/>
        <v>E1_1_1_27_kcat : 13.7</v>
      </c>
      <c r="F15" t="str">
        <f t="shared" si="4"/>
        <v>E1_1_1_27_km : 1</v>
      </c>
      <c r="G15" t="str">
        <f t="shared" si="5"/>
        <v>E1_1_1_27_mRNA : E1_1_1_27_mRNA</v>
      </c>
      <c r="H15" t="str">
        <f t="shared" si="6"/>
        <v>E1_1_1_27 : E1_1_1_27</v>
      </c>
      <c r="I15" t="str">
        <f t="shared" si="7"/>
        <v>E1_1_1_27_mRNA : 0</v>
      </c>
      <c r="J15" t="str">
        <f t="shared" si="8"/>
        <v>E1_1_1_27 : 0</v>
      </c>
      <c r="K15" t="str">
        <f t="shared" si="9"/>
        <v>0.00292 - (0.0093 * E1_1_1_27_mRNA)</v>
      </c>
      <c r="L15" t="str">
        <f t="shared" si="10"/>
        <v>(0.278 * E1_1_1_27_mRNA) - (0.00000278 * E1_1_1_27)</v>
      </c>
      <c r="M15" t="str">
        <f t="shared" si="11"/>
        <v>mRNA14: -&gt; E1_1_1_27_mRNA | 0.00292 - (0.0093 * E1_1_1_27_mRNA)</v>
      </c>
      <c r="N15" t="str">
        <f t="shared" si="12"/>
        <v>Peptide14: E1_1_1_27_mRNA -&gt; E1_1_1_27 | (0.278 * E1_1_1_27_mRNA) - (0.000000278 * E1_1_1_27)</v>
      </c>
    </row>
    <row r="16" spans="1:14" x14ac:dyDescent="0.25">
      <c r="A16">
        <f t="shared" si="0"/>
        <v>15</v>
      </c>
      <c r="B16" s="5" t="s">
        <v>9533</v>
      </c>
      <c r="C16" t="str">
        <f t="shared" si="1"/>
        <v>E1_1_1_271_mRNA</v>
      </c>
      <c r="D16" t="str">
        <f t="shared" si="2"/>
        <v>E1_1_1_271</v>
      </c>
      <c r="E16" t="str">
        <f t="shared" si="3"/>
        <v>E1_1_1_271_kcat : 13.7</v>
      </c>
      <c r="F16" t="str">
        <f t="shared" si="4"/>
        <v>E1_1_1_271_km : 1</v>
      </c>
      <c r="G16" t="str">
        <f t="shared" si="5"/>
        <v>E1_1_1_271_mRNA : E1_1_1_271_mRNA</v>
      </c>
      <c r="H16" t="str">
        <f t="shared" si="6"/>
        <v>E1_1_1_271 : E1_1_1_271</v>
      </c>
      <c r="I16" t="str">
        <f t="shared" si="7"/>
        <v>E1_1_1_271_mRNA : 0</v>
      </c>
      <c r="J16" t="str">
        <f t="shared" si="8"/>
        <v>E1_1_1_271 : 0</v>
      </c>
      <c r="K16" t="str">
        <f t="shared" si="9"/>
        <v>0.00292 - (0.0093 * E1_1_1_271_mRNA)</v>
      </c>
      <c r="L16" t="str">
        <f t="shared" si="10"/>
        <v>(0.278 * E1_1_1_271_mRNA) - (0.00000278 * E1_1_1_271)</v>
      </c>
      <c r="M16" t="str">
        <f t="shared" si="11"/>
        <v>mRNA15: -&gt; E1_1_1_271_mRNA | 0.00292 - (0.0093 * E1_1_1_271_mRNA)</v>
      </c>
      <c r="N16" t="str">
        <f t="shared" si="12"/>
        <v>Peptide15: E1_1_1_271_mRNA -&gt; E1_1_1_271 | (0.278 * E1_1_1_271_mRNA) - (0.000000278 * E1_1_1_271)</v>
      </c>
    </row>
    <row r="17" spans="1:14" x14ac:dyDescent="0.25">
      <c r="A17">
        <f t="shared" si="0"/>
        <v>16</v>
      </c>
      <c r="B17" s="5" t="s">
        <v>9743</v>
      </c>
      <c r="C17" t="str">
        <f t="shared" si="1"/>
        <v>E1_1_1_3_mRNA</v>
      </c>
      <c r="D17" t="str">
        <f t="shared" si="2"/>
        <v>E1_1_1_3</v>
      </c>
      <c r="E17" t="str">
        <f t="shared" si="3"/>
        <v>E1_1_1_3_kcat : 13.7</v>
      </c>
      <c r="F17" t="str">
        <f t="shared" si="4"/>
        <v>E1_1_1_3_km : 1</v>
      </c>
      <c r="G17" t="str">
        <f t="shared" si="5"/>
        <v>E1_1_1_3_mRNA : E1_1_1_3_mRNA</v>
      </c>
      <c r="H17" t="str">
        <f t="shared" si="6"/>
        <v>E1_1_1_3 : E1_1_1_3</v>
      </c>
      <c r="I17" t="str">
        <f t="shared" si="7"/>
        <v>E1_1_1_3_mRNA : 0</v>
      </c>
      <c r="J17" t="str">
        <f t="shared" si="8"/>
        <v>E1_1_1_3 : 0</v>
      </c>
      <c r="K17" t="str">
        <f t="shared" si="9"/>
        <v>0.00292 - (0.0093 * E1_1_1_3_mRNA)</v>
      </c>
      <c r="L17" t="str">
        <f t="shared" si="10"/>
        <v>(0.278 * E1_1_1_3_mRNA) - (0.00000278 * E1_1_1_3)</v>
      </c>
      <c r="M17" t="str">
        <f t="shared" si="11"/>
        <v>mRNA16: -&gt; E1_1_1_3_mRNA | 0.00292 - (0.0093 * E1_1_1_3_mRNA)</v>
      </c>
      <c r="N17" t="str">
        <f t="shared" si="12"/>
        <v>Peptide16: E1_1_1_3_mRNA -&gt; E1_1_1_3 | (0.278 * E1_1_1_3_mRNA) - (0.000000278 * E1_1_1_3)</v>
      </c>
    </row>
    <row r="18" spans="1:14" x14ac:dyDescent="0.25">
      <c r="A18">
        <f t="shared" si="0"/>
        <v>17</v>
      </c>
      <c r="B18" s="5" t="s">
        <v>9574</v>
      </c>
      <c r="C18" t="str">
        <f t="shared" si="1"/>
        <v>E1_1_1_30_mRNA</v>
      </c>
      <c r="D18" t="str">
        <f t="shared" si="2"/>
        <v>E1_1_1_30</v>
      </c>
      <c r="E18" t="str">
        <f t="shared" si="3"/>
        <v>E1_1_1_30_kcat : 13.7</v>
      </c>
      <c r="F18" t="str">
        <f t="shared" si="4"/>
        <v>E1_1_1_30_km : 1</v>
      </c>
      <c r="G18" t="str">
        <f t="shared" si="5"/>
        <v>E1_1_1_30_mRNA : E1_1_1_30_mRNA</v>
      </c>
      <c r="H18" t="str">
        <f t="shared" si="6"/>
        <v>E1_1_1_30 : E1_1_1_30</v>
      </c>
      <c r="I18" t="str">
        <f t="shared" si="7"/>
        <v>E1_1_1_30_mRNA : 0</v>
      </c>
      <c r="J18" t="str">
        <f t="shared" si="8"/>
        <v>E1_1_1_30 : 0</v>
      </c>
      <c r="K18" t="str">
        <f t="shared" si="9"/>
        <v>0.00292 - (0.0093 * E1_1_1_30_mRNA)</v>
      </c>
      <c r="L18" t="str">
        <f t="shared" si="10"/>
        <v>(0.278 * E1_1_1_30_mRNA) - (0.00000278 * E1_1_1_30)</v>
      </c>
      <c r="M18" t="str">
        <f t="shared" si="11"/>
        <v>mRNA17: -&gt; E1_1_1_30_mRNA | 0.00292 - (0.0093 * E1_1_1_30_mRNA)</v>
      </c>
      <c r="N18" t="str">
        <f t="shared" si="12"/>
        <v>Peptide17: E1_1_1_30_mRNA -&gt; E1_1_1_30 | (0.278 * E1_1_1_30_mRNA) - (0.000000278 * E1_1_1_30)</v>
      </c>
    </row>
    <row r="19" spans="1:14" x14ac:dyDescent="0.25">
      <c r="A19">
        <f t="shared" si="0"/>
        <v>18</v>
      </c>
      <c r="B19" s="5" t="s">
        <v>9538</v>
      </c>
      <c r="C19" t="str">
        <f t="shared" si="1"/>
        <v>E1_1_1_35_mRNA</v>
      </c>
      <c r="D19" t="str">
        <f t="shared" si="2"/>
        <v>E1_1_1_35</v>
      </c>
      <c r="E19" t="str">
        <f t="shared" si="3"/>
        <v>E1_1_1_35_kcat : 13.7</v>
      </c>
      <c r="F19" t="str">
        <f t="shared" si="4"/>
        <v>E1_1_1_35_km : 1</v>
      </c>
      <c r="G19" t="str">
        <f t="shared" si="5"/>
        <v>E1_1_1_35_mRNA : E1_1_1_35_mRNA</v>
      </c>
      <c r="H19" t="str">
        <f t="shared" si="6"/>
        <v>E1_1_1_35 : E1_1_1_35</v>
      </c>
      <c r="I19" t="str">
        <f t="shared" si="7"/>
        <v>E1_1_1_35_mRNA : 0</v>
      </c>
      <c r="J19" t="str">
        <f t="shared" si="8"/>
        <v>E1_1_1_35 : 0</v>
      </c>
      <c r="K19" t="str">
        <f t="shared" si="9"/>
        <v>0.00292 - (0.0093 * E1_1_1_35_mRNA)</v>
      </c>
      <c r="L19" t="str">
        <f t="shared" si="10"/>
        <v>(0.278 * E1_1_1_35_mRNA) - (0.00000278 * E1_1_1_35)</v>
      </c>
      <c r="M19" t="str">
        <f t="shared" si="11"/>
        <v>mRNA18: -&gt; E1_1_1_35_mRNA | 0.00292 - (0.0093 * E1_1_1_35_mRNA)</v>
      </c>
      <c r="N19" t="str">
        <f t="shared" si="12"/>
        <v>Peptide18: E1_1_1_35_mRNA -&gt; E1_1_1_35 | (0.278 * E1_1_1_35_mRNA) - (0.000000278 * E1_1_1_35)</v>
      </c>
    </row>
    <row r="20" spans="1:14" x14ac:dyDescent="0.25">
      <c r="A20">
        <f t="shared" si="0"/>
        <v>19</v>
      </c>
      <c r="B20" s="5" t="s">
        <v>9720</v>
      </c>
      <c r="C20" t="str">
        <f t="shared" si="1"/>
        <v>E1_1_1_37_mRNA</v>
      </c>
      <c r="D20" t="str">
        <f t="shared" si="2"/>
        <v>E1_1_1_37</v>
      </c>
      <c r="E20" t="str">
        <f t="shared" si="3"/>
        <v>E1_1_1_37_kcat : 13.7</v>
      </c>
      <c r="F20" t="str">
        <f t="shared" si="4"/>
        <v>E1_1_1_37_km : 1</v>
      </c>
      <c r="G20" t="str">
        <f t="shared" si="5"/>
        <v>E1_1_1_37_mRNA : E1_1_1_37_mRNA</v>
      </c>
      <c r="H20" t="str">
        <f t="shared" si="6"/>
        <v>E1_1_1_37 : E1_1_1_37</v>
      </c>
      <c r="I20" t="str">
        <f t="shared" si="7"/>
        <v>E1_1_1_37_mRNA : 0</v>
      </c>
      <c r="J20" t="str">
        <f t="shared" si="8"/>
        <v>E1_1_1_37 : 0</v>
      </c>
      <c r="K20" t="str">
        <f t="shared" si="9"/>
        <v>0.00292 - (0.0093 * E1_1_1_37_mRNA)</v>
      </c>
      <c r="L20" t="str">
        <f t="shared" si="10"/>
        <v>(0.278 * E1_1_1_37_mRNA) - (0.00000278 * E1_1_1_37)</v>
      </c>
      <c r="M20" t="str">
        <f t="shared" si="11"/>
        <v>mRNA19: -&gt; E1_1_1_37_mRNA | 0.00292 - (0.0093 * E1_1_1_37_mRNA)</v>
      </c>
      <c r="N20" t="str">
        <f t="shared" si="12"/>
        <v>Peptide19: E1_1_1_37_mRNA -&gt; E1_1_1_37 | (0.278 * E1_1_1_37_mRNA) - (0.000000278 * E1_1_1_37)</v>
      </c>
    </row>
    <row r="21" spans="1:14" x14ac:dyDescent="0.25">
      <c r="A21">
        <f t="shared" si="0"/>
        <v>20</v>
      </c>
      <c r="B21" s="5" t="s">
        <v>9726</v>
      </c>
      <c r="C21" t="str">
        <f t="shared" si="1"/>
        <v>E1_1_1_38_mRNA</v>
      </c>
      <c r="D21" t="str">
        <f t="shared" si="2"/>
        <v>E1_1_1_38</v>
      </c>
      <c r="E21" t="str">
        <f t="shared" si="3"/>
        <v>E1_1_1_38_kcat : 13.7</v>
      </c>
      <c r="F21" t="str">
        <f t="shared" si="4"/>
        <v>E1_1_1_38_km : 1</v>
      </c>
      <c r="G21" t="str">
        <f t="shared" si="5"/>
        <v>E1_1_1_38_mRNA : E1_1_1_38_mRNA</v>
      </c>
      <c r="H21" t="str">
        <f t="shared" si="6"/>
        <v>E1_1_1_38 : E1_1_1_38</v>
      </c>
      <c r="I21" t="str">
        <f t="shared" si="7"/>
        <v>E1_1_1_38_mRNA : 0</v>
      </c>
      <c r="J21" t="str">
        <f t="shared" si="8"/>
        <v>E1_1_1_38 : 0</v>
      </c>
      <c r="K21" t="str">
        <f t="shared" si="9"/>
        <v>0.00292 - (0.0093 * E1_1_1_38_mRNA)</v>
      </c>
      <c r="L21" t="str">
        <f t="shared" si="10"/>
        <v>(0.278 * E1_1_1_38_mRNA) - (0.00000278 * E1_1_1_38)</v>
      </c>
      <c r="M21" t="str">
        <f t="shared" si="11"/>
        <v>mRNA20: -&gt; E1_1_1_38_mRNA | 0.00292 - (0.0093 * E1_1_1_38_mRNA)</v>
      </c>
      <c r="N21" t="str">
        <f t="shared" si="12"/>
        <v>Peptide20: E1_1_1_38_mRNA -&gt; E1_1_1_38 | (0.278 * E1_1_1_38_mRNA) - (0.000000278 * E1_1_1_38)</v>
      </c>
    </row>
    <row r="22" spans="1:14" x14ac:dyDescent="0.25">
      <c r="A22">
        <f t="shared" si="0"/>
        <v>21</v>
      </c>
      <c r="B22" s="5" t="s">
        <v>9676</v>
      </c>
      <c r="C22" t="str">
        <f t="shared" si="1"/>
        <v>E1_1_1_42_mRNA</v>
      </c>
      <c r="D22" t="str">
        <f t="shared" si="2"/>
        <v>E1_1_1_42</v>
      </c>
      <c r="E22" t="str">
        <f t="shared" si="3"/>
        <v>E1_1_1_42_kcat : 13.7</v>
      </c>
      <c r="F22" t="str">
        <f t="shared" si="4"/>
        <v>E1_1_1_42_km : 1</v>
      </c>
      <c r="G22" t="str">
        <f t="shared" si="5"/>
        <v>E1_1_1_42_mRNA : E1_1_1_42_mRNA</v>
      </c>
      <c r="H22" t="str">
        <f t="shared" si="6"/>
        <v>E1_1_1_42 : E1_1_1_42</v>
      </c>
      <c r="I22" t="str">
        <f t="shared" si="7"/>
        <v>E1_1_1_42_mRNA : 0</v>
      </c>
      <c r="J22" t="str">
        <f t="shared" si="8"/>
        <v>E1_1_1_42 : 0</v>
      </c>
      <c r="K22" t="str">
        <f t="shared" si="9"/>
        <v>0.00292 - (0.0093 * E1_1_1_42_mRNA)</v>
      </c>
      <c r="L22" t="str">
        <f t="shared" si="10"/>
        <v>(0.278 * E1_1_1_42_mRNA) - (0.00000278 * E1_1_1_42)</v>
      </c>
      <c r="M22" t="str">
        <f t="shared" si="11"/>
        <v>mRNA21: -&gt; E1_1_1_42_mRNA | 0.00292 - (0.0093 * E1_1_1_42_mRNA)</v>
      </c>
      <c r="N22" t="str">
        <f t="shared" si="12"/>
        <v>Peptide21: E1_1_1_42_mRNA -&gt; E1_1_1_42 | (0.278 * E1_1_1_42_mRNA) - (0.000000278 * E1_1_1_42)</v>
      </c>
    </row>
    <row r="23" spans="1:14" x14ac:dyDescent="0.25">
      <c r="A23">
        <f t="shared" si="0"/>
        <v>22</v>
      </c>
      <c r="B23" s="5" t="s">
        <v>9672</v>
      </c>
      <c r="C23" t="str">
        <f t="shared" si="1"/>
        <v>E1_1_1_79_mRNA</v>
      </c>
      <c r="D23" t="str">
        <f t="shared" si="2"/>
        <v>E1_1_1_79</v>
      </c>
      <c r="E23" t="str">
        <f t="shared" si="3"/>
        <v>E1_1_1_79_kcat : 13.7</v>
      </c>
      <c r="F23" t="str">
        <f t="shared" si="4"/>
        <v>E1_1_1_79_km : 1</v>
      </c>
      <c r="G23" t="str">
        <f t="shared" si="5"/>
        <v>E1_1_1_79_mRNA : E1_1_1_79_mRNA</v>
      </c>
      <c r="H23" t="str">
        <f t="shared" si="6"/>
        <v>E1_1_1_79 : E1_1_1_79</v>
      </c>
      <c r="I23" t="str">
        <f t="shared" si="7"/>
        <v>E1_1_1_79_mRNA : 0</v>
      </c>
      <c r="J23" t="str">
        <f t="shared" si="8"/>
        <v>E1_1_1_79 : 0</v>
      </c>
      <c r="K23" t="str">
        <f t="shared" si="9"/>
        <v>0.00292 - (0.0093 * E1_1_1_79_mRNA)</v>
      </c>
      <c r="L23" t="str">
        <f t="shared" si="10"/>
        <v>(0.278 * E1_1_1_79_mRNA) - (0.00000278 * E1_1_1_79)</v>
      </c>
      <c r="M23" t="str">
        <f t="shared" si="11"/>
        <v>mRNA22: -&gt; E1_1_1_79_mRNA | 0.00292 - (0.0093 * E1_1_1_79_mRNA)</v>
      </c>
      <c r="N23" t="str">
        <f t="shared" si="12"/>
        <v>Peptide22: E1_1_1_79_mRNA -&gt; E1_1_1_79 | (0.278 * E1_1_1_79_mRNA) - (0.000000278 * E1_1_1_79)</v>
      </c>
    </row>
    <row r="24" spans="1:14" x14ac:dyDescent="0.25">
      <c r="A24">
        <f t="shared" si="0"/>
        <v>23</v>
      </c>
      <c r="B24" s="5" t="s">
        <v>9662</v>
      </c>
      <c r="C24" t="str">
        <f t="shared" si="1"/>
        <v>E1_1_1_85_mRNA</v>
      </c>
      <c r="D24" t="str">
        <f t="shared" si="2"/>
        <v>E1_1_1_85</v>
      </c>
      <c r="E24" t="str">
        <f t="shared" si="3"/>
        <v>E1_1_1_85_kcat : 13.7</v>
      </c>
      <c r="F24" t="str">
        <f t="shared" si="4"/>
        <v>E1_1_1_85_km : 1</v>
      </c>
      <c r="G24" t="str">
        <f t="shared" si="5"/>
        <v>E1_1_1_85_mRNA : E1_1_1_85_mRNA</v>
      </c>
      <c r="H24" t="str">
        <f t="shared" si="6"/>
        <v>E1_1_1_85 : E1_1_1_85</v>
      </c>
      <c r="I24" t="str">
        <f t="shared" si="7"/>
        <v>E1_1_1_85_mRNA : 0</v>
      </c>
      <c r="J24" t="str">
        <f t="shared" si="8"/>
        <v>E1_1_1_85 : 0</v>
      </c>
      <c r="K24" t="str">
        <f t="shared" si="9"/>
        <v>0.00292 - (0.0093 * E1_1_1_85_mRNA)</v>
      </c>
      <c r="L24" t="str">
        <f t="shared" si="10"/>
        <v>(0.278 * E1_1_1_85_mRNA) - (0.00000278 * E1_1_1_85)</v>
      </c>
      <c r="M24" t="str">
        <f t="shared" si="11"/>
        <v>mRNA23: -&gt; E1_1_1_85_mRNA | 0.00292 - (0.0093 * E1_1_1_85_mRNA)</v>
      </c>
      <c r="N24" t="str">
        <f t="shared" si="12"/>
        <v>Peptide23: E1_1_1_85_mRNA -&gt; E1_1_1_85 | (0.278 * E1_1_1_85_mRNA) - (0.000000278 * E1_1_1_85)</v>
      </c>
    </row>
    <row r="25" spans="1:14" x14ac:dyDescent="0.25">
      <c r="A25">
        <f t="shared" si="0"/>
        <v>24</v>
      </c>
      <c r="B25" s="5" t="s">
        <v>9647</v>
      </c>
      <c r="C25" t="str">
        <f t="shared" si="1"/>
        <v>E1_1_1_86_mRNA</v>
      </c>
      <c r="D25" t="str">
        <f t="shared" si="2"/>
        <v>E1_1_1_86</v>
      </c>
      <c r="E25" t="str">
        <f t="shared" si="3"/>
        <v>E1_1_1_86_kcat : 13.7</v>
      </c>
      <c r="F25" t="str">
        <f t="shared" si="4"/>
        <v>E1_1_1_86_km : 1</v>
      </c>
      <c r="G25" t="str">
        <f t="shared" si="5"/>
        <v>E1_1_1_86_mRNA : E1_1_1_86_mRNA</v>
      </c>
      <c r="H25" t="str">
        <f t="shared" si="6"/>
        <v>E1_1_1_86 : E1_1_1_86</v>
      </c>
      <c r="I25" t="str">
        <f t="shared" si="7"/>
        <v>E1_1_1_86_mRNA : 0</v>
      </c>
      <c r="J25" t="str">
        <f t="shared" si="8"/>
        <v>E1_1_1_86 : 0</v>
      </c>
      <c r="K25" t="str">
        <f t="shared" si="9"/>
        <v>0.00292 - (0.0093 * E1_1_1_86_mRNA)</v>
      </c>
      <c r="L25" t="str">
        <f t="shared" si="10"/>
        <v>(0.278 * E1_1_1_86_mRNA) - (0.00000278 * E1_1_1_86)</v>
      </c>
      <c r="M25" t="str">
        <f t="shared" si="11"/>
        <v>mRNA24: -&gt; E1_1_1_86_mRNA | 0.00292 - (0.0093 * E1_1_1_86_mRNA)</v>
      </c>
      <c r="N25" t="str">
        <f t="shared" si="12"/>
        <v>Peptide24: E1_1_1_86_mRNA -&gt; E1_1_1_86 | (0.278 * E1_1_1_86_mRNA) - (0.000000278 * E1_1_1_86)</v>
      </c>
    </row>
    <row r="26" spans="1:14" x14ac:dyDescent="0.25">
      <c r="A26">
        <f t="shared" si="0"/>
        <v>25</v>
      </c>
      <c r="B26" s="5" t="s">
        <v>9492</v>
      </c>
      <c r="C26" t="str">
        <f t="shared" si="1"/>
        <v>E1_1_1_87_mRNA</v>
      </c>
      <c r="D26" t="str">
        <f t="shared" si="2"/>
        <v>E1_1_1_87</v>
      </c>
      <c r="E26" t="str">
        <f t="shared" si="3"/>
        <v>E1_1_1_87_kcat : 13.7</v>
      </c>
      <c r="F26" t="str">
        <f t="shared" si="4"/>
        <v>E1_1_1_87_km : 1</v>
      </c>
      <c r="G26" t="str">
        <f t="shared" si="5"/>
        <v>E1_1_1_87_mRNA : E1_1_1_87_mRNA</v>
      </c>
      <c r="H26" t="str">
        <f t="shared" si="6"/>
        <v>E1_1_1_87 : E1_1_1_87</v>
      </c>
      <c r="I26" t="str">
        <f t="shared" si="7"/>
        <v>E1_1_1_87_mRNA : 0</v>
      </c>
      <c r="J26" t="str">
        <f t="shared" si="8"/>
        <v>E1_1_1_87 : 0</v>
      </c>
      <c r="K26" t="str">
        <f t="shared" si="9"/>
        <v>0.00292 - (0.0093 * E1_1_1_87_mRNA)</v>
      </c>
      <c r="L26" t="str">
        <f t="shared" si="10"/>
        <v>(0.278 * E1_1_1_87_mRNA) - (0.00000278 * E1_1_1_87)</v>
      </c>
      <c r="M26" t="str">
        <f t="shared" si="11"/>
        <v>mRNA25: -&gt; E1_1_1_87_mRNA | 0.00292 - (0.0093 * E1_1_1_87_mRNA)</v>
      </c>
      <c r="N26" t="str">
        <f t="shared" si="12"/>
        <v>Peptide25: E1_1_1_87_mRNA -&gt; E1_1_1_87 | (0.278 * E1_1_1_87_mRNA) - (0.000000278 * E1_1_1_87)</v>
      </c>
    </row>
    <row r="27" spans="1:14" x14ac:dyDescent="0.25">
      <c r="A27">
        <f t="shared" si="0"/>
        <v>26</v>
      </c>
      <c r="B27" s="5" t="s">
        <v>9443</v>
      </c>
      <c r="C27" t="str">
        <f t="shared" si="1"/>
        <v>E1_1_1_94_mRNA</v>
      </c>
      <c r="D27" t="str">
        <f t="shared" si="2"/>
        <v>E1_1_1_94</v>
      </c>
      <c r="E27" t="str">
        <f t="shared" si="3"/>
        <v>E1_1_1_94_kcat : 13.7</v>
      </c>
      <c r="F27" t="str">
        <f t="shared" si="4"/>
        <v>E1_1_1_94_km : 1</v>
      </c>
      <c r="G27" t="str">
        <f t="shared" si="5"/>
        <v>E1_1_1_94_mRNA : E1_1_1_94_mRNA</v>
      </c>
      <c r="H27" t="str">
        <f t="shared" si="6"/>
        <v>E1_1_1_94 : E1_1_1_94</v>
      </c>
      <c r="I27" t="str">
        <f t="shared" si="7"/>
        <v>E1_1_1_94_mRNA : 0</v>
      </c>
      <c r="J27" t="str">
        <f t="shared" si="8"/>
        <v>E1_1_1_94 : 0</v>
      </c>
      <c r="K27" t="str">
        <f t="shared" si="9"/>
        <v>0.00292 - (0.0093 * E1_1_1_94_mRNA)</v>
      </c>
      <c r="L27" t="str">
        <f t="shared" si="10"/>
        <v>(0.278 * E1_1_1_94_mRNA) - (0.00000278 * E1_1_1_94)</v>
      </c>
      <c r="M27" t="str">
        <f t="shared" si="11"/>
        <v>mRNA26: -&gt; E1_1_1_94_mRNA | 0.00292 - (0.0093 * E1_1_1_94_mRNA)</v>
      </c>
      <c r="N27" t="str">
        <f t="shared" si="12"/>
        <v>Peptide26: E1_1_1_94_mRNA -&gt; E1_1_1_94 | (0.278 * E1_1_1_94_mRNA) - (0.000000278 * E1_1_1_94)</v>
      </c>
    </row>
    <row r="28" spans="1:14" x14ac:dyDescent="0.25">
      <c r="A28">
        <f t="shared" si="0"/>
        <v>27</v>
      </c>
      <c r="B28" s="5" t="s">
        <v>9461</v>
      </c>
      <c r="C28" t="str">
        <f t="shared" si="1"/>
        <v>E1_1_1_95_mRNA</v>
      </c>
      <c r="D28" t="str">
        <f t="shared" si="2"/>
        <v>E1_1_1_95</v>
      </c>
      <c r="E28" t="str">
        <f t="shared" si="3"/>
        <v>E1_1_1_95_kcat : 13.7</v>
      </c>
      <c r="F28" t="str">
        <f t="shared" si="4"/>
        <v>E1_1_1_95_km : 1</v>
      </c>
      <c r="G28" t="str">
        <f t="shared" si="5"/>
        <v>E1_1_1_95_mRNA : E1_1_1_95_mRNA</v>
      </c>
      <c r="H28" t="str">
        <f t="shared" si="6"/>
        <v>E1_1_1_95 : E1_1_1_95</v>
      </c>
      <c r="I28" t="str">
        <f t="shared" si="7"/>
        <v>E1_1_1_95_mRNA : 0</v>
      </c>
      <c r="J28" t="str">
        <f t="shared" si="8"/>
        <v>E1_1_1_95 : 0</v>
      </c>
      <c r="K28" t="str">
        <f t="shared" si="9"/>
        <v>0.00292 - (0.0093 * E1_1_1_95_mRNA)</v>
      </c>
      <c r="L28" t="str">
        <f t="shared" si="10"/>
        <v>(0.278 * E1_1_1_95_mRNA) - (0.00000278 * E1_1_1_95)</v>
      </c>
      <c r="M28" t="str">
        <f t="shared" si="11"/>
        <v>mRNA27: -&gt; E1_1_1_95_mRNA | 0.00292 - (0.0093 * E1_1_1_95_mRNA)</v>
      </c>
      <c r="N28" t="str">
        <f t="shared" si="12"/>
        <v>Peptide27: E1_1_1_95_mRNA -&gt; E1_1_1_95 | (0.278 * E1_1_1_95_mRNA) - (0.000000278 * E1_1_1_95)</v>
      </c>
    </row>
    <row r="29" spans="1:14" x14ac:dyDescent="0.25">
      <c r="A29">
        <f t="shared" si="0"/>
        <v>28</v>
      </c>
      <c r="B29" s="5" t="s">
        <v>9453</v>
      </c>
      <c r="C29" t="str">
        <f t="shared" si="1"/>
        <v>E1_1_2_4_mRNA</v>
      </c>
      <c r="D29" t="str">
        <f t="shared" si="2"/>
        <v>E1_1_2_4</v>
      </c>
      <c r="E29" t="str">
        <f t="shared" si="3"/>
        <v>E1_1_2_4_kcat : 13.7</v>
      </c>
      <c r="F29" t="str">
        <f t="shared" si="4"/>
        <v>E1_1_2_4_km : 1</v>
      </c>
      <c r="G29" t="str">
        <f t="shared" si="5"/>
        <v>E1_1_2_4_mRNA : E1_1_2_4_mRNA</v>
      </c>
      <c r="H29" t="str">
        <f t="shared" si="6"/>
        <v>E1_1_2_4 : E1_1_2_4</v>
      </c>
      <c r="I29" t="str">
        <f t="shared" si="7"/>
        <v>E1_1_2_4_mRNA : 0</v>
      </c>
      <c r="J29" t="str">
        <f t="shared" si="8"/>
        <v>E1_1_2_4 : 0</v>
      </c>
      <c r="K29" t="str">
        <f t="shared" si="9"/>
        <v>0.00292 - (0.0093 * E1_1_2_4_mRNA)</v>
      </c>
      <c r="L29" t="str">
        <f t="shared" si="10"/>
        <v>(0.278 * E1_1_2_4_mRNA) - (0.00000278 * E1_1_2_4)</v>
      </c>
      <c r="M29" t="str">
        <f t="shared" si="11"/>
        <v>mRNA28: -&gt; E1_1_2_4_mRNA | 0.00292 - (0.0093 * E1_1_2_4_mRNA)</v>
      </c>
      <c r="N29" t="str">
        <f t="shared" si="12"/>
        <v>Peptide28: E1_1_2_4_mRNA -&gt; E1_1_2_4 | (0.278 * E1_1_2_4_mRNA) - (0.000000278 * E1_1_2_4)</v>
      </c>
    </row>
    <row r="30" spans="1:14" x14ac:dyDescent="0.25">
      <c r="A30">
        <f t="shared" si="0"/>
        <v>29</v>
      </c>
      <c r="B30" s="5" t="s">
        <v>9730</v>
      </c>
      <c r="C30" t="str">
        <f t="shared" si="1"/>
        <v>E1_1_5_3_mRNA</v>
      </c>
      <c r="D30" t="str">
        <f t="shared" si="2"/>
        <v>E1_1_5_3</v>
      </c>
      <c r="E30" t="str">
        <f t="shared" si="3"/>
        <v>E1_1_5_3_kcat : 13.7</v>
      </c>
      <c r="F30" t="str">
        <f t="shared" si="4"/>
        <v>E1_1_5_3_km : 1</v>
      </c>
      <c r="G30" t="str">
        <f t="shared" si="5"/>
        <v>E1_1_5_3_mRNA : E1_1_5_3_mRNA</v>
      </c>
      <c r="H30" t="str">
        <f t="shared" si="6"/>
        <v>E1_1_5_3 : E1_1_5_3</v>
      </c>
      <c r="I30" t="str">
        <f t="shared" si="7"/>
        <v>E1_1_5_3_mRNA : 0</v>
      </c>
      <c r="J30" t="str">
        <f t="shared" si="8"/>
        <v>E1_1_5_3 : 0</v>
      </c>
      <c r="K30" t="str">
        <f t="shared" si="9"/>
        <v>0.00292 - (0.0093 * E1_1_5_3_mRNA)</v>
      </c>
      <c r="L30" t="str">
        <f t="shared" si="10"/>
        <v>(0.278 * E1_1_5_3_mRNA) - (0.00000278 * E1_1_5_3)</v>
      </c>
      <c r="M30" t="str">
        <f t="shared" si="11"/>
        <v>mRNA29: -&gt; E1_1_5_3_mRNA | 0.00292 - (0.0093 * E1_1_5_3_mRNA)</v>
      </c>
      <c r="N30" t="str">
        <f t="shared" si="12"/>
        <v>Peptide29: E1_1_5_3_mRNA -&gt; E1_1_5_3 | (0.278 * E1_1_5_3_mRNA) - (0.000000278 * E1_1_5_3)</v>
      </c>
    </row>
    <row r="31" spans="1:14" x14ac:dyDescent="0.25">
      <c r="A31">
        <f t="shared" si="0"/>
        <v>30</v>
      </c>
      <c r="B31" s="5" t="s">
        <v>9670</v>
      </c>
      <c r="C31" t="str">
        <f t="shared" si="1"/>
        <v>E1_1_99_14_mRNA</v>
      </c>
      <c r="D31" t="str">
        <f t="shared" si="2"/>
        <v>E1_1_99_14</v>
      </c>
      <c r="E31" t="str">
        <f t="shared" si="3"/>
        <v>E1_1_99_14_kcat : 13.7</v>
      </c>
      <c r="F31" t="str">
        <f t="shared" si="4"/>
        <v>E1_1_99_14_km : 1</v>
      </c>
      <c r="G31" t="str">
        <f t="shared" si="5"/>
        <v>E1_1_99_14_mRNA : E1_1_99_14_mRNA</v>
      </c>
      <c r="H31" t="str">
        <f t="shared" si="6"/>
        <v>E1_1_99_14 : E1_1_99_14</v>
      </c>
      <c r="I31" t="str">
        <f t="shared" si="7"/>
        <v>E1_1_99_14_mRNA : 0</v>
      </c>
      <c r="J31" t="str">
        <f t="shared" si="8"/>
        <v>E1_1_99_14 : 0</v>
      </c>
      <c r="K31" t="str">
        <f t="shared" si="9"/>
        <v>0.00292 - (0.0093 * E1_1_99_14_mRNA)</v>
      </c>
      <c r="L31" t="str">
        <f t="shared" si="10"/>
        <v>(0.278 * E1_1_99_14_mRNA) - (0.00000278 * E1_1_99_14)</v>
      </c>
      <c r="M31" t="str">
        <f t="shared" si="11"/>
        <v>mRNA30: -&gt; E1_1_99_14_mRNA | 0.00292 - (0.0093 * E1_1_99_14_mRNA)</v>
      </c>
      <c r="N31" t="str">
        <f t="shared" si="12"/>
        <v>Peptide30: E1_1_99_14_mRNA -&gt; E1_1_99_14 | (0.278 * E1_1_99_14_mRNA) - (0.000000278 * E1_1_99_14)</v>
      </c>
    </row>
    <row r="32" spans="1:14" x14ac:dyDescent="0.25">
      <c r="A32">
        <f t="shared" si="0"/>
        <v>31</v>
      </c>
      <c r="B32" s="5" t="s">
        <v>9711</v>
      </c>
      <c r="C32" t="str">
        <f t="shared" si="1"/>
        <v>E1_11_1_24_mRNA</v>
      </c>
      <c r="D32" t="str">
        <f t="shared" si="2"/>
        <v>E1_11_1_24</v>
      </c>
      <c r="E32" t="str">
        <f t="shared" si="3"/>
        <v>E1_11_1_24_kcat : 13.7</v>
      </c>
      <c r="F32" t="str">
        <f t="shared" si="4"/>
        <v>E1_11_1_24_km : 1</v>
      </c>
      <c r="G32" t="str">
        <f t="shared" si="5"/>
        <v>E1_11_1_24_mRNA : E1_11_1_24_mRNA</v>
      </c>
      <c r="H32" t="str">
        <f t="shared" si="6"/>
        <v>E1_11_1_24 : E1_11_1_24</v>
      </c>
      <c r="I32" t="str">
        <f t="shared" si="7"/>
        <v>E1_11_1_24_mRNA : 0</v>
      </c>
      <c r="J32" t="str">
        <f t="shared" si="8"/>
        <v>E1_11_1_24 : 0</v>
      </c>
      <c r="K32" t="str">
        <f t="shared" si="9"/>
        <v>0.00292 - (0.0093 * E1_11_1_24_mRNA)</v>
      </c>
      <c r="L32" t="str">
        <f t="shared" si="10"/>
        <v>(0.278 * E1_11_1_24_mRNA) - (0.00000278 * E1_11_1_24)</v>
      </c>
      <c r="M32" t="str">
        <f t="shared" si="11"/>
        <v>mRNA31: -&gt; E1_11_1_24_mRNA | 0.00292 - (0.0093 * E1_11_1_24_mRNA)</v>
      </c>
      <c r="N32" t="str">
        <f t="shared" si="12"/>
        <v>Peptide31: E1_11_1_24_mRNA -&gt; E1_11_1_24 | (0.278 * E1_11_1_24_mRNA) - (0.000000278 * E1_11_1_24)</v>
      </c>
    </row>
    <row r="33" spans="1:14" x14ac:dyDescent="0.25">
      <c r="A33">
        <f t="shared" si="0"/>
        <v>32</v>
      </c>
      <c r="B33" s="5" t="s">
        <v>9712</v>
      </c>
      <c r="C33" t="str">
        <f t="shared" si="1"/>
        <v>E1_11_1_25_mRNA</v>
      </c>
      <c r="D33" t="str">
        <f t="shared" si="2"/>
        <v>E1_11_1_25</v>
      </c>
      <c r="E33" t="str">
        <f t="shared" si="3"/>
        <v>E1_11_1_25_kcat : 13.7</v>
      </c>
      <c r="F33" t="str">
        <f t="shared" si="4"/>
        <v>E1_11_1_25_km : 1</v>
      </c>
      <c r="G33" t="str">
        <f t="shared" si="5"/>
        <v>E1_11_1_25_mRNA : E1_11_1_25_mRNA</v>
      </c>
      <c r="H33" t="str">
        <f t="shared" si="6"/>
        <v>E1_11_1_25 : E1_11_1_25</v>
      </c>
      <c r="I33" t="str">
        <f t="shared" si="7"/>
        <v>E1_11_1_25_mRNA : 0</v>
      </c>
      <c r="J33" t="str">
        <f t="shared" si="8"/>
        <v>E1_11_1_25 : 0</v>
      </c>
      <c r="K33" t="str">
        <f t="shared" si="9"/>
        <v>0.00292 - (0.0093 * E1_11_1_25_mRNA)</v>
      </c>
      <c r="L33" t="str">
        <f t="shared" si="10"/>
        <v>(0.278 * E1_11_1_25_mRNA) - (0.00000278 * E1_11_1_25)</v>
      </c>
      <c r="M33" t="str">
        <f t="shared" si="11"/>
        <v>mRNA32: -&gt; E1_11_1_25_mRNA | 0.00292 - (0.0093 * E1_11_1_25_mRNA)</v>
      </c>
      <c r="N33" t="str">
        <f t="shared" si="12"/>
        <v>Peptide32: E1_11_1_25_mRNA -&gt; E1_11_1_25 | (0.278 * E1_11_1_25_mRNA) - (0.000000278 * E1_11_1_25)</v>
      </c>
    </row>
    <row r="34" spans="1:14" x14ac:dyDescent="0.25">
      <c r="A34">
        <f t="shared" si="0"/>
        <v>33</v>
      </c>
      <c r="B34" s="5" t="s">
        <v>9713</v>
      </c>
      <c r="C34" t="str">
        <f t="shared" si="1"/>
        <v>E1_11_1_26_mRNA</v>
      </c>
      <c r="D34" t="str">
        <f t="shared" si="2"/>
        <v>E1_11_1_26</v>
      </c>
      <c r="E34" t="str">
        <f t="shared" si="3"/>
        <v>E1_11_1_26_kcat : 13.7</v>
      </c>
      <c r="F34" t="str">
        <f t="shared" si="4"/>
        <v>E1_11_1_26_km : 1</v>
      </c>
      <c r="G34" t="str">
        <f t="shared" si="5"/>
        <v>E1_11_1_26_mRNA : E1_11_1_26_mRNA</v>
      </c>
      <c r="H34" t="str">
        <f t="shared" si="6"/>
        <v>E1_11_1_26 : E1_11_1_26</v>
      </c>
      <c r="I34" t="str">
        <f t="shared" si="7"/>
        <v>E1_11_1_26_mRNA : 0</v>
      </c>
      <c r="J34" t="str">
        <f t="shared" si="8"/>
        <v>E1_11_1_26 : 0</v>
      </c>
      <c r="K34" t="str">
        <f t="shared" si="9"/>
        <v>0.00292 - (0.0093 * E1_11_1_26_mRNA)</v>
      </c>
      <c r="L34" t="str">
        <f t="shared" si="10"/>
        <v>(0.278 * E1_11_1_26_mRNA) - (0.00000278 * E1_11_1_26)</v>
      </c>
      <c r="M34" t="str">
        <f t="shared" si="11"/>
        <v>mRNA33: -&gt; E1_11_1_26_mRNA | 0.00292 - (0.0093 * E1_11_1_26_mRNA)</v>
      </c>
      <c r="N34" t="str">
        <f t="shared" si="12"/>
        <v>Peptide33: E1_11_1_26_mRNA -&gt; E1_11_1_26 | (0.278 * E1_11_1_26_mRNA) - (0.000000278 * E1_11_1_26)</v>
      </c>
    </row>
    <row r="35" spans="1:14" x14ac:dyDescent="0.25">
      <c r="A35">
        <f t="shared" si="0"/>
        <v>34</v>
      </c>
      <c r="B35" s="5" t="s">
        <v>9714</v>
      </c>
      <c r="C35" t="str">
        <f t="shared" si="1"/>
        <v>E1_11_1_27_mRNA</v>
      </c>
      <c r="D35" t="str">
        <f t="shared" si="2"/>
        <v>E1_11_1_27</v>
      </c>
      <c r="E35" t="str">
        <f t="shared" si="3"/>
        <v>E1_11_1_27_kcat : 13.7</v>
      </c>
      <c r="F35" t="str">
        <f t="shared" si="4"/>
        <v>E1_11_1_27_km : 1</v>
      </c>
      <c r="G35" t="str">
        <f t="shared" si="5"/>
        <v>E1_11_1_27_mRNA : E1_11_1_27_mRNA</v>
      </c>
      <c r="H35" t="str">
        <f t="shared" si="6"/>
        <v>E1_11_1_27 : E1_11_1_27</v>
      </c>
      <c r="I35" t="str">
        <f t="shared" si="7"/>
        <v>E1_11_1_27_mRNA : 0</v>
      </c>
      <c r="J35" t="str">
        <f t="shared" si="8"/>
        <v>E1_11_1_27 : 0</v>
      </c>
      <c r="K35" t="str">
        <f t="shared" si="9"/>
        <v>0.00292 - (0.0093 * E1_11_1_27_mRNA)</v>
      </c>
      <c r="L35" t="str">
        <f t="shared" si="10"/>
        <v>(0.278 * E1_11_1_27_mRNA) - (0.00000278 * E1_11_1_27)</v>
      </c>
      <c r="M35" t="str">
        <f t="shared" si="11"/>
        <v>mRNA34: -&gt; E1_11_1_27_mRNA | 0.00292 - (0.0093 * E1_11_1_27_mRNA)</v>
      </c>
      <c r="N35" t="str">
        <f t="shared" si="12"/>
        <v>Peptide34: E1_11_1_27_mRNA -&gt; E1_11_1_27 | (0.278 * E1_11_1_27_mRNA) - (0.000000278 * E1_11_1_27)</v>
      </c>
    </row>
    <row r="36" spans="1:14" x14ac:dyDescent="0.25">
      <c r="A36">
        <f t="shared" si="0"/>
        <v>35</v>
      </c>
      <c r="B36" s="5" t="s">
        <v>9715</v>
      </c>
      <c r="C36" t="str">
        <f t="shared" si="1"/>
        <v>E1_11_1_28_mRNA</v>
      </c>
      <c r="D36" t="str">
        <f t="shared" si="2"/>
        <v>E1_11_1_28</v>
      </c>
      <c r="E36" t="str">
        <f t="shared" si="3"/>
        <v>E1_11_1_28_kcat : 13.7</v>
      </c>
      <c r="F36" t="str">
        <f t="shared" si="4"/>
        <v>E1_11_1_28_km : 1</v>
      </c>
      <c r="G36" t="str">
        <f t="shared" si="5"/>
        <v>E1_11_1_28_mRNA : E1_11_1_28_mRNA</v>
      </c>
      <c r="H36" t="str">
        <f t="shared" si="6"/>
        <v>E1_11_1_28 : E1_11_1_28</v>
      </c>
      <c r="I36" t="str">
        <f t="shared" si="7"/>
        <v>E1_11_1_28_mRNA : 0</v>
      </c>
      <c r="J36" t="str">
        <f t="shared" si="8"/>
        <v>E1_11_1_28 : 0</v>
      </c>
      <c r="K36" t="str">
        <f t="shared" si="9"/>
        <v>0.00292 - (0.0093 * E1_11_1_28_mRNA)</v>
      </c>
      <c r="L36" t="str">
        <f t="shared" si="10"/>
        <v>(0.278 * E1_11_1_28_mRNA) - (0.00000278 * E1_11_1_28)</v>
      </c>
      <c r="M36" t="str">
        <f t="shared" si="11"/>
        <v>mRNA35: -&gt; E1_11_1_28_mRNA | 0.00292 - (0.0093 * E1_11_1_28_mRNA)</v>
      </c>
      <c r="N36" t="str">
        <f t="shared" si="12"/>
        <v>Peptide35: E1_11_1_28_mRNA -&gt; E1_11_1_28 | (0.278 * E1_11_1_28_mRNA) - (0.000000278 * E1_11_1_28)</v>
      </c>
    </row>
    <row r="37" spans="1:14" x14ac:dyDescent="0.25">
      <c r="A37">
        <f t="shared" si="0"/>
        <v>36</v>
      </c>
      <c r="B37" s="5" t="s">
        <v>9761</v>
      </c>
      <c r="C37" t="str">
        <f t="shared" si="1"/>
        <v>E1_11_1_6_mRNA</v>
      </c>
      <c r="D37" t="str">
        <f t="shared" si="2"/>
        <v>E1_11_1_6</v>
      </c>
      <c r="E37" t="str">
        <f t="shared" si="3"/>
        <v>E1_11_1_6_kcat : 13.7</v>
      </c>
      <c r="F37" t="str">
        <f t="shared" si="4"/>
        <v>E1_11_1_6_km : 1</v>
      </c>
      <c r="G37" t="str">
        <f t="shared" si="5"/>
        <v>E1_11_1_6_mRNA : E1_11_1_6_mRNA</v>
      </c>
      <c r="H37" t="str">
        <f t="shared" si="6"/>
        <v>E1_11_1_6 : E1_11_1_6</v>
      </c>
      <c r="I37" t="str">
        <f t="shared" si="7"/>
        <v>E1_11_1_6_mRNA : 0</v>
      </c>
      <c r="J37" t="str">
        <f t="shared" si="8"/>
        <v>E1_11_1_6 : 0</v>
      </c>
      <c r="K37" t="str">
        <f t="shared" si="9"/>
        <v>0.00292 - (0.0093 * E1_11_1_6_mRNA)</v>
      </c>
      <c r="L37" t="str">
        <f t="shared" si="10"/>
        <v>(0.278 * E1_11_1_6_mRNA) - (0.00000278 * E1_11_1_6)</v>
      </c>
      <c r="M37" t="str">
        <f t="shared" si="11"/>
        <v>mRNA36: -&gt; E1_11_1_6_mRNA | 0.00292 - (0.0093 * E1_11_1_6_mRNA)</v>
      </c>
      <c r="N37" t="str">
        <f t="shared" si="12"/>
        <v>Peptide36: E1_11_1_6_mRNA -&gt; E1_11_1_6 | (0.278 * E1_11_1_6_mRNA) - (0.000000278 * E1_11_1_6)</v>
      </c>
    </row>
    <row r="38" spans="1:14" x14ac:dyDescent="0.25">
      <c r="A38">
        <f t="shared" si="0"/>
        <v>37</v>
      </c>
      <c r="B38" s="5" t="s">
        <v>9580</v>
      </c>
      <c r="C38" t="str">
        <f t="shared" si="1"/>
        <v>E1_13_11_15_mRNA</v>
      </c>
      <c r="D38" t="str">
        <f t="shared" si="2"/>
        <v>E1_13_11_15</v>
      </c>
      <c r="E38" t="str">
        <f t="shared" si="3"/>
        <v>E1_13_11_15_kcat : 13.7</v>
      </c>
      <c r="F38" t="str">
        <f t="shared" si="4"/>
        <v>E1_13_11_15_km : 1</v>
      </c>
      <c r="G38" t="str">
        <f t="shared" si="5"/>
        <v>E1_13_11_15_mRNA : E1_13_11_15_mRNA</v>
      </c>
      <c r="H38" t="str">
        <f t="shared" si="6"/>
        <v>E1_13_11_15 : E1_13_11_15</v>
      </c>
      <c r="I38" t="str">
        <f t="shared" si="7"/>
        <v>E1_13_11_15_mRNA : 0</v>
      </c>
      <c r="J38" t="str">
        <f t="shared" si="8"/>
        <v>E1_13_11_15 : 0</v>
      </c>
      <c r="K38" t="str">
        <f t="shared" si="9"/>
        <v>0.00292 - (0.0093 * E1_13_11_15_mRNA)</v>
      </c>
      <c r="L38" t="str">
        <f t="shared" si="10"/>
        <v>(0.278 * E1_13_11_15_mRNA) - (0.00000278 * E1_13_11_15)</v>
      </c>
      <c r="M38" t="str">
        <f t="shared" si="11"/>
        <v>mRNA37: -&gt; E1_13_11_15_mRNA | 0.00292 - (0.0093 * E1_13_11_15_mRNA)</v>
      </c>
      <c r="N38" t="str">
        <f t="shared" si="12"/>
        <v>Peptide37: E1_13_11_15_mRNA -&gt; E1_13_11_15 | (0.278 * E1_13_11_15_mRNA) - (0.000000278 * E1_13_11_15)</v>
      </c>
    </row>
    <row r="39" spans="1:14" x14ac:dyDescent="0.25">
      <c r="A39">
        <f t="shared" si="0"/>
        <v>38</v>
      </c>
      <c r="B39" s="5" t="s">
        <v>9746</v>
      </c>
      <c r="C39" t="str">
        <f t="shared" si="1"/>
        <v>E1_13_12_16_mRNA</v>
      </c>
      <c r="D39" t="str">
        <f t="shared" si="2"/>
        <v>E1_13_12_16</v>
      </c>
      <c r="E39" t="str">
        <f t="shared" si="3"/>
        <v>E1_13_12_16_kcat : 13.7</v>
      </c>
      <c r="F39" t="str">
        <f t="shared" si="4"/>
        <v>E1_13_12_16_km : 1</v>
      </c>
      <c r="G39" t="str">
        <f t="shared" si="5"/>
        <v>E1_13_12_16_mRNA : E1_13_12_16_mRNA</v>
      </c>
      <c r="H39" t="str">
        <f t="shared" si="6"/>
        <v>E1_13_12_16 : E1_13_12_16</v>
      </c>
      <c r="I39" t="str">
        <f t="shared" si="7"/>
        <v>E1_13_12_16_mRNA : 0</v>
      </c>
      <c r="J39" t="str">
        <f t="shared" si="8"/>
        <v>E1_13_12_16 : 0</v>
      </c>
      <c r="K39" t="str">
        <f t="shared" si="9"/>
        <v>0.00292 - (0.0093 * E1_13_12_16_mRNA)</v>
      </c>
      <c r="L39" t="str">
        <f t="shared" si="10"/>
        <v>(0.278 * E1_13_12_16_mRNA) - (0.00000278 * E1_13_12_16)</v>
      </c>
      <c r="M39" t="str">
        <f t="shared" si="11"/>
        <v>mRNA38: -&gt; E1_13_12_16_mRNA | 0.00292 - (0.0093 * E1_13_12_16_mRNA)</v>
      </c>
      <c r="N39" t="str">
        <f t="shared" si="12"/>
        <v>Peptide38: E1_13_12_16_mRNA -&gt; E1_13_12_16 | (0.278 * E1_13_12_16_mRNA) - (0.000000278 * E1_13_12_16)</v>
      </c>
    </row>
    <row r="40" spans="1:14" x14ac:dyDescent="0.25">
      <c r="A40">
        <f t="shared" si="0"/>
        <v>39</v>
      </c>
      <c r="B40" s="5" t="s">
        <v>9411</v>
      </c>
      <c r="C40" t="str">
        <f t="shared" si="1"/>
        <v>E1_13_12_4_mRNA</v>
      </c>
      <c r="D40" t="str">
        <f t="shared" si="2"/>
        <v>E1_13_12_4</v>
      </c>
      <c r="E40" t="str">
        <f t="shared" si="3"/>
        <v>E1_13_12_4_kcat : 13.7</v>
      </c>
      <c r="F40" t="str">
        <f t="shared" si="4"/>
        <v>E1_13_12_4_km : 1</v>
      </c>
      <c r="G40" t="str">
        <f t="shared" si="5"/>
        <v>E1_13_12_4_mRNA : E1_13_12_4_mRNA</v>
      </c>
      <c r="H40" t="str">
        <f t="shared" si="6"/>
        <v>E1_13_12_4 : E1_13_12_4</v>
      </c>
      <c r="I40" t="str">
        <f t="shared" si="7"/>
        <v>E1_13_12_4_mRNA : 0</v>
      </c>
      <c r="J40" t="str">
        <f t="shared" si="8"/>
        <v>E1_13_12_4 : 0</v>
      </c>
      <c r="K40" t="str">
        <f t="shared" si="9"/>
        <v>0.00292 - (0.0093 * E1_13_12_4_mRNA)</v>
      </c>
      <c r="L40" t="str">
        <f t="shared" si="10"/>
        <v>(0.278 * E1_13_12_4_mRNA) - (0.00000278 * E1_13_12_4)</v>
      </c>
      <c r="M40" t="str">
        <f t="shared" si="11"/>
        <v>mRNA39: -&gt; E1_13_12_4_mRNA | 0.00292 - (0.0093 * E1_13_12_4_mRNA)</v>
      </c>
      <c r="N40" t="str">
        <f t="shared" si="12"/>
        <v>Peptide39: E1_13_12_4_mRNA -&gt; E1_13_12_4 | (0.278 * E1_13_12_4_mRNA) - (0.000000278 * E1_13_12_4)</v>
      </c>
    </row>
    <row r="41" spans="1:14" x14ac:dyDescent="0.25">
      <c r="A41">
        <f t="shared" si="0"/>
        <v>40</v>
      </c>
      <c r="B41" s="5" t="s">
        <v>9581</v>
      </c>
      <c r="C41" t="str">
        <f t="shared" si="1"/>
        <v>E1_14_14_9_mRNA</v>
      </c>
      <c r="D41" t="str">
        <f t="shared" si="2"/>
        <v>E1_14_14_9</v>
      </c>
      <c r="E41" t="str">
        <f t="shared" si="3"/>
        <v>E1_14_14_9_kcat : 13.7</v>
      </c>
      <c r="F41" t="str">
        <f t="shared" si="4"/>
        <v>E1_14_14_9_km : 1</v>
      </c>
      <c r="G41" t="str">
        <f t="shared" si="5"/>
        <v>E1_14_14_9_mRNA : E1_14_14_9_mRNA</v>
      </c>
      <c r="H41" t="str">
        <f t="shared" si="6"/>
        <v>E1_14_14_9 : E1_14_14_9</v>
      </c>
      <c r="I41" t="str">
        <f t="shared" si="7"/>
        <v>E1_14_14_9_mRNA : 0</v>
      </c>
      <c r="J41" t="str">
        <f t="shared" si="8"/>
        <v>E1_14_14_9 : 0</v>
      </c>
      <c r="K41" t="str">
        <f t="shared" si="9"/>
        <v>0.00292 - (0.0093 * E1_14_14_9_mRNA)</v>
      </c>
      <c r="L41" t="str">
        <f t="shared" si="10"/>
        <v>(0.278 * E1_14_14_9_mRNA) - (0.00000278 * E1_14_14_9)</v>
      </c>
      <c r="M41" t="str">
        <f t="shared" si="11"/>
        <v>mRNA40: -&gt; E1_14_14_9_mRNA | 0.00292 - (0.0093 * E1_14_14_9_mRNA)</v>
      </c>
      <c r="N41" t="str">
        <f t="shared" si="12"/>
        <v>Peptide40: E1_14_14_9_mRNA -&gt; E1_14_14_9 | (0.278 * E1_14_14_9_mRNA) - (0.000000278 * E1_14_14_9)</v>
      </c>
    </row>
    <row r="42" spans="1:14" x14ac:dyDescent="0.25">
      <c r="A42">
        <f t="shared" si="0"/>
        <v>41</v>
      </c>
      <c r="B42" s="5" t="s">
        <v>9651</v>
      </c>
      <c r="C42" t="str">
        <f t="shared" si="1"/>
        <v>E1_15_1_1_mRNA</v>
      </c>
      <c r="D42" t="str">
        <f t="shared" si="2"/>
        <v>E1_15_1_1</v>
      </c>
      <c r="E42" t="str">
        <f t="shared" si="3"/>
        <v>E1_15_1_1_kcat : 13.7</v>
      </c>
      <c r="F42" t="str">
        <f t="shared" si="4"/>
        <v>E1_15_1_1_km : 1</v>
      </c>
      <c r="G42" t="str">
        <f t="shared" si="5"/>
        <v>E1_15_1_1_mRNA : E1_15_1_1_mRNA</v>
      </c>
      <c r="H42" t="str">
        <f t="shared" si="6"/>
        <v>E1_15_1_1 : E1_15_1_1</v>
      </c>
      <c r="I42" t="str">
        <f t="shared" si="7"/>
        <v>E1_15_1_1_mRNA : 0</v>
      </c>
      <c r="J42" t="str">
        <f t="shared" si="8"/>
        <v>E1_15_1_1 : 0</v>
      </c>
      <c r="K42" t="str">
        <f t="shared" si="9"/>
        <v>0.00292 - (0.0093 * E1_15_1_1_mRNA)</v>
      </c>
      <c r="L42" t="str">
        <f t="shared" si="10"/>
        <v>(0.278 * E1_15_1_1_mRNA) - (0.00000278 * E1_15_1_1)</v>
      </c>
      <c r="M42" t="str">
        <f t="shared" si="11"/>
        <v>mRNA41: -&gt; E1_15_1_1_mRNA | 0.00292 - (0.0093 * E1_15_1_1_mRNA)</v>
      </c>
      <c r="N42" t="str">
        <f t="shared" si="12"/>
        <v>Peptide41: E1_15_1_1_mRNA -&gt; E1_15_1_1 | (0.278 * E1_15_1_1_mRNA) - (0.000000278 * E1_15_1_1)</v>
      </c>
    </row>
    <row r="43" spans="1:14" x14ac:dyDescent="0.25">
      <c r="A43">
        <f t="shared" si="0"/>
        <v>42</v>
      </c>
      <c r="B43" s="5" t="s">
        <v>9478</v>
      </c>
      <c r="C43" t="str">
        <f t="shared" si="1"/>
        <v>E1_17_4_1_mRNA</v>
      </c>
      <c r="D43" t="str">
        <f t="shared" si="2"/>
        <v>E1_17_4_1</v>
      </c>
      <c r="E43" t="str">
        <f t="shared" si="3"/>
        <v>E1_17_4_1_kcat : 13.7</v>
      </c>
      <c r="F43" t="str">
        <f t="shared" si="4"/>
        <v>E1_17_4_1_km : 1</v>
      </c>
      <c r="G43" t="str">
        <f t="shared" si="5"/>
        <v>E1_17_4_1_mRNA : E1_17_4_1_mRNA</v>
      </c>
      <c r="H43" t="str">
        <f t="shared" si="6"/>
        <v>E1_17_4_1 : E1_17_4_1</v>
      </c>
      <c r="I43" t="str">
        <f t="shared" si="7"/>
        <v>E1_17_4_1_mRNA : 0</v>
      </c>
      <c r="J43" t="str">
        <f t="shared" si="8"/>
        <v>E1_17_4_1 : 0</v>
      </c>
      <c r="K43" t="str">
        <f t="shared" si="9"/>
        <v>0.00292 - (0.0093 * E1_17_4_1_mRNA)</v>
      </c>
      <c r="L43" t="str">
        <f t="shared" si="10"/>
        <v>(0.278 * E1_17_4_1_mRNA) - (0.00000278 * E1_17_4_1)</v>
      </c>
      <c r="M43" t="str">
        <f t="shared" si="11"/>
        <v>mRNA42: -&gt; E1_17_4_1_mRNA | 0.00292 - (0.0093 * E1_17_4_1_mRNA)</v>
      </c>
      <c r="N43" t="str">
        <f t="shared" si="12"/>
        <v>Peptide42: E1_17_4_1_mRNA -&gt; E1_17_4_1 | (0.278 * E1_17_4_1_mRNA) - (0.000000278 * E1_17_4_1)</v>
      </c>
    </row>
    <row r="44" spans="1:14" x14ac:dyDescent="0.25">
      <c r="A44">
        <f t="shared" si="0"/>
        <v>43</v>
      </c>
      <c r="B44" s="5" t="s">
        <v>9807</v>
      </c>
      <c r="C44" t="str">
        <f t="shared" si="1"/>
        <v>E1_17_7_1_mRNA</v>
      </c>
      <c r="D44" t="str">
        <f t="shared" si="2"/>
        <v>E1_17_7_1</v>
      </c>
      <c r="E44" t="str">
        <f t="shared" si="3"/>
        <v>E1_17_7_1_kcat : 13.7</v>
      </c>
      <c r="F44" t="str">
        <f t="shared" si="4"/>
        <v>E1_17_7_1_km : 1</v>
      </c>
      <c r="G44" t="str">
        <f t="shared" si="5"/>
        <v>E1_17_7_1_mRNA : E1_17_7_1_mRNA</v>
      </c>
      <c r="H44" t="str">
        <f t="shared" si="6"/>
        <v>E1_17_7_1 : E1_17_7_1</v>
      </c>
      <c r="I44" t="str">
        <f t="shared" si="7"/>
        <v>E1_17_7_1_mRNA : 0</v>
      </c>
      <c r="J44" t="str">
        <f t="shared" si="8"/>
        <v>E1_17_7_1 : 0</v>
      </c>
      <c r="K44" t="str">
        <f t="shared" si="9"/>
        <v>0.00292 - (0.0093 * E1_17_7_1_mRNA)</v>
      </c>
      <c r="L44" t="str">
        <f t="shared" si="10"/>
        <v>(0.278 * E1_17_7_1_mRNA) - (0.00000278 * E1_17_7_1)</v>
      </c>
      <c r="M44" t="str">
        <f t="shared" si="11"/>
        <v>mRNA43: -&gt; E1_17_7_1_mRNA | 0.00292 - (0.0093 * E1_17_7_1_mRNA)</v>
      </c>
      <c r="N44" t="str">
        <f t="shared" si="12"/>
        <v>Peptide43: E1_17_7_1_mRNA -&gt; E1_17_7_1 | (0.278 * E1_17_7_1_mRNA) - (0.000000278 * E1_17_7_1)</v>
      </c>
    </row>
    <row r="45" spans="1:14" x14ac:dyDescent="0.25">
      <c r="A45">
        <f t="shared" si="0"/>
        <v>44</v>
      </c>
      <c r="B45" s="5" t="s">
        <v>9457</v>
      </c>
      <c r="C45" t="str">
        <f t="shared" si="1"/>
        <v>E1_17_7_4_mRNA</v>
      </c>
      <c r="D45" t="str">
        <f t="shared" si="2"/>
        <v>E1_17_7_4</v>
      </c>
      <c r="E45" t="str">
        <f t="shared" si="3"/>
        <v>E1_17_7_4_kcat : 13.7</v>
      </c>
      <c r="F45" t="str">
        <f t="shared" si="4"/>
        <v>E1_17_7_4_km : 1</v>
      </c>
      <c r="G45" t="str">
        <f t="shared" si="5"/>
        <v>E1_17_7_4_mRNA : E1_17_7_4_mRNA</v>
      </c>
      <c r="H45" t="str">
        <f t="shared" si="6"/>
        <v>E1_17_7_4 : E1_17_7_4</v>
      </c>
      <c r="I45" t="str">
        <f t="shared" si="7"/>
        <v>E1_17_7_4_mRNA : 0</v>
      </c>
      <c r="J45" t="str">
        <f t="shared" si="8"/>
        <v>E1_17_7_4 : 0</v>
      </c>
      <c r="K45" t="str">
        <f t="shared" si="9"/>
        <v>0.00292 - (0.0093 * E1_17_7_4_mRNA)</v>
      </c>
      <c r="L45" t="str">
        <f t="shared" si="10"/>
        <v>(0.278 * E1_17_7_4_mRNA) - (0.00000278 * E1_17_7_4)</v>
      </c>
      <c r="M45" t="str">
        <f t="shared" si="11"/>
        <v>mRNA44: -&gt; E1_17_7_4_mRNA | 0.00292 - (0.0093 * E1_17_7_4_mRNA)</v>
      </c>
      <c r="N45" t="str">
        <f t="shared" si="12"/>
        <v>Peptide44: E1_17_7_4_mRNA -&gt; E1_17_7_4 | (0.278 * E1_17_7_4_mRNA) - (0.000000278 * E1_17_7_4)</v>
      </c>
    </row>
    <row r="46" spans="1:14" x14ac:dyDescent="0.25">
      <c r="A46">
        <f t="shared" si="0"/>
        <v>45</v>
      </c>
      <c r="B46" s="5" t="s">
        <v>9653</v>
      </c>
      <c r="C46" t="str">
        <f t="shared" si="1"/>
        <v>E1_2_1_11_mRNA</v>
      </c>
      <c r="D46" t="str">
        <f t="shared" si="2"/>
        <v>E1_2_1_11</v>
      </c>
      <c r="E46" t="str">
        <f t="shared" si="3"/>
        <v>E1_2_1_11_kcat : 13.7</v>
      </c>
      <c r="F46" t="str">
        <f t="shared" si="4"/>
        <v>E1_2_1_11_km : 1</v>
      </c>
      <c r="G46" t="str">
        <f t="shared" si="5"/>
        <v>E1_2_1_11_mRNA : E1_2_1_11_mRNA</v>
      </c>
      <c r="H46" t="str">
        <f t="shared" si="6"/>
        <v>E1_2_1_11 : E1_2_1_11</v>
      </c>
      <c r="I46" t="str">
        <f t="shared" si="7"/>
        <v>E1_2_1_11_mRNA : 0</v>
      </c>
      <c r="J46" t="str">
        <f t="shared" si="8"/>
        <v>E1_2_1_11 : 0</v>
      </c>
      <c r="K46" t="str">
        <f t="shared" si="9"/>
        <v>0.00292 - (0.0093 * E1_2_1_11_mRNA)</v>
      </c>
      <c r="L46" t="str">
        <f t="shared" si="10"/>
        <v>(0.278 * E1_2_1_11_mRNA) - (0.00000278 * E1_2_1_11)</v>
      </c>
      <c r="M46" t="str">
        <f t="shared" si="11"/>
        <v>mRNA45: -&gt; E1_2_1_11_mRNA | 0.00292 - (0.0093 * E1_2_1_11_mRNA)</v>
      </c>
      <c r="N46" t="str">
        <f t="shared" si="12"/>
        <v>Peptide45: E1_2_1_11_mRNA -&gt; E1_2_1_11 | (0.278 * E1_2_1_11_mRNA) - (0.000000278 * E1_2_1_11)</v>
      </c>
    </row>
    <row r="47" spans="1:14" x14ac:dyDescent="0.25">
      <c r="A47">
        <f t="shared" si="0"/>
        <v>46</v>
      </c>
      <c r="B47" s="5" t="s">
        <v>9611</v>
      </c>
      <c r="C47" t="str">
        <f t="shared" si="1"/>
        <v>E1_2_1_12_mRNA</v>
      </c>
      <c r="D47" t="str">
        <f t="shared" si="2"/>
        <v>E1_2_1_12</v>
      </c>
      <c r="E47" t="str">
        <f t="shared" si="3"/>
        <v>E1_2_1_12_kcat : 13.7</v>
      </c>
      <c r="F47" t="str">
        <f t="shared" si="4"/>
        <v>E1_2_1_12_km : 1</v>
      </c>
      <c r="G47" t="str">
        <f t="shared" si="5"/>
        <v>E1_2_1_12_mRNA : E1_2_1_12_mRNA</v>
      </c>
      <c r="H47" t="str">
        <f t="shared" si="6"/>
        <v>E1_2_1_12 : E1_2_1_12</v>
      </c>
      <c r="I47" t="str">
        <f t="shared" si="7"/>
        <v>E1_2_1_12_mRNA : 0</v>
      </c>
      <c r="J47" t="str">
        <f t="shared" si="8"/>
        <v>E1_2_1_12 : 0</v>
      </c>
      <c r="K47" t="str">
        <f t="shared" si="9"/>
        <v>0.00292 - (0.0093 * E1_2_1_12_mRNA)</v>
      </c>
      <c r="L47" t="str">
        <f t="shared" si="10"/>
        <v>(0.278 * E1_2_1_12_mRNA) - (0.00000278 * E1_2_1_12)</v>
      </c>
      <c r="M47" t="str">
        <f t="shared" si="11"/>
        <v>mRNA46: -&gt; E1_2_1_12_mRNA | 0.00292 - (0.0093 * E1_2_1_12_mRNA)</v>
      </c>
      <c r="N47" t="str">
        <f t="shared" si="12"/>
        <v>Peptide46: E1_2_1_12_mRNA -&gt; E1_2_1_12 | (0.278 * E1_2_1_12_mRNA) - (0.000000278 * E1_2_1_12)</v>
      </c>
    </row>
    <row r="48" spans="1:14" x14ac:dyDescent="0.25">
      <c r="A48">
        <f t="shared" si="0"/>
        <v>47</v>
      </c>
      <c r="B48" s="5" t="s">
        <v>9603</v>
      </c>
      <c r="C48" t="str">
        <f t="shared" si="1"/>
        <v>E1_2_1_22_mRNA</v>
      </c>
      <c r="D48" t="str">
        <f t="shared" si="2"/>
        <v>E1_2_1_22</v>
      </c>
      <c r="E48" t="str">
        <f t="shared" si="3"/>
        <v>E1_2_1_22_kcat : 13.7</v>
      </c>
      <c r="F48" t="str">
        <f t="shared" si="4"/>
        <v>E1_2_1_22_km : 1</v>
      </c>
      <c r="G48" t="str">
        <f t="shared" si="5"/>
        <v>E1_2_1_22_mRNA : E1_2_1_22_mRNA</v>
      </c>
      <c r="H48" t="str">
        <f t="shared" si="6"/>
        <v>E1_2_1_22 : E1_2_1_22</v>
      </c>
      <c r="I48" t="str">
        <f t="shared" si="7"/>
        <v>E1_2_1_22_mRNA : 0</v>
      </c>
      <c r="J48" t="str">
        <f t="shared" si="8"/>
        <v>E1_2_1_22 : 0</v>
      </c>
      <c r="K48" t="str">
        <f t="shared" si="9"/>
        <v>0.00292 - (0.0093 * E1_2_1_22_mRNA)</v>
      </c>
      <c r="L48" t="str">
        <f t="shared" si="10"/>
        <v>(0.278 * E1_2_1_22_mRNA) - (0.00000278 * E1_2_1_22)</v>
      </c>
      <c r="M48" t="str">
        <f t="shared" si="11"/>
        <v>mRNA47: -&gt; E1_2_1_22_mRNA | 0.00292 - (0.0093 * E1_2_1_22_mRNA)</v>
      </c>
      <c r="N48" t="str">
        <f t="shared" si="12"/>
        <v>Peptide47: E1_2_1_22_mRNA -&gt; E1_2_1_22 | (0.278 * E1_2_1_22_mRNA) - (0.000000278 * E1_2_1_22)</v>
      </c>
    </row>
    <row r="49" spans="1:14" x14ac:dyDescent="0.25">
      <c r="A49">
        <f t="shared" si="0"/>
        <v>48</v>
      </c>
      <c r="B49" s="5" t="s">
        <v>9578</v>
      </c>
      <c r="C49" t="str">
        <f t="shared" si="1"/>
        <v>E1_2_1_3_mRNA</v>
      </c>
      <c r="D49" t="str">
        <f t="shared" si="2"/>
        <v>E1_2_1_3</v>
      </c>
      <c r="E49" t="str">
        <f t="shared" si="3"/>
        <v>E1_2_1_3_kcat : 13.7</v>
      </c>
      <c r="F49" t="str">
        <f t="shared" si="4"/>
        <v>E1_2_1_3_km : 1</v>
      </c>
      <c r="G49" t="str">
        <f t="shared" si="5"/>
        <v>E1_2_1_3_mRNA : E1_2_1_3_mRNA</v>
      </c>
      <c r="H49" t="str">
        <f t="shared" si="6"/>
        <v>E1_2_1_3 : E1_2_1_3</v>
      </c>
      <c r="I49" t="str">
        <f t="shared" si="7"/>
        <v>E1_2_1_3_mRNA : 0</v>
      </c>
      <c r="J49" t="str">
        <f t="shared" si="8"/>
        <v>E1_2_1_3 : 0</v>
      </c>
      <c r="K49" t="str">
        <f t="shared" si="9"/>
        <v>0.00292 - (0.0093 * E1_2_1_3_mRNA)</v>
      </c>
      <c r="L49" t="str">
        <f t="shared" si="10"/>
        <v>(0.278 * E1_2_1_3_mRNA) - (0.00000278 * E1_2_1_3)</v>
      </c>
      <c r="M49" t="str">
        <f t="shared" si="11"/>
        <v>mRNA48: -&gt; E1_2_1_3_mRNA | 0.00292 - (0.0093 * E1_2_1_3_mRNA)</v>
      </c>
      <c r="N49" t="str">
        <f t="shared" si="12"/>
        <v>Peptide48: E1_2_1_3_mRNA -&gt; E1_2_1_3 | (0.278 * E1_2_1_3_mRNA) - (0.000000278 * E1_2_1_3)</v>
      </c>
    </row>
    <row r="50" spans="1:14" x14ac:dyDescent="0.25">
      <c r="A50">
        <f t="shared" si="0"/>
        <v>49</v>
      </c>
      <c r="B50" s="5" t="s">
        <v>9643</v>
      </c>
      <c r="C50" t="str">
        <f t="shared" si="1"/>
        <v>E1_2_1_38_mRNA</v>
      </c>
      <c r="D50" t="str">
        <f t="shared" si="2"/>
        <v>E1_2_1_38</v>
      </c>
      <c r="E50" t="str">
        <f t="shared" si="3"/>
        <v>E1_2_1_38_kcat : 13.7</v>
      </c>
      <c r="F50" t="str">
        <f t="shared" si="4"/>
        <v>E1_2_1_38_km : 1</v>
      </c>
      <c r="G50" t="str">
        <f t="shared" si="5"/>
        <v>E1_2_1_38_mRNA : E1_2_1_38_mRNA</v>
      </c>
      <c r="H50" t="str">
        <f t="shared" si="6"/>
        <v>E1_2_1_38 : E1_2_1_38</v>
      </c>
      <c r="I50" t="str">
        <f t="shared" si="7"/>
        <v>E1_2_1_38_mRNA : 0</v>
      </c>
      <c r="J50" t="str">
        <f t="shared" si="8"/>
        <v>E1_2_1_38 : 0</v>
      </c>
      <c r="K50" t="str">
        <f t="shared" si="9"/>
        <v>0.00292 - (0.0093 * E1_2_1_38_mRNA)</v>
      </c>
      <c r="L50" t="str">
        <f t="shared" si="10"/>
        <v>(0.278 * E1_2_1_38_mRNA) - (0.00000278 * E1_2_1_38)</v>
      </c>
      <c r="M50" t="str">
        <f t="shared" si="11"/>
        <v>mRNA49: -&gt; E1_2_1_38_mRNA | 0.00292 - (0.0093 * E1_2_1_38_mRNA)</v>
      </c>
      <c r="N50" t="str">
        <f t="shared" si="12"/>
        <v>Peptide49: E1_2_1_38_mRNA -&gt; E1_2_1_38 | (0.278 * E1_2_1_38_mRNA) - (0.000000278 * E1_2_1_38)</v>
      </c>
    </row>
    <row r="51" spans="1:14" x14ac:dyDescent="0.25">
      <c r="A51">
        <f t="shared" si="0"/>
        <v>50</v>
      </c>
      <c r="B51" s="5" t="s">
        <v>9810</v>
      </c>
      <c r="C51" t="str">
        <f t="shared" si="1"/>
        <v>E1_2_1_41_mRNA</v>
      </c>
      <c r="D51" t="str">
        <f t="shared" si="2"/>
        <v>E1_2_1_41</v>
      </c>
      <c r="E51" t="str">
        <f t="shared" si="3"/>
        <v>E1_2_1_41_kcat : 13.7</v>
      </c>
      <c r="F51" t="str">
        <f t="shared" si="4"/>
        <v>E1_2_1_41_km : 1</v>
      </c>
      <c r="G51" t="str">
        <f t="shared" si="5"/>
        <v>E1_2_1_41_mRNA : E1_2_1_41_mRNA</v>
      </c>
      <c r="H51" t="str">
        <f t="shared" si="6"/>
        <v>E1_2_1_41 : E1_2_1_41</v>
      </c>
      <c r="I51" t="str">
        <f t="shared" si="7"/>
        <v>E1_2_1_41_mRNA : 0</v>
      </c>
      <c r="J51" t="str">
        <f t="shared" si="8"/>
        <v>E1_2_1_41 : 0</v>
      </c>
      <c r="K51" t="str">
        <f t="shared" si="9"/>
        <v>0.00292 - (0.0093 * E1_2_1_41_mRNA)</v>
      </c>
      <c r="L51" t="str">
        <f t="shared" si="10"/>
        <v>(0.278 * E1_2_1_41_mRNA) - (0.00000278 * E1_2_1_41)</v>
      </c>
      <c r="M51" t="str">
        <f t="shared" si="11"/>
        <v>mRNA50: -&gt; E1_2_1_41_mRNA | 0.00292 - (0.0093 * E1_2_1_41_mRNA)</v>
      </c>
      <c r="N51" t="str">
        <f t="shared" si="12"/>
        <v>Peptide50: E1_2_1_41_mRNA -&gt; E1_2_1_41 | (0.278 * E1_2_1_41_mRNA) - (0.000000278 * E1_2_1_41)</v>
      </c>
    </row>
    <row r="52" spans="1:14" x14ac:dyDescent="0.25">
      <c r="A52">
        <f t="shared" si="0"/>
        <v>51</v>
      </c>
      <c r="B52" s="5" t="s">
        <v>9582</v>
      </c>
      <c r="C52" t="str">
        <f t="shared" si="1"/>
        <v>E1_2_1_60_mRNA</v>
      </c>
      <c r="D52" t="str">
        <f t="shared" si="2"/>
        <v>E1_2_1_60</v>
      </c>
      <c r="E52" t="str">
        <f t="shared" si="3"/>
        <v>E1_2_1_60_kcat : 13.7</v>
      </c>
      <c r="F52" t="str">
        <f t="shared" si="4"/>
        <v>E1_2_1_60_km : 1</v>
      </c>
      <c r="G52" t="str">
        <f t="shared" si="5"/>
        <v>E1_2_1_60_mRNA : E1_2_1_60_mRNA</v>
      </c>
      <c r="H52" t="str">
        <f t="shared" si="6"/>
        <v>E1_2_1_60 : E1_2_1_60</v>
      </c>
      <c r="I52" t="str">
        <f t="shared" si="7"/>
        <v>E1_2_1_60_mRNA : 0</v>
      </c>
      <c r="J52" t="str">
        <f t="shared" si="8"/>
        <v>E1_2_1_60 : 0</v>
      </c>
      <c r="K52" t="str">
        <f t="shared" si="9"/>
        <v>0.00292 - (0.0093 * E1_2_1_60_mRNA)</v>
      </c>
      <c r="L52" t="str">
        <f t="shared" si="10"/>
        <v>(0.278 * E1_2_1_60_mRNA) - (0.00000278 * E1_2_1_60)</v>
      </c>
      <c r="M52" t="str">
        <f t="shared" si="11"/>
        <v>mRNA51: -&gt; E1_2_1_60_mRNA | 0.00292 - (0.0093 * E1_2_1_60_mRNA)</v>
      </c>
      <c r="N52" t="str">
        <f t="shared" si="12"/>
        <v>Peptide51: E1_2_1_60_mRNA -&gt; E1_2_1_60 | (0.278 * E1_2_1_60_mRNA) - (0.000000278 * E1_2_1_60)</v>
      </c>
    </row>
    <row r="53" spans="1:14" x14ac:dyDescent="0.25">
      <c r="A53">
        <f t="shared" si="0"/>
        <v>52</v>
      </c>
      <c r="B53" s="5" t="s">
        <v>9474</v>
      </c>
      <c r="C53" t="str">
        <f t="shared" si="1"/>
        <v>E1_2_1_70_mRNA</v>
      </c>
      <c r="D53" t="str">
        <f t="shared" si="2"/>
        <v>E1_2_1_70</v>
      </c>
      <c r="E53" t="str">
        <f t="shared" si="3"/>
        <v>E1_2_1_70_kcat : 13.7</v>
      </c>
      <c r="F53" t="str">
        <f t="shared" si="4"/>
        <v>E1_2_1_70_km : 1</v>
      </c>
      <c r="G53" t="str">
        <f t="shared" si="5"/>
        <v>E1_2_1_70_mRNA : E1_2_1_70_mRNA</v>
      </c>
      <c r="H53" t="str">
        <f t="shared" si="6"/>
        <v>E1_2_1_70 : E1_2_1_70</v>
      </c>
      <c r="I53" t="str">
        <f t="shared" si="7"/>
        <v>E1_2_1_70_mRNA : 0</v>
      </c>
      <c r="J53" t="str">
        <f t="shared" si="8"/>
        <v>E1_2_1_70 : 0</v>
      </c>
      <c r="K53" t="str">
        <f t="shared" si="9"/>
        <v>0.00292 - (0.0093 * E1_2_1_70_mRNA)</v>
      </c>
      <c r="L53" t="str">
        <f t="shared" si="10"/>
        <v>(0.278 * E1_2_1_70_mRNA) - (0.00000278 * E1_2_1_70)</v>
      </c>
      <c r="M53" t="str">
        <f t="shared" si="11"/>
        <v>mRNA52: -&gt; E1_2_1_70_mRNA | 0.00292 - (0.0093 * E1_2_1_70_mRNA)</v>
      </c>
      <c r="N53" t="str">
        <f t="shared" si="12"/>
        <v>Peptide52: E1_2_1_70_mRNA -&gt; E1_2_1_70 | (0.278 * E1_2_1_70_mRNA) - (0.000000278 * E1_2_1_70)</v>
      </c>
    </row>
    <row r="54" spans="1:14" x14ac:dyDescent="0.25">
      <c r="A54">
        <f t="shared" si="0"/>
        <v>53</v>
      </c>
      <c r="B54" s="5" t="s">
        <v>9769</v>
      </c>
      <c r="C54" t="str">
        <f t="shared" si="1"/>
        <v>E1_2_1_88_mRNA</v>
      </c>
      <c r="D54" t="str">
        <f t="shared" si="2"/>
        <v>E1_2_1_88</v>
      </c>
      <c r="E54" t="str">
        <f t="shared" si="3"/>
        <v>E1_2_1_88_kcat : 13.7</v>
      </c>
      <c r="F54" t="str">
        <f t="shared" si="4"/>
        <v>E1_2_1_88_km : 1</v>
      </c>
      <c r="G54" t="str">
        <f t="shared" si="5"/>
        <v>E1_2_1_88_mRNA : E1_2_1_88_mRNA</v>
      </c>
      <c r="H54" t="str">
        <f t="shared" si="6"/>
        <v>E1_2_1_88 : E1_2_1_88</v>
      </c>
      <c r="I54" t="str">
        <f t="shared" si="7"/>
        <v>E1_2_1_88_mRNA : 0</v>
      </c>
      <c r="J54" t="str">
        <f t="shared" si="8"/>
        <v>E1_2_1_88 : 0</v>
      </c>
      <c r="K54" t="str">
        <f t="shared" si="9"/>
        <v>0.00292 - (0.0093 * E1_2_1_88_mRNA)</v>
      </c>
      <c r="L54" t="str">
        <f t="shared" si="10"/>
        <v>(0.278 * E1_2_1_88_mRNA) - (0.00000278 * E1_2_1_88)</v>
      </c>
      <c r="M54" t="str">
        <f t="shared" si="11"/>
        <v>mRNA53: -&gt; E1_2_1_88_mRNA | 0.00292 - (0.0093 * E1_2_1_88_mRNA)</v>
      </c>
      <c r="N54" t="str">
        <f t="shared" si="12"/>
        <v>Peptide53: E1_2_1_88_mRNA -&gt; E1_2_1_88 | (0.278 * E1_2_1_88_mRNA) - (0.000000278 * E1_2_1_88)</v>
      </c>
    </row>
    <row r="55" spans="1:14" x14ac:dyDescent="0.25">
      <c r="A55">
        <f t="shared" si="0"/>
        <v>54</v>
      </c>
      <c r="B55" s="5" t="s">
        <v>9792</v>
      </c>
      <c r="C55" t="str">
        <f t="shared" si="1"/>
        <v>E1_2_4_1_mRNA</v>
      </c>
      <c r="D55" t="str">
        <f t="shared" si="2"/>
        <v>E1_2_4_1</v>
      </c>
      <c r="E55" t="str">
        <f t="shared" si="3"/>
        <v>E1_2_4_1_kcat : 13.7</v>
      </c>
      <c r="F55" t="str">
        <f t="shared" si="4"/>
        <v>E1_2_4_1_km : 1</v>
      </c>
      <c r="G55" t="str">
        <f t="shared" si="5"/>
        <v>E1_2_4_1_mRNA : E1_2_4_1_mRNA</v>
      </c>
      <c r="H55" t="str">
        <f t="shared" si="6"/>
        <v>E1_2_4_1 : E1_2_4_1</v>
      </c>
      <c r="I55" t="str">
        <f t="shared" si="7"/>
        <v>E1_2_4_1_mRNA : 0</v>
      </c>
      <c r="J55" t="str">
        <f t="shared" si="8"/>
        <v>E1_2_4_1 : 0</v>
      </c>
      <c r="K55" t="str">
        <f t="shared" si="9"/>
        <v>0.00292 - (0.0093 * E1_2_4_1_mRNA)</v>
      </c>
      <c r="L55" t="str">
        <f t="shared" si="10"/>
        <v>(0.278 * E1_2_4_1_mRNA) - (0.00000278 * E1_2_4_1)</v>
      </c>
      <c r="M55" t="str">
        <f t="shared" si="11"/>
        <v>mRNA54: -&gt; E1_2_4_1_mRNA | 0.00292 - (0.0093 * E1_2_4_1_mRNA)</v>
      </c>
      <c r="N55" t="str">
        <f t="shared" si="12"/>
        <v>Peptide54: E1_2_4_1_mRNA -&gt; E1_2_4_1 | (0.278 * E1_2_4_1_mRNA) - (0.000000278 * E1_2_4_1)</v>
      </c>
    </row>
    <row r="56" spans="1:14" x14ac:dyDescent="0.25">
      <c r="A56">
        <f t="shared" si="0"/>
        <v>55</v>
      </c>
      <c r="B56" s="5" t="s">
        <v>9419</v>
      </c>
      <c r="C56" t="str">
        <f t="shared" si="1"/>
        <v>E1_2_4_2_mRNA</v>
      </c>
      <c r="D56" t="str">
        <f t="shared" si="2"/>
        <v>E1_2_4_2</v>
      </c>
      <c r="E56" t="str">
        <f t="shared" si="3"/>
        <v>E1_2_4_2_kcat : 13.7</v>
      </c>
      <c r="F56" t="str">
        <f t="shared" si="4"/>
        <v>E1_2_4_2_km : 1</v>
      </c>
      <c r="G56" t="str">
        <f t="shared" si="5"/>
        <v>E1_2_4_2_mRNA : E1_2_4_2_mRNA</v>
      </c>
      <c r="H56" t="str">
        <f t="shared" si="6"/>
        <v>E1_2_4_2 : E1_2_4_2</v>
      </c>
      <c r="I56" t="str">
        <f t="shared" si="7"/>
        <v>E1_2_4_2_mRNA : 0</v>
      </c>
      <c r="J56" t="str">
        <f t="shared" si="8"/>
        <v>E1_2_4_2 : 0</v>
      </c>
      <c r="K56" t="str">
        <f t="shared" si="9"/>
        <v>0.00292 - (0.0093 * E1_2_4_2_mRNA)</v>
      </c>
      <c r="L56" t="str">
        <f t="shared" si="10"/>
        <v>(0.278 * E1_2_4_2_mRNA) - (0.00000278 * E1_2_4_2)</v>
      </c>
      <c r="M56" t="str">
        <f t="shared" si="11"/>
        <v>mRNA55: -&gt; E1_2_4_2_mRNA | 0.00292 - (0.0093 * E1_2_4_2_mRNA)</v>
      </c>
      <c r="N56" t="str">
        <f t="shared" si="12"/>
        <v>Peptide55: E1_2_4_2_mRNA -&gt; E1_2_4_2 | (0.278 * E1_2_4_2_mRNA) - (0.000000278 * E1_2_4_2)</v>
      </c>
    </row>
    <row r="57" spans="1:14" x14ac:dyDescent="0.25">
      <c r="A57">
        <f t="shared" si="0"/>
        <v>56</v>
      </c>
      <c r="B57" s="5" t="s">
        <v>9414</v>
      </c>
      <c r="C57" t="str">
        <f t="shared" si="1"/>
        <v>E1_2_4_4_mRNA</v>
      </c>
      <c r="D57" t="str">
        <f t="shared" si="2"/>
        <v>E1_2_4_4</v>
      </c>
      <c r="E57" t="str">
        <f t="shared" si="3"/>
        <v>E1_2_4_4_kcat : 13.7</v>
      </c>
      <c r="F57" t="str">
        <f t="shared" si="4"/>
        <v>E1_2_4_4_km : 1</v>
      </c>
      <c r="G57" t="str">
        <f t="shared" si="5"/>
        <v>E1_2_4_4_mRNA : E1_2_4_4_mRNA</v>
      </c>
      <c r="H57" t="str">
        <f t="shared" si="6"/>
        <v>E1_2_4_4 : E1_2_4_4</v>
      </c>
      <c r="I57" t="str">
        <f t="shared" si="7"/>
        <v>E1_2_4_4_mRNA : 0</v>
      </c>
      <c r="J57" t="str">
        <f t="shared" si="8"/>
        <v>E1_2_4_4 : 0</v>
      </c>
      <c r="K57" t="str">
        <f t="shared" si="9"/>
        <v>0.00292 - (0.0093 * E1_2_4_4_mRNA)</v>
      </c>
      <c r="L57" t="str">
        <f t="shared" si="10"/>
        <v>(0.278 * E1_2_4_4_mRNA) - (0.00000278 * E1_2_4_4)</v>
      </c>
      <c r="M57" t="str">
        <f t="shared" si="11"/>
        <v>mRNA56: -&gt; E1_2_4_4_mRNA | 0.00292 - (0.0093 * E1_2_4_4_mRNA)</v>
      </c>
      <c r="N57" t="str">
        <f t="shared" si="12"/>
        <v>Peptide56: E1_2_4_4_mRNA -&gt; E1_2_4_4 | (0.278 * E1_2_4_4_mRNA) - (0.000000278 * E1_2_4_4)</v>
      </c>
    </row>
    <row r="58" spans="1:14" x14ac:dyDescent="0.25">
      <c r="A58">
        <f t="shared" si="0"/>
        <v>57</v>
      </c>
      <c r="B58" s="5" t="s">
        <v>9784</v>
      </c>
      <c r="C58" t="str">
        <f t="shared" si="1"/>
        <v>E1_2_7_3_mRNA</v>
      </c>
      <c r="D58" t="str">
        <f t="shared" si="2"/>
        <v>E1_2_7_3</v>
      </c>
      <c r="E58" t="str">
        <f t="shared" si="3"/>
        <v>E1_2_7_3_kcat : 13.7</v>
      </c>
      <c r="F58" t="str">
        <f t="shared" si="4"/>
        <v>E1_2_7_3_km : 1</v>
      </c>
      <c r="G58" t="str">
        <f t="shared" si="5"/>
        <v>E1_2_7_3_mRNA : E1_2_7_3_mRNA</v>
      </c>
      <c r="H58" t="str">
        <f t="shared" si="6"/>
        <v>E1_2_7_3 : E1_2_7_3</v>
      </c>
      <c r="I58" t="str">
        <f t="shared" si="7"/>
        <v>E1_2_7_3_mRNA : 0</v>
      </c>
      <c r="J58" t="str">
        <f t="shared" si="8"/>
        <v>E1_2_7_3 : 0</v>
      </c>
      <c r="K58" t="str">
        <f t="shared" si="9"/>
        <v>0.00292 - (0.0093 * E1_2_7_3_mRNA)</v>
      </c>
      <c r="L58" t="str">
        <f t="shared" si="10"/>
        <v>(0.278 * E1_2_7_3_mRNA) - (0.00000278 * E1_2_7_3)</v>
      </c>
      <c r="M58" t="str">
        <f t="shared" si="11"/>
        <v>mRNA57: -&gt; E1_2_7_3_mRNA | 0.00292 - (0.0093 * E1_2_7_3_mRNA)</v>
      </c>
      <c r="N58" t="str">
        <f t="shared" si="12"/>
        <v>Peptide57: E1_2_7_3_mRNA -&gt; E1_2_7_3 | (0.278 * E1_2_7_3_mRNA) - (0.000000278 * E1_2_7_3)</v>
      </c>
    </row>
    <row r="59" spans="1:14" x14ac:dyDescent="0.25">
      <c r="A59">
        <f t="shared" si="0"/>
        <v>58</v>
      </c>
      <c r="B59" s="5" t="s">
        <v>9594</v>
      </c>
      <c r="C59" t="str">
        <f t="shared" si="1"/>
        <v>E1_2_7_5_mRNA</v>
      </c>
      <c r="D59" t="str">
        <f t="shared" si="2"/>
        <v>E1_2_7_5</v>
      </c>
      <c r="E59" t="str">
        <f t="shared" si="3"/>
        <v>E1_2_7_5_kcat : 13.7</v>
      </c>
      <c r="F59" t="str">
        <f t="shared" si="4"/>
        <v>E1_2_7_5_km : 1</v>
      </c>
      <c r="G59" t="str">
        <f t="shared" si="5"/>
        <v>E1_2_7_5_mRNA : E1_2_7_5_mRNA</v>
      </c>
      <c r="H59" t="str">
        <f t="shared" si="6"/>
        <v>E1_2_7_5 : E1_2_7_5</v>
      </c>
      <c r="I59" t="str">
        <f t="shared" si="7"/>
        <v>E1_2_7_5_mRNA : 0</v>
      </c>
      <c r="J59" t="str">
        <f t="shared" si="8"/>
        <v>E1_2_7_5 : 0</v>
      </c>
      <c r="K59" t="str">
        <f t="shared" si="9"/>
        <v>0.00292 - (0.0093 * E1_2_7_5_mRNA)</v>
      </c>
      <c r="L59" t="str">
        <f t="shared" si="10"/>
        <v>(0.278 * E1_2_7_5_mRNA) - (0.00000278 * E1_2_7_5)</v>
      </c>
      <c r="M59" t="str">
        <f t="shared" si="11"/>
        <v>mRNA58: -&gt; E1_2_7_5_mRNA | 0.00292 - (0.0093 * E1_2_7_5_mRNA)</v>
      </c>
      <c r="N59" t="str">
        <f t="shared" si="12"/>
        <v>Peptide58: E1_2_7_5_mRNA -&gt; E1_2_7_5 | (0.278 * E1_2_7_5_mRNA) - (0.000000278 * E1_2_7_5)</v>
      </c>
    </row>
    <row r="60" spans="1:14" x14ac:dyDescent="0.25">
      <c r="A60">
        <f t="shared" si="0"/>
        <v>59</v>
      </c>
      <c r="B60" s="5" t="s">
        <v>9779</v>
      </c>
      <c r="C60" t="str">
        <f t="shared" si="1"/>
        <v>E1_20_4_1_mRNA</v>
      </c>
      <c r="D60" t="str">
        <f t="shared" si="2"/>
        <v>E1_20_4_1</v>
      </c>
      <c r="E60" t="str">
        <f t="shared" si="3"/>
        <v>E1_20_4_1_kcat : 13.7</v>
      </c>
      <c r="F60" t="str">
        <f t="shared" si="4"/>
        <v>E1_20_4_1_km : 1</v>
      </c>
      <c r="G60" t="str">
        <f t="shared" si="5"/>
        <v>E1_20_4_1_mRNA : E1_20_4_1_mRNA</v>
      </c>
      <c r="H60" t="str">
        <f t="shared" si="6"/>
        <v>E1_20_4_1 : E1_20_4_1</v>
      </c>
      <c r="I60" t="str">
        <f t="shared" si="7"/>
        <v>E1_20_4_1_mRNA : 0</v>
      </c>
      <c r="J60" t="str">
        <f t="shared" si="8"/>
        <v>E1_20_4_1 : 0</v>
      </c>
      <c r="K60" t="str">
        <f t="shared" si="9"/>
        <v>0.00292 - (0.0093 * E1_20_4_1_mRNA)</v>
      </c>
      <c r="L60" t="str">
        <f t="shared" si="10"/>
        <v>(0.278 * E1_20_4_1_mRNA) - (0.00000278 * E1_20_4_1)</v>
      </c>
      <c r="M60" t="str">
        <f t="shared" si="11"/>
        <v>mRNA59: -&gt; E1_20_4_1_mRNA | 0.00292 - (0.0093 * E1_20_4_1_mRNA)</v>
      </c>
      <c r="N60" t="str">
        <f t="shared" si="12"/>
        <v>Peptide59: E1_20_4_1_mRNA -&gt; E1_20_4_1 | (0.278 * E1_20_4_1_mRNA) - (0.000000278 * E1_20_4_1)</v>
      </c>
    </row>
    <row r="61" spans="1:14" x14ac:dyDescent="0.25">
      <c r="A61">
        <f t="shared" si="0"/>
        <v>60</v>
      </c>
      <c r="B61" s="5" t="s">
        <v>9546</v>
      </c>
      <c r="C61" t="str">
        <f t="shared" si="1"/>
        <v>E1_20_9_1_mRNA</v>
      </c>
      <c r="D61" t="str">
        <f t="shared" si="2"/>
        <v>E1_20_9_1</v>
      </c>
      <c r="E61" t="str">
        <f t="shared" si="3"/>
        <v>E1_20_9_1_kcat : 13.7</v>
      </c>
      <c r="F61" t="str">
        <f t="shared" si="4"/>
        <v>E1_20_9_1_km : 1</v>
      </c>
      <c r="G61" t="str">
        <f t="shared" si="5"/>
        <v>E1_20_9_1_mRNA : E1_20_9_1_mRNA</v>
      </c>
      <c r="H61" t="str">
        <f t="shared" si="6"/>
        <v>E1_20_9_1 : E1_20_9_1</v>
      </c>
      <c r="I61" t="str">
        <f t="shared" si="7"/>
        <v>E1_20_9_1_mRNA : 0</v>
      </c>
      <c r="J61" t="str">
        <f t="shared" si="8"/>
        <v>E1_20_9_1 : 0</v>
      </c>
      <c r="K61" t="str">
        <f t="shared" si="9"/>
        <v>0.00292 - (0.0093 * E1_20_9_1_mRNA)</v>
      </c>
      <c r="L61" t="str">
        <f t="shared" si="10"/>
        <v>(0.278 * E1_20_9_1_mRNA) - (0.00000278 * E1_20_9_1)</v>
      </c>
      <c r="M61" t="str">
        <f t="shared" si="11"/>
        <v>mRNA60: -&gt; E1_20_9_1_mRNA | 0.00292 - (0.0093 * E1_20_9_1_mRNA)</v>
      </c>
      <c r="N61" t="str">
        <f t="shared" si="12"/>
        <v>Peptide60: E1_20_9_1_mRNA -&gt; E1_20_9_1 | (0.278 * E1_20_9_1_mRNA) - (0.000000278 * E1_20_9_1)</v>
      </c>
    </row>
    <row r="62" spans="1:14" x14ac:dyDescent="0.25">
      <c r="A62">
        <f t="shared" si="0"/>
        <v>61</v>
      </c>
      <c r="B62" s="5" t="s">
        <v>9669</v>
      </c>
      <c r="C62" t="str">
        <f t="shared" si="1"/>
        <v>E1_3_1_43_mRNA</v>
      </c>
      <c r="D62" t="str">
        <f t="shared" si="2"/>
        <v>E1_3_1_43</v>
      </c>
      <c r="E62" t="str">
        <f t="shared" si="3"/>
        <v>E1_3_1_43_kcat : 13.7</v>
      </c>
      <c r="F62" t="str">
        <f t="shared" si="4"/>
        <v>E1_3_1_43_km : 1</v>
      </c>
      <c r="G62" t="str">
        <f t="shared" si="5"/>
        <v>E1_3_1_43_mRNA : E1_3_1_43_mRNA</v>
      </c>
      <c r="H62" t="str">
        <f t="shared" si="6"/>
        <v>E1_3_1_43 : E1_3_1_43</v>
      </c>
      <c r="I62" t="str">
        <f t="shared" si="7"/>
        <v>E1_3_1_43_mRNA : 0</v>
      </c>
      <c r="J62" t="str">
        <f t="shared" si="8"/>
        <v>E1_3_1_43 : 0</v>
      </c>
      <c r="K62" t="str">
        <f t="shared" si="9"/>
        <v>0.00292 - (0.0093 * E1_3_1_43_mRNA)</v>
      </c>
      <c r="L62" t="str">
        <f t="shared" si="10"/>
        <v>(0.278 * E1_3_1_43_mRNA) - (0.00000278 * E1_3_1_43)</v>
      </c>
      <c r="M62" t="str">
        <f t="shared" si="11"/>
        <v>mRNA61: -&gt; E1_3_1_43_mRNA | 0.00292 - (0.0093 * E1_3_1_43_mRNA)</v>
      </c>
      <c r="N62" t="str">
        <f t="shared" si="12"/>
        <v>Peptide61: E1_3_1_43_mRNA -&gt; E1_3_1_43 | (0.278 * E1_3_1_43_mRNA) - (0.000000278 * E1_3_1_43)</v>
      </c>
    </row>
    <row r="63" spans="1:14" x14ac:dyDescent="0.25">
      <c r="A63">
        <f t="shared" si="0"/>
        <v>62</v>
      </c>
      <c r="B63" s="5" t="s">
        <v>9564</v>
      </c>
      <c r="C63" t="str">
        <f t="shared" si="1"/>
        <v>E1_3_1_76_mRNA</v>
      </c>
      <c r="D63" t="str">
        <f t="shared" si="2"/>
        <v>E1_3_1_76</v>
      </c>
      <c r="E63" t="str">
        <f t="shared" si="3"/>
        <v>E1_3_1_76_kcat : 13.7</v>
      </c>
      <c r="F63" t="str">
        <f t="shared" si="4"/>
        <v>E1_3_1_76_km : 1</v>
      </c>
      <c r="G63" t="str">
        <f t="shared" si="5"/>
        <v>E1_3_1_76_mRNA : E1_3_1_76_mRNA</v>
      </c>
      <c r="H63" t="str">
        <f t="shared" si="6"/>
        <v>E1_3_1_76 : E1_3_1_76</v>
      </c>
      <c r="I63" t="str">
        <f t="shared" si="7"/>
        <v>E1_3_1_76_mRNA : 0</v>
      </c>
      <c r="J63" t="str">
        <f t="shared" si="8"/>
        <v>E1_3_1_76 : 0</v>
      </c>
      <c r="K63" t="str">
        <f t="shared" si="9"/>
        <v>0.00292 - (0.0093 * E1_3_1_76_mRNA)</v>
      </c>
      <c r="L63" t="str">
        <f t="shared" si="10"/>
        <v>(0.278 * E1_3_1_76_mRNA) - (0.00000278 * E1_3_1_76)</v>
      </c>
      <c r="M63" t="str">
        <f t="shared" si="11"/>
        <v>mRNA62: -&gt; E1_3_1_76_mRNA | 0.00292 - (0.0093 * E1_3_1_76_mRNA)</v>
      </c>
      <c r="N63" t="str">
        <f t="shared" si="12"/>
        <v>Peptide62: E1_3_1_76_mRNA -&gt; E1_3_1_76 | (0.278 * E1_3_1_76_mRNA) - (0.000000278 * E1_3_1_76)</v>
      </c>
    </row>
    <row r="64" spans="1:14" x14ac:dyDescent="0.25">
      <c r="A64">
        <f t="shared" ref="A64:A125" si="13">ROW()-1</f>
        <v>63</v>
      </c>
      <c r="B64" s="5" t="s">
        <v>9806</v>
      </c>
      <c r="C64" t="str">
        <f t="shared" ref="C64:C126" si="14">CONCATENATE(D64,"_mRNA")</f>
        <v>E1_3_1_9_mRNA</v>
      </c>
      <c r="D64" t="str">
        <f t="shared" ref="D64:D126" si="15">CONCATENATE("E",B64)</f>
        <v>E1_3_1_9</v>
      </c>
      <c r="E64" t="str">
        <f t="shared" ref="E64:E126" si="16">CONCATENATE("E",B64,"_kcat : 13.7")</f>
        <v>E1_3_1_9_kcat : 13.7</v>
      </c>
      <c r="F64" t="str">
        <f t="shared" ref="F64:F126" si="17">CONCATENATE("E",B64,"_km : 1")</f>
        <v>E1_3_1_9_km : 1</v>
      </c>
      <c r="G64" t="str">
        <f t="shared" ref="G64:G126" si="18">CONCATENATE(C64," : ",C64)</f>
        <v>E1_3_1_9_mRNA : E1_3_1_9_mRNA</v>
      </c>
      <c r="H64" t="str">
        <f t="shared" ref="H64:H126" si="19">CONCATENATE(D64," : ",D64)</f>
        <v>E1_3_1_9 : E1_3_1_9</v>
      </c>
      <c r="I64" t="str">
        <f t="shared" ref="I64:I126" si="20">CONCATENATE(C64," : ","0")</f>
        <v>E1_3_1_9_mRNA : 0</v>
      </c>
      <c r="J64" t="str">
        <f t="shared" ref="J64:J126" si="21">CONCATENATE(D64," : ","0")</f>
        <v>E1_3_1_9 : 0</v>
      </c>
      <c r="K64" t="str">
        <f t="shared" ref="K64:K126" si="22">CONCATENATE("0.00292 - (0.0093 * ",C64,")")</f>
        <v>0.00292 - (0.0093 * E1_3_1_9_mRNA)</v>
      </c>
      <c r="L64" t="str">
        <f t="shared" ref="L64:L126" si="23">CONCATENATE("(0.278 * ",C64,")"," - (0.00000278 * ",D64,")")</f>
        <v>(0.278 * E1_3_1_9_mRNA) - (0.00000278 * E1_3_1_9)</v>
      </c>
      <c r="M64" t="str">
        <f t="shared" ref="M64:M126" si="24">CONCATENATE("mRNA",A64,": -&gt; ",C64," | ","0.00292"," - ","(","0.0093"," * ",C64,")")</f>
        <v>mRNA63: -&gt; E1_3_1_9_mRNA | 0.00292 - (0.0093 * E1_3_1_9_mRNA)</v>
      </c>
      <c r="N64" t="str">
        <f t="shared" ref="N64:N126" si="25">CONCATENATE("Peptide",A64,": ",C64," -&gt; ",D64," | ","(","0.278"," * ",C64,")"," - ","(","0.000000278"," * ",D64,")")</f>
        <v>Peptide63: E1_3_1_9_mRNA -&gt; E1_3_1_9 | (0.278 * E1_3_1_9_mRNA) - (0.000000278 * E1_3_1_9)</v>
      </c>
    </row>
    <row r="65" spans="1:14" x14ac:dyDescent="0.25">
      <c r="A65">
        <f t="shared" si="13"/>
        <v>64</v>
      </c>
      <c r="B65" s="5" t="s">
        <v>9629</v>
      </c>
      <c r="C65" t="str">
        <f t="shared" si="14"/>
        <v>E1_3_1_98_mRNA</v>
      </c>
      <c r="D65" t="str">
        <f t="shared" si="15"/>
        <v>E1_3_1_98</v>
      </c>
      <c r="E65" t="str">
        <f t="shared" si="16"/>
        <v>E1_3_1_98_kcat : 13.7</v>
      </c>
      <c r="F65" t="str">
        <f t="shared" si="17"/>
        <v>E1_3_1_98_km : 1</v>
      </c>
      <c r="G65" t="str">
        <f t="shared" si="18"/>
        <v>E1_3_1_98_mRNA : E1_3_1_98_mRNA</v>
      </c>
      <c r="H65" t="str">
        <f t="shared" si="19"/>
        <v>E1_3_1_98 : E1_3_1_98</v>
      </c>
      <c r="I65" t="str">
        <f t="shared" si="20"/>
        <v>E1_3_1_98_mRNA : 0</v>
      </c>
      <c r="J65" t="str">
        <f t="shared" si="21"/>
        <v>E1_3_1_98 : 0</v>
      </c>
      <c r="K65" t="str">
        <f t="shared" si="22"/>
        <v>0.00292 - (0.0093 * E1_3_1_98_mRNA)</v>
      </c>
      <c r="L65" t="str">
        <f t="shared" si="23"/>
        <v>(0.278 * E1_3_1_98_mRNA) - (0.00000278 * E1_3_1_98)</v>
      </c>
      <c r="M65" t="str">
        <f t="shared" si="24"/>
        <v>mRNA64: -&gt; E1_3_1_98_mRNA | 0.00292 - (0.0093 * E1_3_1_98_mRNA)</v>
      </c>
      <c r="N65" t="str">
        <f t="shared" si="25"/>
        <v>Peptide64: E1_3_1_98_mRNA -&gt; E1_3_1_98 | (0.278 * E1_3_1_98_mRNA) - (0.000000278 * E1_3_1_98)</v>
      </c>
    </row>
    <row r="66" spans="1:14" x14ac:dyDescent="0.25">
      <c r="A66">
        <f t="shared" si="13"/>
        <v>65</v>
      </c>
      <c r="B66" s="5" t="s">
        <v>9707</v>
      </c>
      <c r="C66" t="str">
        <f t="shared" si="14"/>
        <v>E1_3_3_4_mRNA</v>
      </c>
      <c r="D66" t="str">
        <f t="shared" si="15"/>
        <v>E1_3_3_4</v>
      </c>
      <c r="E66" t="str">
        <f t="shared" si="16"/>
        <v>E1_3_3_4_kcat : 13.7</v>
      </c>
      <c r="F66" t="str">
        <f t="shared" si="17"/>
        <v>E1_3_3_4_km : 1</v>
      </c>
      <c r="G66" t="str">
        <f t="shared" si="18"/>
        <v>E1_3_3_4_mRNA : E1_3_3_4_mRNA</v>
      </c>
      <c r="H66" t="str">
        <f t="shared" si="19"/>
        <v>E1_3_3_4 : E1_3_3_4</v>
      </c>
      <c r="I66" t="str">
        <f t="shared" si="20"/>
        <v>E1_3_3_4_mRNA : 0</v>
      </c>
      <c r="J66" t="str">
        <f t="shared" si="21"/>
        <v>E1_3_3_4 : 0</v>
      </c>
      <c r="K66" t="str">
        <f t="shared" si="22"/>
        <v>0.00292 - (0.0093 * E1_3_3_4_mRNA)</v>
      </c>
      <c r="L66" t="str">
        <f t="shared" si="23"/>
        <v>(0.278 * E1_3_3_4_mRNA) - (0.00000278 * E1_3_3_4)</v>
      </c>
      <c r="M66" t="str">
        <f t="shared" si="24"/>
        <v>mRNA65: -&gt; E1_3_3_4_mRNA | 0.00292 - (0.0093 * E1_3_3_4_mRNA)</v>
      </c>
      <c r="N66" t="str">
        <f t="shared" si="25"/>
        <v>Peptide65: E1_3_3_4_mRNA -&gt; E1_3_3_4 | (0.278 * E1_3_3_4_mRNA) - (0.000000278 * E1_3_3_4)</v>
      </c>
    </row>
    <row r="67" spans="1:14" x14ac:dyDescent="0.25">
      <c r="A67">
        <f t="shared" si="13"/>
        <v>66</v>
      </c>
      <c r="B67" s="5" t="s">
        <v>9681</v>
      </c>
      <c r="C67" t="str">
        <f t="shared" si="14"/>
        <v>E1_3_5_1_mRNA</v>
      </c>
      <c r="D67" t="str">
        <f t="shared" si="15"/>
        <v>E1_3_5_1</v>
      </c>
      <c r="E67" t="str">
        <f t="shared" si="16"/>
        <v>E1_3_5_1_kcat : 13.7</v>
      </c>
      <c r="F67" t="str">
        <f t="shared" si="17"/>
        <v>E1_3_5_1_km : 1</v>
      </c>
      <c r="G67" t="str">
        <f t="shared" si="18"/>
        <v>E1_3_5_1_mRNA : E1_3_5_1_mRNA</v>
      </c>
      <c r="H67" t="str">
        <f t="shared" si="19"/>
        <v>E1_3_5_1 : E1_3_5_1</v>
      </c>
      <c r="I67" t="str">
        <f t="shared" si="20"/>
        <v>E1_3_5_1_mRNA : 0</v>
      </c>
      <c r="J67" t="str">
        <f t="shared" si="21"/>
        <v>E1_3_5_1 : 0</v>
      </c>
      <c r="K67" t="str">
        <f t="shared" si="22"/>
        <v>0.00292 - (0.0093 * E1_3_5_1_mRNA)</v>
      </c>
      <c r="L67" t="str">
        <f t="shared" si="23"/>
        <v>(0.278 * E1_3_5_1_mRNA) - (0.00000278 * E1_3_5_1)</v>
      </c>
      <c r="M67" t="str">
        <f t="shared" si="24"/>
        <v>mRNA66: -&gt; E1_3_5_1_mRNA | 0.00292 - (0.0093 * E1_3_5_1_mRNA)</v>
      </c>
      <c r="N67" t="str">
        <f t="shared" si="25"/>
        <v>Peptide66: E1_3_5_1_mRNA -&gt; E1_3_5_1 | (0.278 * E1_3_5_1_mRNA) - (0.000000278 * E1_3_5_1)</v>
      </c>
    </row>
    <row r="68" spans="1:14" x14ac:dyDescent="0.25">
      <c r="A68">
        <f t="shared" si="13"/>
        <v>67</v>
      </c>
      <c r="B68" s="5" t="s">
        <v>9402</v>
      </c>
      <c r="C68" t="str">
        <f t="shared" si="14"/>
        <v>E1_3_8_1_mRNA</v>
      </c>
      <c r="D68" t="str">
        <f t="shared" si="15"/>
        <v>E1_3_8_1</v>
      </c>
      <c r="E68" t="str">
        <f t="shared" si="16"/>
        <v>E1_3_8_1_kcat : 13.7</v>
      </c>
      <c r="F68" t="str">
        <f t="shared" si="17"/>
        <v>E1_3_8_1_km : 1</v>
      </c>
      <c r="G68" t="str">
        <f t="shared" si="18"/>
        <v>E1_3_8_1_mRNA : E1_3_8_1_mRNA</v>
      </c>
      <c r="H68" t="str">
        <f t="shared" si="19"/>
        <v>E1_3_8_1 : E1_3_8_1</v>
      </c>
      <c r="I68" t="str">
        <f t="shared" si="20"/>
        <v>E1_3_8_1_mRNA : 0</v>
      </c>
      <c r="J68" t="str">
        <f t="shared" si="21"/>
        <v>E1_3_8_1 : 0</v>
      </c>
      <c r="K68" t="str">
        <f t="shared" si="22"/>
        <v>0.00292 - (0.0093 * E1_3_8_1_mRNA)</v>
      </c>
      <c r="L68" t="str">
        <f t="shared" si="23"/>
        <v>(0.278 * E1_3_8_1_mRNA) - (0.00000278 * E1_3_8_1)</v>
      </c>
      <c r="M68" t="str">
        <f t="shared" si="24"/>
        <v>mRNA67: -&gt; E1_3_8_1_mRNA | 0.00292 - (0.0093 * E1_3_8_1_mRNA)</v>
      </c>
      <c r="N68" t="str">
        <f t="shared" si="25"/>
        <v>Peptide67: E1_3_8_1_mRNA -&gt; E1_3_8_1 | (0.278 * E1_3_8_1_mRNA) - (0.000000278 * E1_3_8_1)</v>
      </c>
    </row>
    <row r="69" spans="1:14" x14ac:dyDescent="0.25">
      <c r="A69">
        <f t="shared" si="13"/>
        <v>68</v>
      </c>
      <c r="B69" s="5" t="s">
        <v>9671</v>
      </c>
      <c r="C69" t="str">
        <f t="shared" si="14"/>
        <v>E1_3_8_6_mRNA</v>
      </c>
      <c r="D69" t="str">
        <f t="shared" si="15"/>
        <v>E1_3_8_6</v>
      </c>
      <c r="E69" t="str">
        <f t="shared" si="16"/>
        <v>E1_3_8_6_kcat : 13.7</v>
      </c>
      <c r="F69" t="str">
        <f t="shared" si="17"/>
        <v>E1_3_8_6_km : 1</v>
      </c>
      <c r="G69" t="str">
        <f t="shared" si="18"/>
        <v>E1_3_8_6_mRNA : E1_3_8_6_mRNA</v>
      </c>
      <c r="H69" t="str">
        <f t="shared" si="19"/>
        <v>E1_3_8_6 : E1_3_8_6</v>
      </c>
      <c r="I69" t="str">
        <f t="shared" si="20"/>
        <v>E1_3_8_6_mRNA : 0</v>
      </c>
      <c r="J69" t="str">
        <f t="shared" si="21"/>
        <v>E1_3_8_6 : 0</v>
      </c>
      <c r="K69" t="str">
        <f t="shared" si="22"/>
        <v>0.00292 - (0.0093 * E1_3_8_6_mRNA)</v>
      </c>
      <c r="L69" t="str">
        <f t="shared" si="23"/>
        <v>(0.278 * E1_3_8_6_mRNA) - (0.00000278 * E1_3_8_6)</v>
      </c>
      <c r="M69" t="str">
        <f t="shared" si="24"/>
        <v>mRNA68: -&gt; E1_3_8_6_mRNA | 0.00292 - (0.0093 * E1_3_8_6_mRNA)</v>
      </c>
      <c r="N69" t="str">
        <f t="shared" si="25"/>
        <v>Peptide68: E1_3_8_6_mRNA -&gt; E1_3_8_6 | (0.278 * E1_3_8_6_mRNA) - (0.000000278 * E1_3_8_6)</v>
      </c>
    </row>
    <row r="70" spans="1:14" x14ac:dyDescent="0.25">
      <c r="A70">
        <f t="shared" si="13"/>
        <v>69</v>
      </c>
      <c r="B70" s="5" t="s">
        <v>9593</v>
      </c>
      <c r="C70" t="str">
        <f t="shared" si="14"/>
        <v>E1_3_8_7_mRNA</v>
      </c>
      <c r="D70" t="str">
        <f t="shared" si="15"/>
        <v>E1_3_8_7</v>
      </c>
      <c r="E70" t="str">
        <f t="shared" si="16"/>
        <v>E1_3_8_7_kcat : 13.7</v>
      </c>
      <c r="F70" t="str">
        <f t="shared" si="17"/>
        <v>E1_3_8_7_km : 1</v>
      </c>
      <c r="G70" t="str">
        <f t="shared" si="18"/>
        <v>E1_3_8_7_mRNA : E1_3_8_7_mRNA</v>
      </c>
      <c r="H70" t="str">
        <f t="shared" si="19"/>
        <v>E1_3_8_7 : E1_3_8_7</v>
      </c>
      <c r="I70" t="str">
        <f t="shared" si="20"/>
        <v>E1_3_8_7_mRNA : 0</v>
      </c>
      <c r="J70" t="str">
        <f t="shared" si="21"/>
        <v>E1_3_8_7 : 0</v>
      </c>
      <c r="K70" t="str">
        <f t="shared" si="22"/>
        <v>0.00292 - (0.0093 * E1_3_8_7_mRNA)</v>
      </c>
      <c r="L70" t="str">
        <f t="shared" si="23"/>
        <v>(0.278 * E1_3_8_7_mRNA) - (0.00000278 * E1_3_8_7)</v>
      </c>
      <c r="M70" t="str">
        <f t="shared" si="24"/>
        <v>mRNA69: -&gt; E1_3_8_7_mRNA | 0.00292 - (0.0093 * E1_3_8_7_mRNA)</v>
      </c>
      <c r="N70" t="str">
        <f t="shared" si="25"/>
        <v>Peptide69: E1_3_8_7_mRNA -&gt; E1_3_8_7 | (0.278 * E1_3_8_7_mRNA) - (0.000000278 * E1_3_8_7)</v>
      </c>
    </row>
    <row r="71" spans="1:14" x14ac:dyDescent="0.25">
      <c r="A71">
        <f t="shared" si="13"/>
        <v>70</v>
      </c>
      <c r="B71" s="5" t="s">
        <v>9675</v>
      </c>
      <c r="C71" t="str">
        <f t="shared" si="14"/>
        <v>E1_3_98_1_mRNA</v>
      </c>
      <c r="D71" t="str">
        <f t="shared" si="15"/>
        <v>E1_3_98_1</v>
      </c>
      <c r="E71" t="str">
        <f t="shared" si="16"/>
        <v>E1_3_98_1_kcat : 13.7</v>
      </c>
      <c r="F71" t="str">
        <f t="shared" si="17"/>
        <v>E1_3_98_1_km : 1</v>
      </c>
      <c r="G71" t="str">
        <f t="shared" si="18"/>
        <v>E1_3_98_1_mRNA : E1_3_98_1_mRNA</v>
      </c>
      <c r="H71" t="str">
        <f t="shared" si="19"/>
        <v>E1_3_98_1 : E1_3_98_1</v>
      </c>
      <c r="I71" t="str">
        <f t="shared" si="20"/>
        <v>E1_3_98_1_mRNA : 0</v>
      </c>
      <c r="J71" t="str">
        <f t="shared" si="21"/>
        <v>E1_3_98_1 : 0</v>
      </c>
      <c r="K71" t="str">
        <f t="shared" si="22"/>
        <v>0.00292 - (0.0093 * E1_3_98_1_mRNA)</v>
      </c>
      <c r="L71" t="str">
        <f t="shared" si="23"/>
        <v>(0.278 * E1_3_98_1_mRNA) - (0.00000278 * E1_3_98_1)</v>
      </c>
      <c r="M71" t="str">
        <f t="shared" si="24"/>
        <v>mRNA70: -&gt; E1_3_98_1_mRNA | 0.00292 - (0.0093 * E1_3_98_1_mRNA)</v>
      </c>
      <c r="N71" t="str">
        <f t="shared" si="25"/>
        <v>Peptide70: E1_3_98_1_mRNA -&gt; E1_3_98_1 | (0.278 * E1_3_98_1_mRNA) - (0.000000278 * E1_3_98_1)</v>
      </c>
    </row>
    <row r="72" spans="1:14" x14ac:dyDescent="0.25">
      <c r="A72">
        <f t="shared" si="13"/>
        <v>71</v>
      </c>
      <c r="B72" s="5" t="s">
        <v>9763</v>
      </c>
      <c r="C72" t="str">
        <f t="shared" si="14"/>
        <v>E1_4_1_1_mRNA</v>
      </c>
      <c r="D72" t="str">
        <f t="shared" si="15"/>
        <v>E1_4_1_1</v>
      </c>
      <c r="E72" t="str">
        <f t="shared" si="16"/>
        <v>E1_4_1_1_kcat : 13.7</v>
      </c>
      <c r="F72" t="str">
        <f t="shared" si="17"/>
        <v>E1_4_1_1_km : 1</v>
      </c>
      <c r="G72" t="str">
        <f t="shared" si="18"/>
        <v>E1_4_1_1_mRNA : E1_4_1_1_mRNA</v>
      </c>
      <c r="H72" t="str">
        <f t="shared" si="19"/>
        <v>E1_4_1_1 : E1_4_1_1</v>
      </c>
      <c r="I72" t="str">
        <f t="shared" si="20"/>
        <v>E1_4_1_1_mRNA : 0</v>
      </c>
      <c r="J72" t="str">
        <f t="shared" si="21"/>
        <v>E1_4_1_1 : 0</v>
      </c>
      <c r="K72" t="str">
        <f t="shared" si="22"/>
        <v>0.00292 - (0.0093 * E1_4_1_1_mRNA)</v>
      </c>
      <c r="L72" t="str">
        <f t="shared" si="23"/>
        <v>(0.278 * E1_4_1_1_mRNA) - (0.00000278 * E1_4_1_1)</v>
      </c>
      <c r="M72" t="str">
        <f t="shared" si="24"/>
        <v>mRNA71: -&gt; E1_4_1_1_mRNA | 0.00292 - (0.0093 * E1_4_1_1_mRNA)</v>
      </c>
      <c r="N72" t="str">
        <f t="shared" si="25"/>
        <v>Peptide71: E1_4_1_1_mRNA -&gt; E1_4_1_1 | (0.278 * E1_4_1_1_mRNA) - (0.000000278 * E1_4_1_1)</v>
      </c>
    </row>
    <row r="73" spans="1:14" x14ac:dyDescent="0.25">
      <c r="A73">
        <f t="shared" si="13"/>
        <v>72</v>
      </c>
      <c r="B73" s="5" t="s">
        <v>9754</v>
      </c>
      <c r="C73" t="str">
        <f t="shared" si="14"/>
        <v>E1_4_1_13_mRNA</v>
      </c>
      <c r="D73" t="str">
        <f t="shared" si="15"/>
        <v>E1_4_1_13</v>
      </c>
      <c r="E73" t="str">
        <f t="shared" si="16"/>
        <v>E1_4_1_13_kcat : 13.7</v>
      </c>
      <c r="F73" t="str">
        <f t="shared" si="17"/>
        <v>E1_4_1_13_km : 1</v>
      </c>
      <c r="G73" t="str">
        <f t="shared" si="18"/>
        <v>E1_4_1_13_mRNA : E1_4_1_13_mRNA</v>
      </c>
      <c r="H73" t="str">
        <f t="shared" si="19"/>
        <v>E1_4_1_13 : E1_4_1_13</v>
      </c>
      <c r="I73" t="str">
        <f t="shared" si="20"/>
        <v>E1_4_1_13_mRNA : 0</v>
      </c>
      <c r="J73" t="str">
        <f t="shared" si="21"/>
        <v>E1_4_1_13 : 0</v>
      </c>
      <c r="K73" t="str">
        <f t="shared" si="22"/>
        <v>0.00292 - (0.0093 * E1_4_1_13_mRNA)</v>
      </c>
      <c r="L73" t="str">
        <f t="shared" si="23"/>
        <v>(0.278 * E1_4_1_13_mRNA) - (0.00000278 * E1_4_1_13)</v>
      </c>
      <c r="M73" t="str">
        <f t="shared" si="24"/>
        <v>mRNA72: -&gt; E1_4_1_13_mRNA | 0.00292 - (0.0093 * E1_4_1_13_mRNA)</v>
      </c>
      <c r="N73" t="str">
        <f t="shared" si="25"/>
        <v>Peptide72: E1_4_1_13_mRNA -&gt; E1_4_1_13 | (0.278 * E1_4_1_13_mRNA) - (0.000000278 * E1_4_1_13)</v>
      </c>
    </row>
    <row r="74" spans="1:14" x14ac:dyDescent="0.25">
      <c r="A74">
        <f t="shared" si="13"/>
        <v>73</v>
      </c>
      <c r="B74" s="5" t="s">
        <v>9460</v>
      </c>
      <c r="C74" t="str">
        <f t="shared" si="14"/>
        <v>E1_4_1_2_mRNA</v>
      </c>
      <c r="D74" t="str">
        <f t="shared" si="15"/>
        <v>E1_4_1_2</v>
      </c>
      <c r="E74" t="str">
        <f t="shared" si="16"/>
        <v>E1_4_1_2_kcat : 13.7</v>
      </c>
      <c r="F74" t="str">
        <f t="shared" si="17"/>
        <v>E1_4_1_2_km : 1</v>
      </c>
      <c r="G74" t="str">
        <f t="shared" si="18"/>
        <v>E1_4_1_2_mRNA : E1_4_1_2_mRNA</v>
      </c>
      <c r="H74" t="str">
        <f t="shared" si="19"/>
        <v>E1_4_1_2 : E1_4_1_2</v>
      </c>
      <c r="I74" t="str">
        <f t="shared" si="20"/>
        <v>E1_4_1_2_mRNA : 0</v>
      </c>
      <c r="J74" t="str">
        <f t="shared" si="21"/>
        <v>E1_4_1_2 : 0</v>
      </c>
      <c r="K74" t="str">
        <f t="shared" si="22"/>
        <v>0.00292 - (0.0093 * E1_4_1_2_mRNA)</v>
      </c>
      <c r="L74" t="str">
        <f t="shared" si="23"/>
        <v>(0.278 * E1_4_1_2_mRNA) - (0.00000278 * E1_4_1_2)</v>
      </c>
      <c r="M74" t="str">
        <f t="shared" si="24"/>
        <v>mRNA73: -&gt; E1_4_1_2_mRNA | 0.00292 - (0.0093 * E1_4_1_2_mRNA)</v>
      </c>
      <c r="N74" t="str">
        <f t="shared" si="25"/>
        <v>Peptide73: E1_4_1_2_mRNA -&gt; E1_4_1_2 | (0.278 * E1_4_1_2_mRNA) - (0.000000278 * E1_4_1_2)</v>
      </c>
    </row>
    <row r="75" spans="1:14" x14ac:dyDescent="0.25">
      <c r="A75">
        <f t="shared" si="13"/>
        <v>74</v>
      </c>
      <c r="B75" s="5" t="s">
        <v>9589</v>
      </c>
      <c r="C75" t="str">
        <f t="shared" si="14"/>
        <v>E1_4_3_16_mRNA</v>
      </c>
      <c r="D75" t="str">
        <f t="shared" si="15"/>
        <v>E1_4_3_16</v>
      </c>
      <c r="E75" t="str">
        <f t="shared" si="16"/>
        <v>E1_4_3_16_kcat : 13.7</v>
      </c>
      <c r="F75" t="str">
        <f t="shared" si="17"/>
        <v>E1_4_3_16_km : 1</v>
      </c>
      <c r="G75" t="str">
        <f t="shared" si="18"/>
        <v>E1_4_3_16_mRNA : E1_4_3_16_mRNA</v>
      </c>
      <c r="H75" t="str">
        <f t="shared" si="19"/>
        <v>E1_4_3_16 : E1_4_3_16</v>
      </c>
      <c r="I75" t="str">
        <f t="shared" si="20"/>
        <v>E1_4_3_16_mRNA : 0</v>
      </c>
      <c r="J75" t="str">
        <f t="shared" si="21"/>
        <v>E1_4_3_16 : 0</v>
      </c>
      <c r="K75" t="str">
        <f t="shared" si="22"/>
        <v>0.00292 - (0.0093 * E1_4_3_16_mRNA)</v>
      </c>
      <c r="L75" t="str">
        <f t="shared" si="23"/>
        <v>(0.278 * E1_4_3_16_mRNA) - (0.00000278 * E1_4_3_16)</v>
      </c>
      <c r="M75" t="str">
        <f t="shared" si="24"/>
        <v>mRNA74: -&gt; E1_4_3_16_mRNA | 0.00292 - (0.0093 * E1_4_3_16_mRNA)</v>
      </c>
      <c r="N75" t="str">
        <f t="shared" si="25"/>
        <v>Peptide74: E1_4_3_16_mRNA -&gt; E1_4_3_16 | (0.278 * E1_4_3_16_mRNA) - (0.000000278 * E1_4_3_16)</v>
      </c>
    </row>
    <row r="76" spans="1:14" x14ac:dyDescent="0.25">
      <c r="A76">
        <f t="shared" si="13"/>
        <v>75</v>
      </c>
      <c r="B76" s="5" t="s">
        <v>9567</v>
      </c>
      <c r="C76" t="str">
        <f t="shared" si="14"/>
        <v>E1_4_3_19_mRNA</v>
      </c>
      <c r="D76" t="str">
        <f t="shared" si="15"/>
        <v>E1_4_3_19</v>
      </c>
      <c r="E76" t="str">
        <f t="shared" si="16"/>
        <v>E1_4_3_19_kcat : 13.7</v>
      </c>
      <c r="F76" t="str">
        <f t="shared" si="17"/>
        <v>E1_4_3_19_km : 1</v>
      </c>
      <c r="G76" t="str">
        <f t="shared" si="18"/>
        <v>E1_4_3_19_mRNA : E1_4_3_19_mRNA</v>
      </c>
      <c r="H76" t="str">
        <f t="shared" si="19"/>
        <v>E1_4_3_19 : E1_4_3_19</v>
      </c>
      <c r="I76" t="str">
        <f t="shared" si="20"/>
        <v>E1_4_3_19_mRNA : 0</v>
      </c>
      <c r="J76" t="str">
        <f t="shared" si="21"/>
        <v>E1_4_3_19 : 0</v>
      </c>
      <c r="K76" t="str">
        <f t="shared" si="22"/>
        <v>0.00292 - (0.0093 * E1_4_3_19_mRNA)</v>
      </c>
      <c r="L76" t="str">
        <f t="shared" si="23"/>
        <v>(0.278 * E1_4_3_19_mRNA) - (0.00000278 * E1_4_3_19)</v>
      </c>
      <c r="M76" t="str">
        <f t="shared" si="24"/>
        <v>mRNA75: -&gt; E1_4_3_19_mRNA | 0.00292 - (0.0093 * E1_4_3_19_mRNA)</v>
      </c>
      <c r="N76" t="str">
        <f t="shared" si="25"/>
        <v>Peptide75: E1_4_3_19_mRNA -&gt; E1_4_3_19 | (0.278 * E1_4_3_19_mRNA) - (0.000000278 * E1_4_3_19)</v>
      </c>
    </row>
    <row r="77" spans="1:14" x14ac:dyDescent="0.25">
      <c r="A77">
        <f t="shared" si="13"/>
        <v>76</v>
      </c>
      <c r="B77" s="5" t="s">
        <v>9724</v>
      </c>
      <c r="C77" t="str">
        <f t="shared" si="14"/>
        <v>E1_4_4_2_mRNA</v>
      </c>
      <c r="D77" t="str">
        <f t="shared" si="15"/>
        <v>E1_4_4_2</v>
      </c>
      <c r="E77" t="str">
        <f t="shared" si="16"/>
        <v>E1_4_4_2_kcat : 13.7</v>
      </c>
      <c r="F77" t="str">
        <f t="shared" si="17"/>
        <v>E1_4_4_2_km : 1</v>
      </c>
      <c r="G77" t="str">
        <f t="shared" si="18"/>
        <v>E1_4_4_2_mRNA : E1_4_4_2_mRNA</v>
      </c>
      <c r="H77" t="str">
        <f t="shared" si="19"/>
        <v>E1_4_4_2 : E1_4_4_2</v>
      </c>
      <c r="I77" t="str">
        <f t="shared" si="20"/>
        <v>E1_4_4_2_mRNA : 0</v>
      </c>
      <c r="J77" t="str">
        <f t="shared" si="21"/>
        <v>E1_4_4_2 : 0</v>
      </c>
      <c r="K77" t="str">
        <f t="shared" si="22"/>
        <v>0.00292 - (0.0093 * E1_4_4_2_mRNA)</v>
      </c>
      <c r="L77" t="str">
        <f t="shared" si="23"/>
        <v>(0.278 * E1_4_4_2_mRNA) - (0.00000278 * E1_4_4_2)</v>
      </c>
      <c r="M77" t="str">
        <f t="shared" si="24"/>
        <v>mRNA76: -&gt; E1_4_4_2_mRNA | 0.00292 - (0.0093 * E1_4_4_2_mRNA)</v>
      </c>
      <c r="N77" t="str">
        <f t="shared" si="25"/>
        <v>Peptide76: E1_4_4_2_mRNA -&gt; E1_4_4_2 | (0.278 * E1_4_4_2_mRNA) - (0.000000278 * E1_4_4_2)</v>
      </c>
    </row>
    <row r="78" spans="1:14" x14ac:dyDescent="0.25">
      <c r="A78">
        <f t="shared" si="13"/>
        <v>77</v>
      </c>
      <c r="B78" s="5" t="s">
        <v>9704</v>
      </c>
      <c r="C78" t="str">
        <f t="shared" si="14"/>
        <v>E1_5_1_2_mRNA</v>
      </c>
      <c r="D78" t="str">
        <f t="shared" si="15"/>
        <v>E1_5_1_2</v>
      </c>
      <c r="E78" t="str">
        <f t="shared" si="16"/>
        <v>E1_5_1_2_kcat : 13.7</v>
      </c>
      <c r="F78" t="str">
        <f t="shared" si="17"/>
        <v>E1_5_1_2_km : 1</v>
      </c>
      <c r="G78" t="str">
        <f t="shared" si="18"/>
        <v>E1_5_1_2_mRNA : E1_5_1_2_mRNA</v>
      </c>
      <c r="H78" t="str">
        <f t="shared" si="19"/>
        <v>E1_5_1_2 : E1_5_1_2</v>
      </c>
      <c r="I78" t="str">
        <f t="shared" si="20"/>
        <v>E1_5_1_2_mRNA : 0</v>
      </c>
      <c r="J78" t="str">
        <f t="shared" si="21"/>
        <v>E1_5_1_2 : 0</v>
      </c>
      <c r="K78" t="str">
        <f t="shared" si="22"/>
        <v>0.00292 - (0.0093 * E1_5_1_2_mRNA)</v>
      </c>
      <c r="L78" t="str">
        <f t="shared" si="23"/>
        <v>(0.278 * E1_5_1_2_mRNA) - (0.00000278 * E1_5_1_2)</v>
      </c>
      <c r="M78" t="str">
        <f t="shared" si="24"/>
        <v>mRNA77: -&gt; E1_5_1_2_mRNA | 0.00292 - (0.0093 * E1_5_1_2_mRNA)</v>
      </c>
      <c r="N78" t="str">
        <f t="shared" si="25"/>
        <v>Peptide77: E1_5_1_2_mRNA -&gt; E1_5_1_2 | (0.278 * E1_5_1_2_mRNA) - (0.000000278 * E1_5_1_2)</v>
      </c>
    </row>
    <row r="79" spans="1:14" x14ac:dyDescent="0.25">
      <c r="A79">
        <f t="shared" si="13"/>
        <v>78</v>
      </c>
      <c r="B79" s="5" t="s">
        <v>9401</v>
      </c>
      <c r="C79" t="str">
        <f t="shared" si="14"/>
        <v>E1_5_1_20_mRNA</v>
      </c>
      <c r="D79" t="str">
        <f t="shared" si="15"/>
        <v>E1_5_1_20</v>
      </c>
      <c r="E79" t="str">
        <f t="shared" si="16"/>
        <v>E1_5_1_20_kcat : 13.7</v>
      </c>
      <c r="F79" t="str">
        <f t="shared" si="17"/>
        <v>E1_5_1_20_km : 1</v>
      </c>
      <c r="G79" t="str">
        <f t="shared" si="18"/>
        <v>E1_5_1_20_mRNA : E1_5_1_20_mRNA</v>
      </c>
      <c r="H79" t="str">
        <f t="shared" si="19"/>
        <v>E1_5_1_20 : E1_5_1_20</v>
      </c>
      <c r="I79" t="str">
        <f t="shared" si="20"/>
        <v>E1_5_1_20_mRNA : 0</v>
      </c>
      <c r="J79" t="str">
        <f t="shared" si="21"/>
        <v>E1_5_1_20 : 0</v>
      </c>
      <c r="K79" t="str">
        <f t="shared" si="22"/>
        <v>0.00292 - (0.0093 * E1_5_1_20_mRNA)</v>
      </c>
      <c r="L79" t="str">
        <f t="shared" si="23"/>
        <v>(0.278 * E1_5_1_20_mRNA) - (0.00000278 * E1_5_1_20)</v>
      </c>
      <c r="M79" t="str">
        <f t="shared" si="24"/>
        <v>mRNA78: -&gt; E1_5_1_20_mRNA | 0.00292 - (0.0093 * E1_5_1_20_mRNA)</v>
      </c>
      <c r="N79" t="str">
        <f t="shared" si="25"/>
        <v>Peptide78: E1_5_1_20_mRNA -&gt; E1_5_1_20 | (0.278 * E1_5_1_20_mRNA) - (0.000000278 * E1_5_1_20)</v>
      </c>
    </row>
    <row r="80" spans="1:14" x14ac:dyDescent="0.25">
      <c r="A80">
        <f t="shared" si="13"/>
        <v>79</v>
      </c>
      <c r="B80" s="5" t="s">
        <v>9528</v>
      </c>
      <c r="C80" t="str">
        <f t="shared" si="14"/>
        <v>E1_5_1_5_mRNA</v>
      </c>
      <c r="D80" t="str">
        <f t="shared" si="15"/>
        <v>E1_5_1_5</v>
      </c>
      <c r="E80" t="str">
        <f t="shared" si="16"/>
        <v>E1_5_1_5_kcat : 13.7</v>
      </c>
      <c r="F80" t="str">
        <f t="shared" si="17"/>
        <v>E1_5_1_5_km : 1</v>
      </c>
      <c r="G80" t="str">
        <f t="shared" si="18"/>
        <v>E1_5_1_5_mRNA : E1_5_1_5_mRNA</v>
      </c>
      <c r="H80" t="str">
        <f t="shared" si="19"/>
        <v>E1_5_1_5 : E1_5_1_5</v>
      </c>
      <c r="I80" t="str">
        <f t="shared" si="20"/>
        <v>E1_5_1_5_mRNA : 0</v>
      </c>
      <c r="J80" t="str">
        <f t="shared" si="21"/>
        <v>E1_5_1_5 : 0</v>
      </c>
      <c r="K80" t="str">
        <f t="shared" si="22"/>
        <v>0.00292 - (0.0093 * E1_5_1_5_mRNA)</v>
      </c>
      <c r="L80" t="str">
        <f t="shared" si="23"/>
        <v>(0.278 * E1_5_1_5_mRNA) - (0.00000278 * E1_5_1_5)</v>
      </c>
      <c r="M80" t="str">
        <f t="shared" si="24"/>
        <v>mRNA79: -&gt; E1_5_1_5_mRNA | 0.00292 - (0.0093 * E1_5_1_5_mRNA)</v>
      </c>
      <c r="N80" t="str">
        <f t="shared" si="25"/>
        <v>Peptide79: E1_5_1_5_mRNA -&gt; E1_5_1_5 | (0.278 * E1_5_1_5_mRNA) - (0.000000278 * E1_5_1_5)</v>
      </c>
    </row>
    <row r="81" spans="1:14" x14ac:dyDescent="0.25">
      <c r="A81">
        <f t="shared" si="13"/>
        <v>80</v>
      </c>
      <c r="B81" s="5" t="s">
        <v>9770</v>
      </c>
      <c r="C81" t="str">
        <f t="shared" si="14"/>
        <v>E1_5_5_2_mRNA</v>
      </c>
      <c r="D81" t="str">
        <f t="shared" si="15"/>
        <v>E1_5_5_2</v>
      </c>
      <c r="E81" t="str">
        <f t="shared" si="16"/>
        <v>E1_5_5_2_kcat : 13.7</v>
      </c>
      <c r="F81" t="str">
        <f t="shared" si="17"/>
        <v>E1_5_5_2_km : 1</v>
      </c>
      <c r="G81" t="str">
        <f t="shared" si="18"/>
        <v>E1_5_5_2_mRNA : E1_5_5_2_mRNA</v>
      </c>
      <c r="H81" t="str">
        <f t="shared" si="19"/>
        <v>E1_5_5_2 : E1_5_5_2</v>
      </c>
      <c r="I81" t="str">
        <f t="shared" si="20"/>
        <v>E1_5_5_2_mRNA : 0</v>
      </c>
      <c r="J81" t="str">
        <f t="shared" si="21"/>
        <v>E1_5_5_2 : 0</v>
      </c>
      <c r="K81" t="str">
        <f t="shared" si="22"/>
        <v>0.00292 - (0.0093 * E1_5_5_2_mRNA)</v>
      </c>
      <c r="L81" t="str">
        <f t="shared" si="23"/>
        <v>(0.278 * E1_5_5_2_mRNA) - (0.00000278 * E1_5_5_2)</v>
      </c>
      <c r="M81" t="str">
        <f t="shared" si="24"/>
        <v>mRNA80: -&gt; E1_5_5_2_mRNA | 0.00292 - (0.0093 * E1_5_5_2_mRNA)</v>
      </c>
      <c r="N81" t="str">
        <f t="shared" si="25"/>
        <v>Peptide80: E1_5_5_2_mRNA -&gt; E1_5_5_2 | (0.278 * E1_5_5_2_mRNA) - (0.000000278 * E1_5_5_2)</v>
      </c>
    </row>
    <row r="82" spans="1:14" x14ac:dyDescent="0.25">
      <c r="A82">
        <f t="shared" si="13"/>
        <v>81</v>
      </c>
      <c r="B82" s="5" t="s">
        <v>9634</v>
      </c>
      <c r="C82" t="str">
        <f t="shared" si="14"/>
        <v>E1_6_5_5_mRNA</v>
      </c>
      <c r="D82" t="str">
        <f t="shared" si="15"/>
        <v>E1_6_5_5</v>
      </c>
      <c r="E82" t="str">
        <f t="shared" si="16"/>
        <v>E1_6_5_5_kcat : 13.7</v>
      </c>
      <c r="F82" t="str">
        <f t="shared" si="17"/>
        <v>E1_6_5_5_km : 1</v>
      </c>
      <c r="G82" t="str">
        <f t="shared" si="18"/>
        <v>E1_6_5_5_mRNA : E1_6_5_5_mRNA</v>
      </c>
      <c r="H82" t="str">
        <f t="shared" si="19"/>
        <v>E1_6_5_5 : E1_6_5_5</v>
      </c>
      <c r="I82" t="str">
        <f t="shared" si="20"/>
        <v>E1_6_5_5_mRNA : 0</v>
      </c>
      <c r="J82" t="str">
        <f t="shared" si="21"/>
        <v>E1_6_5_5 : 0</v>
      </c>
      <c r="K82" t="str">
        <f t="shared" si="22"/>
        <v>0.00292 - (0.0093 * E1_6_5_5_mRNA)</v>
      </c>
      <c r="L82" t="str">
        <f t="shared" si="23"/>
        <v>(0.278 * E1_6_5_5_mRNA) - (0.00000278 * E1_6_5_5)</v>
      </c>
      <c r="M82" t="str">
        <f t="shared" si="24"/>
        <v>mRNA81: -&gt; E1_6_5_5_mRNA | 0.00292 - (0.0093 * E1_6_5_5_mRNA)</v>
      </c>
      <c r="N82" t="str">
        <f t="shared" si="25"/>
        <v>Peptide81: E1_6_5_5_mRNA -&gt; E1_6_5_5 | (0.278 * E1_6_5_5_mRNA) - (0.000000278 * E1_6_5_5)</v>
      </c>
    </row>
    <row r="83" spans="1:14" x14ac:dyDescent="0.25">
      <c r="A83">
        <f t="shared" si="13"/>
        <v>82</v>
      </c>
      <c r="B83" s="5" t="s">
        <v>9741</v>
      </c>
      <c r="C83" t="str">
        <f t="shared" si="14"/>
        <v>E1_6_5_9_mRNA</v>
      </c>
      <c r="D83" t="str">
        <f t="shared" si="15"/>
        <v>E1_6_5_9</v>
      </c>
      <c r="E83" t="str">
        <f t="shared" si="16"/>
        <v>E1_6_5_9_kcat : 13.7</v>
      </c>
      <c r="F83" t="str">
        <f t="shared" si="17"/>
        <v>E1_6_5_9_km : 1</v>
      </c>
      <c r="G83" t="str">
        <f t="shared" si="18"/>
        <v>E1_6_5_9_mRNA : E1_6_5_9_mRNA</v>
      </c>
      <c r="H83" t="str">
        <f t="shared" si="19"/>
        <v>E1_6_5_9 : E1_6_5_9</v>
      </c>
      <c r="I83" t="str">
        <f t="shared" si="20"/>
        <v>E1_6_5_9_mRNA : 0</v>
      </c>
      <c r="J83" t="str">
        <f t="shared" si="21"/>
        <v>E1_6_5_9 : 0</v>
      </c>
      <c r="K83" t="str">
        <f t="shared" si="22"/>
        <v>0.00292 - (0.0093 * E1_6_5_9_mRNA)</v>
      </c>
      <c r="L83" t="str">
        <f t="shared" si="23"/>
        <v>(0.278 * E1_6_5_9_mRNA) - (0.00000278 * E1_6_5_9)</v>
      </c>
      <c r="M83" t="str">
        <f t="shared" si="24"/>
        <v>mRNA82: -&gt; E1_6_5_9_mRNA | 0.00292 - (0.0093 * E1_6_5_9_mRNA)</v>
      </c>
      <c r="N83" t="str">
        <f t="shared" si="25"/>
        <v>Peptide82: E1_6_5_9_mRNA -&gt; E1_6_5_9 | (0.278 * E1_6_5_9_mRNA) - (0.000000278 * E1_6_5_9)</v>
      </c>
    </row>
    <row r="84" spans="1:14" x14ac:dyDescent="0.25">
      <c r="A84">
        <f t="shared" si="13"/>
        <v>83</v>
      </c>
      <c r="B84" s="5" t="s">
        <v>9540</v>
      </c>
      <c r="C84" t="str">
        <f t="shared" si="14"/>
        <v>E1_7_1_1_mRNA</v>
      </c>
      <c r="D84" t="str">
        <f t="shared" si="15"/>
        <v>E1_7_1_1</v>
      </c>
      <c r="E84" t="str">
        <f t="shared" si="16"/>
        <v>E1_7_1_1_kcat : 13.7</v>
      </c>
      <c r="F84" t="str">
        <f t="shared" si="17"/>
        <v>E1_7_1_1_km : 1</v>
      </c>
      <c r="G84" t="str">
        <f t="shared" si="18"/>
        <v>E1_7_1_1_mRNA : E1_7_1_1_mRNA</v>
      </c>
      <c r="H84" t="str">
        <f t="shared" si="19"/>
        <v>E1_7_1_1 : E1_7_1_1</v>
      </c>
      <c r="I84" t="str">
        <f t="shared" si="20"/>
        <v>E1_7_1_1_mRNA : 0</v>
      </c>
      <c r="J84" t="str">
        <f t="shared" si="21"/>
        <v>E1_7_1_1 : 0</v>
      </c>
      <c r="K84" t="str">
        <f t="shared" si="22"/>
        <v>0.00292 - (0.0093 * E1_7_1_1_mRNA)</v>
      </c>
      <c r="L84" t="str">
        <f t="shared" si="23"/>
        <v>(0.278 * E1_7_1_1_mRNA) - (0.00000278 * E1_7_1_1)</v>
      </c>
      <c r="M84" t="str">
        <f t="shared" si="24"/>
        <v>mRNA83: -&gt; E1_7_1_1_mRNA | 0.00292 - (0.0093 * E1_7_1_1_mRNA)</v>
      </c>
      <c r="N84" t="str">
        <f t="shared" si="25"/>
        <v>Peptide83: E1_7_1_1_mRNA -&gt; E1_7_1_1 | (0.278 * E1_7_1_1_mRNA) - (0.000000278 * E1_7_1_1)</v>
      </c>
    </row>
    <row r="85" spans="1:14" x14ac:dyDescent="0.25">
      <c r="A85">
        <f t="shared" si="13"/>
        <v>84</v>
      </c>
      <c r="B85" s="5" t="s">
        <v>9541</v>
      </c>
      <c r="C85" t="str">
        <f t="shared" si="14"/>
        <v>E1_7_1_2_mRNA</v>
      </c>
      <c r="D85" t="str">
        <f t="shared" si="15"/>
        <v>E1_7_1_2</v>
      </c>
      <c r="E85" t="str">
        <f t="shared" si="16"/>
        <v>E1_7_1_2_kcat : 13.7</v>
      </c>
      <c r="F85" t="str">
        <f t="shared" si="17"/>
        <v>E1_7_1_2_km : 1</v>
      </c>
      <c r="G85" t="str">
        <f t="shared" si="18"/>
        <v>E1_7_1_2_mRNA : E1_7_1_2_mRNA</v>
      </c>
      <c r="H85" t="str">
        <f t="shared" si="19"/>
        <v>E1_7_1_2 : E1_7_1_2</v>
      </c>
      <c r="I85" t="str">
        <f t="shared" si="20"/>
        <v>E1_7_1_2_mRNA : 0</v>
      </c>
      <c r="J85" t="str">
        <f t="shared" si="21"/>
        <v>E1_7_1_2 : 0</v>
      </c>
      <c r="K85" t="str">
        <f t="shared" si="22"/>
        <v>0.00292 - (0.0093 * E1_7_1_2_mRNA)</v>
      </c>
      <c r="L85" t="str">
        <f t="shared" si="23"/>
        <v>(0.278 * E1_7_1_2_mRNA) - (0.00000278 * E1_7_1_2)</v>
      </c>
      <c r="M85" t="str">
        <f t="shared" si="24"/>
        <v>mRNA84: -&gt; E1_7_1_2_mRNA | 0.00292 - (0.0093 * E1_7_1_2_mRNA)</v>
      </c>
      <c r="N85" t="str">
        <f t="shared" si="25"/>
        <v>Peptide84: E1_7_1_2_mRNA -&gt; E1_7_1_2 | (0.278 * E1_7_1_2_mRNA) - (0.000000278 * E1_7_1_2)</v>
      </c>
    </row>
    <row r="86" spans="1:14" x14ac:dyDescent="0.25">
      <c r="A86">
        <f t="shared" si="13"/>
        <v>85</v>
      </c>
      <c r="B86" s="5" t="s">
        <v>9542</v>
      </c>
      <c r="C86" t="str">
        <f t="shared" si="14"/>
        <v>E1_7_1_3_mRNA</v>
      </c>
      <c r="D86" t="str">
        <f t="shared" si="15"/>
        <v>E1_7_1_3</v>
      </c>
      <c r="E86" t="str">
        <f t="shared" si="16"/>
        <v>E1_7_1_3_kcat : 13.7</v>
      </c>
      <c r="F86" t="str">
        <f t="shared" si="17"/>
        <v>E1_7_1_3_km : 1</v>
      </c>
      <c r="G86" t="str">
        <f t="shared" si="18"/>
        <v>E1_7_1_3_mRNA : E1_7_1_3_mRNA</v>
      </c>
      <c r="H86" t="str">
        <f t="shared" si="19"/>
        <v>E1_7_1_3 : E1_7_1_3</v>
      </c>
      <c r="I86" t="str">
        <f t="shared" si="20"/>
        <v>E1_7_1_3_mRNA : 0</v>
      </c>
      <c r="J86" t="str">
        <f t="shared" si="21"/>
        <v>E1_7_1_3 : 0</v>
      </c>
      <c r="K86" t="str">
        <f t="shared" si="22"/>
        <v>0.00292 - (0.0093 * E1_7_1_3_mRNA)</v>
      </c>
      <c r="L86" t="str">
        <f t="shared" si="23"/>
        <v>(0.278 * E1_7_1_3_mRNA) - (0.00000278 * E1_7_1_3)</v>
      </c>
      <c r="M86" t="str">
        <f t="shared" si="24"/>
        <v>mRNA85: -&gt; E1_7_1_3_mRNA | 0.00292 - (0.0093 * E1_7_1_3_mRNA)</v>
      </c>
      <c r="N86" t="str">
        <f t="shared" si="25"/>
        <v>Peptide85: E1_7_1_3_mRNA -&gt; E1_7_1_3 | (0.278 * E1_7_1_3_mRNA) - (0.000000278 * E1_7_1_3)</v>
      </c>
    </row>
    <row r="87" spans="1:14" x14ac:dyDescent="0.25">
      <c r="A87">
        <f t="shared" si="13"/>
        <v>86</v>
      </c>
      <c r="B87" s="5" t="s">
        <v>9543</v>
      </c>
      <c r="C87" t="str">
        <f t="shared" si="14"/>
        <v>E1_7_5_1_mRNA</v>
      </c>
      <c r="D87" t="str">
        <f t="shared" si="15"/>
        <v>E1_7_5_1</v>
      </c>
      <c r="E87" t="str">
        <f t="shared" si="16"/>
        <v>E1_7_5_1_kcat : 13.7</v>
      </c>
      <c r="F87" t="str">
        <f t="shared" si="17"/>
        <v>E1_7_5_1_km : 1</v>
      </c>
      <c r="G87" t="str">
        <f t="shared" si="18"/>
        <v>E1_7_5_1_mRNA : E1_7_5_1_mRNA</v>
      </c>
      <c r="H87" t="str">
        <f t="shared" si="19"/>
        <v>E1_7_5_1 : E1_7_5_1</v>
      </c>
      <c r="I87" t="str">
        <f t="shared" si="20"/>
        <v>E1_7_5_1_mRNA : 0</v>
      </c>
      <c r="J87" t="str">
        <f t="shared" si="21"/>
        <v>E1_7_5_1 : 0</v>
      </c>
      <c r="K87" t="str">
        <f t="shared" si="22"/>
        <v>0.00292 - (0.0093 * E1_7_5_1_mRNA)</v>
      </c>
      <c r="L87" t="str">
        <f t="shared" si="23"/>
        <v>(0.278 * E1_7_5_1_mRNA) - (0.00000278 * E1_7_5_1)</v>
      </c>
      <c r="M87" t="str">
        <f t="shared" si="24"/>
        <v>mRNA86: -&gt; E1_7_5_1_mRNA | 0.00292 - (0.0093 * E1_7_5_1_mRNA)</v>
      </c>
      <c r="N87" t="str">
        <f t="shared" si="25"/>
        <v>Peptide86: E1_7_5_1_mRNA -&gt; E1_7_5_1 | (0.278 * E1_7_5_1_mRNA) - (0.000000278 * E1_7_5_1)</v>
      </c>
    </row>
    <row r="88" spans="1:14" x14ac:dyDescent="0.25">
      <c r="A88">
        <f t="shared" si="13"/>
        <v>87</v>
      </c>
      <c r="B88" s="5" t="s">
        <v>9544</v>
      </c>
      <c r="C88" t="str">
        <f t="shared" si="14"/>
        <v>E1_7_7_2_mRNA</v>
      </c>
      <c r="D88" t="str">
        <f t="shared" si="15"/>
        <v>E1_7_7_2</v>
      </c>
      <c r="E88" t="str">
        <f t="shared" si="16"/>
        <v>E1_7_7_2_kcat : 13.7</v>
      </c>
      <c r="F88" t="str">
        <f t="shared" si="17"/>
        <v>E1_7_7_2_km : 1</v>
      </c>
      <c r="G88" t="str">
        <f t="shared" si="18"/>
        <v>E1_7_7_2_mRNA : E1_7_7_2_mRNA</v>
      </c>
      <c r="H88" t="str">
        <f t="shared" si="19"/>
        <v>E1_7_7_2 : E1_7_7_2</v>
      </c>
      <c r="I88" t="str">
        <f t="shared" si="20"/>
        <v>E1_7_7_2_mRNA : 0</v>
      </c>
      <c r="J88" t="str">
        <f t="shared" si="21"/>
        <v>E1_7_7_2 : 0</v>
      </c>
      <c r="K88" t="str">
        <f t="shared" si="22"/>
        <v>0.00292 - (0.0093 * E1_7_7_2_mRNA)</v>
      </c>
      <c r="L88" t="str">
        <f t="shared" si="23"/>
        <v>(0.278 * E1_7_7_2_mRNA) - (0.00000278 * E1_7_7_2)</v>
      </c>
      <c r="M88" t="str">
        <f t="shared" si="24"/>
        <v>mRNA87: -&gt; E1_7_7_2_mRNA | 0.00292 - (0.0093 * E1_7_7_2_mRNA)</v>
      </c>
      <c r="N88" t="str">
        <f t="shared" si="25"/>
        <v>Peptide87: E1_7_7_2_mRNA -&gt; E1_7_7_2 | (0.278 * E1_7_7_2_mRNA) - (0.000000278 * E1_7_7_2)</v>
      </c>
    </row>
    <row r="89" spans="1:14" x14ac:dyDescent="0.25">
      <c r="A89">
        <f t="shared" si="13"/>
        <v>88</v>
      </c>
      <c r="B89" s="5" t="s">
        <v>9412</v>
      </c>
      <c r="C89" t="str">
        <f t="shared" si="14"/>
        <v>E1_8_1_4_mRNA</v>
      </c>
      <c r="D89" t="str">
        <f t="shared" si="15"/>
        <v>E1_8_1_4</v>
      </c>
      <c r="E89" t="str">
        <f t="shared" si="16"/>
        <v>E1_8_1_4_kcat : 13.7</v>
      </c>
      <c r="F89" t="str">
        <f t="shared" si="17"/>
        <v>E1_8_1_4_km : 1</v>
      </c>
      <c r="G89" t="str">
        <f t="shared" si="18"/>
        <v>E1_8_1_4_mRNA : E1_8_1_4_mRNA</v>
      </c>
      <c r="H89" t="str">
        <f t="shared" si="19"/>
        <v>E1_8_1_4 : E1_8_1_4</v>
      </c>
      <c r="I89" t="str">
        <f t="shared" si="20"/>
        <v>E1_8_1_4_mRNA : 0</v>
      </c>
      <c r="J89" t="str">
        <f t="shared" si="21"/>
        <v>E1_8_1_4 : 0</v>
      </c>
      <c r="K89" t="str">
        <f t="shared" si="22"/>
        <v>0.00292 - (0.0093 * E1_8_1_4_mRNA)</v>
      </c>
      <c r="L89" t="str">
        <f t="shared" si="23"/>
        <v>(0.278 * E1_8_1_4_mRNA) - (0.00000278 * E1_8_1_4)</v>
      </c>
      <c r="M89" t="str">
        <f t="shared" si="24"/>
        <v>mRNA88: -&gt; E1_8_1_4_mRNA | 0.00292 - (0.0093 * E1_8_1_4_mRNA)</v>
      </c>
      <c r="N89" t="str">
        <f t="shared" si="25"/>
        <v>Peptide88: E1_8_1_4_mRNA -&gt; E1_8_1_4 | (0.278 * E1_8_1_4_mRNA) - (0.000000278 * E1_8_1_4)</v>
      </c>
    </row>
    <row r="90" spans="1:14" x14ac:dyDescent="0.25">
      <c r="A90">
        <f t="shared" si="13"/>
        <v>89</v>
      </c>
      <c r="B90" s="5" t="s">
        <v>9649</v>
      </c>
      <c r="C90" t="str">
        <f t="shared" si="14"/>
        <v>E1_8_1_9_mRNA</v>
      </c>
      <c r="D90" t="str">
        <f t="shared" si="15"/>
        <v>E1_8_1_9</v>
      </c>
      <c r="E90" t="str">
        <f t="shared" si="16"/>
        <v>E1_8_1_9_kcat : 13.7</v>
      </c>
      <c r="F90" t="str">
        <f t="shared" si="17"/>
        <v>E1_8_1_9_km : 1</v>
      </c>
      <c r="G90" t="str">
        <f t="shared" si="18"/>
        <v>E1_8_1_9_mRNA : E1_8_1_9_mRNA</v>
      </c>
      <c r="H90" t="str">
        <f t="shared" si="19"/>
        <v>E1_8_1_9 : E1_8_1_9</v>
      </c>
      <c r="I90" t="str">
        <f t="shared" si="20"/>
        <v>E1_8_1_9_mRNA : 0</v>
      </c>
      <c r="J90" t="str">
        <f t="shared" si="21"/>
        <v>E1_8_1_9 : 0</v>
      </c>
      <c r="K90" t="str">
        <f t="shared" si="22"/>
        <v>0.00292 - (0.0093 * E1_8_1_9_mRNA)</v>
      </c>
      <c r="L90" t="str">
        <f t="shared" si="23"/>
        <v>(0.278 * E1_8_1_9_mRNA) - (0.00000278 * E1_8_1_9)</v>
      </c>
      <c r="M90" t="str">
        <f t="shared" si="24"/>
        <v>mRNA89: -&gt; E1_8_1_9_mRNA | 0.00292 - (0.0093 * E1_8_1_9_mRNA)</v>
      </c>
      <c r="N90" t="str">
        <f t="shared" si="25"/>
        <v>Peptide89: E1_8_1_9_mRNA -&gt; E1_8_1_9 | (0.278 * E1_8_1_9_mRNA) - (0.000000278 * E1_8_1_9)</v>
      </c>
    </row>
    <row r="91" spans="1:14" x14ac:dyDescent="0.25">
      <c r="A91">
        <f t="shared" si="13"/>
        <v>90</v>
      </c>
      <c r="B91" s="5" t="s">
        <v>9563</v>
      </c>
      <c r="C91" t="str">
        <f t="shared" si="14"/>
        <v>E1_8_4_10_mRNA</v>
      </c>
      <c r="D91" t="str">
        <f t="shared" si="15"/>
        <v>E1_8_4_10</v>
      </c>
      <c r="E91" t="str">
        <f t="shared" si="16"/>
        <v>E1_8_4_10_kcat : 13.7</v>
      </c>
      <c r="F91" t="str">
        <f t="shared" si="17"/>
        <v>E1_8_4_10_km : 1</v>
      </c>
      <c r="G91" t="str">
        <f t="shared" si="18"/>
        <v>E1_8_4_10_mRNA : E1_8_4_10_mRNA</v>
      </c>
      <c r="H91" t="str">
        <f t="shared" si="19"/>
        <v>E1_8_4_10 : E1_8_4_10</v>
      </c>
      <c r="I91" t="str">
        <f t="shared" si="20"/>
        <v>E1_8_4_10_mRNA : 0</v>
      </c>
      <c r="J91" t="str">
        <f t="shared" si="21"/>
        <v>E1_8_4_10 : 0</v>
      </c>
      <c r="K91" t="str">
        <f t="shared" si="22"/>
        <v>0.00292 - (0.0093 * E1_8_4_10_mRNA)</v>
      </c>
      <c r="L91" t="str">
        <f t="shared" si="23"/>
        <v>(0.278 * E1_8_4_10_mRNA) - (0.00000278 * E1_8_4_10)</v>
      </c>
      <c r="M91" t="str">
        <f t="shared" si="24"/>
        <v>mRNA90: -&gt; E1_8_4_10_mRNA | 0.00292 - (0.0093 * E1_8_4_10_mRNA)</v>
      </c>
      <c r="N91" t="str">
        <f t="shared" si="25"/>
        <v>Peptide90: E1_8_4_10_mRNA -&gt; E1_8_4_10 | (0.278 * E1_8_4_10_mRNA) - (0.000000278 * E1_8_4_10)</v>
      </c>
    </row>
    <row r="92" spans="1:14" x14ac:dyDescent="0.25">
      <c r="A92">
        <f t="shared" si="13"/>
        <v>91</v>
      </c>
      <c r="B92" s="5" t="s">
        <v>9565</v>
      </c>
      <c r="C92" t="str">
        <f t="shared" si="14"/>
        <v>E1_8_7_1_mRNA</v>
      </c>
      <c r="D92" t="str">
        <f t="shared" si="15"/>
        <v>E1_8_7_1</v>
      </c>
      <c r="E92" t="str">
        <f t="shared" si="16"/>
        <v>E1_8_7_1_kcat : 13.7</v>
      </c>
      <c r="F92" t="str">
        <f t="shared" si="17"/>
        <v>E1_8_7_1_km : 1</v>
      </c>
      <c r="G92" t="str">
        <f t="shared" si="18"/>
        <v>E1_8_7_1_mRNA : E1_8_7_1_mRNA</v>
      </c>
      <c r="H92" t="str">
        <f t="shared" si="19"/>
        <v>E1_8_7_1 : E1_8_7_1</v>
      </c>
      <c r="I92" t="str">
        <f t="shared" si="20"/>
        <v>E1_8_7_1_mRNA : 0</v>
      </c>
      <c r="J92" t="str">
        <f t="shared" si="21"/>
        <v>E1_8_7_1 : 0</v>
      </c>
      <c r="K92" t="str">
        <f t="shared" si="22"/>
        <v>0.00292 - (0.0093 * E1_8_7_1_mRNA)</v>
      </c>
      <c r="L92" t="str">
        <f t="shared" si="23"/>
        <v>(0.278 * E1_8_7_1_mRNA) - (0.00000278 * E1_8_7_1)</v>
      </c>
      <c r="M92" t="str">
        <f t="shared" si="24"/>
        <v>mRNA91: -&gt; E1_8_7_1_mRNA | 0.00292 - (0.0093 * E1_8_7_1_mRNA)</v>
      </c>
      <c r="N92" t="str">
        <f t="shared" si="25"/>
        <v>Peptide91: E1_8_7_1_mRNA -&gt; E1_8_7_1 | (0.278 * E1_8_7_1_mRNA) - (0.000000278 * E1_8_7_1)</v>
      </c>
    </row>
    <row r="93" spans="1:14" x14ac:dyDescent="0.25">
      <c r="A93">
        <f t="shared" si="13"/>
        <v>92</v>
      </c>
      <c r="B93" s="5" t="s">
        <v>9545</v>
      </c>
      <c r="C93" t="str">
        <f t="shared" si="14"/>
        <v>E1_9_6_1_mRNA</v>
      </c>
      <c r="D93" t="str">
        <f t="shared" si="15"/>
        <v>E1_9_6_1</v>
      </c>
      <c r="E93" t="str">
        <f t="shared" si="16"/>
        <v>E1_9_6_1_kcat : 13.7</v>
      </c>
      <c r="F93" t="str">
        <f t="shared" si="17"/>
        <v>E1_9_6_1_km : 1</v>
      </c>
      <c r="G93" t="str">
        <f t="shared" si="18"/>
        <v>E1_9_6_1_mRNA : E1_9_6_1_mRNA</v>
      </c>
      <c r="H93" t="str">
        <f t="shared" si="19"/>
        <v>E1_9_6_1 : E1_9_6_1</v>
      </c>
      <c r="I93" t="str">
        <f t="shared" si="20"/>
        <v>E1_9_6_1_mRNA : 0</v>
      </c>
      <c r="J93" t="str">
        <f t="shared" si="21"/>
        <v>E1_9_6_1 : 0</v>
      </c>
      <c r="K93" t="str">
        <f t="shared" si="22"/>
        <v>0.00292 - (0.0093 * E1_9_6_1_mRNA)</v>
      </c>
      <c r="L93" t="str">
        <f t="shared" si="23"/>
        <v>(0.278 * E1_9_6_1_mRNA) - (0.00000278 * E1_9_6_1)</v>
      </c>
      <c r="M93" t="str">
        <f t="shared" si="24"/>
        <v>mRNA92: -&gt; E1_9_6_1_mRNA | 0.00292 - (0.0093 * E1_9_6_1_mRNA)</v>
      </c>
      <c r="N93" t="str">
        <f t="shared" si="25"/>
        <v>Peptide92: E1_9_6_1_mRNA -&gt; E1_9_6_1 | (0.278 * E1_9_6_1_mRNA) - (0.000000278 * E1_9_6_1)</v>
      </c>
    </row>
    <row r="94" spans="1:14" x14ac:dyDescent="0.25">
      <c r="A94">
        <f t="shared" si="13"/>
        <v>93</v>
      </c>
      <c r="B94" s="5" t="s">
        <v>9562</v>
      </c>
      <c r="C94" t="str">
        <f t="shared" si="14"/>
        <v>E2_1_1_107_mRNA</v>
      </c>
      <c r="D94" t="str">
        <f t="shared" si="15"/>
        <v>E2_1_1_107</v>
      </c>
      <c r="E94" t="str">
        <f t="shared" si="16"/>
        <v>E2_1_1_107_kcat : 13.7</v>
      </c>
      <c r="F94" t="str">
        <f t="shared" si="17"/>
        <v>E2_1_1_107_km : 1</v>
      </c>
      <c r="G94" t="str">
        <f t="shared" si="18"/>
        <v>E2_1_1_107_mRNA : E2_1_1_107_mRNA</v>
      </c>
      <c r="H94" t="str">
        <f t="shared" si="19"/>
        <v>E2_1_1_107 : E2_1_1_107</v>
      </c>
      <c r="I94" t="str">
        <f t="shared" si="20"/>
        <v>E2_1_1_107_mRNA : 0</v>
      </c>
      <c r="J94" t="str">
        <f t="shared" si="21"/>
        <v>E2_1_1_107 : 0</v>
      </c>
      <c r="K94" t="str">
        <f t="shared" si="22"/>
        <v>0.00292 - (0.0093 * E2_1_1_107_mRNA)</v>
      </c>
      <c r="L94" t="str">
        <f t="shared" si="23"/>
        <v>(0.278 * E2_1_1_107_mRNA) - (0.00000278 * E2_1_1_107)</v>
      </c>
      <c r="M94" t="str">
        <f t="shared" si="24"/>
        <v>mRNA93: -&gt; E2_1_1_107_mRNA | 0.00292 - (0.0093 * E2_1_1_107_mRNA)</v>
      </c>
      <c r="N94" t="str">
        <f t="shared" si="25"/>
        <v>Peptide93: E2_1_1_107_mRNA -&gt; E2_1_1_107 | (0.278 * E2_1_1_107_mRNA) - (0.000000278 * E2_1_1_107)</v>
      </c>
    </row>
    <row r="95" spans="1:14" x14ac:dyDescent="0.25">
      <c r="A95">
        <f t="shared" si="13"/>
        <v>94</v>
      </c>
      <c r="B95" s="5" t="s">
        <v>9617</v>
      </c>
      <c r="C95" t="str">
        <f t="shared" si="14"/>
        <v>E2_1_1_13_mRNA</v>
      </c>
      <c r="D95" t="str">
        <f t="shared" si="15"/>
        <v>E2_1_1_13</v>
      </c>
      <c r="E95" t="str">
        <f t="shared" si="16"/>
        <v>E2_1_1_13_kcat : 13.7</v>
      </c>
      <c r="F95" t="str">
        <f t="shared" si="17"/>
        <v>E2_1_1_13_km : 1</v>
      </c>
      <c r="G95" t="str">
        <f t="shared" si="18"/>
        <v>E2_1_1_13_mRNA : E2_1_1_13_mRNA</v>
      </c>
      <c r="H95" t="str">
        <f t="shared" si="19"/>
        <v>E2_1_1_13 : E2_1_1_13</v>
      </c>
      <c r="I95" t="str">
        <f t="shared" si="20"/>
        <v>E2_1_1_13_mRNA : 0</v>
      </c>
      <c r="J95" t="str">
        <f t="shared" si="21"/>
        <v>E2_1_1_13 : 0</v>
      </c>
      <c r="K95" t="str">
        <f t="shared" si="22"/>
        <v>0.00292 - (0.0093 * E2_1_1_13_mRNA)</v>
      </c>
      <c r="L95" t="str">
        <f t="shared" si="23"/>
        <v>(0.278 * E2_1_1_13_mRNA) - (0.00000278 * E2_1_1_13)</v>
      </c>
      <c r="M95" t="str">
        <f t="shared" si="24"/>
        <v>mRNA94: -&gt; E2_1_1_13_mRNA | 0.00292 - (0.0093 * E2_1_1_13_mRNA)</v>
      </c>
      <c r="N95" t="str">
        <f t="shared" si="25"/>
        <v>Peptide94: E2_1_1_13_mRNA -&gt; E2_1_1_13 | (0.278 * E2_1_1_13_mRNA) - (0.000000278 * E2_1_1_13)</v>
      </c>
    </row>
    <row r="96" spans="1:14" x14ac:dyDescent="0.25">
      <c r="A96">
        <f t="shared" si="13"/>
        <v>95</v>
      </c>
      <c r="B96" s="5" t="s">
        <v>9587</v>
      </c>
      <c r="C96" t="str">
        <f t="shared" si="14"/>
        <v>E2_1_1_130_mRNA</v>
      </c>
      <c r="D96" t="str">
        <f t="shared" si="15"/>
        <v>E2_1_1_130</v>
      </c>
      <c r="E96" t="str">
        <f t="shared" si="16"/>
        <v>E2_1_1_130_kcat : 13.7</v>
      </c>
      <c r="F96" t="str">
        <f t="shared" si="17"/>
        <v>E2_1_1_130_km : 1</v>
      </c>
      <c r="G96" t="str">
        <f t="shared" si="18"/>
        <v>E2_1_1_130_mRNA : E2_1_1_130_mRNA</v>
      </c>
      <c r="H96" t="str">
        <f t="shared" si="19"/>
        <v>E2_1_1_130 : E2_1_1_130</v>
      </c>
      <c r="I96" t="str">
        <f t="shared" si="20"/>
        <v>E2_1_1_130_mRNA : 0</v>
      </c>
      <c r="J96" t="str">
        <f t="shared" si="21"/>
        <v>E2_1_1_130 : 0</v>
      </c>
      <c r="K96" t="str">
        <f t="shared" si="22"/>
        <v>0.00292 - (0.0093 * E2_1_1_130_mRNA)</v>
      </c>
      <c r="L96" t="str">
        <f t="shared" si="23"/>
        <v>(0.278 * E2_1_1_130_mRNA) - (0.00000278 * E2_1_1_130)</v>
      </c>
      <c r="M96" t="str">
        <f t="shared" si="24"/>
        <v>mRNA95: -&gt; E2_1_1_130_mRNA | 0.00292 - (0.0093 * E2_1_1_130_mRNA)</v>
      </c>
      <c r="N96" t="str">
        <f t="shared" si="25"/>
        <v>Peptide95: E2_1_1_130_mRNA -&gt; E2_1_1_130 | (0.278 * E2_1_1_130_mRNA) - (0.000000278 * E2_1_1_130)</v>
      </c>
    </row>
    <row r="97" spans="1:14" x14ac:dyDescent="0.25">
      <c r="A97">
        <f t="shared" si="13"/>
        <v>96</v>
      </c>
      <c r="B97" s="5" t="s">
        <v>9586</v>
      </c>
      <c r="C97" t="str">
        <f t="shared" si="14"/>
        <v>E2_1_1_133_mRNA</v>
      </c>
      <c r="D97" t="str">
        <f t="shared" si="15"/>
        <v>E2_1_1_133</v>
      </c>
      <c r="E97" t="str">
        <f t="shared" si="16"/>
        <v>E2_1_1_133_kcat : 13.7</v>
      </c>
      <c r="F97" t="str">
        <f t="shared" si="17"/>
        <v>E2_1_1_133_km : 1</v>
      </c>
      <c r="G97" t="str">
        <f t="shared" si="18"/>
        <v>E2_1_1_133_mRNA : E2_1_1_133_mRNA</v>
      </c>
      <c r="H97" t="str">
        <f t="shared" si="19"/>
        <v>E2_1_1_133 : E2_1_1_133</v>
      </c>
      <c r="I97" t="str">
        <f t="shared" si="20"/>
        <v>E2_1_1_133_mRNA : 0</v>
      </c>
      <c r="J97" t="str">
        <f t="shared" si="21"/>
        <v>E2_1_1_133 : 0</v>
      </c>
      <c r="K97" t="str">
        <f t="shared" si="22"/>
        <v>0.00292 - (0.0093 * E2_1_1_133_mRNA)</v>
      </c>
      <c r="L97" t="str">
        <f t="shared" si="23"/>
        <v>(0.278 * E2_1_1_133_mRNA) - (0.00000278 * E2_1_1_133)</v>
      </c>
      <c r="M97" t="str">
        <f t="shared" si="24"/>
        <v>mRNA96: -&gt; E2_1_1_133_mRNA | 0.00292 - (0.0093 * E2_1_1_133_mRNA)</v>
      </c>
      <c r="N97" t="str">
        <f t="shared" si="25"/>
        <v>Peptide96: E2_1_1_133_mRNA -&gt; E2_1_1_133 | (0.278 * E2_1_1_133_mRNA) - (0.000000278 * E2_1_1_133)</v>
      </c>
    </row>
    <row r="98" spans="1:14" x14ac:dyDescent="0.25">
      <c r="A98">
        <f t="shared" si="13"/>
        <v>97</v>
      </c>
      <c r="B98" s="5" t="s">
        <v>9780</v>
      </c>
      <c r="C98" t="str">
        <f t="shared" si="14"/>
        <v>E2_1_1_163_mRNA</v>
      </c>
      <c r="D98" t="str">
        <f t="shared" si="15"/>
        <v>E2_1_1_163</v>
      </c>
      <c r="E98" t="str">
        <f t="shared" si="16"/>
        <v>E2_1_1_163_kcat : 13.7</v>
      </c>
      <c r="F98" t="str">
        <f t="shared" si="17"/>
        <v>E2_1_1_163_km : 1</v>
      </c>
      <c r="G98" t="str">
        <f t="shared" si="18"/>
        <v>E2_1_1_163_mRNA : E2_1_1_163_mRNA</v>
      </c>
      <c r="H98" t="str">
        <f t="shared" si="19"/>
        <v>E2_1_1_163 : E2_1_1_163</v>
      </c>
      <c r="I98" t="str">
        <f t="shared" si="20"/>
        <v>E2_1_1_163_mRNA : 0</v>
      </c>
      <c r="J98" t="str">
        <f t="shared" si="21"/>
        <v>E2_1_1_163 : 0</v>
      </c>
      <c r="K98" t="str">
        <f t="shared" si="22"/>
        <v>0.00292 - (0.0093 * E2_1_1_163_mRNA)</v>
      </c>
      <c r="L98" t="str">
        <f t="shared" si="23"/>
        <v>(0.278 * E2_1_1_163_mRNA) - (0.00000278 * E2_1_1_163)</v>
      </c>
      <c r="M98" t="str">
        <f t="shared" si="24"/>
        <v>mRNA97: -&gt; E2_1_1_163_mRNA | 0.00292 - (0.0093 * E2_1_1_163_mRNA)</v>
      </c>
      <c r="N98" t="str">
        <f t="shared" si="25"/>
        <v>Peptide97: E2_1_1_163_mRNA -&gt; E2_1_1_163 | (0.278 * E2_1_1_163_mRNA) - (0.000000278 * E2_1_1_163)</v>
      </c>
    </row>
    <row r="99" spans="1:14" x14ac:dyDescent="0.25">
      <c r="A99">
        <f t="shared" si="13"/>
        <v>98</v>
      </c>
      <c r="B99" s="5" t="s">
        <v>9722</v>
      </c>
      <c r="C99" t="str">
        <f t="shared" si="14"/>
        <v>E2_1_1_172_mRNA</v>
      </c>
      <c r="D99" t="str">
        <f t="shared" si="15"/>
        <v>E2_1_1_172</v>
      </c>
      <c r="E99" t="str">
        <f t="shared" si="16"/>
        <v>E2_1_1_172_kcat : 13.7</v>
      </c>
      <c r="F99" t="str">
        <f t="shared" si="17"/>
        <v>E2_1_1_172_km : 1</v>
      </c>
      <c r="G99" t="str">
        <f t="shared" si="18"/>
        <v>E2_1_1_172_mRNA : E2_1_1_172_mRNA</v>
      </c>
      <c r="H99" t="str">
        <f t="shared" si="19"/>
        <v>E2_1_1_172 : E2_1_1_172</v>
      </c>
      <c r="I99" t="str">
        <f t="shared" si="20"/>
        <v>E2_1_1_172_mRNA : 0</v>
      </c>
      <c r="J99" t="str">
        <f t="shared" si="21"/>
        <v>E2_1_1_172 : 0</v>
      </c>
      <c r="K99" t="str">
        <f t="shared" si="22"/>
        <v>0.00292 - (0.0093 * E2_1_1_172_mRNA)</v>
      </c>
      <c r="L99" t="str">
        <f t="shared" si="23"/>
        <v>(0.278 * E2_1_1_172_mRNA) - (0.00000278 * E2_1_1_172)</v>
      </c>
      <c r="M99" t="str">
        <f t="shared" si="24"/>
        <v>mRNA98: -&gt; E2_1_1_172_mRNA | 0.00292 - (0.0093 * E2_1_1_172_mRNA)</v>
      </c>
      <c r="N99" t="str">
        <f t="shared" si="25"/>
        <v>Peptide98: E2_1_1_172_mRNA -&gt; E2_1_1_172 | (0.278 * E2_1_1_172_mRNA) - (0.000000278 * E2_1_1_172)</v>
      </c>
    </row>
    <row r="100" spans="1:14" x14ac:dyDescent="0.25">
      <c r="A100">
        <f t="shared" si="13"/>
        <v>99</v>
      </c>
      <c r="B100" s="5" t="s">
        <v>9689</v>
      </c>
      <c r="C100" t="str">
        <f t="shared" si="14"/>
        <v>E2_1_1_182_mRNA</v>
      </c>
      <c r="D100" t="str">
        <f t="shared" si="15"/>
        <v>E2_1_1_182</v>
      </c>
      <c r="E100" t="str">
        <f t="shared" si="16"/>
        <v>E2_1_1_182_kcat : 13.7</v>
      </c>
      <c r="F100" t="str">
        <f t="shared" si="17"/>
        <v>E2_1_1_182_km : 1</v>
      </c>
      <c r="G100" t="str">
        <f t="shared" si="18"/>
        <v>E2_1_1_182_mRNA : E2_1_1_182_mRNA</v>
      </c>
      <c r="H100" t="str">
        <f t="shared" si="19"/>
        <v>E2_1_1_182 : E2_1_1_182</v>
      </c>
      <c r="I100" t="str">
        <f t="shared" si="20"/>
        <v>E2_1_1_182_mRNA : 0</v>
      </c>
      <c r="J100" t="str">
        <f t="shared" si="21"/>
        <v>E2_1_1_182 : 0</v>
      </c>
      <c r="K100" t="str">
        <f t="shared" si="22"/>
        <v>0.00292 - (0.0093 * E2_1_1_182_mRNA)</v>
      </c>
      <c r="L100" t="str">
        <f t="shared" si="23"/>
        <v>(0.278 * E2_1_1_182_mRNA) - (0.00000278 * E2_1_1_182)</v>
      </c>
      <c r="M100" t="str">
        <f t="shared" si="24"/>
        <v>mRNA99: -&gt; E2_1_1_182_mRNA | 0.00292 - (0.0093 * E2_1_1_182_mRNA)</v>
      </c>
      <c r="N100" t="str">
        <f t="shared" si="25"/>
        <v>Peptide99: E2_1_1_182_mRNA -&gt; E2_1_1_182 | (0.278 * E2_1_1_182_mRNA) - (0.000000278 * E2_1_1_182)</v>
      </c>
    </row>
    <row r="101" spans="1:14" x14ac:dyDescent="0.25">
      <c r="A101">
        <f t="shared" si="13"/>
        <v>100</v>
      </c>
      <c r="B101" s="5" t="s">
        <v>9613</v>
      </c>
      <c r="C101" t="str">
        <f t="shared" si="14"/>
        <v>E2_1_1_228_mRNA</v>
      </c>
      <c r="D101" t="str">
        <f t="shared" si="15"/>
        <v>E2_1_1_228</v>
      </c>
      <c r="E101" t="str">
        <f t="shared" si="16"/>
        <v>E2_1_1_228_kcat : 13.7</v>
      </c>
      <c r="F101" t="str">
        <f t="shared" si="17"/>
        <v>E2_1_1_228_km : 1</v>
      </c>
      <c r="G101" t="str">
        <f t="shared" si="18"/>
        <v>E2_1_1_228_mRNA : E2_1_1_228_mRNA</v>
      </c>
      <c r="H101" t="str">
        <f t="shared" si="19"/>
        <v>E2_1_1_228 : E2_1_1_228</v>
      </c>
      <c r="I101" t="str">
        <f t="shared" si="20"/>
        <v>E2_1_1_228_mRNA : 0</v>
      </c>
      <c r="J101" t="str">
        <f t="shared" si="21"/>
        <v>E2_1_1_228 : 0</v>
      </c>
      <c r="K101" t="str">
        <f t="shared" si="22"/>
        <v>0.00292 - (0.0093 * E2_1_1_228_mRNA)</v>
      </c>
      <c r="L101" t="str">
        <f t="shared" si="23"/>
        <v>(0.278 * E2_1_1_228_mRNA) - (0.00000278 * E2_1_1_228)</v>
      </c>
      <c r="M101" t="str">
        <f t="shared" si="24"/>
        <v>mRNA100: -&gt; E2_1_1_228_mRNA | 0.00292 - (0.0093 * E2_1_1_228_mRNA)</v>
      </c>
      <c r="N101" t="str">
        <f t="shared" si="25"/>
        <v>Peptide100: E2_1_1_228_mRNA -&gt; E2_1_1_228 | (0.278 * E2_1_1_228_mRNA) - (0.000000278 * E2_1_1_228)</v>
      </c>
    </row>
    <row r="102" spans="1:14" x14ac:dyDescent="0.25">
      <c r="A102">
        <f t="shared" si="13"/>
        <v>101</v>
      </c>
      <c r="B102" s="5" t="s">
        <v>9773</v>
      </c>
      <c r="C102" t="str">
        <f t="shared" si="14"/>
        <v>E2_1_1_33_mRNA</v>
      </c>
      <c r="D102" t="str">
        <f t="shared" si="15"/>
        <v>E2_1_1_33</v>
      </c>
      <c r="E102" t="str">
        <f t="shared" si="16"/>
        <v>E2_1_1_33_kcat : 13.7</v>
      </c>
      <c r="F102" t="str">
        <f t="shared" si="17"/>
        <v>E2_1_1_33_km : 1</v>
      </c>
      <c r="G102" t="str">
        <f t="shared" si="18"/>
        <v>E2_1_1_33_mRNA : E2_1_1_33_mRNA</v>
      </c>
      <c r="H102" t="str">
        <f t="shared" si="19"/>
        <v>E2_1_1_33 : E2_1_1_33</v>
      </c>
      <c r="I102" t="str">
        <f t="shared" si="20"/>
        <v>E2_1_1_33_mRNA : 0</v>
      </c>
      <c r="J102" t="str">
        <f t="shared" si="21"/>
        <v>E2_1_1_33 : 0</v>
      </c>
      <c r="K102" t="str">
        <f t="shared" si="22"/>
        <v>0.00292 - (0.0093 * E2_1_1_33_mRNA)</v>
      </c>
      <c r="L102" t="str">
        <f t="shared" si="23"/>
        <v>(0.278 * E2_1_1_33_mRNA) - (0.00000278 * E2_1_1_33)</v>
      </c>
      <c r="M102" t="str">
        <f t="shared" si="24"/>
        <v>mRNA101: -&gt; E2_1_1_33_mRNA | 0.00292 - (0.0093 * E2_1_1_33_mRNA)</v>
      </c>
      <c r="N102" t="str">
        <f t="shared" si="25"/>
        <v>Peptide101: E2_1_1_33_mRNA -&gt; E2_1_1_33 | (0.278 * E2_1_1_33_mRNA) - (0.000000278 * E2_1_1_33)</v>
      </c>
    </row>
    <row r="103" spans="1:14" x14ac:dyDescent="0.25">
      <c r="A103">
        <f t="shared" si="13"/>
        <v>102</v>
      </c>
      <c r="B103" s="5" t="s">
        <v>9759</v>
      </c>
      <c r="C103" t="str">
        <f t="shared" si="14"/>
        <v>E2_1_1_34_mRNA</v>
      </c>
      <c r="D103" t="str">
        <f t="shared" si="15"/>
        <v>E2_1_1_34</v>
      </c>
      <c r="E103" t="str">
        <f t="shared" si="16"/>
        <v>E2_1_1_34_kcat : 13.7</v>
      </c>
      <c r="F103" t="str">
        <f t="shared" si="17"/>
        <v>E2_1_1_34_km : 1</v>
      </c>
      <c r="G103" t="str">
        <f t="shared" si="18"/>
        <v>E2_1_1_34_mRNA : E2_1_1_34_mRNA</v>
      </c>
      <c r="H103" t="str">
        <f t="shared" si="19"/>
        <v>E2_1_1_34 : E2_1_1_34</v>
      </c>
      <c r="I103" t="str">
        <f t="shared" si="20"/>
        <v>E2_1_1_34_mRNA : 0</v>
      </c>
      <c r="J103" t="str">
        <f t="shared" si="21"/>
        <v>E2_1_1_34 : 0</v>
      </c>
      <c r="K103" t="str">
        <f t="shared" si="22"/>
        <v>0.00292 - (0.0093 * E2_1_1_34_mRNA)</v>
      </c>
      <c r="L103" t="str">
        <f t="shared" si="23"/>
        <v>(0.278 * E2_1_1_34_mRNA) - (0.00000278 * E2_1_1_34)</v>
      </c>
      <c r="M103" t="str">
        <f t="shared" si="24"/>
        <v>mRNA102: -&gt; E2_1_1_34_mRNA | 0.00292 - (0.0093 * E2_1_1_34_mRNA)</v>
      </c>
      <c r="N103" t="str">
        <f t="shared" si="25"/>
        <v>Peptide102: E2_1_1_34_mRNA -&gt; E2_1_1_34 | (0.278 * E2_1_1_34_mRNA) - (0.000000278 * E2_1_1_34)</v>
      </c>
    </row>
    <row r="104" spans="1:14" x14ac:dyDescent="0.25">
      <c r="A104">
        <f t="shared" si="13"/>
        <v>103</v>
      </c>
      <c r="B104" s="5" t="s">
        <v>9496</v>
      </c>
      <c r="C104" t="str">
        <f t="shared" si="14"/>
        <v>E2_1_1_35_mRNA</v>
      </c>
      <c r="D104" t="str">
        <f t="shared" si="15"/>
        <v>E2_1_1_35</v>
      </c>
      <c r="E104" t="str">
        <f t="shared" si="16"/>
        <v>E2_1_1_35_kcat : 13.7</v>
      </c>
      <c r="F104" t="str">
        <f t="shared" si="17"/>
        <v>E2_1_1_35_km : 1</v>
      </c>
      <c r="G104" t="str">
        <f t="shared" si="18"/>
        <v>E2_1_1_35_mRNA : E2_1_1_35_mRNA</v>
      </c>
      <c r="H104" t="str">
        <f t="shared" si="19"/>
        <v>E2_1_1_35 : E2_1_1_35</v>
      </c>
      <c r="I104" t="str">
        <f t="shared" si="20"/>
        <v>E2_1_1_35_mRNA : 0</v>
      </c>
      <c r="J104" t="str">
        <f t="shared" si="21"/>
        <v>E2_1_1_35 : 0</v>
      </c>
      <c r="K104" t="str">
        <f t="shared" si="22"/>
        <v>0.00292 - (0.0093 * E2_1_1_35_mRNA)</v>
      </c>
      <c r="L104" t="str">
        <f t="shared" si="23"/>
        <v>(0.278 * E2_1_1_35_mRNA) - (0.00000278 * E2_1_1_35)</v>
      </c>
      <c r="M104" t="str">
        <f t="shared" si="24"/>
        <v>mRNA103: -&gt; E2_1_1_35_mRNA | 0.00292 - (0.0093 * E2_1_1_35_mRNA)</v>
      </c>
      <c r="N104" t="str">
        <f t="shared" si="25"/>
        <v>Peptide103: E2_1_1_35_mRNA -&gt; E2_1_1_35 | (0.278 * E2_1_1_35_mRNA) - (0.000000278 * E2_1_1_35)</v>
      </c>
    </row>
    <row r="105" spans="1:14" x14ac:dyDescent="0.25">
      <c r="A105">
        <f t="shared" si="13"/>
        <v>104</v>
      </c>
      <c r="B105" s="5" t="s">
        <v>9463</v>
      </c>
      <c r="C105" t="str">
        <f t="shared" si="14"/>
        <v>E2_1_1_63_mRNA</v>
      </c>
      <c r="D105" t="str">
        <f t="shared" si="15"/>
        <v>E2_1_1_63</v>
      </c>
      <c r="E105" t="str">
        <f t="shared" si="16"/>
        <v>E2_1_1_63_kcat : 13.7</v>
      </c>
      <c r="F105" t="str">
        <f t="shared" si="17"/>
        <v>E2_1_1_63_km : 1</v>
      </c>
      <c r="G105" t="str">
        <f t="shared" si="18"/>
        <v>E2_1_1_63_mRNA : E2_1_1_63_mRNA</v>
      </c>
      <c r="H105" t="str">
        <f t="shared" si="19"/>
        <v>E2_1_1_63 : E2_1_1_63</v>
      </c>
      <c r="I105" t="str">
        <f t="shared" si="20"/>
        <v>E2_1_1_63_mRNA : 0</v>
      </c>
      <c r="J105" t="str">
        <f t="shared" si="21"/>
        <v>E2_1_1_63 : 0</v>
      </c>
      <c r="K105" t="str">
        <f t="shared" si="22"/>
        <v>0.00292 - (0.0093 * E2_1_1_63_mRNA)</v>
      </c>
      <c r="L105" t="str">
        <f t="shared" si="23"/>
        <v>(0.278 * E2_1_1_63_mRNA) - (0.00000278 * E2_1_1_63)</v>
      </c>
      <c r="M105" t="str">
        <f t="shared" si="24"/>
        <v>mRNA104: -&gt; E2_1_1_63_mRNA | 0.00292 - (0.0093 * E2_1_1_63_mRNA)</v>
      </c>
      <c r="N105" t="str">
        <f t="shared" si="25"/>
        <v>Peptide104: E2_1_1_63_mRNA -&gt; E2_1_1_63 | (0.278 * E2_1_1_63_mRNA) - (0.000000278 * E2_1_1_63)</v>
      </c>
    </row>
    <row r="106" spans="1:14" x14ac:dyDescent="0.25">
      <c r="A106">
        <f t="shared" si="13"/>
        <v>105</v>
      </c>
      <c r="B106" s="5" t="s">
        <v>9536</v>
      </c>
      <c r="C106" t="str">
        <f t="shared" si="14"/>
        <v>E2_1_1_72_mRNA</v>
      </c>
      <c r="D106" t="str">
        <f t="shared" si="15"/>
        <v>E2_1_1_72</v>
      </c>
      <c r="E106" t="str">
        <f t="shared" si="16"/>
        <v>E2_1_1_72_kcat : 13.7</v>
      </c>
      <c r="F106" t="str">
        <f t="shared" si="17"/>
        <v>E2_1_1_72_km : 1</v>
      </c>
      <c r="G106" t="str">
        <f t="shared" si="18"/>
        <v>E2_1_1_72_mRNA : E2_1_1_72_mRNA</v>
      </c>
      <c r="H106" t="str">
        <f t="shared" si="19"/>
        <v>E2_1_1_72 : E2_1_1_72</v>
      </c>
      <c r="I106" t="str">
        <f t="shared" si="20"/>
        <v>E2_1_1_72_mRNA : 0</v>
      </c>
      <c r="J106" t="str">
        <f t="shared" si="21"/>
        <v>E2_1_1_72 : 0</v>
      </c>
      <c r="K106" t="str">
        <f t="shared" si="22"/>
        <v>0.00292 - (0.0093 * E2_1_1_72_mRNA)</v>
      </c>
      <c r="L106" t="str">
        <f t="shared" si="23"/>
        <v>(0.278 * E2_1_1_72_mRNA) - (0.00000278 * E2_1_1_72)</v>
      </c>
      <c r="M106" t="str">
        <f t="shared" si="24"/>
        <v>mRNA105: -&gt; E2_1_1_72_mRNA | 0.00292 - (0.0093 * E2_1_1_72_mRNA)</v>
      </c>
      <c r="N106" t="str">
        <f t="shared" si="25"/>
        <v>Peptide105: E2_1_1_72_mRNA -&gt; E2_1_1_72 | (0.278 * E2_1_1_72_mRNA) - (0.000000278 * E2_1_1_72)</v>
      </c>
    </row>
    <row r="107" spans="1:14" x14ac:dyDescent="0.25">
      <c r="A107">
        <f t="shared" si="13"/>
        <v>106</v>
      </c>
      <c r="B107" s="5" t="s">
        <v>9467</v>
      </c>
      <c r="C107" t="str">
        <f t="shared" si="14"/>
        <v>E2_1_2_1_mRNA</v>
      </c>
      <c r="D107" t="str">
        <f t="shared" si="15"/>
        <v>E2_1_2_1</v>
      </c>
      <c r="E107" t="str">
        <f t="shared" si="16"/>
        <v>E2_1_2_1_kcat : 13.7</v>
      </c>
      <c r="F107" t="str">
        <f t="shared" si="17"/>
        <v>E2_1_2_1_km : 1</v>
      </c>
      <c r="G107" t="str">
        <f t="shared" si="18"/>
        <v>E2_1_2_1_mRNA : E2_1_2_1_mRNA</v>
      </c>
      <c r="H107" t="str">
        <f t="shared" si="19"/>
        <v>E2_1_2_1 : E2_1_2_1</v>
      </c>
      <c r="I107" t="str">
        <f t="shared" si="20"/>
        <v>E2_1_2_1_mRNA : 0</v>
      </c>
      <c r="J107" t="str">
        <f t="shared" si="21"/>
        <v>E2_1_2_1 : 0</v>
      </c>
      <c r="K107" t="str">
        <f t="shared" si="22"/>
        <v>0.00292 - (0.0093 * E2_1_2_1_mRNA)</v>
      </c>
      <c r="L107" t="str">
        <f t="shared" si="23"/>
        <v>(0.278 * E2_1_2_1_mRNA) - (0.00000278 * E2_1_2_1)</v>
      </c>
      <c r="M107" t="str">
        <f t="shared" si="24"/>
        <v>mRNA106: -&gt; E2_1_2_1_mRNA | 0.00292 - (0.0093 * E2_1_2_1_mRNA)</v>
      </c>
      <c r="N107" t="str">
        <f t="shared" si="25"/>
        <v>Peptide106: E2_1_2_1_mRNA -&gt; E2_1_2_1 | (0.278 * E2_1_2_1_mRNA) - (0.000000278 * E2_1_2_1)</v>
      </c>
    </row>
    <row r="108" spans="1:14" x14ac:dyDescent="0.25">
      <c r="A108">
        <f t="shared" si="13"/>
        <v>107</v>
      </c>
      <c r="B108" s="5" t="s">
        <v>9725</v>
      </c>
      <c r="C108" t="str">
        <f t="shared" si="14"/>
        <v>E2_1_2_10_mRNA</v>
      </c>
      <c r="D108" t="str">
        <f t="shared" si="15"/>
        <v>E2_1_2_10</v>
      </c>
      <c r="E108" t="str">
        <f t="shared" si="16"/>
        <v>E2_1_2_10_kcat : 13.7</v>
      </c>
      <c r="F108" t="str">
        <f t="shared" si="17"/>
        <v>E2_1_2_10_km : 1</v>
      </c>
      <c r="G108" t="str">
        <f t="shared" si="18"/>
        <v>E2_1_2_10_mRNA : E2_1_2_10_mRNA</v>
      </c>
      <c r="H108" t="str">
        <f t="shared" si="19"/>
        <v>E2_1_2_10 : E2_1_2_10</v>
      </c>
      <c r="I108" t="str">
        <f t="shared" si="20"/>
        <v>E2_1_2_10_mRNA : 0</v>
      </c>
      <c r="J108" t="str">
        <f t="shared" si="21"/>
        <v>E2_1_2_10 : 0</v>
      </c>
      <c r="K108" t="str">
        <f t="shared" si="22"/>
        <v>0.00292 - (0.0093 * E2_1_2_10_mRNA)</v>
      </c>
      <c r="L108" t="str">
        <f t="shared" si="23"/>
        <v>(0.278 * E2_1_2_10_mRNA) - (0.00000278 * E2_1_2_10)</v>
      </c>
      <c r="M108" t="str">
        <f t="shared" si="24"/>
        <v>mRNA107: -&gt; E2_1_2_10_mRNA | 0.00292 - (0.0093 * E2_1_2_10_mRNA)</v>
      </c>
      <c r="N108" t="str">
        <f t="shared" si="25"/>
        <v>Peptide107: E2_1_2_10_mRNA -&gt; E2_1_2_10 | (0.278 * E2_1_2_10_mRNA) - (0.000000278 * E2_1_2_10)</v>
      </c>
    </row>
    <row r="109" spans="1:14" x14ac:dyDescent="0.25">
      <c r="A109">
        <f t="shared" si="13"/>
        <v>108</v>
      </c>
      <c r="B109" s="5" t="s">
        <v>9729</v>
      </c>
      <c r="C109" t="str">
        <f t="shared" si="14"/>
        <v>E2_1_2_11_mRNA</v>
      </c>
      <c r="D109" t="str">
        <f t="shared" si="15"/>
        <v>E2_1_2_11</v>
      </c>
      <c r="E109" t="str">
        <f t="shared" si="16"/>
        <v>E2_1_2_11_kcat : 13.7</v>
      </c>
      <c r="F109" t="str">
        <f t="shared" si="17"/>
        <v>E2_1_2_11_km : 1</v>
      </c>
      <c r="G109" t="str">
        <f t="shared" si="18"/>
        <v>E2_1_2_11_mRNA : E2_1_2_11_mRNA</v>
      </c>
      <c r="H109" t="str">
        <f t="shared" si="19"/>
        <v>E2_1_2_11 : E2_1_2_11</v>
      </c>
      <c r="I109" t="str">
        <f t="shared" si="20"/>
        <v>E2_1_2_11_mRNA : 0</v>
      </c>
      <c r="J109" t="str">
        <f t="shared" si="21"/>
        <v>E2_1_2_11 : 0</v>
      </c>
      <c r="K109" t="str">
        <f t="shared" si="22"/>
        <v>0.00292 - (0.0093 * E2_1_2_11_mRNA)</v>
      </c>
      <c r="L109" t="str">
        <f t="shared" si="23"/>
        <v>(0.278 * E2_1_2_11_mRNA) - (0.00000278 * E2_1_2_11)</v>
      </c>
      <c r="M109" t="str">
        <f t="shared" si="24"/>
        <v>mRNA108: -&gt; E2_1_2_11_mRNA | 0.00292 - (0.0093 * E2_1_2_11_mRNA)</v>
      </c>
      <c r="N109" t="str">
        <f t="shared" si="25"/>
        <v>Peptide108: E2_1_2_11_mRNA -&gt; E2_1_2_11 | (0.278 * E2_1_2_11_mRNA) - (0.000000278 * E2_1_2_11)</v>
      </c>
    </row>
    <row r="110" spans="1:14" x14ac:dyDescent="0.25">
      <c r="A110">
        <f t="shared" si="13"/>
        <v>109</v>
      </c>
      <c r="B110" s="5" t="s">
        <v>9666</v>
      </c>
      <c r="C110" t="str">
        <f t="shared" si="14"/>
        <v>E2_1_2_2_mRNA</v>
      </c>
      <c r="D110" t="str">
        <f t="shared" si="15"/>
        <v>E2_1_2_2</v>
      </c>
      <c r="E110" t="str">
        <f t="shared" si="16"/>
        <v>E2_1_2_2_kcat : 13.7</v>
      </c>
      <c r="F110" t="str">
        <f t="shared" si="17"/>
        <v>E2_1_2_2_km : 1</v>
      </c>
      <c r="G110" t="str">
        <f t="shared" si="18"/>
        <v>E2_1_2_2_mRNA : E2_1_2_2_mRNA</v>
      </c>
      <c r="H110" t="str">
        <f t="shared" si="19"/>
        <v>E2_1_2_2 : E2_1_2_2</v>
      </c>
      <c r="I110" t="str">
        <f t="shared" si="20"/>
        <v>E2_1_2_2_mRNA : 0</v>
      </c>
      <c r="J110" t="str">
        <f t="shared" si="21"/>
        <v>E2_1_2_2 : 0</v>
      </c>
      <c r="K110" t="str">
        <f t="shared" si="22"/>
        <v>0.00292 - (0.0093 * E2_1_2_2_mRNA)</v>
      </c>
      <c r="L110" t="str">
        <f t="shared" si="23"/>
        <v>(0.278 * E2_1_2_2_mRNA) - (0.00000278 * E2_1_2_2)</v>
      </c>
      <c r="M110" t="str">
        <f t="shared" si="24"/>
        <v>mRNA109: -&gt; E2_1_2_2_mRNA | 0.00292 - (0.0093 * E2_1_2_2_mRNA)</v>
      </c>
      <c r="N110" t="str">
        <f t="shared" si="25"/>
        <v>Peptide109: E2_1_2_2_mRNA -&gt; E2_1_2_2 | (0.278 * E2_1_2_2_mRNA) - (0.000000278 * E2_1_2_2)</v>
      </c>
    </row>
    <row r="111" spans="1:14" x14ac:dyDescent="0.25">
      <c r="A111">
        <f t="shared" si="13"/>
        <v>110</v>
      </c>
      <c r="B111" s="5" t="s">
        <v>9803</v>
      </c>
      <c r="C111" t="str">
        <f t="shared" si="14"/>
        <v>E2_1_2_9_mRNA</v>
      </c>
      <c r="D111" t="str">
        <f t="shared" si="15"/>
        <v>E2_1_2_9</v>
      </c>
      <c r="E111" t="str">
        <f t="shared" si="16"/>
        <v>E2_1_2_9_kcat : 13.7</v>
      </c>
      <c r="F111" t="str">
        <f t="shared" si="17"/>
        <v>E2_1_2_9_km : 1</v>
      </c>
      <c r="G111" t="str">
        <f t="shared" si="18"/>
        <v>E2_1_2_9_mRNA : E2_1_2_9_mRNA</v>
      </c>
      <c r="H111" t="str">
        <f t="shared" si="19"/>
        <v>E2_1_2_9 : E2_1_2_9</v>
      </c>
      <c r="I111" t="str">
        <f t="shared" si="20"/>
        <v>E2_1_2_9_mRNA : 0</v>
      </c>
      <c r="J111" t="str">
        <f t="shared" si="21"/>
        <v>E2_1_2_9 : 0</v>
      </c>
      <c r="K111" t="str">
        <f t="shared" si="22"/>
        <v>0.00292 - (0.0093 * E2_1_2_9_mRNA)</v>
      </c>
      <c r="L111" t="str">
        <f t="shared" si="23"/>
        <v>(0.278 * E2_1_2_9_mRNA) - (0.00000278 * E2_1_2_9)</v>
      </c>
      <c r="M111" t="str">
        <f t="shared" si="24"/>
        <v>mRNA110: -&gt; E2_1_2_9_mRNA | 0.00292 - (0.0093 * E2_1_2_9_mRNA)</v>
      </c>
      <c r="N111" t="str">
        <f t="shared" si="25"/>
        <v>Peptide110: E2_1_2_9_mRNA -&gt; E2_1_2_9 | (0.278 * E2_1_2_9_mRNA) - (0.000000278 * E2_1_2_9)</v>
      </c>
    </row>
    <row r="112" spans="1:14" x14ac:dyDescent="0.25">
      <c r="A112">
        <f t="shared" si="13"/>
        <v>111</v>
      </c>
      <c r="B112" s="5" t="s">
        <v>9673</v>
      </c>
      <c r="C112" t="str">
        <f t="shared" si="14"/>
        <v>E2_1_3_2_mRNA</v>
      </c>
      <c r="D112" t="str">
        <f t="shared" si="15"/>
        <v>E2_1_3_2</v>
      </c>
      <c r="E112" t="str">
        <f t="shared" si="16"/>
        <v>E2_1_3_2_kcat : 13.7</v>
      </c>
      <c r="F112" t="str">
        <f t="shared" si="17"/>
        <v>E2_1_3_2_km : 1</v>
      </c>
      <c r="G112" t="str">
        <f t="shared" si="18"/>
        <v>E2_1_3_2_mRNA : E2_1_3_2_mRNA</v>
      </c>
      <c r="H112" t="str">
        <f t="shared" si="19"/>
        <v>E2_1_3_2 : E2_1_3_2</v>
      </c>
      <c r="I112" t="str">
        <f t="shared" si="20"/>
        <v>E2_1_3_2_mRNA : 0</v>
      </c>
      <c r="J112" t="str">
        <f t="shared" si="21"/>
        <v>E2_1_3_2 : 0</v>
      </c>
      <c r="K112" t="str">
        <f t="shared" si="22"/>
        <v>0.00292 - (0.0093 * E2_1_3_2_mRNA)</v>
      </c>
      <c r="L112" t="str">
        <f t="shared" si="23"/>
        <v>(0.278 * E2_1_3_2_mRNA) - (0.00000278 * E2_1_3_2)</v>
      </c>
      <c r="M112" t="str">
        <f t="shared" si="24"/>
        <v>mRNA111: -&gt; E2_1_3_2_mRNA | 0.00292 - (0.0093 * E2_1_3_2_mRNA)</v>
      </c>
      <c r="N112" t="str">
        <f t="shared" si="25"/>
        <v>Peptide111: E2_1_3_2_mRNA -&gt; E2_1_3_2 | (0.278 * E2_1_3_2_mRNA) - (0.000000278 * E2_1_3_2)</v>
      </c>
    </row>
    <row r="113" spans="1:14" x14ac:dyDescent="0.25">
      <c r="A113">
        <f t="shared" si="13"/>
        <v>112</v>
      </c>
      <c r="B113" s="5" t="s">
        <v>9644</v>
      </c>
      <c r="C113" t="str">
        <f t="shared" si="14"/>
        <v>E2_1_3_3_mRNA</v>
      </c>
      <c r="D113" t="str">
        <f t="shared" si="15"/>
        <v>E2_1_3_3</v>
      </c>
      <c r="E113" t="str">
        <f t="shared" si="16"/>
        <v>E2_1_3_3_kcat : 13.7</v>
      </c>
      <c r="F113" t="str">
        <f t="shared" si="17"/>
        <v>E2_1_3_3_km : 1</v>
      </c>
      <c r="G113" t="str">
        <f t="shared" si="18"/>
        <v>E2_1_3_3_mRNA : E2_1_3_3_mRNA</v>
      </c>
      <c r="H113" t="str">
        <f t="shared" si="19"/>
        <v>E2_1_3_3 : E2_1_3_3</v>
      </c>
      <c r="I113" t="str">
        <f t="shared" si="20"/>
        <v>E2_1_3_3_mRNA : 0</v>
      </c>
      <c r="J113" t="str">
        <f t="shared" si="21"/>
        <v>E2_1_3_3 : 0</v>
      </c>
      <c r="K113" t="str">
        <f t="shared" si="22"/>
        <v>0.00292 - (0.0093 * E2_1_3_3_mRNA)</v>
      </c>
      <c r="L113" t="str">
        <f t="shared" si="23"/>
        <v>(0.278 * E2_1_3_3_mRNA) - (0.00000278 * E2_1_3_3)</v>
      </c>
      <c r="M113" t="str">
        <f t="shared" si="24"/>
        <v>mRNA112: -&gt; E2_1_3_3_mRNA | 0.00292 - (0.0093 * E2_1_3_3_mRNA)</v>
      </c>
      <c r="N113" t="str">
        <f t="shared" si="25"/>
        <v>Peptide112: E2_1_3_3_mRNA -&gt; E2_1_3_3 | (0.278 * E2_1_3_3_mRNA) - (0.000000278 * E2_1_3_3)</v>
      </c>
    </row>
    <row r="114" spans="1:14" x14ac:dyDescent="0.25">
      <c r="A114">
        <f t="shared" si="13"/>
        <v>113</v>
      </c>
      <c r="B114" s="5" t="s">
        <v>9748</v>
      </c>
      <c r="C114" t="str">
        <f t="shared" si="14"/>
        <v>E2_2_1_1_mRNA</v>
      </c>
      <c r="D114" t="str">
        <f t="shared" si="15"/>
        <v>E2_2_1_1</v>
      </c>
      <c r="E114" t="str">
        <f t="shared" si="16"/>
        <v>E2_2_1_1_kcat : 13.7</v>
      </c>
      <c r="F114" t="str">
        <f t="shared" si="17"/>
        <v>E2_2_1_1_km : 1</v>
      </c>
      <c r="G114" t="str">
        <f t="shared" si="18"/>
        <v>E2_2_1_1_mRNA : E2_2_1_1_mRNA</v>
      </c>
      <c r="H114" t="str">
        <f t="shared" si="19"/>
        <v>E2_2_1_1 : E2_2_1_1</v>
      </c>
      <c r="I114" t="str">
        <f t="shared" si="20"/>
        <v>E2_2_1_1_mRNA : 0</v>
      </c>
      <c r="J114" t="str">
        <f t="shared" si="21"/>
        <v>E2_2_1_1 : 0</v>
      </c>
      <c r="K114" t="str">
        <f t="shared" si="22"/>
        <v>0.00292 - (0.0093 * E2_2_1_1_mRNA)</v>
      </c>
      <c r="L114" t="str">
        <f t="shared" si="23"/>
        <v>(0.278 * E2_2_1_1_mRNA) - (0.00000278 * E2_2_1_1)</v>
      </c>
      <c r="M114" t="str">
        <f t="shared" si="24"/>
        <v>mRNA113: -&gt; E2_2_1_1_mRNA | 0.00292 - (0.0093 * E2_2_1_1_mRNA)</v>
      </c>
      <c r="N114" t="str">
        <f t="shared" si="25"/>
        <v>Peptide113: E2_2_1_1_mRNA -&gt; E2_2_1_1 | (0.278 * E2_2_1_1_mRNA) - (0.000000278 * E2_2_1_1)</v>
      </c>
    </row>
    <row r="115" spans="1:14" x14ac:dyDescent="0.25">
      <c r="A115">
        <f t="shared" si="13"/>
        <v>114</v>
      </c>
      <c r="B115" s="5" t="s">
        <v>9699</v>
      </c>
      <c r="C115" t="str">
        <f t="shared" si="14"/>
        <v>E2_2_1_2_mRNA</v>
      </c>
      <c r="D115" t="str">
        <f t="shared" si="15"/>
        <v>E2_2_1_2</v>
      </c>
      <c r="E115" t="str">
        <f t="shared" si="16"/>
        <v>E2_2_1_2_kcat : 13.7</v>
      </c>
      <c r="F115" t="str">
        <f t="shared" si="17"/>
        <v>E2_2_1_2_km : 1</v>
      </c>
      <c r="G115" t="str">
        <f t="shared" si="18"/>
        <v>E2_2_1_2_mRNA : E2_2_1_2_mRNA</v>
      </c>
      <c r="H115" t="str">
        <f t="shared" si="19"/>
        <v>E2_2_1_2 : E2_2_1_2</v>
      </c>
      <c r="I115" t="str">
        <f t="shared" si="20"/>
        <v>E2_2_1_2_mRNA : 0</v>
      </c>
      <c r="J115" t="str">
        <f t="shared" si="21"/>
        <v>E2_2_1_2 : 0</v>
      </c>
      <c r="K115" t="str">
        <f t="shared" si="22"/>
        <v>0.00292 - (0.0093 * E2_2_1_2_mRNA)</v>
      </c>
      <c r="L115" t="str">
        <f t="shared" si="23"/>
        <v>(0.278 * E2_2_1_2_mRNA) - (0.00000278 * E2_2_1_2)</v>
      </c>
      <c r="M115" t="str">
        <f t="shared" si="24"/>
        <v>mRNA114: -&gt; E2_2_1_2_mRNA | 0.00292 - (0.0093 * E2_2_1_2_mRNA)</v>
      </c>
      <c r="N115" t="str">
        <f t="shared" si="25"/>
        <v>Peptide114: E2_2_1_2_mRNA -&gt; E2_2_1_2 | (0.278 * E2_2_1_2_mRNA) - (0.000000278 * E2_2_1_2)</v>
      </c>
    </row>
    <row r="116" spans="1:14" x14ac:dyDescent="0.25">
      <c r="A116">
        <f t="shared" si="13"/>
        <v>115</v>
      </c>
      <c r="B116" s="5" t="s">
        <v>9648</v>
      </c>
      <c r="C116" t="str">
        <f t="shared" si="14"/>
        <v>E2_2_1_6_mRNA</v>
      </c>
      <c r="D116" t="str">
        <f t="shared" si="15"/>
        <v>E2_2_1_6</v>
      </c>
      <c r="E116" t="str">
        <f t="shared" si="16"/>
        <v>E2_2_1_6_kcat : 13.7</v>
      </c>
      <c r="F116" t="str">
        <f t="shared" si="17"/>
        <v>E2_2_1_6_km : 1</v>
      </c>
      <c r="G116" t="str">
        <f t="shared" si="18"/>
        <v>E2_2_1_6_mRNA : E2_2_1_6_mRNA</v>
      </c>
      <c r="H116" t="str">
        <f t="shared" si="19"/>
        <v>E2_2_1_6 : E2_2_1_6</v>
      </c>
      <c r="I116" t="str">
        <f t="shared" si="20"/>
        <v>E2_2_1_6_mRNA : 0</v>
      </c>
      <c r="J116" t="str">
        <f t="shared" si="21"/>
        <v>E2_2_1_6 : 0</v>
      </c>
      <c r="K116" t="str">
        <f t="shared" si="22"/>
        <v>0.00292 - (0.0093 * E2_2_1_6_mRNA)</v>
      </c>
      <c r="L116" t="str">
        <f t="shared" si="23"/>
        <v>(0.278 * E2_2_1_6_mRNA) - (0.00000278 * E2_2_1_6)</v>
      </c>
      <c r="M116" t="str">
        <f t="shared" si="24"/>
        <v>mRNA115: -&gt; E2_2_1_6_mRNA | 0.00292 - (0.0093 * E2_2_1_6_mRNA)</v>
      </c>
      <c r="N116" t="str">
        <f t="shared" si="25"/>
        <v>Peptide115: E2_2_1_6_mRNA -&gt; E2_2_1_6 | (0.278 * E2_2_1_6_mRNA) - (0.000000278 * E2_2_1_6)</v>
      </c>
    </row>
    <row r="117" spans="1:14" x14ac:dyDescent="0.25">
      <c r="A117">
        <f t="shared" si="13"/>
        <v>116</v>
      </c>
      <c r="B117" s="5" t="s">
        <v>9389</v>
      </c>
      <c r="C117" t="str">
        <f t="shared" si="14"/>
        <v>E2_2_1_7_mRNA</v>
      </c>
      <c r="D117" t="str">
        <f t="shared" si="15"/>
        <v>E2_2_1_7</v>
      </c>
      <c r="E117" t="str">
        <f t="shared" si="16"/>
        <v>E2_2_1_7_kcat : 13.7</v>
      </c>
      <c r="F117" t="str">
        <f t="shared" si="17"/>
        <v>E2_2_1_7_km : 1</v>
      </c>
      <c r="G117" t="str">
        <f t="shared" si="18"/>
        <v>E2_2_1_7_mRNA : E2_2_1_7_mRNA</v>
      </c>
      <c r="H117" t="str">
        <f t="shared" si="19"/>
        <v>E2_2_1_7 : E2_2_1_7</v>
      </c>
      <c r="I117" t="str">
        <f t="shared" si="20"/>
        <v>E2_2_1_7_mRNA : 0</v>
      </c>
      <c r="J117" t="str">
        <f t="shared" si="21"/>
        <v>E2_2_1_7 : 0</v>
      </c>
      <c r="K117" t="str">
        <f t="shared" si="22"/>
        <v>0.00292 - (0.0093 * E2_2_1_7_mRNA)</v>
      </c>
      <c r="L117" t="str">
        <f t="shared" si="23"/>
        <v>(0.278 * E2_2_1_7_mRNA) - (0.00000278 * E2_2_1_7)</v>
      </c>
      <c r="M117" t="str">
        <f t="shared" si="24"/>
        <v>mRNA116: -&gt; E2_2_1_7_mRNA | 0.00292 - (0.0093 * E2_2_1_7_mRNA)</v>
      </c>
      <c r="N117" t="str">
        <f t="shared" si="25"/>
        <v>Peptide116: E2_2_1_7_mRNA -&gt; E2_2_1_7 | (0.278 * E2_2_1_7_mRNA) - (0.000000278 * E2_2_1_7)</v>
      </c>
    </row>
    <row r="118" spans="1:14" x14ac:dyDescent="0.25">
      <c r="A118">
        <f t="shared" si="13"/>
        <v>117</v>
      </c>
      <c r="B118" s="5" t="s">
        <v>9423</v>
      </c>
      <c r="C118" t="str">
        <f t="shared" si="14"/>
        <v>E2_3_1_1_mRNA</v>
      </c>
      <c r="D118" t="str">
        <f t="shared" si="15"/>
        <v>E2_3_1_1</v>
      </c>
      <c r="E118" t="str">
        <f t="shared" si="16"/>
        <v>E2_3_1_1_kcat : 13.7</v>
      </c>
      <c r="F118" t="str">
        <f t="shared" si="17"/>
        <v>E2_3_1_1_km : 1</v>
      </c>
      <c r="G118" t="str">
        <f t="shared" si="18"/>
        <v>E2_3_1_1_mRNA : E2_3_1_1_mRNA</v>
      </c>
      <c r="H118" t="str">
        <f t="shared" si="19"/>
        <v>E2_3_1_1 : E2_3_1_1</v>
      </c>
      <c r="I118" t="str">
        <f t="shared" si="20"/>
        <v>E2_3_1_1_mRNA : 0</v>
      </c>
      <c r="J118" t="str">
        <f t="shared" si="21"/>
        <v>E2_3_1_1 : 0</v>
      </c>
      <c r="K118" t="str">
        <f t="shared" si="22"/>
        <v>0.00292 - (0.0093 * E2_3_1_1_mRNA)</v>
      </c>
      <c r="L118" t="str">
        <f t="shared" si="23"/>
        <v>(0.278 * E2_3_1_1_mRNA) - (0.00000278 * E2_3_1_1)</v>
      </c>
      <c r="M118" t="str">
        <f t="shared" si="24"/>
        <v>mRNA117: -&gt; E2_3_1_1_mRNA | 0.00292 - (0.0093 * E2_3_1_1_mRNA)</v>
      </c>
      <c r="N118" t="str">
        <f t="shared" si="25"/>
        <v>Peptide117: E2_3_1_1_mRNA -&gt; E2_3_1_1 | (0.278 * E2_3_1_1_mRNA) - (0.000000278 * E2_3_1_1)</v>
      </c>
    </row>
    <row r="119" spans="1:14" x14ac:dyDescent="0.25">
      <c r="A119">
        <f t="shared" si="13"/>
        <v>118</v>
      </c>
      <c r="B119" s="5" t="s">
        <v>9791</v>
      </c>
      <c r="C119" t="str">
        <f t="shared" si="14"/>
        <v>E2_3_1_12_mRNA</v>
      </c>
      <c r="D119" t="str">
        <f t="shared" si="15"/>
        <v>E2_3_1_12</v>
      </c>
      <c r="E119" t="str">
        <f t="shared" si="16"/>
        <v>E2_3_1_12_kcat : 13.7</v>
      </c>
      <c r="F119" t="str">
        <f t="shared" si="17"/>
        <v>E2_3_1_12_km : 1</v>
      </c>
      <c r="G119" t="str">
        <f t="shared" si="18"/>
        <v>E2_3_1_12_mRNA : E2_3_1_12_mRNA</v>
      </c>
      <c r="H119" t="str">
        <f t="shared" si="19"/>
        <v>E2_3_1_12 : E2_3_1_12</v>
      </c>
      <c r="I119" t="str">
        <f t="shared" si="20"/>
        <v>E2_3_1_12_mRNA : 0</v>
      </c>
      <c r="J119" t="str">
        <f t="shared" si="21"/>
        <v>E2_3_1_12 : 0</v>
      </c>
      <c r="K119" t="str">
        <f t="shared" si="22"/>
        <v>0.00292 - (0.0093 * E2_3_1_12_mRNA)</v>
      </c>
      <c r="L119" t="str">
        <f t="shared" si="23"/>
        <v>(0.278 * E2_3_1_12_mRNA) - (0.00000278 * E2_3_1_12)</v>
      </c>
      <c r="M119" t="str">
        <f t="shared" si="24"/>
        <v>mRNA118: -&gt; E2_3_1_12_mRNA | 0.00292 - (0.0093 * E2_3_1_12_mRNA)</v>
      </c>
      <c r="N119" t="str">
        <f t="shared" si="25"/>
        <v>Peptide118: E2_3_1_12_mRNA -&gt; E2_3_1_12 | (0.278 * E2_3_1_12_mRNA) - (0.000000278 * E2_3_1_12)</v>
      </c>
    </row>
    <row r="120" spans="1:14" x14ac:dyDescent="0.25">
      <c r="A120">
        <f t="shared" si="13"/>
        <v>119</v>
      </c>
      <c r="B120" s="5" t="s">
        <v>9413</v>
      </c>
      <c r="C120" t="str">
        <f t="shared" si="14"/>
        <v>E2_3_1_168_mRNA</v>
      </c>
      <c r="D120" t="str">
        <f t="shared" si="15"/>
        <v>E2_3_1_168</v>
      </c>
      <c r="E120" t="str">
        <f t="shared" si="16"/>
        <v>E2_3_1_168_kcat : 13.7</v>
      </c>
      <c r="F120" t="str">
        <f t="shared" si="17"/>
        <v>E2_3_1_168_km : 1</v>
      </c>
      <c r="G120" t="str">
        <f t="shared" si="18"/>
        <v>E2_3_1_168_mRNA : E2_3_1_168_mRNA</v>
      </c>
      <c r="H120" t="str">
        <f t="shared" si="19"/>
        <v>E2_3_1_168 : E2_3_1_168</v>
      </c>
      <c r="I120" t="str">
        <f t="shared" si="20"/>
        <v>E2_3_1_168_mRNA : 0</v>
      </c>
      <c r="J120" t="str">
        <f t="shared" si="21"/>
        <v>E2_3_1_168 : 0</v>
      </c>
      <c r="K120" t="str">
        <f t="shared" si="22"/>
        <v>0.00292 - (0.0093 * E2_3_1_168_mRNA)</v>
      </c>
      <c r="L120" t="str">
        <f t="shared" si="23"/>
        <v>(0.278 * E2_3_1_168_mRNA) - (0.00000278 * E2_3_1_168)</v>
      </c>
      <c r="M120" t="str">
        <f t="shared" si="24"/>
        <v>mRNA119: -&gt; E2_3_1_168_mRNA | 0.00292 - (0.0093 * E2_3_1_168_mRNA)</v>
      </c>
      <c r="N120" t="str">
        <f t="shared" si="25"/>
        <v>Peptide119: E2_3_1_168_mRNA -&gt; E2_3_1_168 | (0.278 * E2_3_1_168_mRNA) - (0.000000278 * E2_3_1_168)</v>
      </c>
    </row>
    <row r="121" spans="1:14" x14ac:dyDescent="0.25">
      <c r="A121">
        <f t="shared" si="13"/>
        <v>120</v>
      </c>
      <c r="B121" s="5" t="s">
        <v>9683</v>
      </c>
      <c r="C121" t="str">
        <f t="shared" si="14"/>
        <v>E2_3_1_179_mRNA</v>
      </c>
      <c r="D121" t="str">
        <f t="shared" si="15"/>
        <v>E2_3_1_179</v>
      </c>
      <c r="E121" t="str">
        <f t="shared" si="16"/>
        <v>E2_3_1_179_kcat : 13.7</v>
      </c>
      <c r="F121" t="str">
        <f t="shared" si="17"/>
        <v>E2_3_1_179_km : 1</v>
      </c>
      <c r="G121" t="str">
        <f t="shared" si="18"/>
        <v>E2_3_1_179_mRNA : E2_3_1_179_mRNA</v>
      </c>
      <c r="H121" t="str">
        <f t="shared" si="19"/>
        <v>E2_3_1_179 : E2_3_1_179</v>
      </c>
      <c r="I121" t="str">
        <f t="shared" si="20"/>
        <v>E2_3_1_179_mRNA : 0</v>
      </c>
      <c r="J121" t="str">
        <f t="shared" si="21"/>
        <v>E2_3_1_179 : 0</v>
      </c>
      <c r="K121" t="str">
        <f t="shared" si="22"/>
        <v>0.00292 - (0.0093 * E2_3_1_179_mRNA)</v>
      </c>
      <c r="L121" t="str">
        <f t="shared" si="23"/>
        <v>(0.278 * E2_3_1_179_mRNA) - (0.00000278 * E2_3_1_179)</v>
      </c>
      <c r="M121" t="str">
        <f t="shared" si="24"/>
        <v>mRNA120: -&gt; E2_3_1_179_mRNA | 0.00292 - (0.0093 * E2_3_1_179_mRNA)</v>
      </c>
      <c r="N121" t="str">
        <f t="shared" si="25"/>
        <v>Peptide120: E2_3_1_179_mRNA -&gt; E2_3_1_179 | (0.278 * E2_3_1_179_mRNA) - (0.000000278 * E2_3_1_179)</v>
      </c>
    </row>
    <row r="122" spans="1:14" x14ac:dyDescent="0.25">
      <c r="A122">
        <f t="shared" si="13"/>
        <v>121</v>
      </c>
      <c r="B122" s="5" t="s">
        <v>9510</v>
      </c>
      <c r="C122" t="str">
        <f t="shared" si="14"/>
        <v>E2_3_1_180_mRNA</v>
      </c>
      <c r="D122" t="str">
        <f t="shared" si="15"/>
        <v>E2_3_1_180</v>
      </c>
      <c r="E122" t="str">
        <f t="shared" si="16"/>
        <v>E2_3_1_180_kcat : 13.7</v>
      </c>
      <c r="F122" t="str">
        <f t="shared" si="17"/>
        <v>E2_3_1_180_km : 1</v>
      </c>
      <c r="G122" t="str">
        <f t="shared" si="18"/>
        <v>E2_3_1_180_mRNA : E2_3_1_180_mRNA</v>
      </c>
      <c r="H122" t="str">
        <f t="shared" si="19"/>
        <v>E2_3_1_180 : E2_3_1_180</v>
      </c>
      <c r="I122" t="str">
        <f t="shared" si="20"/>
        <v>E2_3_1_180_mRNA : 0</v>
      </c>
      <c r="J122" t="str">
        <f t="shared" si="21"/>
        <v>E2_3_1_180 : 0</v>
      </c>
      <c r="K122" t="str">
        <f t="shared" si="22"/>
        <v>0.00292 - (0.0093 * E2_3_1_180_mRNA)</v>
      </c>
      <c r="L122" t="str">
        <f t="shared" si="23"/>
        <v>(0.278 * E2_3_1_180_mRNA) - (0.00000278 * E2_3_1_180)</v>
      </c>
      <c r="M122" t="str">
        <f t="shared" si="24"/>
        <v>mRNA121: -&gt; E2_3_1_180_mRNA | 0.00292 - (0.0093 * E2_3_1_180_mRNA)</v>
      </c>
      <c r="N122" t="str">
        <f t="shared" si="25"/>
        <v>Peptide121: E2_3_1_180_mRNA -&gt; E2_3_1_180 | (0.278 * E2_3_1_180_mRNA) - (0.000000278 * E2_3_1_180)</v>
      </c>
    </row>
    <row r="123" spans="1:14" x14ac:dyDescent="0.25">
      <c r="A123">
        <f t="shared" si="13"/>
        <v>122</v>
      </c>
      <c r="B123" s="5" t="s">
        <v>9788</v>
      </c>
      <c r="C123" t="str">
        <f t="shared" si="14"/>
        <v>E2_3_1_266_mRNA</v>
      </c>
      <c r="D123" t="str">
        <f t="shared" si="15"/>
        <v>E2_3_1_266</v>
      </c>
      <c r="E123" t="str">
        <f t="shared" si="16"/>
        <v>E2_3_1_266_kcat : 13.7</v>
      </c>
      <c r="F123" t="str">
        <f t="shared" si="17"/>
        <v>E2_3_1_266_km : 1</v>
      </c>
      <c r="G123" t="str">
        <f t="shared" si="18"/>
        <v>E2_3_1_266_mRNA : E2_3_1_266_mRNA</v>
      </c>
      <c r="H123" t="str">
        <f t="shared" si="19"/>
        <v>E2_3_1_266 : E2_3_1_266</v>
      </c>
      <c r="I123" t="str">
        <f t="shared" si="20"/>
        <v>E2_3_1_266_mRNA : 0</v>
      </c>
      <c r="J123" t="str">
        <f t="shared" si="21"/>
        <v>E2_3_1_266 : 0</v>
      </c>
      <c r="K123" t="str">
        <f t="shared" si="22"/>
        <v>0.00292 - (0.0093 * E2_3_1_266_mRNA)</v>
      </c>
      <c r="L123" t="str">
        <f t="shared" si="23"/>
        <v>(0.278 * E2_3_1_266_mRNA) - (0.00000278 * E2_3_1_266)</v>
      </c>
      <c r="M123" t="str">
        <f t="shared" si="24"/>
        <v>mRNA122: -&gt; E2_3_1_266_mRNA | 0.00292 - (0.0093 * E2_3_1_266_mRNA)</v>
      </c>
      <c r="N123" t="str">
        <f t="shared" si="25"/>
        <v>Peptide122: E2_3_1_266_mRNA -&gt; E2_3_1_266 | (0.278 * E2_3_1_266_mRNA) - (0.000000278 * E2_3_1_266)</v>
      </c>
    </row>
    <row r="124" spans="1:14" x14ac:dyDescent="0.25">
      <c r="A124">
        <f t="shared" si="13"/>
        <v>123</v>
      </c>
      <c r="B124" s="5" t="s">
        <v>9789</v>
      </c>
      <c r="C124" t="str">
        <f t="shared" si="14"/>
        <v>E2_3_1_267_mRNA</v>
      </c>
      <c r="D124" t="str">
        <f t="shared" si="15"/>
        <v>E2_3_1_267</v>
      </c>
      <c r="E124" t="str">
        <f t="shared" si="16"/>
        <v>E2_3_1_267_kcat : 13.7</v>
      </c>
      <c r="F124" t="str">
        <f t="shared" si="17"/>
        <v>E2_3_1_267_km : 1</v>
      </c>
      <c r="G124" t="str">
        <f t="shared" si="18"/>
        <v>E2_3_1_267_mRNA : E2_3_1_267_mRNA</v>
      </c>
      <c r="H124" t="str">
        <f t="shared" si="19"/>
        <v>E2_3_1_267 : E2_3_1_267</v>
      </c>
      <c r="I124" t="str">
        <f t="shared" si="20"/>
        <v>E2_3_1_267_mRNA : 0</v>
      </c>
      <c r="J124" t="str">
        <f t="shared" si="21"/>
        <v>E2_3_1_267 : 0</v>
      </c>
      <c r="K124" t="str">
        <f t="shared" si="22"/>
        <v>0.00292 - (0.0093 * E2_3_1_267_mRNA)</v>
      </c>
      <c r="L124" t="str">
        <f t="shared" si="23"/>
        <v>(0.278 * E2_3_1_267_mRNA) - (0.00000278 * E2_3_1_267)</v>
      </c>
      <c r="M124" t="str">
        <f t="shared" si="24"/>
        <v>mRNA123: -&gt; E2_3_1_267_mRNA | 0.00292 - (0.0093 * E2_3_1_267_mRNA)</v>
      </c>
      <c r="N124" t="str">
        <f t="shared" si="25"/>
        <v>Peptide123: E2_3_1_267_mRNA -&gt; E2_3_1_267 | (0.278 * E2_3_1_267_mRNA) - (0.000000278 * E2_3_1_267)</v>
      </c>
    </row>
    <row r="125" spans="1:14" x14ac:dyDescent="0.25">
      <c r="A125">
        <f t="shared" si="13"/>
        <v>124</v>
      </c>
      <c r="B125" s="5" t="s">
        <v>9771</v>
      </c>
      <c r="C125" t="str">
        <f t="shared" si="14"/>
        <v>E2_3_1_29_mRNA</v>
      </c>
      <c r="D125" t="str">
        <f t="shared" si="15"/>
        <v>E2_3_1_29</v>
      </c>
      <c r="E125" t="str">
        <f t="shared" si="16"/>
        <v>E2_3_1_29_kcat : 13.7</v>
      </c>
      <c r="F125" t="str">
        <f t="shared" si="17"/>
        <v>E2_3_1_29_km : 1</v>
      </c>
      <c r="G125" t="str">
        <f t="shared" si="18"/>
        <v>E2_3_1_29_mRNA : E2_3_1_29_mRNA</v>
      </c>
      <c r="H125" t="str">
        <f t="shared" si="19"/>
        <v>E2_3_1_29 : E2_3_1_29</v>
      </c>
      <c r="I125" t="str">
        <f t="shared" si="20"/>
        <v>E2_3_1_29_mRNA : 0</v>
      </c>
      <c r="J125" t="str">
        <f t="shared" si="21"/>
        <v>E2_3_1_29 : 0</v>
      </c>
      <c r="K125" t="str">
        <f t="shared" si="22"/>
        <v>0.00292 - (0.0093 * E2_3_1_29_mRNA)</v>
      </c>
      <c r="L125" t="str">
        <f t="shared" si="23"/>
        <v>(0.278 * E2_3_1_29_mRNA) - (0.00000278 * E2_3_1_29)</v>
      </c>
      <c r="M125" t="str">
        <f t="shared" si="24"/>
        <v>mRNA124: -&gt; E2_3_1_29_mRNA | 0.00292 - (0.0093 * E2_3_1_29_mRNA)</v>
      </c>
      <c r="N125" t="str">
        <f t="shared" si="25"/>
        <v>Peptide124: E2_3_1_29_mRNA -&gt; E2_3_1_29 | (0.278 * E2_3_1_29_mRNA) - (0.000000278 * E2_3_1_29)</v>
      </c>
    </row>
    <row r="126" spans="1:14" x14ac:dyDescent="0.25">
      <c r="A126">
        <f t="shared" ref="A126:A186" si="26">ROW()-1</f>
        <v>125</v>
      </c>
      <c r="B126" s="5" t="s">
        <v>9606</v>
      </c>
      <c r="C126" t="str">
        <f t="shared" si="14"/>
        <v>E2_3_1_31_mRNA</v>
      </c>
      <c r="D126" t="str">
        <f t="shared" si="15"/>
        <v>E2_3_1_31</v>
      </c>
      <c r="E126" t="str">
        <f t="shared" si="16"/>
        <v>E2_3_1_31_kcat : 13.7</v>
      </c>
      <c r="F126" t="str">
        <f t="shared" si="17"/>
        <v>E2_3_1_31_km : 1</v>
      </c>
      <c r="G126" t="str">
        <f t="shared" si="18"/>
        <v>E2_3_1_31_mRNA : E2_3_1_31_mRNA</v>
      </c>
      <c r="H126" t="str">
        <f t="shared" si="19"/>
        <v>E2_3_1_31 : E2_3_1_31</v>
      </c>
      <c r="I126" t="str">
        <f t="shared" si="20"/>
        <v>E2_3_1_31_mRNA : 0</v>
      </c>
      <c r="J126" t="str">
        <f t="shared" si="21"/>
        <v>E2_3_1_31 : 0</v>
      </c>
      <c r="K126" t="str">
        <f t="shared" si="22"/>
        <v>0.00292 - (0.0093 * E2_3_1_31_mRNA)</v>
      </c>
      <c r="L126" t="str">
        <f t="shared" si="23"/>
        <v>(0.278 * E2_3_1_31_mRNA) - (0.00000278 * E2_3_1_31)</v>
      </c>
      <c r="M126" t="str">
        <f t="shared" si="24"/>
        <v>mRNA125: -&gt; E2_3_1_31_mRNA | 0.00292 - (0.0093 * E2_3_1_31_mRNA)</v>
      </c>
      <c r="N126" t="str">
        <f t="shared" si="25"/>
        <v>Peptide125: E2_3_1_31_mRNA -&gt; E2_3_1_31 | (0.278 * E2_3_1_31_mRNA) - (0.000000278 * E2_3_1_31)</v>
      </c>
    </row>
    <row r="127" spans="1:14" x14ac:dyDescent="0.25">
      <c r="A127">
        <f t="shared" si="26"/>
        <v>126</v>
      </c>
      <c r="B127" s="5" t="s">
        <v>9642</v>
      </c>
      <c r="C127" t="str">
        <f t="shared" ref="C127:C187" si="27">CONCATENATE(D127,"_mRNA")</f>
        <v>E2_3_1_35_mRNA</v>
      </c>
      <c r="D127" t="str">
        <f t="shared" ref="D127:D187" si="28">CONCATENATE("E",B127)</f>
        <v>E2_3_1_35</v>
      </c>
      <c r="E127" t="str">
        <f t="shared" ref="E127:E187" si="29">CONCATENATE("E",B127,"_kcat : 13.7")</f>
        <v>E2_3_1_35_kcat : 13.7</v>
      </c>
      <c r="F127" t="str">
        <f t="shared" ref="F127:F187" si="30">CONCATENATE("E",B127,"_km : 1")</f>
        <v>E2_3_1_35_km : 1</v>
      </c>
      <c r="G127" t="str">
        <f t="shared" ref="G127:G187" si="31">CONCATENATE(C127," : ",C127)</f>
        <v>E2_3_1_35_mRNA : E2_3_1_35_mRNA</v>
      </c>
      <c r="H127" t="str">
        <f t="shared" ref="H127:H187" si="32">CONCATENATE(D127," : ",D127)</f>
        <v>E2_3_1_35 : E2_3_1_35</v>
      </c>
      <c r="I127" t="str">
        <f t="shared" ref="I127:I187" si="33">CONCATENATE(C127," : ","0")</f>
        <v>E2_3_1_35_mRNA : 0</v>
      </c>
      <c r="J127" t="str">
        <f t="shared" ref="J127:J187" si="34">CONCATENATE(D127," : ","0")</f>
        <v>E2_3_1_35 : 0</v>
      </c>
      <c r="K127" t="str">
        <f t="shared" ref="K127:K187" si="35">CONCATENATE("0.00292 - (0.0093 * ",C127,")")</f>
        <v>0.00292 - (0.0093 * E2_3_1_35_mRNA)</v>
      </c>
      <c r="L127" t="str">
        <f t="shared" ref="L127:L187" si="36">CONCATENATE("(0.278 * ",C127,")"," - (0.00000278 * ",D127,")")</f>
        <v>(0.278 * E2_3_1_35_mRNA) - (0.00000278 * E2_3_1_35)</v>
      </c>
      <c r="M127" t="str">
        <f t="shared" ref="M127:M187" si="37">CONCATENATE("mRNA",A127,": -&gt; ",C127," | ","0.00292"," - ","(","0.0093"," * ",C127,")")</f>
        <v>mRNA126: -&gt; E2_3_1_35_mRNA | 0.00292 - (0.0093 * E2_3_1_35_mRNA)</v>
      </c>
      <c r="N127" t="str">
        <f t="shared" ref="N127:N187" si="38">CONCATENATE("Peptide",A127,": ",C127," -&gt; ",D127," | ","(","0.278"," * ",C127,")"," - ","(","0.000000278"," * ",D127,")")</f>
        <v>Peptide126: E2_3_1_35_mRNA -&gt; E2_3_1_35 | (0.278 * E2_3_1_35_mRNA) - (0.000000278 * E2_3_1_35)</v>
      </c>
    </row>
    <row r="128" spans="1:14" x14ac:dyDescent="0.25">
      <c r="A128">
        <f t="shared" si="26"/>
        <v>127</v>
      </c>
      <c r="B128" s="5" t="s">
        <v>9509</v>
      </c>
      <c r="C128" t="str">
        <f t="shared" si="27"/>
        <v>E2_3_1_39_mRNA</v>
      </c>
      <c r="D128" t="str">
        <f t="shared" si="28"/>
        <v>E2_3_1_39</v>
      </c>
      <c r="E128" t="str">
        <f t="shared" si="29"/>
        <v>E2_3_1_39_kcat : 13.7</v>
      </c>
      <c r="F128" t="str">
        <f t="shared" si="30"/>
        <v>E2_3_1_39_km : 1</v>
      </c>
      <c r="G128" t="str">
        <f t="shared" si="31"/>
        <v>E2_3_1_39_mRNA : E2_3_1_39_mRNA</v>
      </c>
      <c r="H128" t="str">
        <f t="shared" si="32"/>
        <v>E2_3_1_39 : E2_3_1_39</v>
      </c>
      <c r="I128" t="str">
        <f t="shared" si="33"/>
        <v>E2_3_1_39_mRNA : 0</v>
      </c>
      <c r="J128" t="str">
        <f t="shared" si="34"/>
        <v>E2_3_1_39 : 0</v>
      </c>
      <c r="K128" t="str">
        <f t="shared" si="35"/>
        <v>0.00292 - (0.0093 * E2_3_1_39_mRNA)</v>
      </c>
      <c r="L128" t="str">
        <f t="shared" si="36"/>
        <v>(0.278 * E2_3_1_39_mRNA) - (0.00000278 * E2_3_1_39)</v>
      </c>
      <c r="M128" t="str">
        <f t="shared" si="37"/>
        <v>mRNA127: -&gt; E2_3_1_39_mRNA | 0.00292 - (0.0093 * E2_3_1_39_mRNA)</v>
      </c>
      <c r="N128" t="str">
        <f t="shared" si="38"/>
        <v>Peptide127: E2_3_1_39_mRNA -&gt; E2_3_1_39 | (0.278 * E2_3_1_39_mRNA) - (0.000000278 * E2_3_1_39)</v>
      </c>
    </row>
    <row r="129" spans="1:14" x14ac:dyDescent="0.25">
      <c r="A129">
        <f t="shared" si="26"/>
        <v>128</v>
      </c>
      <c r="B129" s="5" t="s">
        <v>9751</v>
      </c>
      <c r="C129" t="str">
        <f t="shared" si="27"/>
        <v>E2_3_1_51_mRNA</v>
      </c>
      <c r="D129" t="str">
        <f t="shared" si="28"/>
        <v>E2_3_1_51</v>
      </c>
      <c r="E129" t="str">
        <f t="shared" si="29"/>
        <v>E2_3_1_51_kcat : 13.7</v>
      </c>
      <c r="F129" t="str">
        <f t="shared" si="30"/>
        <v>E2_3_1_51_km : 1</v>
      </c>
      <c r="G129" t="str">
        <f t="shared" si="31"/>
        <v>E2_3_1_51_mRNA : E2_3_1_51_mRNA</v>
      </c>
      <c r="H129" t="str">
        <f t="shared" si="32"/>
        <v>E2_3_1_51 : E2_3_1_51</v>
      </c>
      <c r="I129" t="str">
        <f t="shared" si="33"/>
        <v>E2_3_1_51_mRNA : 0</v>
      </c>
      <c r="J129" t="str">
        <f t="shared" si="34"/>
        <v>E2_3_1_51 : 0</v>
      </c>
      <c r="K129" t="str">
        <f t="shared" si="35"/>
        <v>0.00292 - (0.0093 * E2_3_1_51_mRNA)</v>
      </c>
      <c r="L129" t="str">
        <f t="shared" si="36"/>
        <v>(0.278 * E2_3_1_51_mRNA) - (0.00000278 * E2_3_1_51)</v>
      </c>
      <c r="M129" t="str">
        <f t="shared" si="37"/>
        <v>mRNA128: -&gt; E2_3_1_51_mRNA | 0.00292 - (0.0093 * E2_3_1_51_mRNA)</v>
      </c>
      <c r="N129" t="str">
        <f t="shared" si="38"/>
        <v>Peptide128: E2_3_1_51_mRNA -&gt; E2_3_1_51 | (0.278 * E2_3_1_51_mRNA) - (0.000000278 * E2_3_1_51)</v>
      </c>
    </row>
    <row r="130" spans="1:14" x14ac:dyDescent="0.25">
      <c r="A130">
        <f t="shared" si="26"/>
        <v>129</v>
      </c>
      <c r="B130" s="5" t="s">
        <v>9420</v>
      </c>
      <c r="C130" t="str">
        <f t="shared" si="27"/>
        <v>E2_3_1_61_mRNA</v>
      </c>
      <c r="D130" t="str">
        <f t="shared" si="28"/>
        <v>E2_3_1_61</v>
      </c>
      <c r="E130" t="str">
        <f t="shared" si="29"/>
        <v>E2_3_1_61_kcat : 13.7</v>
      </c>
      <c r="F130" t="str">
        <f t="shared" si="30"/>
        <v>E2_3_1_61_km : 1</v>
      </c>
      <c r="G130" t="str">
        <f t="shared" si="31"/>
        <v>E2_3_1_61_mRNA : E2_3_1_61_mRNA</v>
      </c>
      <c r="H130" t="str">
        <f t="shared" si="32"/>
        <v>E2_3_1_61 : E2_3_1_61</v>
      </c>
      <c r="I130" t="str">
        <f t="shared" si="33"/>
        <v>E2_3_1_61_mRNA : 0</v>
      </c>
      <c r="J130" t="str">
        <f t="shared" si="34"/>
        <v>E2_3_1_61 : 0</v>
      </c>
      <c r="K130" t="str">
        <f t="shared" si="35"/>
        <v>0.00292 - (0.0093 * E2_3_1_61_mRNA)</v>
      </c>
      <c r="L130" t="str">
        <f t="shared" si="36"/>
        <v>(0.278 * E2_3_1_61_mRNA) - (0.00000278 * E2_3_1_61)</v>
      </c>
      <c r="M130" t="str">
        <f t="shared" si="37"/>
        <v>mRNA129: -&gt; E2_3_1_61_mRNA | 0.00292 - (0.0093 * E2_3_1_61_mRNA)</v>
      </c>
      <c r="N130" t="str">
        <f t="shared" si="38"/>
        <v>Peptide129: E2_3_1_61_mRNA -&gt; E2_3_1_61 | (0.278 * E2_3_1_61_mRNA) - (0.000000278 * E2_3_1_61)</v>
      </c>
    </row>
    <row r="131" spans="1:14" x14ac:dyDescent="0.25">
      <c r="A131">
        <f t="shared" si="26"/>
        <v>130</v>
      </c>
      <c r="B131" s="5" t="s">
        <v>9573</v>
      </c>
      <c r="C131" t="str">
        <f t="shared" si="27"/>
        <v>E2_3_1_8_mRNA</v>
      </c>
      <c r="D131" t="str">
        <f t="shared" si="28"/>
        <v>E2_3_1_8</v>
      </c>
      <c r="E131" t="str">
        <f t="shared" si="29"/>
        <v>E2_3_1_8_kcat : 13.7</v>
      </c>
      <c r="F131" t="str">
        <f t="shared" si="30"/>
        <v>E2_3_1_8_km : 1</v>
      </c>
      <c r="G131" t="str">
        <f t="shared" si="31"/>
        <v>E2_3_1_8_mRNA : E2_3_1_8_mRNA</v>
      </c>
      <c r="H131" t="str">
        <f t="shared" si="32"/>
        <v>E2_3_1_8 : E2_3_1_8</v>
      </c>
      <c r="I131" t="str">
        <f t="shared" si="33"/>
        <v>E2_3_1_8_mRNA : 0</v>
      </c>
      <c r="J131" t="str">
        <f t="shared" si="34"/>
        <v>E2_3_1_8 : 0</v>
      </c>
      <c r="K131" t="str">
        <f t="shared" si="35"/>
        <v>0.00292 - (0.0093 * E2_3_1_8_mRNA)</v>
      </c>
      <c r="L131" t="str">
        <f t="shared" si="36"/>
        <v>(0.278 * E2_3_1_8_mRNA) - (0.00000278 * E2_3_1_8)</v>
      </c>
      <c r="M131" t="str">
        <f t="shared" si="37"/>
        <v>mRNA130: -&gt; E2_3_1_8_mRNA | 0.00292 - (0.0093 * E2_3_1_8_mRNA)</v>
      </c>
      <c r="N131" t="str">
        <f t="shared" si="38"/>
        <v>Peptide130: E2_3_1_8_mRNA -&gt; E2_3_1_8 | (0.278 * E2_3_1_8_mRNA) - (0.000000278 * E2_3_1_8)</v>
      </c>
    </row>
    <row r="132" spans="1:14" x14ac:dyDescent="0.25">
      <c r="A132">
        <f t="shared" si="26"/>
        <v>131</v>
      </c>
      <c r="B132" s="5" t="s">
        <v>9537</v>
      </c>
      <c r="C132" t="str">
        <f t="shared" si="27"/>
        <v>E2_3_1_9_mRNA</v>
      </c>
      <c r="D132" t="str">
        <f t="shared" si="28"/>
        <v>E2_3_1_9</v>
      </c>
      <c r="E132" t="str">
        <f t="shared" si="29"/>
        <v>E2_3_1_9_kcat : 13.7</v>
      </c>
      <c r="F132" t="str">
        <f t="shared" si="30"/>
        <v>E2_3_1_9_km : 1</v>
      </c>
      <c r="G132" t="str">
        <f t="shared" si="31"/>
        <v>E2_3_1_9_mRNA : E2_3_1_9_mRNA</v>
      </c>
      <c r="H132" t="str">
        <f t="shared" si="32"/>
        <v>E2_3_1_9 : E2_3_1_9</v>
      </c>
      <c r="I132" t="str">
        <f t="shared" si="33"/>
        <v>E2_3_1_9_mRNA : 0</v>
      </c>
      <c r="J132" t="str">
        <f t="shared" si="34"/>
        <v>E2_3_1_9 : 0</v>
      </c>
      <c r="K132" t="str">
        <f t="shared" si="35"/>
        <v>0.00292 - (0.0093 * E2_3_1_9_mRNA)</v>
      </c>
      <c r="L132" t="str">
        <f t="shared" si="36"/>
        <v>(0.278 * E2_3_1_9_mRNA) - (0.00000278 * E2_3_1_9)</v>
      </c>
      <c r="M132" t="str">
        <f t="shared" si="37"/>
        <v>mRNA131: -&gt; E2_3_1_9_mRNA | 0.00292 - (0.0093 * E2_3_1_9_mRNA)</v>
      </c>
      <c r="N132" t="str">
        <f t="shared" si="38"/>
        <v>Peptide131: E2_3_1_9_mRNA -&gt; E2_3_1_9 | (0.278 * E2_3_1_9_mRNA) - (0.000000278 * E2_3_1_9)</v>
      </c>
    </row>
    <row r="133" spans="1:14" x14ac:dyDescent="0.25">
      <c r="A133">
        <f t="shared" si="26"/>
        <v>132</v>
      </c>
      <c r="B133" s="5" t="s">
        <v>9632</v>
      </c>
      <c r="C133" t="str">
        <f t="shared" si="27"/>
        <v>E2_3_2_2_mRNA</v>
      </c>
      <c r="D133" t="str">
        <f t="shared" si="28"/>
        <v>E2_3_2_2</v>
      </c>
      <c r="E133" t="str">
        <f t="shared" si="29"/>
        <v>E2_3_2_2_kcat : 13.7</v>
      </c>
      <c r="F133" t="str">
        <f t="shared" si="30"/>
        <v>E2_3_2_2_km : 1</v>
      </c>
      <c r="G133" t="str">
        <f t="shared" si="31"/>
        <v>E2_3_2_2_mRNA : E2_3_2_2_mRNA</v>
      </c>
      <c r="H133" t="str">
        <f t="shared" si="32"/>
        <v>E2_3_2_2 : E2_3_2_2</v>
      </c>
      <c r="I133" t="str">
        <f t="shared" si="33"/>
        <v>E2_3_2_2_mRNA : 0</v>
      </c>
      <c r="J133" t="str">
        <f t="shared" si="34"/>
        <v>E2_3_2_2 : 0</v>
      </c>
      <c r="K133" t="str">
        <f t="shared" si="35"/>
        <v>0.00292 - (0.0093 * E2_3_2_2_mRNA)</v>
      </c>
      <c r="L133" t="str">
        <f t="shared" si="36"/>
        <v>(0.278 * E2_3_2_2_mRNA) - (0.00000278 * E2_3_2_2)</v>
      </c>
      <c r="M133" t="str">
        <f t="shared" si="37"/>
        <v>mRNA132: -&gt; E2_3_2_2_mRNA | 0.00292 - (0.0093 * E2_3_2_2_mRNA)</v>
      </c>
      <c r="N133" t="str">
        <f t="shared" si="38"/>
        <v>Peptide132: E2_3_2_2_mRNA -&gt; E2_3_2_2 | (0.278 * E2_3_2_2_mRNA) - (0.000000278 * E2_3_2_2)</v>
      </c>
    </row>
    <row r="134" spans="1:14" x14ac:dyDescent="0.25">
      <c r="A134">
        <f t="shared" si="26"/>
        <v>133</v>
      </c>
      <c r="B134" s="5" t="s">
        <v>9762</v>
      </c>
      <c r="C134" t="str">
        <f t="shared" si="27"/>
        <v>E2_3_3_1_mRNA</v>
      </c>
      <c r="D134" t="str">
        <f t="shared" si="28"/>
        <v>E2_3_3_1</v>
      </c>
      <c r="E134" t="str">
        <f t="shared" si="29"/>
        <v>E2_3_3_1_kcat : 13.7</v>
      </c>
      <c r="F134" t="str">
        <f t="shared" si="30"/>
        <v>E2_3_3_1_km : 1</v>
      </c>
      <c r="G134" t="str">
        <f t="shared" si="31"/>
        <v>E2_3_3_1_mRNA : E2_3_3_1_mRNA</v>
      </c>
      <c r="H134" t="str">
        <f t="shared" si="32"/>
        <v>E2_3_3_1 : E2_3_3_1</v>
      </c>
      <c r="I134" t="str">
        <f t="shared" si="33"/>
        <v>E2_3_3_1_mRNA : 0</v>
      </c>
      <c r="J134" t="str">
        <f t="shared" si="34"/>
        <v>E2_3_3_1 : 0</v>
      </c>
      <c r="K134" t="str">
        <f t="shared" si="35"/>
        <v>0.00292 - (0.0093 * E2_3_3_1_mRNA)</v>
      </c>
      <c r="L134" t="str">
        <f t="shared" si="36"/>
        <v>(0.278 * E2_3_3_1_mRNA) - (0.00000278 * E2_3_3_1)</v>
      </c>
      <c r="M134" t="str">
        <f t="shared" si="37"/>
        <v>mRNA133: -&gt; E2_3_3_1_mRNA | 0.00292 - (0.0093 * E2_3_3_1_mRNA)</v>
      </c>
      <c r="N134" t="str">
        <f t="shared" si="38"/>
        <v>Peptide133: E2_3_3_1_mRNA -&gt; E2_3_3_1 | (0.278 * E2_3_3_1_mRNA) - (0.000000278 * E2_3_3_1)</v>
      </c>
    </row>
    <row r="135" spans="1:14" x14ac:dyDescent="0.25">
      <c r="A135">
        <f t="shared" si="26"/>
        <v>134</v>
      </c>
      <c r="B135" s="5" t="s">
        <v>9646</v>
      </c>
      <c r="C135" t="str">
        <f t="shared" si="27"/>
        <v>E2_3_3_13_mRNA</v>
      </c>
      <c r="D135" t="str">
        <f t="shared" si="28"/>
        <v>E2_3_3_13</v>
      </c>
      <c r="E135" t="str">
        <f t="shared" si="29"/>
        <v>E2_3_3_13_kcat : 13.7</v>
      </c>
      <c r="F135" t="str">
        <f t="shared" si="30"/>
        <v>E2_3_3_13_km : 1</v>
      </c>
      <c r="G135" t="str">
        <f t="shared" si="31"/>
        <v>E2_3_3_13_mRNA : E2_3_3_13_mRNA</v>
      </c>
      <c r="H135" t="str">
        <f t="shared" si="32"/>
        <v>E2_3_3_13 : E2_3_3_13</v>
      </c>
      <c r="I135" t="str">
        <f t="shared" si="33"/>
        <v>E2_3_3_13_mRNA : 0</v>
      </c>
      <c r="J135" t="str">
        <f t="shared" si="34"/>
        <v>E2_3_3_13 : 0</v>
      </c>
      <c r="K135" t="str">
        <f t="shared" si="35"/>
        <v>0.00292 - (0.0093 * E2_3_3_13_mRNA)</v>
      </c>
      <c r="L135" t="str">
        <f t="shared" si="36"/>
        <v>(0.278 * E2_3_3_13_mRNA) - (0.00000278 * E2_3_3_13)</v>
      </c>
      <c r="M135" t="str">
        <f t="shared" si="37"/>
        <v>mRNA134: -&gt; E2_3_3_13_mRNA | 0.00292 - (0.0093 * E2_3_3_13_mRNA)</v>
      </c>
      <c r="N135" t="str">
        <f t="shared" si="38"/>
        <v>Peptide134: E2_3_3_13_mRNA -&gt; E2_3_3_13 | (0.278 * E2_3_3_13_mRNA) - (0.000000278 * E2_3_3_13)</v>
      </c>
    </row>
    <row r="136" spans="1:14" x14ac:dyDescent="0.25">
      <c r="A136">
        <f t="shared" si="26"/>
        <v>135</v>
      </c>
      <c r="B136" s="5" t="s">
        <v>9404</v>
      </c>
      <c r="C136" t="str">
        <f t="shared" si="27"/>
        <v>E2_3_3_14_mRNA</v>
      </c>
      <c r="D136" t="str">
        <f t="shared" si="28"/>
        <v>E2_3_3_14</v>
      </c>
      <c r="E136" t="str">
        <f t="shared" si="29"/>
        <v>E2_3_3_14_kcat : 13.7</v>
      </c>
      <c r="F136" t="str">
        <f t="shared" si="30"/>
        <v>E2_3_3_14_km : 1</v>
      </c>
      <c r="G136" t="str">
        <f t="shared" si="31"/>
        <v>E2_3_3_14_mRNA : E2_3_3_14_mRNA</v>
      </c>
      <c r="H136" t="str">
        <f t="shared" si="32"/>
        <v>E2_3_3_14 : E2_3_3_14</v>
      </c>
      <c r="I136" t="str">
        <f t="shared" si="33"/>
        <v>E2_3_3_14_mRNA : 0</v>
      </c>
      <c r="J136" t="str">
        <f t="shared" si="34"/>
        <v>E2_3_3_14 : 0</v>
      </c>
      <c r="K136" t="str">
        <f t="shared" si="35"/>
        <v>0.00292 - (0.0093 * E2_3_3_14_mRNA)</v>
      </c>
      <c r="L136" t="str">
        <f t="shared" si="36"/>
        <v>(0.278 * E2_3_3_14_mRNA) - (0.00000278 * E2_3_3_14)</v>
      </c>
      <c r="M136" t="str">
        <f t="shared" si="37"/>
        <v>mRNA135: -&gt; E2_3_3_14_mRNA | 0.00292 - (0.0093 * E2_3_3_14_mRNA)</v>
      </c>
      <c r="N136" t="str">
        <f t="shared" si="38"/>
        <v>Peptide135: E2_3_3_14_mRNA -&gt; E2_3_3_14 | (0.278 * E2_3_3_14_mRNA) - (0.000000278 * E2_3_3_14)</v>
      </c>
    </row>
    <row r="137" spans="1:14" x14ac:dyDescent="0.25">
      <c r="A137">
        <f t="shared" si="26"/>
        <v>136</v>
      </c>
      <c r="B137" s="5" t="s">
        <v>9645</v>
      </c>
      <c r="C137" t="str">
        <f t="shared" si="27"/>
        <v>E2_3_3_21_mRNA</v>
      </c>
      <c r="D137" t="str">
        <f t="shared" si="28"/>
        <v>E2_3_3_21</v>
      </c>
      <c r="E137" t="str">
        <f t="shared" si="29"/>
        <v>E2_3_3_21_kcat : 13.7</v>
      </c>
      <c r="F137" t="str">
        <f t="shared" si="30"/>
        <v>E2_3_3_21_km : 1</v>
      </c>
      <c r="G137" t="str">
        <f t="shared" si="31"/>
        <v>E2_3_3_21_mRNA : E2_3_3_21_mRNA</v>
      </c>
      <c r="H137" t="str">
        <f t="shared" si="32"/>
        <v>E2_3_3_21 : E2_3_3_21</v>
      </c>
      <c r="I137" t="str">
        <f t="shared" si="33"/>
        <v>E2_3_3_21_mRNA : 0</v>
      </c>
      <c r="J137" t="str">
        <f t="shared" si="34"/>
        <v>E2_3_3_21 : 0</v>
      </c>
      <c r="K137" t="str">
        <f t="shared" si="35"/>
        <v>0.00292 - (0.0093 * E2_3_3_21_mRNA)</v>
      </c>
      <c r="L137" t="str">
        <f t="shared" si="36"/>
        <v>(0.278 * E2_3_3_21_mRNA) - (0.00000278 * E2_3_3_21)</v>
      </c>
      <c r="M137" t="str">
        <f t="shared" si="37"/>
        <v>mRNA136: -&gt; E2_3_3_21_mRNA | 0.00292 - (0.0093 * E2_3_3_21_mRNA)</v>
      </c>
      <c r="N137" t="str">
        <f t="shared" si="38"/>
        <v>Peptide136: E2_3_3_21_mRNA -&gt; E2_3_3_21 | (0.278 * E2_3_3_21_mRNA) - (0.000000278 * E2_3_3_21)</v>
      </c>
    </row>
    <row r="138" spans="1:14" x14ac:dyDescent="0.25">
      <c r="A138">
        <f t="shared" si="26"/>
        <v>137</v>
      </c>
      <c r="B138" s="5" t="s">
        <v>9502</v>
      </c>
      <c r="C138" t="str">
        <f t="shared" si="27"/>
        <v>E2_3_3_9_mRNA</v>
      </c>
      <c r="D138" t="str">
        <f t="shared" si="28"/>
        <v>E2_3_3_9</v>
      </c>
      <c r="E138" t="str">
        <f t="shared" si="29"/>
        <v>E2_3_3_9_kcat : 13.7</v>
      </c>
      <c r="F138" t="str">
        <f t="shared" si="30"/>
        <v>E2_3_3_9_km : 1</v>
      </c>
      <c r="G138" t="str">
        <f t="shared" si="31"/>
        <v>E2_3_3_9_mRNA : E2_3_3_9_mRNA</v>
      </c>
      <c r="H138" t="str">
        <f t="shared" si="32"/>
        <v>E2_3_3_9 : E2_3_3_9</v>
      </c>
      <c r="I138" t="str">
        <f t="shared" si="33"/>
        <v>E2_3_3_9_mRNA : 0</v>
      </c>
      <c r="J138" t="str">
        <f t="shared" si="34"/>
        <v>E2_3_3_9 : 0</v>
      </c>
      <c r="K138" t="str">
        <f t="shared" si="35"/>
        <v>0.00292 - (0.0093 * E2_3_3_9_mRNA)</v>
      </c>
      <c r="L138" t="str">
        <f t="shared" si="36"/>
        <v>(0.278 * E2_3_3_9_mRNA) - (0.00000278 * E2_3_3_9)</v>
      </c>
      <c r="M138" t="str">
        <f t="shared" si="37"/>
        <v>mRNA137: -&gt; E2_3_3_9_mRNA | 0.00292 - (0.0093 * E2_3_3_9_mRNA)</v>
      </c>
      <c r="N138" t="str">
        <f t="shared" si="38"/>
        <v>Peptide137: E2_3_3_9_mRNA -&gt; E2_3_3_9 | (0.278 * E2_3_3_9_mRNA) - (0.000000278 * E2_3_3_9)</v>
      </c>
    </row>
    <row r="139" spans="1:14" x14ac:dyDescent="0.25">
      <c r="A139">
        <f t="shared" si="26"/>
        <v>138</v>
      </c>
      <c r="B139" s="5" t="s">
        <v>9639</v>
      </c>
      <c r="C139" t="str">
        <f t="shared" si="27"/>
        <v>E2_4_1_1_mRNA</v>
      </c>
      <c r="D139" t="str">
        <f t="shared" si="28"/>
        <v>E2_4_1_1</v>
      </c>
      <c r="E139" t="str">
        <f t="shared" si="29"/>
        <v>E2_4_1_1_kcat : 13.7</v>
      </c>
      <c r="F139" t="str">
        <f t="shared" si="30"/>
        <v>E2_4_1_1_km : 1</v>
      </c>
      <c r="G139" t="str">
        <f t="shared" si="31"/>
        <v>E2_4_1_1_mRNA : E2_4_1_1_mRNA</v>
      </c>
      <c r="H139" t="str">
        <f t="shared" si="32"/>
        <v>E2_4_1_1 : E2_4_1_1</v>
      </c>
      <c r="I139" t="str">
        <f t="shared" si="33"/>
        <v>E2_4_1_1_mRNA : 0</v>
      </c>
      <c r="J139" t="str">
        <f t="shared" si="34"/>
        <v>E2_4_1_1 : 0</v>
      </c>
      <c r="K139" t="str">
        <f t="shared" si="35"/>
        <v>0.00292 - (0.0093 * E2_4_1_1_mRNA)</v>
      </c>
      <c r="L139" t="str">
        <f t="shared" si="36"/>
        <v>(0.278 * E2_4_1_1_mRNA) - (0.00000278 * E2_4_1_1)</v>
      </c>
      <c r="M139" t="str">
        <f t="shared" si="37"/>
        <v>mRNA138: -&gt; E2_4_1_1_mRNA | 0.00292 - (0.0093 * E2_4_1_1_mRNA)</v>
      </c>
      <c r="N139" t="str">
        <f t="shared" si="38"/>
        <v>Peptide138: E2_4_1_1_mRNA -&gt; E2_4_1_1 | (0.278 * E2_4_1_1_mRNA) - (0.000000278 * E2_4_1_1)</v>
      </c>
    </row>
    <row r="140" spans="1:14" x14ac:dyDescent="0.25">
      <c r="A140">
        <f t="shared" si="26"/>
        <v>139</v>
      </c>
      <c r="B140" s="5" t="s">
        <v>9406</v>
      </c>
      <c r="C140" t="str">
        <f t="shared" si="27"/>
        <v>E2_4_1_18_mRNA</v>
      </c>
      <c r="D140" t="str">
        <f t="shared" si="28"/>
        <v>E2_4_1_18</v>
      </c>
      <c r="E140" t="str">
        <f t="shared" si="29"/>
        <v>E2_4_1_18_kcat : 13.7</v>
      </c>
      <c r="F140" t="str">
        <f t="shared" si="30"/>
        <v>E2_4_1_18_km : 1</v>
      </c>
      <c r="G140" t="str">
        <f t="shared" si="31"/>
        <v>E2_4_1_18_mRNA : E2_4_1_18_mRNA</v>
      </c>
      <c r="H140" t="str">
        <f t="shared" si="32"/>
        <v>E2_4_1_18 : E2_4_1_18</v>
      </c>
      <c r="I140" t="str">
        <f t="shared" si="33"/>
        <v>E2_4_1_18_mRNA : 0</v>
      </c>
      <c r="J140" t="str">
        <f t="shared" si="34"/>
        <v>E2_4_1_18 : 0</v>
      </c>
      <c r="K140" t="str">
        <f t="shared" si="35"/>
        <v>0.00292 - (0.0093 * E2_4_1_18_mRNA)</v>
      </c>
      <c r="L140" t="str">
        <f t="shared" si="36"/>
        <v>(0.278 * E2_4_1_18_mRNA) - (0.00000278 * E2_4_1_18)</v>
      </c>
      <c r="M140" t="str">
        <f t="shared" si="37"/>
        <v>mRNA139: -&gt; E2_4_1_18_mRNA | 0.00292 - (0.0093 * E2_4_1_18_mRNA)</v>
      </c>
      <c r="N140" t="str">
        <f t="shared" si="38"/>
        <v>Peptide139: E2_4_1_18_mRNA -&gt; E2_4_1_18 | (0.278 * E2_4_1_18_mRNA) - (0.000000278 * E2_4_1_18)</v>
      </c>
    </row>
    <row r="141" spans="1:14" x14ac:dyDescent="0.25">
      <c r="A141">
        <f t="shared" si="26"/>
        <v>140</v>
      </c>
      <c r="B141" s="5" t="s">
        <v>9531</v>
      </c>
      <c r="C141" t="str">
        <f t="shared" si="27"/>
        <v>E2_4_1_187_mRNA</v>
      </c>
      <c r="D141" t="str">
        <f t="shared" si="28"/>
        <v>E2_4_1_187</v>
      </c>
      <c r="E141" t="str">
        <f t="shared" si="29"/>
        <v>E2_4_1_187_kcat : 13.7</v>
      </c>
      <c r="F141" t="str">
        <f t="shared" si="30"/>
        <v>E2_4_1_187_km : 1</v>
      </c>
      <c r="G141" t="str">
        <f t="shared" si="31"/>
        <v>E2_4_1_187_mRNA : E2_4_1_187_mRNA</v>
      </c>
      <c r="H141" t="str">
        <f t="shared" si="32"/>
        <v>E2_4_1_187 : E2_4_1_187</v>
      </c>
      <c r="I141" t="str">
        <f t="shared" si="33"/>
        <v>E2_4_1_187_mRNA : 0</v>
      </c>
      <c r="J141" t="str">
        <f t="shared" si="34"/>
        <v>E2_4_1_187 : 0</v>
      </c>
      <c r="K141" t="str">
        <f t="shared" si="35"/>
        <v>0.00292 - (0.0093 * E2_4_1_187_mRNA)</v>
      </c>
      <c r="L141" t="str">
        <f t="shared" si="36"/>
        <v>(0.278 * E2_4_1_187_mRNA) - (0.00000278 * E2_4_1_187)</v>
      </c>
      <c r="M141" t="str">
        <f t="shared" si="37"/>
        <v>mRNA140: -&gt; E2_4_1_187_mRNA | 0.00292 - (0.0093 * E2_4_1_187_mRNA)</v>
      </c>
      <c r="N141" t="str">
        <f t="shared" si="38"/>
        <v>Peptide140: E2_4_1_187_mRNA -&gt; E2_4_1_187 | (0.278 * E2_4_1_187_mRNA) - (0.000000278 * E2_4_1_187)</v>
      </c>
    </row>
    <row r="142" spans="1:14" x14ac:dyDescent="0.25">
      <c r="A142">
        <f t="shared" si="26"/>
        <v>141</v>
      </c>
      <c r="B142" s="5" t="s">
        <v>9456</v>
      </c>
      <c r="C142" t="str">
        <f t="shared" si="27"/>
        <v>E2_4_1_21_mRNA</v>
      </c>
      <c r="D142" t="str">
        <f t="shared" si="28"/>
        <v>E2_4_1_21</v>
      </c>
      <c r="E142" t="str">
        <f t="shared" si="29"/>
        <v>E2_4_1_21_kcat : 13.7</v>
      </c>
      <c r="F142" t="str">
        <f t="shared" si="30"/>
        <v>E2_4_1_21_km : 1</v>
      </c>
      <c r="G142" t="str">
        <f t="shared" si="31"/>
        <v>E2_4_1_21_mRNA : E2_4_1_21_mRNA</v>
      </c>
      <c r="H142" t="str">
        <f t="shared" si="32"/>
        <v>E2_4_1_21 : E2_4_1_21</v>
      </c>
      <c r="I142" t="str">
        <f t="shared" si="33"/>
        <v>E2_4_1_21_mRNA : 0</v>
      </c>
      <c r="J142" t="str">
        <f t="shared" si="34"/>
        <v>E2_4_1_21 : 0</v>
      </c>
      <c r="K142" t="str">
        <f t="shared" si="35"/>
        <v>0.00292 - (0.0093 * E2_4_1_21_mRNA)</v>
      </c>
      <c r="L142" t="str">
        <f t="shared" si="36"/>
        <v>(0.278 * E2_4_1_21_mRNA) - (0.00000278 * E2_4_1_21)</v>
      </c>
      <c r="M142" t="str">
        <f t="shared" si="37"/>
        <v>mRNA141: -&gt; E2_4_1_21_mRNA | 0.00292 - (0.0093 * E2_4_1_21_mRNA)</v>
      </c>
      <c r="N142" t="str">
        <f t="shared" si="38"/>
        <v>Peptide141: E2_4_1_21_mRNA -&gt; E2_4_1_21 | (0.278 * E2_4_1_21_mRNA) - (0.000000278 * E2_4_1_21)</v>
      </c>
    </row>
    <row r="143" spans="1:14" x14ac:dyDescent="0.25">
      <c r="A143">
        <f t="shared" si="26"/>
        <v>142</v>
      </c>
      <c r="B143" s="5" t="s">
        <v>9627</v>
      </c>
      <c r="C143" t="str">
        <f t="shared" si="27"/>
        <v>E2_4_1_227_mRNA</v>
      </c>
      <c r="D143" t="str">
        <f t="shared" si="28"/>
        <v>E2_4_1_227</v>
      </c>
      <c r="E143" t="str">
        <f t="shared" si="29"/>
        <v>E2_4_1_227_kcat : 13.7</v>
      </c>
      <c r="F143" t="str">
        <f t="shared" si="30"/>
        <v>E2_4_1_227_km : 1</v>
      </c>
      <c r="G143" t="str">
        <f t="shared" si="31"/>
        <v>E2_4_1_227_mRNA : E2_4_1_227_mRNA</v>
      </c>
      <c r="H143" t="str">
        <f t="shared" si="32"/>
        <v>E2_4_1_227 : E2_4_1_227</v>
      </c>
      <c r="I143" t="str">
        <f t="shared" si="33"/>
        <v>E2_4_1_227_mRNA : 0</v>
      </c>
      <c r="J143" t="str">
        <f t="shared" si="34"/>
        <v>E2_4_1_227 : 0</v>
      </c>
      <c r="K143" t="str">
        <f t="shared" si="35"/>
        <v>0.00292 - (0.0093 * E2_4_1_227_mRNA)</v>
      </c>
      <c r="L143" t="str">
        <f t="shared" si="36"/>
        <v>(0.278 * E2_4_1_227_mRNA) - (0.00000278 * E2_4_1_227)</v>
      </c>
      <c r="M143" t="str">
        <f t="shared" si="37"/>
        <v>mRNA142: -&gt; E2_4_1_227_mRNA | 0.00292 - (0.0093 * E2_4_1_227_mRNA)</v>
      </c>
      <c r="N143" t="str">
        <f t="shared" si="38"/>
        <v>Peptide142: E2_4_1_227_mRNA -&gt; E2_4_1_227 | (0.278 * E2_4_1_227_mRNA) - (0.000000278 * E2_4_1_227)</v>
      </c>
    </row>
    <row r="144" spans="1:14" x14ac:dyDescent="0.25">
      <c r="A144">
        <f t="shared" si="26"/>
        <v>143</v>
      </c>
      <c r="B144" s="5" t="s">
        <v>9656</v>
      </c>
      <c r="C144" t="str">
        <f t="shared" si="27"/>
        <v>E2_4_1_25_mRNA</v>
      </c>
      <c r="D144" t="str">
        <f t="shared" si="28"/>
        <v>E2_4_1_25</v>
      </c>
      <c r="E144" t="str">
        <f t="shared" si="29"/>
        <v>E2_4_1_25_kcat : 13.7</v>
      </c>
      <c r="F144" t="str">
        <f t="shared" si="30"/>
        <v>E2_4_1_25_km : 1</v>
      </c>
      <c r="G144" t="str">
        <f t="shared" si="31"/>
        <v>E2_4_1_25_mRNA : E2_4_1_25_mRNA</v>
      </c>
      <c r="H144" t="str">
        <f t="shared" si="32"/>
        <v>E2_4_1_25 : E2_4_1_25</v>
      </c>
      <c r="I144" t="str">
        <f t="shared" si="33"/>
        <v>E2_4_1_25_mRNA : 0</v>
      </c>
      <c r="J144" t="str">
        <f t="shared" si="34"/>
        <v>E2_4_1_25 : 0</v>
      </c>
      <c r="K144" t="str">
        <f t="shared" si="35"/>
        <v>0.00292 - (0.0093 * E2_4_1_25_mRNA)</v>
      </c>
      <c r="L144" t="str">
        <f t="shared" si="36"/>
        <v>(0.278 * E2_4_1_25_mRNA) - (0.00000278 * E2_4_1_25)</v>
      </c>
      <c r="M144" t="str">
        <f t="shared" si="37"/>
        <v>mRNA143: -&gt; E2_4_1_25_mRNA | 0.00292 - (0.0093 * E2_4_1_25_mRNA)</v>
      </c>
      <c r="N144" t="str">
        <f t="shared" si="38"/>
        <v>Peptide143: E2_4_1_25_mRNA -&gt; E2_4_1_25 | (0.278 * E2_4_1_25_mRNA) - (0.000000278 * E2_4_1_25)</v>
      </c>
    </row>
    <row r="145" spans="1:14" x14ac:dyDescent="0.25">
      <c r="A145">
        <f t="shared" si="26"/>
        <v>144</v>
      </c>
      <c r="B145" s="5" t="s">
        <v>9504</v>
      </c>
      <c r="C145" t="str">
        <f t="shared" si="27"/>
        <v>E2_4_2_1_mRNA</v>
      </c>
      <c r="D145" t="str">
        <f t="shared" si="28"/>
        <v>E2_4_2_1</v>
      </c>
      <c r="E145" t="str">
        <f t="shared" si="29"/>
        <v>E2_4_2_1_kcat : 13.7</v>
      </c>
      <c r="F145" t="str">
        <f t="shared" si="30"/>
        <v>E2_4_2_1_km : 1</v>
      </c>
      <c r="G145" t="str">
        <f t="shared" si="31"/>
        <v>E2_4_2_1_mRNA : E2_4_2_1_mRNA</v>
      </c>
      <c r="H145" t="str">
        <f t="shared" si="32"/>
        <v>E2_4_2_1 : E2_4_2_1</v>
      </c>
      <c r="I145" t="str">
        <f t="shared" si="33"/>
        <v>E2_4_2_1_mRNA : 0</v>
      </c>
      <c r="J145" t="str">
        <f t="shared" si="34"/>
        <v>E2_4_2_1 : 0</v>
      </c>
      <c r="K145" t="str">
        <f t="shared" si="35"/>
        <v>0.00292 - (0.0093 * E2_4_2_1_mRNA)</v>
      </c>
      <c r="L145" t="str">
        <f t="shared" si="36"/>
        <v>(0.278 * E2_4_2_1_mRNA) - (0.00000278 * E2_4_2_1)</v>
      </c>
      <c r="M145" t="str">
        <f t="shared" si="37"/>
        <v>mRNA144: -&gt; E2_4_2_1_mRNA | 0.00292 - (0.0093 * E2_4_2_1_mRNA)</v>
      </c>
      <c r="N145" t="str">
        <f t="shared" si="38"/>
        <v>Peptide144: E2_4_2_1_mRNA -&gt; E2_4_2_1 | (0.278 * E2_4_2_1_mRNA) - (0.000000278 * E2_4_2_1)</v>
      </c>
    </row>
    <row r="146" spans="1:14" x14ac:dyDescent="0.25">
      <c r="A146">
        <f t="shared" si="26"/>
        <v>145</v>
      </c>
      <c r="B146" s="5" t="s">
        <v>9442</v>
      </c>
      <c r="C146" t="str">
        <f t="shared" si="27"/>
        <v>E2_4_2_10_mRNA</v>
      </c>
      <c r="D146" t="str">
        <f t="shared" si="28"/>
        <v>E2_4_2_10</v>
      </c>
      <c r="E146" t="str">
        <f t="shared" si="29"/>
        <v>E2_4_2_10_kcat : 13.7</v>
      </c>
      <c r="F146" t="str">
        <f t="shared" si="30"/>
        <v>E2_4_2_10_km : 1</v>
      </c>
      <c r="G146" t="str">
        <f t="shared" si="31"/>
        <v>E2_4_2_10_mRNA : E2_4_2_10_mRNA</v>
      </c>
      <c r="H146" t="str">
        <f t="shared" si="32"/>
        <v>E2_4_2_10 : E2_4_2_10</v>
      </c>
      <c r="I146" t="str">
        <f t="shared" si="33"/>
        <v>E2_4_2_10_mRNA : 0</v>
      </c>
      <c r="J146" t="str">
        <f t="shared" si="34"/>
        <v>E2_4_2_10 : 0</v>
      </c>
      <c r="K146" t="str">
        <f t="shared" si="35"/>
        <v>0.00292 - (0.0093 * E2_4_2_10_mRNA)</v>
      </c>
      <c r="L146" t="str">
        <f t="shared" si="36"/>
        <v>(0.278 * E2_4_2_10_mRNA) - (0.00000278 * E2_4_2_10)</v>
      </c>
      <c r="M146" t="str">
        <f t="shared" si="37"/>
        <v>mRNA145: -&gt; E2_4_2_10_mRNA | 0.00292 - (0.0093 * E2_4_2_10_mRNA)</v>
      </c>
      <c r="N146" t="str">
        <f t="shared" si="38"/>
        <v>Peptide145: E2_4_2_10_mRNA -&gt; E2_4_2_10 | (0.278 * E2_4_2_10_mRNA) - (0.000000278 * E2_4_2_10)</v>
      </c>
    </row>
    <row r="147" spans="1:14" x14ac:dyDescent="0.25">
      <c r="A147">
        <f t="shared" si="26"/>
        <v>146</v>
      </c>
      <c r="B147" s="5" t="s">
        <v>9468</v>
      </c>
      <c r="C147" t="str">
        <f t="shared" si="27"/>
        <v>E2_4_2_14_mRNA</v>
      </c>
      <c r="D147" t="str">
        <f t="shared" si="28"/>
        <v>E2_4_2_14</v>
      </c>
      <c r="E147" t="str">
        <f t="shared" si="29"/>
        <v>E2_4_2_14_kcat : 13.7</v>
      </c>
      <c r="F147" t="str">
        <f t="shared" si="30"/>
        <v>E2_4_2_14_km : 1</v>
      </c>
      <c r="G147" t="str">
        <f t="shared" si="31"/>
        <v>E2_4_2_14_mRNA : E2_4_2_14_mRNA</v>
      </c>
      <c r="H147" t="str">
        <f t="shared" si="32"/>
        <v>E2_4_2_14 : E2_4_2_14</v>
      </c>
      <c r="I147" t="str">
        <f t="shared" si="33"/>
        <v>E2_4_2_14_mRNA : 0</v>
      </c>
      <c r="J147" t="str">
        <f t="shared" si="34"/>
        <v>E2_4_2_14 : 0</v>
      </c>
      <c r="K147" t="str">
        <f t="shared" si="35"/>
        <v>0.00292 - (0.0093 * E2_4_2_14_mRNA)</v>
      </c>
      <c r="L147" t="str">
        <f t="shared" si="36"/>
        <v>(0.278 * E2_4_2_14_mRNA) - (0.00000278 * E2_4_2_14)</v>
      </c>
      <c r="M147" t="str">
        <f t="shared" si="37"/>
        <v>mRNA146: -&gt; E2_4_2_14_mRNA | 0.00292 - (0.0093 * E2_4_2_14_mRNA)</v>
      </c>
      <c r="N147" t="str">
        <f t="shared" si="38"/>
        <v>Peptide146: E2_4_2_14_mRNA -&gt; E2_4_2_14 | (0.278 * E2_4_2_14_mRNA) - (0.000000278 * E2_4_2_14)</v>
      </c>
    </row>
    <row r="148" spans="1:14" x14ac:dyDescent="0.25">
      <c r="A148">
        <f t="shared" si="26"/>
        <v>147</v>
      </c>
      <c r="B148" s="5" t="s">
        <v>9758</v>
      </c>
      <c r="C148" t="str">
        <f t="shared" si="27"/>
        <v>E2_4_2_17_mRNA</v>
      </c>
      <c r="D148" t="str">
        <f t="shared" si="28"/>
        <v>E2_4_2_17</v>
      </c>
      <c r="E148" t="str">
        <f t="shared" si="29"/>
        <v>E2_4_2_17_kcat : 13.7</v>
      </c>
      <c r="F148" t="str">
        <f t="shared" si="30"/>
        <v>E2_4_2_17_km : 1</v>
      </c>
      <c r="G148" t="str">
        <f t="shared" si="31"/>
        <v>E2_4_2_17_mRNA : E2_4_2_17_mRNA</v>
      </c>
      <c r="H148" t="str">
        <f t="shared" si="32"/>
        <v>E2_4_2_17 : E2_4_2_17</v>
      </c>
      <c r="I148" t="str">
        <f t="shared" si="33"/>
        <v>E2_4_2_17_mRNA : 0</v>
      </c>
      <c r="J148" t="str">
        <f t="shared" si="34"/>
        <v>E2_4_2_17 : 0</v>
      </c>
      <c r="K148" t="str">
        <f t="shared" si="35"/>
        <v>0.00292 - (0.0093 * E2_4_2_17_mRNA)</v>
      </c>
      <c r="L148" t="str">
        <f t="shared" si="36"/>
        <v>(0.278 * E2_4_2_17_mRNA) - (0.00000278 * E2_4_2_17)</v>
      </c>
      <c r="M148" t="str">
        <f t="shared" si="37"/>
        <v>mRNA147: -&gt; E2_4_2_17_mRNA | 0.00292 - (0.0093 * E2_4_2_17_mRNA)</v>
      </c>
      <c r="N148" t="str">
        <f t="shared" si="38"/>
        <v>Peptide147: E2_4_2_17_mRNA -&gt; E2_4_2_17 | (0.278 * E2_4_2_17_mRNA) - (0.000000278 * E2_4_2_17)</v>
      </c>
    </row>
    <row r="149" spans="1:14" x14ac:dyDescent="0.25">
      <c r="A149">
        <f t="shared" si="26"/>
        <v>148</v>
      </c>
      <c r="B149" s="5" t="s">
        <v>9767</v>
      </c>
      <c r="C149" t="str">
        <f t="shared" si="27"/>
        <v>E2_4_2_18_mRNA</v>
      </c>
      <c r="D149" t="str">
        <f t="shared" si="28"/>
        <v>E2_4_2_18</v>
      </c>
      <c r="E149" t="str">
        <f t="shared" si="29"/>
        <v>E2_4_2_18_kcat : 13.7</v>
      </c>
      <c r="F149" t="str">
        <f t="shared" si="30"/>
        <v>E2_4_2_18_km : 1</v>
      </c>
      <c r="G149" t="str">
        <f t="shared" si="31"/>
        <v>E2_4_2_18_mRNA : E2_4_2_18_mRNA</v>
      </c>
      <c r="H149" t="str">
        <f t="shared" si="32"/>
        <v>E2_4_2_18 : E2_4_2_18</v>
      </c>
      <c r="I149" t="str">
        <f t="shared" si="33"/>
        <v>E2_4_2_18_mRNA : 0</v>
      </c>
      <c r="J149" t="str">
        <f t="shared" si="34"/>
        <v>E2_4_2_18 : 0</v>
      </c>
      <c r="K149" t="str">
        <f t="shared" si="35"/>
        <v>0.00292 - (0.0093 * E2_4_2_18_mRNA)</v>
      </c>
      <c r="L149" t="str">
        <f t="shared" si="36"/>
        <v>(0.278 * E2_4_2_18_mRNA) - (0.00000278 * E2_4_2_18)</v>
      </c>
      <c r="M149" t="str">
        <f t="shared" si="37"/>
        <v>mRNA148: -&gt; E2_4_2_18_mRNA | 0.00292 - (0.0093 * E2_4_2_18_mRNA)</v>
      </c>
      <c r="N149" t="str">
        <f t="shared" si="38"/>
        <v>Peptide148: E2_4_2_18_mRNA -&gt; E2_4_2_18 | (0.278 * E2_4_2_18_mRNA) - (0.000000278 * E2_4_2_18)</v>
      </c>
    </row>
    <row r="150" spans="1:14" x14ac:dyDescent="0.25">
      <c r="A150">
        <f t="shared" si="26"/>
        <v>149</v>
      </c>
      <c r="B150" s="5" t="s">
        <v>9591</v>
      </c>
      <c r="C150" t="str">
        <f t="shared" si="27"/>
        <v>E2_4_2_19_mRNA</v>
      </c>
      <c r="D150" t="str">
        <f t="shared" si="28"/>
        <v>E2_4_2_19</v>
      </c>
      <c r="E150" t="str">
        <f t="shared" si="29"/>
        <v>E2_4_2_19_kcat : 13.7</v>
      </c>
      <c r="F150" t="str">
        <f t="shared" si="30"/>
        <v>E2_4_2_19_km : 1</v>
      </c>
      <c r="G150" t="str">
        <f t="shared" si="31"/>
        <v>E2_4_2_19_mRNA : E2_4_2_19_mRNA</v>
      </c>
      <c r="H150" t="str">
        <f t="shared" si="32"/>
        <v>E2_4_2_19 : E2_4_2_19</v>
      </c>
      <c r="I150" t="str">
        <f t="shared" si="33"/>
        <v>E2_4_2_19_mRNA : 0</v>
      </c>
      <c r="J150" t="str">
        <f t="shared" si="34"/>
        <v>E2_4_2_19 : 0</v>
      </c>
      <c r="K150" t="str">
        <f t="shared" si="35"/>
        <v>0.00292 - (0.0093 * E2_4_2_19_mRNA)</v>
      </c>
      <c r="L150" t="str">
        <f t="shared" si="36"/>
        <v>(0.278 * E2_4_2_19_mRNA) - (0.00000278 * E2_4_2_19)</v>
      </c>
      <c r="M150" t="str">
        <f t="shared" si="37"/>
        <v>mRNA149: -&gt; E2_4_2_19_mRNA | 0.00292 - (0.0093 * E2_4_2_19_mRNA)</v>
      </c>
      <c r="N150" t="str">
        <f t="shared" si="38"/>
        <v>Peptide149: E2_4_2_19_mRNA -&gt; E2_4_2_19 | (0.278 * E2_4_2_19_mRNA) - (0.000000278 * E2_4_2_19)</v>
      </c>
    </row>
    <row r="151" spans="1:14" x14ac:dyDescent="0.25">
      <c r="A151">
        <f t="shared" si="26"/>
        <v>150</v>
      </c>
      <c r="B151" s="5" t="s">
        <v>9430</v>
      </c>
      <c r="C151" t="str">
        <f t="shared" si="27"/>
        <v>E2_4_2_2_mRNA</v>
      </c>
      <c r="D151" t="str">
        <f t="shared" si="28"/>
        <v>E2_4_2_2</v>
      </c>
      <c r="E151" t="str">
        <f t="shared" si="29"/>
        <v>E2_4_2_2_kcat : 13.7</v>
      </c>
      <c r="F151" t="str">
        <f t="shared" si="30"/>
        <v>E2_4_2_2_km : 1</v>
      </c>
      <c r="G151" t="str">
        <f t="shared" si="31"/>
        <v>E2_4_2_2_mRNA : E2_4_2_2_mRNA</v>
      </c>
      <c r="H151" t="str">
        <f t="shared" si="32"/>
        <v>E2_4_2_2 : E2_4_2_2</v>
      </c>
      <c r="I151" t="str">
        <f t="shared" si="33"/>
        <v>E2_4_2_2_mRNA : 0</v>
      </c>
      <c r="J151" t="str">
        <f t="shared" si="34"/>
        <v>E2_4_2_2 : 0</v>
      </c>
      <c r="K151" t="str">
        <f t="shared" si="35"/>
        <v>0.00292 - (0.0093 * E2_4_2_2_mRNA)</v>
      </c>
      <c r="L151" t="str">
        <f t="shared" si="36"/>
        <v>(0.278 * E2_4_2_2_mRNA) - (0.00000278 * E2_4_2_2)</v>
      </c>
      <c r="M151" t="str">
        <f t="shared" si="37"/>
        <v>mRNA150: -&gt; E2_4_2_2_mRNA | 0.00292 - (0.0093 * E2_4_2_2_mRNA)</v>
      </c>
      <c r="N151" t="str">
        <f t="shared" si="38"/>
        <v>Peptide150: E2_4_2_2_mRNA -&gt; E2_4_2_2 | (0.278 * E2_4_2_2_mRNA) - (0.000000278 * E2_4_2_2)</v>
      </c>
    </row>
    <row r="152" spans="1:14" x14ac:dyDescent="0.25">
      <c r="A152">
        <f t="shared" si="26"/>
        <v>151</v>
      </c>
      <c r="B152" s="5" t="s">
        <v>9558</v>
      </c>
      <c r="C152" t="str">
        <f t="shared" si="27"/>
        <v>E2_4_2_21_mRNA</v>
      </c>
      <c r="D152" t="str">
        <f t="shared" si="28"/>
        <v>E2_4_2_21</v>
      </c>
      <c r="E152" t="str">
        <f t="shared" si="29"/>
        <v>E2_4_2_21_kcat : 13.7</v>
      </c>
      <c r="F152" t="str">
        <f t="shared" si="30"/>
        <v>E2_4_2_21_km : 1</v>
      </c>
      <c r="G152" t="str">
        <f t="shared" si="31"/>
        <v>E2_4_2_21_mRNA : E2_4_2_21_mRNA</v>
      </c>
      <c r="H152" t="str">
        <f t="shared" si="32"/>
        <v>E2_4_2_21 : E2_4_2_21</v>
      </c>
      <c r="I152" t="str">
        <f t="shared" si="33"/>
        <v>E2_4_2_21_mRNA : 0</v>
      </c>
      <c r="J152" t="str">
        <f t="shared" si="34"/>
        <v>E2_4_2_21 : 0</v>
      </c>
      <c r="K152" t="str">
        <f t="shared" si="35"/>
        <v>0.00292 - (0.0093 * E2_4_2_21_mRNA)</v>
      </c>
      <c r="L152" t="str">
        <f t="shared" si="36"/>
        <v>(0.278 * E2_4_2_21_mRNA) - (0.00000278 * E2_4_2_21)</v>
      </c>
      <c r="M152" t="str">
        <f t="shared" si="37"/>
        <v>mRNA151: -&gt; E2_4_2_21_mRNA | 0.00292 - (0.0093 * E2_4_2_21_mRNA)</v>
      </c>
      <c r="N152" t="str">
        <f t="shared" si="38"/>
        <v>Peptide151: E2_4_2_21_mRNA -&gt; E2_4_2_21 | (0.278 * E2_4_2_21_mRNA) - (0.000000278 * E2_4_2_21)</v>
      </c>
    </row>
    <row r="153" spans="1:14" x14ac:dyDescent="0.25">
      <c r="A153">
        <f t="shared" si="26"/>
        <v>152</v>
      </c>
      <c r="B153" s="5" t="s">
        <v>9808</v>
      </c>
      <c r="C153" t="str">
        <f t="shared" si="27"/>
        <v>E2_4_2_29_mRNA</v>
      </c>
      <c r="D153" t="str">
        <f t="shared" si="28"/>
        <v>E2_4_2_29</v>
      </c>
      <c r="E153" t="str">
        <f t="shared" si="29"/>
        <v>E2_4_2_29_kcat : 13.7</v>
      </c>
      <c r="F153" t="str">
        <f t="shared" si="30"/>
        <v>E2_4_2_29_km : 1</v>
      </c>
      <c r="G153" t="str">
        <f t="shared" si="31"/>
        <v>E2_4_2_29_mRNA : E2_4_2_29_mRNA</v>
      </c>
      <c r="H153" t="str">
        <f t="shared" si="32"/>
        <v>E2_4_2_29 : E2_4_2_29</v>
      </c>
      <c r="I153" t="str">
        <f t="shared" si="33"/>
        <v>E2_4_2_29_mRNA : 0</v>
      </c>
      <c r="J153" t="str">
        <f t="shared" si="34"/>
        <v>E2_4_2_29 : 0</v>
      </c>
      <c r="K153" t="str">
        <f t="shared" si="35"/>
        <v>0.00292 - (0.0093 * E2_4_2_29_mRNA)</v>
      </c>
      <c r="L153" t="str">
        <f t="shared" si="36"/>
        <v>(0.278 * E2_4_2_29_mRNA) - (0.00000278 * E2_4_2_29)</v>
      </c>
      <c r="M153" t="str">
        <f t="shared" si="37"/>
        <v>mRNA152: -&gt; E2_4_2_29_mRNA | 0.00292 - (0.0093 * E2_4_2_29_mRNA)</v>
      </c>
      <c r="N153" t="str">
        <f t="shared" si="38"/>
        <v>Peptide152: E2_4_2_29_mRNA -&gt; E2_4_2_29 | (0.278 * E2_4_2_29_mRNA) - (0.000000278 * E2_4_2_29)</v>
      </c>
    </row>
    <row r="154" spans="1:14" x14ac:dyDescent="0.25">
      <c r="A154">
        <f t="shared" si="26"/>
        <v>153</v>
      </c>
      <c r="B154" s="5" t="s">
        <v>9479</v>
      </c>
      <c r="C154" t="str">
        <f t="shared" si="27"/>
        <v>E2_4_2_7_mRNA</v>
      </c>
      <c r="D154" t="str">
        <f t="shared" si="28"/>
        <v>E2_4_2_7</v>
      </c>
      <c r="E154" t="str">
        <f t="shared" si="29"/>
        <v>E2_4_2_7_kcat : 13.7</v>
      </c>
      <c r="F154" t="str">
        <f t="shared" si="30"/>
        <v>E2_4_2_7_km : 1</v>
      </c>
      <c r="G154" t="str">
        <f t="shared" si="31"/>
        <v>E2_4_2_7_mRNA : E2_4_2_7_mRNA</v>
      </c>
      <c r="H154" t="str">
        <f t="shared" si="32"/>
        <v>E2_4_2_7 : E2_4_2_7</v>
      </c>
      <c r="I154" t="str">
        <f t="shared" si="33"/>
        <v>E2_4_2_7_mRNA : 0</v>
      </c>
      <c r="J154" t="str">
        <f t="shared" si="34"/>
        <v>E2_4_2_7 : 0</v>
      </c>
      <c r="K154" t="str">
        <f t="shared" si="35"/>
        <v>0.00292 - (0.0093 * E2_4_2_7_mRNA)</v>
      </c>
      <c r="L154" t="str">
        <f t="shared" si="36"/>
        <v>(0.278 * E2_4_2_7_mRNA) - (0.00000278 * E2_4_2_7)</v>
      </c>
      <c r="M154" t="str">
        <f t="shared" si="37"/>
        <v>mRNA153: -&gt; E2_4_2_7_mRNA | 0.00292 - (0.0093 * E2_4_2_7_mRNA)</v>
      </c>
      <c r="N154" t="str">
        <f t="shared" si="38"/>
        <v>Peptide153: E2_4_2_7_mRNA -&gt; E2_4_2_7 | (0.278 * E2_4_2_7_mRNA) - (0.000000278 * E2_4_2_7)</v>
      </c>
    </row>
    <row r="155" spans="1:14" x14ac:dyDescent="0.25">
      <c r="A155">
        <f t="shared" si="26"/>
        <v>154</v>
      </c>
      <c r="B155" s="5" t="s">
        <v>9764</v>
      </c>
      <c r="C155" t="str">
        <f t="shared" si="27"/>
        <v>E2_4_2_8_mRNA</v>
      </c>
      <c r="D155" t="str">
        <f t="shared" si="28"/>
        <v>E2_4_2_8</v>
      </c>
      <c r="E155" t="str">
        <f t="shared" si="29"/>
        <v>E2_4_2_8_kcat : 13.7</v>
      </c>
      <c r="F155" t="str">
        <f t="shared" si="30"/>
        <v>E2_4_2_8_km : 1</v>
      </c>
      <c r="G155" t="str">
        <f t="shared" si="31"/>
        <v>E2_4_2_8_mRNA : E2_4_2_8_mRNA</v>
      </c>
      <c r="H155" t="str">
        <f t="shared" si="32"/>
        <v>E2_4_2_8 : E2_4_2_8</v>
      </c>
      <c r="I155" t="str">
        <f t="shared" si="33"/>
        <v>E2_4_2_8_mRNA : 0</v>
      </c>
      <c r="J155" t="str">
        <f t="shared" si="34"/>
        <v>E2_4_2_8 : 0</v>
      </c>
      <c r="K155" t="str">
        <f t="shared" si="35"/>
        <v>0.00292 - (0.0093 * E2_4_2_8_mRNA)</v>
      </c>
      <c r="L155" t="str">
        <f t="shared" si="36"/>
        <v>(0.278 * E2_4_2_8_mRNA) - (0.00000278 * E2_4_2_8)</v>
      </c>
      <c r="M155" t="str">
        <f t="shared" si="37"/>
        <v>mRNA154: -&gt; E2_4_2_8_mRNA | 0.00292 - (0.0093 * E2_4_2_8_mRNA)</v>
      </c>
      <c r="N155" t="str">
        <f t="shared" si="38"/>
        <v>Peptide154: E2_4_2_8_mRNA -&gt; E2_4_2_8 | (0.278 * E2_4_2_8_mRNA) - (0.000000278 * E2_4_2_8)</v>
      </c>
    </row>
    <row r="156" spans="1:14" x14ac:dyDescent="0.25">
      <c r="A156">
        <f t="shared" si="26"/>
        <v>155</v>
      </c>
      <c r="B156" s="5" t="s">
        <v>9501</v>
      </c>
      <c r="C156" t="str">
        <f t="shared" si="27"/>
        <v>E2_4_2_9_mRNA</v>
      </c>
      <c r="D156" t="str">
        <f t="shared" si="28"/>
        <v>E2_4_2_9</v>
      </c>
      <c r="E156" t="str">
        <f t="shared" si="29"/>
        <v>E2_4_2_9_kcat : 13.7</v>
      </c>
      <c r="F156" t="str">
        <f t="shared" si="30"/>
        <v>E2_4_2_9_km : 1</v>
      </c>
      <c r="G156" t="str">
        <f t="shared" si="31"/>
        <v>E2_4_2_9_mRNA : E2_4_2_9_mRNA</v>
      </c>
      <c r="H156" t="str">
        <f t="shared" si="32"/>
        <v>E2_4_2_9 : E2_4_2_9</v>
      </c>
      <c r="I156" t="str">
        <f t="shared" si="33"/>
        <v>E2_4_2_9_mRNA : 0</v>
      </c>
      <c r="J156" t="str">
        <f t="shared" si="34"/>
        <v>E2_4_2_9 : 0</v>
      </c>
      <c r="K156" t="str">
        <f t="shared" si="35"/>
        <v>0.00292 - (0.0093 * E2_4_2_9_mRNA)</v>
      </c>
      <c r="L156" t="str">
        <f t="shared" si="36"/>
        <v>(0.278 * E2_4_2_9_mRNA) - (0.00000278 * E2_4_2_9)</v>
      </c>
      <c r="M156" t="str">
        <f t="shared" si="37"/>
        <v>mRNA155: -&gt; E2_4_2_9_mRNA | 0.00292 - (0.0093 * E2_4_2_9_mRNA)</v>
      </c>
      <c r="N156" t="str">
        <f t="shared" si="38"/>
        <v>Peptide155: E2_4_2_9_mRNA -&gt; E2_4_2_9 | (0.278 * E2_4_2_9_mRNA) - (0.000000278 * E2_4_2_9)</v>
      </c>
    </row>
    <row r="157" spans="1:14" x14ac:dyDescent="0.25">
      <c r="A157">
        <f t="shared" si="26"/>
        <v>156</v>
      </c>
      <c r="B157" s="5" t="s">
        <v>9623</v>
      </c>
      <c r="C157" t="str">
        <f t="shared" si="27"/>
        <v>E2_4_99_28_mRNA</v>
      </c>
      <c r="D157" t="str">
        <f t="shared" si="28"/>
        <v>E2_4_99_28</v>
      </c>
      <c r="E157" t="str">
        <f t="shared" si="29"/>
        <v>E2_4_99_28_kcat : 13.7</v>
      </c>
      <c r="F157" t="str">
        <f t="shared" si="30"/>
        <v>E2_4_99_28_km : 1</v>
      </c>
      <c r="G157" t="str">
        <f t="shared" si="31"/>
        <v>E2_4_99_28_mRNA : E2_4_99_28_mRNA</v>
      </c>
      <c r="H157" t="str">
        <f t="shared" si="32"/>
        <v>E2_4_99_28 : E2_4_99_28</v>
      </c>
      <c r="I157" t="str">
        <f t="shared" si="33"/>
        <v>E2_4_99_28_mRNA : 0</v>
      </c>
      <c r="J157" t="str">
        <f t="shared" si="34"/>
        <v>E2_4_99_28 : 0</v>
      </c>
      <c r="K157" t="str">
        <f t="shared" si="35"/>
        <v>0.00292 - (0.0093 * E2_4_99_28_mRNA)</v>
      </c>
      <c r="L157" t="str">
        <f t="shared" si="36"/>
        <v>(0.278 * E2_4_99_28_mRNA) - (0.00000278 * E2_4_99_28)</v>
      </c>
      <c r="M157" t="str">
        <f t="shared" si="37"/>
        <v>mRNA156: -&gt; E2_4_99_28_mRNA | 0.00292 - (0.0093 * E2_4_99_28_mRNA)</v>
      </c>
      <c r="N157" t="str">
        <f t="shared" si="38"/>
        <v>Peptide156: E2_4_99_28_mRNA -&gt; E2_4_99_28 | (0.278 * E2_4_99_28_mRNA) - (0.000000278 * E2_4_99_28)</v>
      </c>
    </row>
    <row r="158" spans="1:14" x14ac:dyDescent="0.25">
      <c r="A158">
        <f t="shared" si="26"/>
        <v>157</v>
      </c>
      <c r="B158" s="5" t="s">
        <v>9787</v>
      </c>
      <c r="C158" t="str">
        <f t="shared" si="27"/>
        <v>E2_5_1_15_mRNA</v>
      </c>
      <c r="D158" t="str">
        <f t="shared" si="28"/>
        <v>E2_5_1_15</v>
      </c>
      <c r="E158" t="str">
        <f t="shared" si="29"/>
        <v>E2_5_1_15_kcat : 13.7</v>
      </c>
      <c r="F158" t="str">
        <f t="shared" si="30"/>
        <v>E2_5_1_15_km : 1</v>
      </c>
      <c r="G158" t="str">
        <f t="shared" si="31"/>
        <v>E2_5_1_15_mRNA : E2_5_1_15_mRNA</v>
      </c>
      <c r="H158" t="str">
        <f t="shared" si="32"/>
        <v>E2_5_1_15 : E2_5_1_15</v>
      </c>
      <c r="I158" t="str">
        <f t="shared" si="33"/>
        <v>E2_5_1_15_mRNA : 0</v>
      </c>
      <c r="J158" t="str">
        <f t="shared" si="34"/>
        <v>E2_5_1_15 : 0</v>
      </c>
      <c r="K158" t="str">
        <f t="shared" si="35"/>
        <v>0.00292 - (0.0093 * E2_5_1_15_mRNA)</v>
      </c>
      <c r="L158" t="str">
        <f t="shared" si="36"/>
        <v>(0.278 * E2_5_1_15_mRNA) - (0.00000278 * E2_5_1_15)</v>
      </c>
      <c r="M158" t="str">
        <f t="shared" si="37"/>
        <v>mRNA157: -&gt; E2_5_1_15_mRNA | 0.00292 - (0.0093 * E2_5_1_15_mRNA)</v>
      </c>
      <c r="N158" t="str">
        <f t="shared" si="38"/>
        <v>Peptide157: E2_5_1_15_mRNA -&gt; E2_5_1_15 | (0.278 * E2_5_1_15_mRNA) - (0.000000278 * E2_5_1_15)</v>
      </c>
    </row>
    <row r="159" spans="1:14" x14ac:dyDescent="0.25">
      <c r="A159">
        <f t="shared" si="26"/>
        <v>158</v>
      </c>
      <c r="B159" s="5" t="s">
        <v>9718</v>
      </c>
      <c r="C159" t="str">
        <f t="shared" si="27"/>
        <v>E2_5_1_16_mRNA</v>
      </c>
      <c r="D159" t="str">
        <f t="shared" si="28"/>
        <v>E2_5_1_16</v>
      </c>
      <c r="E159" t="str">
        <f t="shared" si="29"/>
        <v>E2_5_1_16_kcat : 13.7</v>
      </c>
      <c r="F159" t="str">
        <f t="shared" si="30"/>
        <v>E2_5_1_16_km : 1</v>
      </c>
      <c r="G159" t="str">
        <f t="shared" si="31"/>
        <v>E2_5_1_16_mRNA : E2_5_1_16_mRNA</v>
      </c>
      <c r="H159" t="str">
        <f t="shared" si="32"/>
        <v>E2_5_1_16 : E2_5_1_16</v>
      </c>
      <c r="I159" t="str">
        <f t="shared" si="33"/>
        <v>E2_5_1_16_mRNA : 0</v>
      </c>
      <c r="J159" t="str">
        <f t="shared" si="34"/>
        <v>E2_5_1_16 : 0</v>
      </c>
      <c r="K159" t="str">
        <f t="shared" si="35"/>
        <v>0.00292 - (0.0093 * E2_5_1_16_mRNA)</v>
      </c>
      <c r="L159" t="str">
        <f t="shared" si="36"/>
        <v>(0.278 * E2_5_1_16_mRNA) - (0.00000278 * E2_5_1_16)</v>
      </c>
      <c r="M159" t="str">
        <f t="shared" si="37"/>
        <v>mRNA158: -&gt; E2_5_1_16_mRNA | 0.00292 - (0.0093 * E2_5_1_16_mRNA)</v>
      </c>
      <c r="N159" t="str">
        <f t="shared" si="38"/>
        <v>Peptide158: E2_5_1_16_mRNA -&gt; E2_5_1_16 | (0.278 * E2_5_1_16_mRNA) - (0.000000278 * E2_5_1_16)</v>
      </c>
    </row>
    <row r="160" spans="1:14" x14ac:dyDescent="0.25">
      <c r="A160">
        <f t="shared" si="26"/>
        <v>159</v>
      </c>
      <c r="B160" s="5" t="s">
        <v>9560</v>
      </c>
      <c r="C160" t="str">
        <f t="shared" si="27"/>
        <v>E2_5_1_17_mRNA</v>
      </c>
      <c r="D160" t="str">
        <f t="shared" si="28"/>
        <v>E2_5_1_17</v>
      </c>
      <c r="E160" t="str">
        <f t="shared" si="29"/>
        <v>E2_5_1_17_kcat : 13.7</v>
      </c>
      <c r="F160" t="str">
        <f t="shared" si="30"/>
        <v>E2_5_1_17_km : 1</v>
      </c>
      <c r="G160" t="str">
        <f t="shared" si="31"/>
        <v>E2_5_1_17_mRNA : E2_5_1_17_mRNA</v>
      </c>
      <c r="H160" t="str">
        <f t="shared" si="32"/>
        <v>E2_5_1_17 : E2_5_1_17</v>
      </c>
      <c r="I160" t="str">
        <f t="shared" si="33"/>
        <v>E2_5_1_17_mRNA : 0</v>
      </c>
      <c r="J160" t="str">
        <f t="shared" si="34"/>
        <v>E2_5_1_17 : 0</v>
      </c>
      <c r="K160" t="str">
        <f t="shared" si="35"/>
        <v>0.00292 - (0.0093 * E2_5_1_17_mRNA)</v>
      </c>
      <c r="L160" t="str">
        <f t="shared" si="36"/>
        <v>(0.278 * E2_5_1_17_mRNA) - (0.00000278 * E2_5_1_17)</v>
      </c>
      <c r="M160" t="str">
        <f t="shared" si="37"/>
        <v>mRNA159: -&gt; E2_5_1_17_mRNA | 0.00292 - (0.0093 * E2_5_1_17_mRNA)</v>
      </c>
      <c r="N160" t="str">
        <f t="shared" si="38"/>
        <v>Peptide159: E2_5_1_17_mRNA -&gt; E2_5_1_17 | (0.278 * E2_5_1_17_mRNA) - (0.000000278 * E2_5_1_17)</v>
      </c>
    </row>
    <row r="161" spans="1:14" x14ac:dyDescent="0.25">
      <c r="A161">
        <f t="shared" si="26"/>
        <v>160</v>
      </c>
      <c r="B161" s="5" t="s">
        <v>9752</v>
      </c>
      <c r="C161" t="str">
        <f t="shared" si="27"/>
        <v>E2_5_1_19_mRNA</v>
      </c>
      <c r="D161" t="str">
        <f t="shared" si="28"/>
        <v>E2_5_1_19</v>
      </c>
      <c r="E161" t="str">
        <f t="shared" si="29"/>
        <v>E2_5_1_19_kcat : 13.7</v>
      </c>
      <c r="F161" t="str">
        <f t="shared" si="30"/>
        <v>E2_5_1_19_km : 1</v>
      </c>
      <c r="G161" t="str">
        <f t="shared" si="31"/>
        <v>E2_5_1_19_mRNA : E2_5_1_19_mRNA</v>
      </c>
      <c r="H161" t="str">
        <f t="shared" si="32"/>
        <v>E2_5_1_19 : E2_5_1_19</v>
      </c>
      <c r="I161" t="str">
        <f t="shared" si="33"/>
        <v>E2_5_1_19_mRNA : 0</v>
      </c>
      <c r="J161" t="str">
        <f t="shared" si="34"/>
        <v>E2_5_1_19 : 0</v>
      </c>
      <c r="K161" t="str">
        <f t="shared" si="35"/>
        <v>0.00292 - (0.0093 * E2_5_1_19_mRNA)</v>
      </c>
      <c r="L161" t="str">
        <f t="shared" si="36"/>
        <v>(0.278 * E2_5_1_19_mRNA) - (0.00000278 * E2_5_1_19)</v>
      </c>
      <c r="M161" t="str">
        <f t="shared" si="37"/>
        <v>mRNA160: -&gt; E2_5_1_19_mRNA | 0.00292 - (0.0093 * E2_5_1_19_mRNA)</v>
      </c>
      <c r="N161" t="str">
        <f t="shared" si="38"/>
        <v>Peptide160: E2_5_1_19_mRNA -&gt; E2_5_1_19 | (0.278 * E2_5_1_19_mRNA) - (0.000000278 * E2_5_1_19)</v>
      </c>
    </row>
    <row r="162" spans="1:14" x14ac:dyDescent="0.25">
      <c r="A162">
        <f t="shared" si="26"/>
        <v>161</v>
      </c>
      <c r="B162" s="5" t="s">
        <v>9566</v>
      </c>
      <c r="C162" t="str">
        <f t="shared" si="27"/>
        <v>E2_5_1_3_mRNA</v>
      </c>
      <c r="D162" t="str">
        <f t="shared" si="28"/>
        <v>E2_5_1_3</v>
      </c>
      <c r="E162" t="str">
        <f t="shared" si="29"/>
        <v>E2_5_1_3_kcat : 13.7</v>
      </c>
      <c r="F162" t="str">
        <f t="shared" si="30"/>
        <v>E2_5_1_3_km : 1</v>
      </c>
      <c r="G162" t="str">
        <f t="shared" si="31"/>
        <v>E2_5_1_3_mRNA : E2_5_1_3_mRNA</v>
      </c>
      <c r="H162" t="str">
        <f t="shared" si="32"/>
        <v>E2_5_1_3 : E2_5_1_3</v>
      </c>
      <c r="I162" t="str">
        <f t="shared" si="33"/>
        <v>E2_5_1_3_mRNA : 0</v>
      </c>
      <c r="J162" t="str">
        <f t="shared" si="34"/>
        <v>E2_5_1_3 : 0</v>
      </c>
      <c r="K162" t="str">
        <f t="shared" si="35"/>
        <v>0.00292 - (0.0093 * E2_5_1_3_mRNA)</v>
      </c>
      <c r="L162" t="str">
        <f t="shared" si="36"/>
        <v>(0.278 * E2_5_1_3_mRNA) - (0.00000278 * E2_5_1_3)</v>
      </c>
      <c r="M162" t="str">
        <f t="shared" si="37"/>
        <v>mRNA161: -&gt; E2_5_1_3_mRNA | 0.00292 - (0.0093 * E2_5_1_3_mRNA)</v>
      </c>
      <c r="N162" t="str">
        <f t="shared" si="38"/>
        <v>Peptide161: E2_5_1_3_mRNA -&gt; E2_5_1_3 | (0.278 * E2_5_1_3_mRNA) - (0.000000278 * E2_5_1_3)</v>
      </c>
    </row>
    <row r="163" spans="1:14" x14ac:dyDescent="0.25">
      <c r="A163">
        <f t="shared" si="26"/>
        <v>162</v>
      </c>
      <c r="B163" s="5" t="s">
        <v>9403</v>
      </c>
      <c r="C163" t="str">
        <f t="shared" si="27"/>
        <v>E2_5_1_31_mRNA</v>
      </c>
      <c r="D163" t="str">
        <f t="shared" si="28"/>
        <v>E2_5_1_31</v>
      </c>
      <c r="E163" t="str">
        <f t="shared" si="29"/>
        <v>E2_5_1_31_kcat : 13.7</v>
      </c>
      <c r="F163" t="str">
        <f t="shared" si="30"/>
        <v>E2_5_1_31_km : 1</v>
      </c>
      <c r="G163" t="str">
        <f t="shared" si="31"/>
        <v>E2_5_1_31_mRNA : E2_5_1_31_mRNA</v>
      </c>
      <c r="H163" t="str">
        <f t="shared" si="32"/>
        <v>E2_5_1_31 : E2_5_1_31</v>
      </c>
      <c r="I163" t="str">
        <f t="shared" si="33"/>
        <v>E2_5_1_31_mRNA : 0</v>
      </c>
      <c r="J163" t="str">
        <f t="shared" si="34"/>
        <v>E2_5_1_31 : 0</v>
      </c>
      <c r="K163" t="str">
        <f t="shared" si="35"/>
        <v>0.00292 - (0.0093 * E2_5_1_31_mRNA)</v>
      </c>
      <c r="L163" t="str">
        <f t="shared" si="36"/>
        <v>(0.278 * E2_5_1_31_mRNA) - (0.00000278 * E2_5_1_31)</v>
      </c>
      <c r="M163" t="str">
        <f t="shared" si="37"/>
        <v>mRNA162: -&gt; E2_5_1_31_mRNA | 0.00292 - (0.0093 * E2_5_1_31_mRNA)</v>
      </c>
      <c r="N163" t="str">
        <f t="shared" si="38"/>
        <v>Peptide162: E2_5_1_31_mRNA -&gt; E2_5_1_31 | (0.278 * E2_5_1_31_mRNA) - (0.000000278 * E2_5_1_31)</v>
      </c>
    </row>
    <row r="164" spans="1:14" x14ac:dyDescent="0.25">
      <c r="A164">
        <f t="shared" si="26"/>
        <v>163</v>
      </c>
      <c r="B164" s="5" t="s">
        <v>9630</v>
      </c>
      <c r="C164" t="str">
        <f t="shared" si="27"/>
        <v>E2_5_1_32_mRNA</v>
      </c>
      <c r="D164" t="str">
        <f t="shared" si="28"/>
        <v>E2_5_1_32</v>
      </c>
      <c r="E164" t="str">
        <f t="shared" si="29"/>
        <v>E2_5_1_32_kcat : 13.7</v>
      </c>
      <c r="F164" t="str">
        <f t="shared" si="30"/>
        <v>E2_5_1_32_km : 1</v>
      </c>
      <c r="G164" t="str">
        <f t="shared" si="31"/>
        <v>E2_5_1_32_mRNA : E2_5_1_32_mRNA</v>
      </c>
      <c r="H164" t="str">
        <f t="shared" si="32"/>
        <v>E2_5_1_32 : E2_5_1_32</v>
      </c>
      <c r="I164" t="str">
        <f t="shared" si="33"/>
        <v>E2_5_1_32_mRNA : 0</v>
      </c>
      <c r="J164" t="str">
        <f t="shared" si="34"/>
        <v>E2_5_1_32 : 0</v>
      </c>
      <c r="K164" t="str">
        <f t="shared" si="35"/>
        <v>0.00292 - (0.0093 * E2_5_1_32_mRNA)</v>
      </c>
      <c r="L164" t="str">
        <f t="shared" si="36"/>
        <v>(0.278 * E2_5_1_32_mRNA) - (0.00000278 * E2_5_1_32)</v>
      </c>
      <c r="M164" t="str">
        <f t="shared" si="37"/>
        <v>mRNA163: -&gt; E2_5_1_32_mRNA | 0.00292 - (0.0093 * E2_5_1_32_mRNA)</v>
      </c>
      <c r="N164" t="str">
        <f t="shared" si="38"/>
        <v>Peptide163: E2_5_1_32_mRNA -&gt; E2_5_1_32 | (0.278 * E2_5_1_32_mRNA) - (0.000000278 * E2_5_1_32)</v>
      </c>
    </row>
    <row r="165" spans="1:14" x14ac:dyDescent="0.25">
      <c r="A165">
        <f t="shared" si="26"/>
        <v>164</v>
      </c>
      <c r="B165" s="5" t="s">
        <v>9462</v>
      </c>
      <c r="C165" t="str">
        <f t="shared" si="27"/>
        <v>E2_5_1_46_mRNA</v>
      </c>
      <c r="D165" t="str">
        <f t="shared" si="28"/>
        <v>E2_5_1_46</v>
      </c>
      <c r="E165" t="str">
        <f t="shared" si="29"/>
        <v>E2_5_1_46_kcat : 13.7</v>
      </c>
      <c r="F165" t="str">
        <f t="shared" si="30"/>
        <v>E2_5_1_46_km : 1</v>
      </c>
      <c r="G165" t="str">
        <f t="shared" si="31"/>
        <v>E2_5_1_46_mRNA : E2_5_1_46_mRNA</v>
      </c>
      <c r="H165" t="str">
        <f t="shared" si="32"/>
        <v>E2_5_1_46 : E2_5_1_46</v>
      </c>
      <c r="I165" t="str">
        <f t="shared" si="33"/>
        <v>E2_5_1_46_mRNA : 0</v>
      </c>
      <c r="J165" t="str">
        <f t="shared" si="34"/>
        <v>E2_5_1_46 : 0</v>
      </c>
      <c r="K165" t="str">
        <f t="shared" si="35"/>
        <v>0.00292 - (0.0093 * E2_5_1_46_mRNA)</v>
      </c>
      <c r="L165" t="str">
        <f t="shared" si="36"/>
        <v>(0.278 * E2_5_1_46_mRNA) - (0.00000278 * E2_5_1_46)</v>
      </c>
      <c r="M165" t="str">
        <f t="shared" si="37"/>
        <v>mRNA164: -&gt; E2_5_1_46_mRNA | 0.00292 - (0.0093 * E2_5_1_46_mRNA)</v>
      </c>
      <c r="N165" t="str">
        <f t="shared" si="38"/>
        <v>Peptide164: E2_5_1_46_mRNA -&gt; E2_5_1_46 | (0.278 * E2_5_1_46_mRNA) - (0.000000278 * E2_5_1_46)</v>
      </c>
    </row>
    <row r="166" spans="1:14" x14ac:dyDescent="0.25">
      <c r="A166">
        <f t="shared" si="26"/>
        <v>165</v>
      </c>
      <c r="B166" s="5" t="s">
        <v>9390</v>
      </c>
      <c r="C166" t="str">
        <f t="shared" si="27"/>
        <v>E2_5_1_47_mRNA</v>
      </c>
      <c r="D166" t="str">
        <f t="shared" si="28"/>
        <v>E2_5_1_47</v>
      </c>
      <c r="E166" t="str">
        <f t="shared" si="29"/>
        <v>E2_5_1_47_kcat : 13.7</v>
      </c>
      <c r="F166" t="str">
        <f t="shared" si="30"/>
        <v>E2_5_1_47_km : 1</v>
      </c>
      <c r="G166" t="str">
        <f t="shared" si="31"/>
        <v>E2_5_1_47_mRNA : E2_5_1_47_mRNA</v>
      </c>
      <c r="H166" t="str">
        <f t="shared" si="32"/>
        <v>E2_5_1_47 : E2_5_1_47</v>
      </c>
      <c r="I166" t="str">
        <f t="shared" si="33"/>
        <v>E2_5_1_47_mRNA : 0</v>
      </c>
      <c r="J166" t="str">
        <f t="shared" si="34"/>
        <v>E2_5_1_47 : 0</v>
      </c>
      <c r="K166" t="str">
        <f t="shared" si="35"/>
        <v>0.00292 - (0.0093 * E2_5_1_47_mRNA)</v>
      </c>
      <c r="L166" t="str">
        <f t="shared" si="36"/>
        <v>(0.278 * E2_5_1_47_mRNA) - (0.00000278 * E2_5_1_47)</v>
      </c>
      <c r="M166" t="str">
        <f t="shared" si="37"/>
        <v>mRNA165: -&gt; E2_5_1_47_mRNA | 0.00292 - (0.0093 * E2_5_1_47_mRNA)</v>
      </c>
      <c r="N166" t="str">
        <f t="shared" si="38"/>
        <v>Peptide165: E2_5_1_47_mRNA -&gt; E2_5_1_47 | (0.278 * E2_5_1_47_mRNA) - (0.000000278 * E2_5_1_47)</v>
      </c>
    </row>
    <row r="167" spans="1:14" x14ac:dyDescent="0.25">
      <c r="A167">
        <f t="shared" si="26"/>
        <v>166</v>
      </c>
      <c r="B167" s="5" t="s">
        <v>9605</v>
      </c>
      <c r="C167" t="str">
        <f t="shared" si="27"/>
        <v>E2_5_1_48_mRNA</v>
      </c>
      <c r="D167" t="str">
        <f t="shared" si="28"/>
        <v>E2_5_1_48</v>
      </c>
      <c r="E167" t="str">
        <f t="shared" si="29"/>
        <v>E2_5_1_48_kcat : 13.7</v>
      </c>
      <c r="F167" t="str">
        <f t="shared" si="30"/>
        <v>E2_5_1_48_km : 1</v>
      </c>
      <c r="G167" t="str">
        <f t="shared" si="31"/>
        <v>E2_5_1_48_mRNA : E2_5_1_48_mRNA</v>
      </c>
      <c r="H167" t="str">
        <f t="shared" si="32"/>
        <v>E2_5_1_48 : E2_5_1_48</v>
      </c>
      <c r="I167" t="str">
        <f t="shared" si="33"/>
        <v>E2_5_1_48_mRNA : 0</v>
      </c>
      <c r="J167" t="str">
        <f t="shared" si="34"/>
        <v>E2_5_1_48 : 0</v>
      </c>
      <c r="K167" t="str">
        <f t="shared" si="35"/>
        <v>0.00292 - (0.0093 * E2_5_1_48_mRNA)</v>
      </c>
      <c r="L167" t="str">
        <f t="shared" si="36"/>
        <v>(0.278 * E2_5_1_48_mRNA) - (0.00000278 * E2_5_1_48)</v>
      </c>
      <c r="M167" t="str">
        <f t="shared" si="37"/>
        <v>mRNA166: -&gt; E2_5_1_48_mRNA | 0.00292 - (0.0093 * E2_5_1_48_mRNA)</v>
      </c>
      <c r="N167" t="str">
        <f t="shared" si="38"/>
        <v>Peptide166: E2_5_1_48_mRNA -&gt; E2_5_1_48 | (0.278 * E2_5_1_48_mRNA) - (0.000000278 * E2_5_1_48)</v>
      </c>
    </row>
    <row r="168" spans="1:14" x14ac:dyDescent="0.25">
      <c r="A168">
        <f t="shared" si="26"/>
        <v>167</v>
      </c>
      <c r="B168" s="5" t="s">
        <v>9598</v>
      </c>
      <c r="C168" t="str">
        <f t="shared" si="27"/>
        <v>E2_5_1_49_mRNA</v>
      </c>
      <c r="D168" t="str">
        <f t="shared" si="28"/>
        <v>E2_5_1_49</v>
      </c>
      <c r="E168" t="str">
        <f t="shared" si="29"/>
        <v>E2_5_1_49_kcat : 13.7</v>
      </c>
      <c r="F168" t="str">
        <f t="shared" si="30"/>
        <v>E2_5_1_49_km : 1</v>
      </c>
      <c r="G168" t="str">
        <f t="shared" si="31"/>
        <v>E2_5_1_49_mRNA : E2_5_1_49_mRNA</v>
      </c>
      <c r="H168" t="str">
        <f t="shared" si="32"/>
        <v>E2_5_1_49 : E2_5_1_49</v>
      </c>
      <c r="I168" t="str">
        <f t="shared" si="33"/>
        <v>E2_5_1_49_mRNA : 0</v>
      </c>
      <c r="J168" t="str">
        <f t="shared" si="34"/>
        <v>E2_5_1_49 : 0</v>
      </c>
      <c r="K168" t="str">
        <f t="shared" si="35"/>
        <v>0.00292 - (0.0093 * E2_5_1_49_mRNA)</v>
      </c>
      <c r="L168" t="str">
        <f t="shared" si="36"/>
        <v>(0.278 * E2_5_1_49_mRNA) - (0.00000278 * E2_5_1_49)</v>
      </c>
      <c r="M168" t="str">
        <f t="shared" si="37"/>
        <v>mRNA167: -&gt; E2_5_1_49_mRNA | 0.00292 - (0.0093 * E2_5_1_49_mRNA)</v>
      </c>
      <c r="N168" t="str">
        <f t="shared" si="38"/>
        <v>Peptide167: E2_5_1_49_mRNA -&gt; E2_5_1_49 | (0.278 * E2_5_1_49_mRNA) - (0.000000278 * E2_5_1_49)</v>
      </c>
    </row>
    <row r="169" spans="1:14" x14ac:dyDescent="0.25">
      <c r="A169">
        <f t="shared" si="26"/>
        <v>168</v>
      </c>
      <c r="B169" s="5" t="s">
        <v>9668</v>
      </c>
      <c r="C169" t="str">
        <f t="shared" si="27"/>
        <v>E2_5_1_54_mRNA</v>
      </c>
      <c r="D169" t="str">
        <f t="shared" si="28"/>
        <v>E2_5_1_54</v>
      </c>
      <c r="E169" t="str">
        <f t="shared" si="29"/>
        <v>E2_5_1_54_kcat : 13.7</v>
      </c>
      <c r="F169" t="str">
        <f t="shared" si="30"/>
        <v>E2_5_1_54_km : 1</v>
      </c>
      <c r="G169" t="str">
        <f t="shared" si="31"/>
        <v>E2_5_1_54_mRNA : E2_5_1_54_mRNA</v>
      </c>
      <c r="H169" t="str">
        <f t="shared" si="32"/>
        <v>E2_5_1_54 : E2_5_1_54</v>
      </c>
      <c r="I169" t="str">
        <f t="shared" si="33"/>
        <v>E2_5_1_54_mRNA : 0</v>
      </c>
      <c r="J169" t="str">
        <f t="shared" si="34"/>
        <v>E2_5_1_54 : 0</v>
      </c>
      <c r="K169" t="str">
        <f t="shared" si="35"/>
        <v>0.00292 - (0.0093 * E2_5_1_54_mRNA)</v>
      </c>
      <c r="L169" t="str">
        <f t="shared" si="36"/>
        <v>(0.278 * E2_5_1_54_mRNA) - (0.00000278 * E2_5_1_54)</v>
      </c>
      <c r="M169" t="str">
        <f t="shared" si="37"/>
        <v>mRNA168: -&gt; E2_5_1_54_mRNA | 0.00292 - (0.0093 * E2_5_1_54_mRNA)</v>
      </c>
      <c r="N169" t="str">
        <f t="shared" si="38"/>
        <v>Peptide168: E2_5_1_54_mRNA -&gt; E2_5_1_54 | (0.278 * E2_5_1_54_mRNA) - (0.000000278 * E2_5_1_54)</v>
      </c>
    </row>
    <row r="170" spans="1:14" x14ac:dyDescent="0.25">
      <c r="A170">
        <f t="shared" si="26"/>
        <v>169</v>
      </c>
      <c r="B170" s="5" t="s">
        <v>9776</v>
      </c>
      <c r="C170" t="str">
        <f t="shared" si="27"/>
        <v>E2_5_1_6_mRNA</v>
      </c>
      <c r="D170" t="str">
        <f t="shared" si="28"/>
        <v>E2_5_1_6</v>
      </c>
      <c r="E170" t="str">
        <f t="shared" si="29"/>
        <v>E2_5_1_6_kcat : 13.7</v>
      </c>
      <c r="F170" t="str">
        <f t="shared" si="30"/>
        <v>E2_5_1_6_km : 1</v>
      </c>
      <c r="G170" t="str">
        <f t="shared" si="31"/>
        <v>E2_5_1_6_mRNA : E2_5_1_6_mRNA</v>
      </c>
      <c r="H170" t="str">
        <f t="shared" si="32"/>
        <v>E2_5_1_6 : E2_5_1_6</v>
      </c>
      <c r="I170" t="str">
        <f t="shared" si="33"/>
        <v>E2_5_1_6_mRNA : 0</v>
      </c>
      <c r="J170" t="str">
        <f t="shared" si="34"/>
        <v>E2_5_1_6 : 0</v>
      </c>
      <c r="K170" t="str">
        <f t="shared" si="35"/>
        <v>0.00292 - (0.0093 * E2_5_1_6_mRNA)</v>
      </c>
      <c r="L170" t="str">
        <f t="shared" si="36"/>
        <v>(0.278 * E2_5_1_6_mRNA) - (0.00000278 * E2_5_1_6)</v>
      </c>
      <c r="M170" t="str">
        <f t="shared" si="37"/>
        <v>mRNA169: -&gt; E2_5_1_6_mRNA | 0.00292 - (0.0093 * E2_5_1_6_mRNA)</v>
      </c>
      <c r="N170" t="str">
        <f t="shared" si="38"/>
        <v>Peptide169: E2_5_1_6_mRNA -&gt; E2_5_1_6 | (0.278 * E2_5_1_6_mRNA) - (0.000000278 * E2_5_1_6)</v>
      </c>
    </row>
    <row r="171" spans="1:14" x14ac:dyDescent="0.25">
      <c r="A171">
        <f t="shared" si="26"/>
        <v>170</v>
      </c>
      <c r="B171" s="5" t="s">
        <v>9790</v>
      </c>
      <c r="C171" t="str">
        <f t="shared" si="27"/>
        <v>E2_5_1_61_mRNA</v>
      </c>
      <c r="D171" t="str">
        <f t="shared" si="28"/>
        <v>E2_5_1_61</v>
      </c>
      <c r="E171" t="str">
        <f t="shared" si="29"/>
        <v>E2_5_1_61_kcat : 13.7</v>
      </c>
      <c r="F171" t="str">
        <f t="shared" si="30"/>
        <v>E2_5_1_61_km : 1</v>
      </c>
      <c r="G171" t="str">
        <f t="shared" si="31"/>
        <v>E2_5_1_61_mRNA : E2_5_1_61_mRNA</v>
      </c>
      <c r="H171" t="str">
        <f t="shared" si="32"/>
        <v>E2_5_1_61 : E2_5_1_61</v>
      </c>
      <c r="I171" t="str">
        <f t="shared" si="33"/>
        <v>E2_5_1_61_mRNA : 0</v>
      </c>
      <c r="J171" t="str">
        <f t="shared" si="34"/>
        <v>E2_5_1_61 : 0</v>
      </c>
      <c r="K171" t="str">
        <f t="shared" si="35"/>
        <v>0.00292 - (0.0093 * E2_5_1_61_mRNA)</v>
      </c>
      <c r="L171" t="str">
        <f t="shared" si="36"/>
        <v>(0.278 * E2_5_1_61_mRNA) - (0.00000278 * E2_5_1_61)</v>
      </c>
      <c r="M171" t="str">
        <f t="shared" si="37"/>
        <v>mRNA170: -&gt; E2_5_1_61_mRNA | 0.00292 - (0.0093 * E2_5_1_61_mRNA)</v>
      </c>
      <c r="N171" t="str">
        <f t="shared" si="38"/>
        <v>Peptide170: E2_5_1_61_mRNA -&gt; E2_5_1_61 | (0.278 * E2_5_1_61_mRNA) - (0.000000278 * E2_5_1_61)</v>
      </c>
    </row>
    <row r="172" spans="1:14" x14ac:dyDescent="0.25">
      <c r="A172">
        <f t="shared" si="26"/>
        <v>171</v>
      </c>
      <c r="B172" s="5" t="s">
        <v>9755</v>
      </c>
      <c r="C172" t="str">
        <f t="shared" si="27"/>
        <v>E2_5_1_7_mRNA</v>
      </c>
      <c r="D172" t="str">
        <f t="shared" si="28"/>
        <v>E2_5_1_7</v>
      </c>
      <c r="E172" t="str">
        <f t="shared" si="29"/>
        <v>E2_5_1_7_kcat : 13.7</v>
      </c>
      <c r="F172" t="str">
        <f t="shared" si="30"/>
        <v>E2_5_1_7_km : 1</v>
      </c>
      <c r="G172" t="str">
        <f t="shared" si="31"/>
        <v>E2_5_1_7_mRNA : E2_5_1_7_mRNA</v>
      </c>
      <c r="H172" t="str">
        <f t="shared" si="32"/>
        <v>E2_5_1_7 : E2_5_1_7</v>
      </c>
      <c r="I172" t="str">
        <f t="shared" si="33"/>
        <v>E2_5_1_7_mRNA : 0</v>
      </c>
      <c r="J172" t="str">
        <f t="shared" si="34"/>
        <v>E2_5_1_7 : 0</v>
      </c>
      <c r="K172" t="str">
        <f t="shared" si="35"/>
        <v>0.00292 - (0.0093 * E2_5_1_7_mRNA)</v>
      </c>
      <c r="L172" t="str">
        <f t="shared" si="36"/>
        <v>(0.278 * E2_5_1_7_mRNA) - (0.00000278 * E2_5_1_7)</v>
      </c>
      <c r="M172" t="str">
        <f t="shared" si="37"/>
        <v>mRNA171: -&gt; E2_5_1_7_mRNA | 0.00292 - (0.0093 * E2_5_1_7_mRNA)</v>
      </c>
      <c r="N172" t="str">
        <f t="shared" si="38"/>
        <v>Peptide171: E2_5_1_7_mRNA -&gt; E2_5_1_7 | (0.278 * E2_5_1_7_mRNA) - (0.000000278 * E2_5_1_7)</v>
      </c>
    </row>
    <row r="173" spans="1:14" x14ac:dyDescent="0.25">
      <c r="A173">
        <f t="shared" si="26"/>
        <v>172</v>
      </c>
      <c r="B173" s="5" t="s">
        <v>9590</v>
      </c>
      <c r="C173" t="str">
        <f t="shared" si="27"/>
        <v>E2_5_1_72_mRNA</v>
      </c>
      <c r="D173" t="str">
        <f t="shared" si="28"/>
        <v>E2_5_1_72</v>
      </c>
      <c r="E173" t="str">
        <f t="shared" si="29"/>
        <v>E2_5_1_72_kcat : 13.7</v>
      </c>
      <c r="F173" t="str">
        <f t="shared" si="30"/>
        <v>E2_5_1_72_km : 1</v>
      </c>
      <c r="G173" t="str">
        <f t="shared" si="31"/>
        <v>E2_5_1_72_mRNA : E2_5_1_72_mRNA</v>
      </c>
      <c r="H173" t="str">
        <f t="shared" si="32"/>
        <v>E2_5_1_72 : E2_5_1_72</v>
      </c>
      <c r="I173" t="str">
        <f t="shared" si="33"/>
        <v>E2_5_1_72_mRNA : 0</v>
      </c>
      <c r="J173" t="str">
        <f t="shared" si="34"/>
        <v>E2_5_1_72 : 0</v>
      </c>
      <c r="K173" t="str">
        <f t="shared" si="35"/>
        <v>0.00292 - (0.0093 * E2_5_1_72_mRNA)</v>
      </c>
      <c r="L173" t="str">
        <f t="shared" si="36"/>
        <v>(0.278 * E2_5_1_72_mRNA) - (0.00000278 * E2_5_1_72)</v>
      </c>
      <c r="M173" t="str">
        <f t="shared" si="37"/>
        <v>mRNA172: -&gt; E2_5_1_72_mRNA | 0.00292 - (0.0093 * E2_5_1_72_mRNA)</v>
      </c>
      <c r="N173" t="str">
        <f t="shared" si="38"/>
        <v>Peptide172: E2_5_1_72_mRNA -&gt; E2_5_1_72 | (0.278 * E2_5_1_72_mRNA) - (0.000000278 * E2_5_1_72)</v>
      </c>
    </row>
    <row r="174" spans="1:14" x14ac:dyDescent="0.25">
      <c r="A174">
        <f t="shared" si="26"/>
        <v>173</v>
      </c>
      <c r="B174" s="5" t="s">
        <v>9620</v>
      </c>
      <c r="C174" t="str">
        <f t="shared" si="27"/>
        <v>E2_5_1_75_mRNA</v>
      </c>
      <c r="D174" t="str">
        <f t="shared" si="28"/>
        <v>E2_5_1_75</v>
      </c>
      <c r="E174" t="str">
        <f t="shared" si="29"/>
        <v>E2_5_1_75_kcat : 13.7</v>
      </c>
      <c r="F174" t="str">
        <f t="shared" si="30"/>
        <v>E2_5_1_75_km : 1</v>
      </c>
      <c r="G174" t="str">
        <f t="shared" si="31"/>
        <v>E2_5_1_75_mRNA : E2_5_1_75_mRNA</v>
      </c>
      <c r="H174" t="str">
        <f t="shared" si="32"/>
        <v>E2_5_1_75 : E2_5_1_75</v>
      </c>
      <c r="I174" t="str">
        <f t="shared" si="33"/>
        <v>E2_5_1_75_mRNA : 0</v>
      </c>
      <c r="J174" t="str">
        <f t="shared" si="34"/>
        <v>E2_5_1_75 : 0</v>
      </c>
      <c r="K174" t="str">
        <f t="shared" si="35"/>
        <v>0.00292 - (0.0093 * E2_5_1_75_mRNA)</v>
      </c>
      <c r="L174" t="str">
        <f t="shared" si="36"/>
        <v>(0.278 * E2_5_1_75_mRNA) - (0.00000278 * E2_5_1_75)</v>
      </c>
      <c r="M174" t="str">
        <f t="shared" si="37"/>
        <v>mRNA173: -&gt; E2_5_1_75_mRNA | 0.00292 - (0.0093 * E2_5_1_75_mRNA)</v>
      </c>
      <c r="N174" t="str">
        <f t="shared" si="38"/>
        <v>Peptide173: E2_5_1_75_mRNA -&gt; E2_5_1_75 | (0.278 * E2_5_1_75_mRNA) - (0.000000278 * E2_5_1_75)</v>
      </c>
    </row>
    <row r="175" spans="1:14" x14ac:dyDescent="0.25">
      <c r="A175">
        <f t="shared" si="26"/>
        <v>174</v>
      </c>
      <c r="B175" s="5" t="s">
        <v>9398</v>
      </c>
      <c r="C175" t="str">
        <f t="shared" si="27"/>
        <v>E2_5_1_78_mRNA</v>
      </c>
      <c r="D175" t="str">
        <f t="shared" si="28"/>
        <v>E2_5_1_78</v>
      </c>
      <c r="E175" t="str">
        <f t="shared" si="29"/>
        <v>E2_5_1_78_kcat : 13.7</v>
      </c>
      <c r="F175" t="str">
        <f t="shared" si="30"/>
        <v>E2_5_1_78_km : 1</v>
      </c>
      <c r="G175" t="str">
        <f t="shared" si="31"/>
        <v>E2_5_1_78_mRNA : E2_5_1_78_mRNA</v>
      </c>
      <c r="H175" t="str">
        <f t="shared" si="32"/>
        <v>E2_5_1_78 : E2_5_1_78</v>
      </c>
      <c r="I175" t="str">
        <f t="shared" si="33"/>
        <v>E2_5_1_78_mRNA : 0</v>
      </c>
      <c r="J175" t="str">
        <f t="shared" si="34"/>
        <v>E2_5_1_78 : 0</v>
      </c>
      <c r="K175" t="str">
        <f t="shared" si="35"/>
        <v>0.00292 - (0.0093 * E2_5_1_78_mRNA)</v>
      </c>
      <c r="L175" t="str">
        <f t="shared" si="36"/>
        <v>(0.278 * E2_5_1_78_mRNA) - (0.00000278 * E2_5_1_78)</v>
      </c>
      <c r="M175" t="str">
        <f t="shared" si="37"/>
        <v>mRNA174: -&gt; E2_5_1_78_mRNA | 0.00292 - (0.0093 * E2_5_1_78_mRNA)</v>
      </c>
      <c r="N175" t="str">
        <f t="shared" si="38"/>
        <v>Peptide174: E2_5_1_78_mRNA -&gt; E2_5_1_78 | (0.278 * E2_5_1_78_mRNA) - (0.000000278 * E2_5_1_78)</v>
      </c>
    </row>
    <row r="176" spans="1:14" x14ac:dyDescent="0.25">
      <c r="A176">
        <f t="shared" si="26"/>
        <v>175</v>
      </c>
      <c r="B176" s="5" t="s">
        <v>9515</v>
      </c>
      <c r="C176" t="str">
        <f t="shared" si="27"/>
        <v>E2_5_1_9_mRNA</v>
      </c>
      <c r="D176" t="str">
        <f t="shared" si="28"/>
        <v>E2_5_1_9</v>
      </c>
      <c r="E176" t="str">
        <f t="shared" si="29"/>
        <v>E2_5_1_9_kcat : 13.7</v>
      </c>
      <c r="F176" t="str">
        <f t="shared" si="30"/>
        <v>E2_5_1_9_km : 1</v>
      </c>
      <c r="G176" t="str">
        <f t="shared" si="31"/>
        <v>E2_5_1_9_mRNA : E2_5_1_9_mRNA</v>
      </c>
      <c r="H176" t="str">
        <f t="shared" si="32"/>
        <v>E2_5_1_9 : E2_5_1_9</v>
      </c>
      <c r="I176" t="str">
        <f t="shared" si="33"/>
        <v>E2_5_1_9_mRNA : 0</v>
      </c>
      <c r="J176" t="str">
        <f t="shared" si="34"/>
        <v>E2_5_1_9 : 0</v>
      </c>
      <c r="K176" t="str">
        <f t="shared" si="35"/>
        <v>0.00292 - (0.0093 * E2_5_1_9_mRNA)</v>
      </c>
      <c r="L176" t="str">
        <f t="shared" si="36"/>
        <v>(0.278 * E2_5_1_9_mRNA) - (0.00000278 * E2_5_1_9)</v>
      </c>
      <c r="M176" t="str">
        <f t="shared" si="37"/>
        <v>mRNA175: -&gt; E2_5_1_9_mRNA | 0.00292 - (0.0093 * E2_5_1_9_mRNA)</v>
      </c>
      <c r="N176" t="str">
        <f t="shared" si="38"/>
        <v>Peptide175: E2_5_1_9_mRNA -&gt; E2_5_1_9 | (0.278 * E2_5_1_9_mRNA) - (0.000000278 * E2_5_1_9)</v>
      </c>
    </row>
    <row r="177" spans="1:14" x14ac:dyDescent="0.25">
      <c r="A177">
        <f t="shared" si="26"/>
        <v>176</v>
      </c>
      <c r="B177" s="5" t="s">
        <v>9458</v>
      </c>
      <c r="C177" t="str">
        <f t="shared" si="27"/>
        <v>E2_5_1_90_mRNA</v>
      </c>
      <c r="D177" t="str">
        <f t="shared" si="28"/>
        <v>E2_5_1_90</v>
      </c>
      <c r="E177" t="str">
        <f t="shared" si="29"/>
        <v>E2_5_1_90_kcat : 13.7</v>
      </c>
      <c r="F177" t="str">
        <f t="shared" si="30"/>
        <v>E2_5_1_90_km : 1</v>
      </c>
      <c r="G177" t="str">
        <f t="shared" si="31"/>
        <v>E2_5_1_90_mRNA : E2_5_1_90_mRNA</v>
      </c>
      <c r="H177" t="str">
        <f t="shared" si="32"/>
        <v>E2_5_1_90 : E2_5_1_90</v>
      </c>
      <c r="I177" t="str">
        <f t="shared" si="33"/>
        <v>E2_5_1_90_mRNA : 0</v>
      </c>
      <c r="J177" t="str">
        <f t="shared" si="34"/>
        <v>E2_5_1_90 : 0</v>
      </c>
      <c r="K177" t="str">
        <f t="shared" si="35"/>
        <v>0.00292 - (0.0093 * E2_5_1_90_mRNA)</v>
      </c>
      <c r="L177" t="str">
        <f t="shared" si="36"/>
        <v>(0.278 * E2_5_1_90_mRNA) - (0.00000278 * E2_5_1_90)</v>
      </c>
      <c r="M177" t="str">
        <f t="shared" si="37"/>
        <v>mRNA176: -&gt; E2_5_1_90_mRNA | 0.00292 - (0.0093 * E2_5_1_90_mRNA)</v>
      </c>
      <c r="N177" t="str">
        <f t="shared" si="38"/>
        <v>Peptide176: E2_5_1_90_mRNA -&gt; E2_5_1_90 | (0.278 * E2_5_1_90_mRNA) - (0.000000278 * E2_5_1_90)</v>
      </c>
    </row>
    <row r="178" spans="1:14" x14ac:dyDescent="0.25">
      <c r="A178">
        <f t="shared" si="26"/>
        <v>177</v>
      </c>
      <c r="B178" s="5" t="s">
        <v>9608</v>
      </c>
      <c r="C178" t="str">
        <f t="shared" si="27"/>
        <v>E2_6_1_1_mRNA</v>
      </c>
      <c r="D178" t="str">
        <f t="shared" si="28"/>
        <v>E2_6_1_1</v>
      </c>
      <c r="E178" t="str">
        <f t="shared" si="29"/>
        <v>E2_6_1_1_kcat : 13.7</v>
      </c>
      <c r="F178" t="str">
        <f t="shared" si="30"/>
        <v>E2_6_1_1_km : 1</v>
      </c>
      <c r="G178" t="str">
        <f t="shared" si="31"/>
        <v>E2_6_1_1_mRNA : E2_6_1_1_mRNA</v>
      </c>
      <c r="H178" t="str">
        <f t="shared" si="32"/>
        <v>E2_6_1_1 : E2_6_1_1</v>
      </c>
      <c r="I178" t="str">
        <f t="shared" si="33"/>
        <v>E2_6_1_1_mRNA : 0</v>
      </c>
      <c r="J178" t="str">
        <f t="shared" si="34"/>
        <v>E2_6_1_1 : 0</v>
      </c>
      <c r="K178" t="str">
        <f t="shared" si="35"/>
        <v>0.00292 - (0.0093 * E2_6_1_1_mRNA)</v>
      </c>
      <c r="L178" t="str">
        <f t="shared" si="36"/>
        <v>(0.278 * E2_6_1_1_mRNA) - (0.00000278 * E2_6_1_1)</v>
      </c>
      <c r="M178" t="str">
        <f t="shared" si="37"/>
        <v>mRNA177: -&gt; E2_6_1_1_mRNA | 0.00292 - (0.0093 * E2_6_1_1_mRNA)</v>
      </c>
      <c r="N178" t="str">
        <f t="shared" si="38"/>
        <v>Peptide177: E2_6_1_1_mRNA -&gt; E2_6_1_1 | (0.278 * E2_6_1_1_mRNA) - (0.000000278 * E2_6_1_1)</v>
      </c>
    </row>
    <row r="179" spans="1:14" x14ac:dyDescent="0.25">
      <c r="A179">
        <f t="shared" si="26"/>
        <v>178</v>
      </c>
      <c r="B179" s="5" t="s">
        <v>9521</v>
      </c>
      <c r="C179" t="str">
        <f t="shared" si="27"/>
        <v>E2_6_1_11_mRNA</v>
      </c>
      <c r="D179" t="str">
        <f t="shared" si="28"/>
        <v>E2_6_1_11</v>
      </c>
      <c r="E179" t="str">
        <f t="shared" si="29"/>
        <v>E2_6_1_11_kcat : 13.7</v>
      </c>
      <c r="F179" t="str">
        <f t="shared" si="30"/>
        <v>E2_6_1_11_km : 1</v>
      </c>
      <c r="G179" t="str">
        <f t="shared" si="31"/>
        <v>E2_6_1_11_mRNA : E2_6_1_11_mRNA</v>
      </c>
      <c r="H179" t="str">
        <f t="shared" si="32"/>
        <v>E2_6_1_11 : E2_6_1_11</v>
      </c>
      <c r="I179" t="str">
        <f t="shared" si="33"/>
        <v>E2_6_1_11_mRNA : 0</v>
      </c>
      <c r="J179" t="str">
        <f t="shared" si="34"/>
        <v>E2_6_1_11 : 0</v>
      </c>
      <c r="K179" t="str">
        <f t="shared" si="35"/>
        <v>0.00292 - (0.0093 * E2_6_1_11_mRNA)</v>
      </c>
      <c r="L179" t="str">
        <f t="shared" si="36"/>
        <v>(0.278 * E2_6_1_11_mRNA) - (0.00000278 * E2_6_1_11)</v>
      </c>
      <c r="M179" t="str">
        <f t="shared" si="37"/>
        <v>mRNA178: -&gt; E2_6_1_11_mRNA | 0.00292 - (0.0093 * E2_6_1_11_mRNA)</v>
      </c>
      <c r="N179" t="str">
        <f t="shared" si="38"/>
        <v>Peptide178: E2_6_1_11_mRNA -&gt; E2_6_1_11 | (0.278 * E2_6_1_11_mRNA) - (0.000000278 * E2_6_1_11)</v>
      </c>
    </row>
    <row r="180" spans="1:14" x14ac:dyDescent="0.25">
      <c r="A180">
        <f t="shared" si="26"/>
        <v>179</v>
      </c>
      <c r="B180" s="5" t="s">
        <v>9802</v>
      </c>
      <c r="C180" t="str">
        <f t="shared" si="27"/>
        <v>E2_6_1_16_mRNA</v>
      </c>
      <c r="D180" t="str">
        <f t="shared" si="28"/>
        <v>E2_6_1_16</v>
      </c>
      <c r="E180" t="str">
        <f t="shared" si="29"/>
        <v>E2_6_1_16_kcat : 13.7</v>
      </c>
      <c r="F180" t="str">
        <f t="shared" si="30"/>
        <v>E2_6_1_16_km : 1</v>
      </c>
      <c r="G180" t="str">
        <f t="shared" si="31"/>
        <v>E2_6_1_16_mRNA : E2_6_1_16_mRNA</v>
      </c>
      <c r="H180" t="str">
        <f t="shared" si="32"/>
        <v>E2_6_1_16 : E2_6_1_16</v>
      </c>
      <c r="I180" t="str">
        <f t="shared" si="33"/>
        <v>E2_6_1_16_mRNA : 0</v>
      </c>
      <c r="J180" t="str">
        <f t="shared" si="34"/>
        <v>E2_6_1_16 : 0</v>
      </c>
      <c r="K180" t="str">
        <f t="shared" si="35"/>
        <v>0.00292 - (0.0093 * E2_6_1_16_mRNA)</v>
      </c>
      <c r="L180" t="str">
        <f t="shared" si="36"/>
        <v>(0.278 * E2_6_1_16_mRNA) - (0.00000278 * E2_6_1_16)</v>
      </c>
      <c r="M180" t="str">
        <f t="shared" si="37"/>
        <v>mRNA179: -&gt; E2_6_1_16_mRNA | 0.00292 - (0.0093 * E2_6_1_16_mRNA)</v>
      </c>
      <c r="N180" t="str">
        <f t="shared" si="38"/>
        <v>Peptide179: E2_6_1_16_mRNA -&gt; E2_6_1_16 | (0.278 * E2_6_1_16_mRNA) - (0.000000278 * E2_6_1_16)</v>
      </c>
    </row>
    <row r="181" spans="1:14" x14ac:dyDescent="0.25">
      <c r="A181">
        <f t="shared" si="26"/>
        <v>180</v>
      </c>
      <c r="B181" s="5" t="s">
        <v>9596</v>
      </c>
      <c r="C181" t="str">
        <f t="shared" si="27"/>
        <v>E2_6_1_18_mRNA</v>
      </c>
      <c r="D181" t="str">
        <f t="shared" si="28"/>
        <v>E2_6_1_18</v>
      </c>
      <c r="E181" t="str">
        <f t="shared" si="29"/>
        <v>E2_6_1_18_kcat : 13.7</v>
      </c>
      <c r="F181" t="str">
        <f t="shared" si="30"/>
        <v>E2_6_1_18_km : 1</v>
      </c>
      <c r="G181" t="str">
        <f t="shared" si="31"/>
        <v>E2_6_1_18_mRNA : E2_6_1_18_mRNA</v>
      </c>
      <c r="H181" t="str">
        <f t="shared" si="32"/>
        <v>E2_6_1_18 : E2_6_1_18</v>
      </c>
      <c r="I181" t="str">
        <f t="shared" si="33"/>
        <v>E2_6_1_18_mRNA : 0</v>
      </c>
      <c r="J181" t="str">
        <f t="shared" si="34"/>
        <v>E2_6_1_18 : 0</v>
      </c>
      <c r="K181" t="str">
        <f t="shared" si="35"/>
        <v>0.00292 - (0.0093 * E2_6_1_18_mRNA)</v>
      </c>
      <c r="L181" t="str">
        <f t="shared" si="36"/>
        <v>(0.278 * E2_6_1_18_mRNA) - (0.00000278 * E2_6_1_18)</v>
      </c>
      <c r="M181" t="str">
        <f t="shared" si="37"/>
        <v>mRNA180: -&gt; E2_6_1_18_mRNA | 0.00292 - (0.0093 * E2_6_1_18_mRNA)</v>
      </c>
      <c r="N181" t="str">
        <f t="shared" si="38"/>
        <v>Peptide180: E2_6_1_18_mRNA -&gt; E2_6_1_18 | (0.278 * E2_6_1_18_mRNA) - (0.000000278 * E2_6_1_18)</v>
      </c>
    </row>
    <row r="182" spans="1:14" x14ac:dyDescent="0.25">
      <c r="A182">
        <f t="shared" si="26"/>
        <v>181</v>
      </c>
      <c r="B182" s="5" t="s">
        <v>9547</v>
      </c>
      <c r="C182" t="str">
        <f t="shared" si="27"/>
        <v>E2_6_1_19_mRNA</v>
      </c>
      <c r="D182" t="str">
        <f t="shared" si="28"/>
        <v>E2_6_1_19</v>
      </c>
      <c r="E182" t="str">
        <f t="shared" si="29"/>
        <v>E2_6_1_19_kcat : 13.7</v>
      </c>
      <c r="F182" t="str">
        <f t="shared" si="30"/>
        <v>E2_6_1_19_km : 1</v>
      </c>
      <c r="G182" t="str">
        <f t="shared" si="31"/>
        <v>E2_6_1_19_mRNA : E2_6_1_19_mRNA</v>
      </c>
      <c r="H182" t="str">
        <f t="shared" si="32"/>
        <v>E2_6_1_19 : E2_6_1_19</v>
      </c>
      <c r="I182" t="str">
        <f t="shared" si="33"/>
        <v>E2_6_1_19_mRNA : 0</v>
      </c>
      <c r="J182" t="str">
        <f t="shared" si="34"/>
        <v>E2_6_1_19 : 0</v>
      </c>
      <c r="K182" t="str">
        <f t="shared" si="35"/>
        <v>0.00292 - (0.0093 * E2_6_1_19_mRNA)</v>
      </c>
      <c r="L182" t="str">
        <f t="shared" si="36"/>
        <v>(0.278 * E2_6_1_19_mRNA) - (0.00000278 * E2_6_1_19)</v>
      </c>
      <c r="M182" t="str">
        <f t="shared" si="37"/>
        <v>mRNA181: -&gt; E2_6_1_19_mRNA | 0.00292 - (0.0093 * E2_6_1_19_mRNA)</v>
      </c>
      <c r="N182" t="str">
        <f t="shared" si="38"/>
        <v>Peptide181: E2_6_1_19_mRNA -&gt; E2_6_1_19 | (0.278 * E2_6_1_19_mRNA) - (0.000000278 * E2_6_1_19)</v>
      </c>
    </row>
    <row r="183" spans="1:14" x14ac:dyDescent="0.25">
      <c r="A183">
        <f t="shared" si="26"/>
        <v>182</v>
      </c>
      <c r="B183" s="5" t="s">
        <v>9760</v>
      </c>
      <c r="C183" t="str">
        <f t="shared" si="27"/>
        <v>E2_6_1_42_mRNA</v>
      </c>
      <c r="D183" t="str">
        <f t="shared" si="28"/>
        <v>E2_6_1_42</v>
      </c>
      <c r="E183" t="str">
        <f t="shared" si="29"/>
        <v>E2_6_1_42_kcat : 13.7</v>
      </c>
      <c r="F183" t="str">
        <f t="shared" si="30"/>
        <v>E2_6_1_42_km : 1</v>
      </c>
      <c r="G183" t="str">
        <f t="shared" si="31"/>
        <v>E2_6_1_42_mRNA : E2_6_1_42_mRNA</v>
      </c>
      <c r="H183" t="str">
        <f t="shared" si="32"/>
        <v>E2_6_1_42 : E2_6_1_42</v>
      </c>
      <c r="I183" t="str">
        <f t="shared" si="33"/>
        <v>E2_6_1_42_mRNA : 0</v>
      </c>
      <c r="J183" t="str">
        <f t="shared" si="34"/>
        <v>E2_6_1_42 : 0</v>
      </c>
      <c r="K183" t="str">
        <f t="shared" si="35"/>
        <v>0.00292 - (0.0093 * E2_6_1_42_mRNA)</v>
      </c>
      <c r="L183" t="str">
        <f t="shared" si="36"/>
        <v>(0.278 * E2_6_1_42_mRNA) - (0.00000278 * E2_6_1_42)</v>
      </c>
      <c r="M183" t="str">
        <f t="shared" si="37"/>
        <v>mRNA182: -&gt; E2_6_1_42_mRNA | 0.00292 - (0.0093 * E2_6_1_42_mRNA)</v>
      </c>
      <c r="N183" t="str">
        <f t="shared" si="38"/>
        <v>Peptide182: E2_6_1_42_mRNA -&gt; E2_6_1_42 | (0.278 * E2_6_1_42_mRNA) - (0.000000278 * E2_6_1_42)</v>
      </c>
    </row>
    <row r="184" spans="1:14" x14ac:dyDescent="0.25">
      <c r="A184">
        <f t="shared" si="26"/>
        <v>183</v>
      </c>
      <c r="B184" s="5" t="s">
        <v>9432</v>
      </c>
      <c r="C184" t="str">
        <f t="shared" si="27"/>
        <v>E2_6_1_51_mRNA</v>
      </c>
      <c r="D184" t="str">
        <f t="shared" si="28"/>
        <v>E2_6_1_51</v>
      </c>
      <c r="E184" t="str">
        <f t="shared" si="29"/>
        <v>E2_6_1_51_kcat : 13.7</v>
      </c>
      <c r="F184" t="str">
        <f t="shared" si="30"/>
        <v>E2_6_1_51_km : 1</v>
      </c>
      <c r="G184" t="str">
        <f t="shared" si="31"/>
        <v>E2_6_1_51_mRNA : E2_6_1_51_mRNA</v>
      </c>
      <c r="H184" t="str">
        <f t="shared" si="32"/>
        <v>E2_6_1_51 : E2_6_1_51</v>
      </c>
      <c r="I184" t="str">
        <f t="shared" si="33"/>
        <v>E2_6_1_51_mRNA : 0</v>
      </c>
      <c r="J184" t="str">
        <f t="shared" si="34"/>
        <v>E2_6_1_51 : 0</v>
      </c>
      <c r="K184" t="str">
        <f t="shared" si="35"/>
        <v>0.00292 - (0.0093 * E2_6_1_51_mRNA)</v>
      </c>
      <c r="L184" t="str">
        <f t="shared" si="36"/>
        <v>(0.278 * E2_6_1_51_mRNA) - (0.00000278 * E2_6_1_51)</v>
      </c>
      <c r="M184" t="str">
        <f t="shared" si="37"/>
        <v>mRNA183: -&gt; E2_6_1_51_mRNA | 0.00292 - (0.0093 * E2_6_1_51_mRNA)</v>
      </c>
      <c r="N184" t="str">
        <f t="shared" si="38"/>
        <v>Peptide183: E2_6_1_51_mRNA -&gt; E2_6_1_51 | (0.278 * E2_6_1_51_mRNA) - (0.000000278 * E2_6_1_51)</v>
      </c>
    </row>
    <row r="185" spans="1:14" x14ac:dyDescent="0.25">
      <c r="A185">
        <f t="shared" si="26"/>
        <v>184</v>
      </c>
      <c r="B185" s="5" t="s">
        <v>9616</v>
      </c>
      <c r="C185" t="str">
        <f t="shared" si="27"/>
        <v>E2_6_1_85_mRNA</v>
      </c>
      <c r="D185" t="str">
        <f t="shared" si="28"/>
        <v>E2_6_1_85</v>
      </c>
      <c r="E185" t="str">
        <f t="shared" si="29"/>
        <v>E2_6_1_85_kcat : 13.7</v>
      </c>
      <c r="F185" t="str">
        <f t="shared" si="30"/>
        <v>E2_6_1_85_km : 1</v>
      </c>
      <c r="G185" t="str">
        <f t="shared" si="31"/>
        <v>E2_6_1_85_mRNA : E2_6_1_85_mRNA</v>
      </c>
      <c r="H185" t="str">
        <f t="shared" si="32"/>
        <v>E2_6_1_85 : E2_6_1_85</v>
      </c>
      <c r="I185" t="str">
        <f t="shared" si="33"/>
        <v>E2_6_1_85_mRNA : 0</v>
      </c>
      <c r="J185" t="str">
        <f t="shared" si="34"/>
        <v>E2_6_1_85 : 0</v>
      </c>
      <c r="K185" t="str">
        <f t="shared" si="35"/>
        <v>0.00292 - (0.0093 * E2_6_1_85_mRNA)</v>
      </c>
      <c r="L185" t="str">
        <f t="shared" si="36"/>
        <v>(0.278 * E2_6_1_85_mRNA) - (0.00000278 * E2_6_1_85)</v>
      </c>
      <c r="M185" t="str">
        <f t="shared" si="37"/>
        <v>mRNA184: -&gt; E2_6_1_85_mRNA | 0.00292 - (0.0093 * E2_6_1_85_mRNA)</v>
      </c>
      <c r="N185" t="str">
        <f t="shared" si="38"/>
        <v>Peptide184: E2_6_1_85_mRNA -&gt; E2_6_1_85 | (0.278 * E2_6_1_85_mRNA) - (0.000000278 * E2_6_1_85)</v>
      </c>
    </row>
    <row r="186" spans="1:14" x14ac:dyDescent="0.25">
      <c r="A186">
        <f t="shared" si="26"/>
        <v>185</v>
      </c>
      <c r="B186" s="5" t="s">
        <v>9687</v>
      </c>
      <c r="C186" t="str">
        <f t="shared" si="27"/>
        <v>E2_6_1_9_mRNA</v>
      </c>
      <c r="D186" t="str">
        <f t="shared" si="28"/>
        <v>E2_6_1_9</v>
      </c>
      <c r="E186" t="str">
        <f t="shared" si="29"/>
        <v>E2_6_1_9_kcat : 13.7</v>
      </c>
      <c r="F186" t="str">
        <f t="shared" si="30"/>
        <v>E2_6_1_9_km : 1</v>
      </c>
      <c r="G186" t="str">
        <f t="shared" si="31"/>
        <v>E2_6_1_9_mRNA : E2_6_1_9_mRNA</v>
      </c>
      <c r="H186" t="str">
        <f t="shared" si="32"/>
        <v>E2_6_1_9 : E2_6_1_9</v>
      </c>
      <c r="I186" t="str">
        <f t="shared" si="33"/>
        <v>E2_6_1_9_mRNA : 0</v>
      </c>
      <c r="J186" t="str">
        <f t="shared" si="34"/>
        <v>E2_6_1_9 : 0</v>
      </c>
      <c r="K186" t="str">
        <f t="shared" si="35"/>
        <v>0.00292 - (0.0093 * E2_6_1_9_mRNA)</v>
      </c>
      <c r="L186" t="str">
        <f t="shared" si="36"/>
        <v>(0.278 * E2_6_1_9_mRNA) - (0.00000278 * E2_6_1_9)</v>
      </c>
      <c r="M186" t="str">
        <f t="shared" si="37"/>
        <v>mRNA185: -&gt; E2_6_1_9_mRNA | 0.00292 - (0.0093 * E2_6_1_9_mRNA)</v>
      </c>
      <c r="N186" t="str">
        <f t="shared" si="38"/>
        <v>Peptide185: E2_6_1_9_mRNA -&gt; E2_6_1_9 | (0.278 * E2_6_1_9_mRNA) - (0.000000278 * E2_6_1_9)</v>
      </c>
    </row>
    <row r="187" spans="1:14" x14ac:dyDescent="0.25">
      <c r="A187">
        <f t="shared" ref="A187:A247" si="39">ROW()-1</f>
        <v>186</v>
      </c>
      <c r="B187" s="5" t="s">
        <v>9519</v>
      </c>
      <c r="C187" t="str">
        <f t="shared" si="27"/>
        <v>E2_7_1_107_mRNA</v>
      </c>
      <c r="D187" t="str">
        <f t="shared" si="28"/>
        <v>E2_7_1_107</v>
      </c>
      <c r="E187" t="str">
        <f t="shared" si="29"/>
        <v>E2_7_1_107_kcat : 13.7</v>
      </c>
      <c r="F187" t="str">
        <f t="shared" si="30"/>
        <v>E2_7_1_107_km : 1</v>
      </c>
      <c r="G187" t="str">
        <f t="shared" si="31"/>
        <v>E2_7_1_107_mRNA : E2_7_1_107_mRNA</v>
      </c>
      <c r="H187" t="str">
        <f t="shared" si="32"/>
        <v>E2_7_1_107 : E2_7_1_107</v>
      </c>
      <c r="I187" t="str">
        <f t="shared" si="33"/>
        <v>E2_7_1_107_mRNA : 0</v>
      </c>
      <c r="J187" t="str">
        <f t="shared" si="34"/>
        <v>E2_7_1_107 : 0</v>
      </c>
      <c r="K187" t="str">
        <f t="shared" si="35"/>
        <v>0.00292 - (0.0093 * E2_7_1_107_mRNA)</v>
      </c>
      <c r="L187" t="str">
        <f t="shared" si="36"/>
        <v>(0.278 * E2_7_1_107_mRNA) - (0.00000278 * E2_7_1_107)</v>
      </c>
      <c r="M187" t="str">
        <f t="shared" si="37"/>
        <v>mRNA186: -&gt; E2_7_1_107_mRNA | 0.00292 - (0.0093 * E2_7_1_107_mRNA)</v>
      </c>
      <c r="N187" t="str">
        <f t="shared" si="38"/>
        <v>Peptide186: E2_7_1_107_mRNA -&gt; E2_7_1_107 | (0.278 * E2_7_1_107_mRNA) - (0.000000278 * E2_7_1_107)</v>
      </c>
    </row>
    <row r="188" spans="1:14" x14ac:dyDescent="0.25">
      <c r="A188">
        <f t="shared" si="39"/>
        <v>187</v>
      </c>
      <c r="B188" s="5" t="s">
        <v>9814</v>
      </c>
      <c r="C188" t="str">
        <f t="shared" ref="C188:C248" si="40">CONCATENATE(D188,"_mRNA")</f>
        <v>E2_7_1_11_mRNA</v>
      </c>
      <c r="D188" t="str">
        <f t="shared" ref="D188:D248" si="41">CONCATENATE("E",B188)</f>
        <v>E2_7_1_11</v>
      </c>
      <c r="E188" t="str">
        <f t="shared" ref="E188:E248" si="42">CONCATENATE("E",B188,"_kcat : 13.7")</f>
        <v>E2_7_1_11_kcat : 13.7</v>
      </c>
      <c r="F188" t="str">
        <f t="shared" ref="F188:F248" si="43">CONCATENATE("E",B188,"_km : 1")</f>
        <v>E2_7_1_11_km : 1</v>
      </c>
      <c r="G188" t="str">
        <f t="shared" ref="G188:G248" si="44">CONCATENATE(C188," : ",C188)</f>
        <v>E2_7_1_11_mRNA : E2_7_1_11_mRNA</v>
      </c>
      <c r="H188" t="str">
        <f t="shared" ref="H188:H248" si="45">CONCATENATE(D188," : ",D188)</f>
        <v>E2_7_1_11 : E2_7_1_11</v>
      </c>
      <c r="I188" t="str">
        <f t="shared" ref="I188:I248" si="46">CONCATENATE(C188," : ","0")</f>
        <v>E2_7_1_11_mRNA : 0</v>
      </c>
      <c r="J188" t="str">
        <f t="shared" ref="J188:J248" si="47">CONCATENATE(D188," : ","0")</f>
        <v>E2_7_1_11 : 0</v>
      </c>
      <c r="K188" t="str">
        <f t="shared" ref="K188:K248" si="48">CONCATENATE("0.00292 - (0.0093 * ",C188,")")</f>
        <v>0.00292 - (0.0093 * E2_7_1_11_mRNA)</v>
      </c>
      <c r="L188" t="str">
        <f t="shared" ref="L188:L248" si="49">CONCATENATE("(0.278 * ",C188,")"," - (0.00000278 * ",D188,")")</f>
        <v>(0.278 * E2_7_1_11_mRNA) - (0.00000278 * E2_7_1_11)</v>
      </c>
      <c r="M188" t="str">
        <f t="shared" ref="M188:M248" si="50">CONCATENATE("mRNA",A188,": -&gt; ",C188," | ","0.00292"," - ","(","0.0093"," * ",C188,")")</f>
        <v>mRNA187: -&gt; E2_7_1_11_mRNA | 0.00292 - (0.0093 * E2_7_1_11_mRNA)</v>
      </c>
      <c r="N188" t="str">
        <f t="shared" ref="N188:N248" si="51">CONCATENATE("Peptide",A188,": ",C188," -&gt; ",D188," | ","(","0.278"," * ",C188,")"," - ","(","0.000000278"," * ",D188,")")</f>
        <v>Peptide187: E2_7_1_11_mRNA -&gt; E2_7_1_11 | (0.278 * E2_7_1_11_mRNA) - (0.000000278 * E2_7_1_11)</v>
      </c>
    </row>
    <row r="189" spans="1:14" x14ac:dyDescent="0.25">
      <c r="A189">
        <f t="shared" si="39"/>
        <v>188</v>
      </c>
      <c r="B189" s="5" t="s">
        <v>9435</v>
      </c>
      <c r="C189" t="str">
        <f t="shared" si="40"/>
        <v>E2_7_1_148_mRNA</v>
      </c>
      <c r="D189" t="str">
        <f t="shared" si="41"/>
        <v>E2_7_1_148</v>
      </c>
      <c r="E189" t="str">
        <f t="shared" si="42"/>
        <v>E2_7_1_148_kcat : 13.7</v>
      </c>
      <c r="F189" t="str">
        <f t="shared" si="43"/>
        <v>E2_7_1_148_km : 1</v>
      </c>
      <c r="G189" t="str">
        <f t="shared" si="44"/>
        <v>E2_7_1_148_mRNA : E2_7_1_148_mRNA</v>
      </c>
      <c r="H189" t="str">
        <f t="shared" si="45"/>
        <v>E2_7_1_148 : E2_7_1_148</v>
      </c>
      <c r="I189" t="str">
        <f t="shared" si="46"/>
        <v>E2_7_1_148_mRNA : 0</v>
      </c>
      <c r="J189" t="str">
        <f t="shared" si="47"/>
        <v>E2_7_1_148 : 0</v>
      </c>
      <c r="K189" t="str">
        <f t="shared" si="48"/>
        <v>0.00292 - (0.0093 * E2_7_1_148_mRNA)</v>
      </c>
      <c r="L189" t="str">
        <f t="shared" si="49"/>
        <v>(0.278 * E2_7_1_148_mRNA) - (0.00000278 * E2_7_1_148)</v>
      </c>
      <c r="M189" t="str">
        <f t="shared" si="50"/>
        <v>mRNA188: -&gt; E2_7_1_148_mRNA | 0.00292 - (0.0093 * E2_7_1_148_mRNA)</v>
      </c>
      <c r="N189" t="str">
        <f t="shared" si="51"/>
        <v>Peptide188: E2_7_1_148_mRNA -&gt; E2_7_1_148 | (0.278 * E2_7_1_148_mRNA) - (0.000000278 * E2_7_1_148)</v>
      </c>
    </row>
    <row r="190" spans="1:14" x14ac:dyDescent="0.25">
      <c r="A190">
        <f t="shared" si="39"/>
        <v>189</v>
      </c>
      <c r="B190" s="5" t="s">
        <v>9685</v>
      </c>
      <c r="C190" t="str">
        <f t="shared" si="40"/>
        <v>E2_7_1_15_mRNA</v>
      </c>
      <c r="D190" t="str">
        <f t="shared" si="41"/>
        <v>E2_7_1_15</v>
      </c>
      <c r="E190" t="str">
        <f t="shared" si="42"/>
        <v>E2_7_1_15_kcat : 13.7</v>
      </c>
      <c r="F190" t="str">
        <f t="shared" si="43"/>
        <v>E2_7_1_15_km : 1</v>
      </c>
      <c r="G190" t="str">
        <f t="shared" si="44"/>
        <v>E2_7_1_15_mRNA : E2_7_1_15_mRNA</v>
      </c>
      <c r="H190" t="str">
        <f t="shared" si="45"/>
        <v>E2_7_1_15 : E2_7_1_15</v>
      </c>
      <c r="I190" t="str">
        <f t="shared" si="46"/>
        <v>E2_7_1_15_mRNA : 0</v>
      </c>
      <c r="J190" t="str">
        <f t="shared" si="47"/>
        <v>E2_7_1_15 : 0</v>
      </c>
      <c r="K190" t="str">
        <f t="shared" si="48"/>
        <v>0.00292 - (0.0093 * E2_7_1_15_mRNA)</v>
      </c>
      <c r="L190" t="str">
        <f t="shared" si="49"/>
        <v>(0.278 * E2_7_1_15_mRNA) - (0.00000278 * E2_7_1_15)</v>
      </c>
      <c r="M190" t="str">
        <f t="shared" si="50"/>
        <v>mRNA189: -&gt; E2_7_1_15_mRNA | 0.00292 - (0.0093 * E2_7_1_15_mRNA)</v>
      </c>
      <c r="N190" t="str">
        <f t="shared" si="51"/>
        <v>Peptide189: E2_7_1_15_mRNA -&gt; E2_7_1_15 | (0.278 * E2_7_1_15_mRNA) - (0.000000278 * E2_7_1_15)</v>
      </c>
    </row>
    <row r="191" spans="1:14" x14ac:dyDescent="0.25">
      <c r="A191">
        <f t="shared" si="39"/>
        <v>190</v>
      </c>
      <c r="B191" s="5" t="s">
        <v>9799</v>
      </c>
      <c r="C191" t="str">
        <f t="shared" si="40"/>
        <v>E2_7_1_2_mRNA</v>
      </c>
      <c r="D191" t="str">
        <f t="shared" si="41"/>
        <v>E2_7_1_2</v>
      </c>
      <c r="E191" t="str">
        <f t="shared" si="42"/>
        <v>E2_7_1_2_kcat : 13.7</v>
      </c>
      <c r="F191" t="str">
        <f t="shared" si="43"/>
        <v>E2_7_1_2_km : 1</v>
      </c>
      <c r="G191" t="str">
        <f t="shared" si="44"/>
        <v>E2_7_1_2_mRNA : E2_7_1_2_mRNA</v>
      </c>
      <c r="H191" t="str">
        <f t="shared" si="45"/>
        <v>E2_7_1_2 : E2_7_1_2</v>
      </c>
      <c r="I191" t="str">
        <f t="shared" si="46"/>
        <v>E2_7_1_2_mRNA : 0</v>
      </c>
      <c r="J191" t="str">
        <f t="shared" si="47"/>
        <v>E2_7_1_2 : 0</v>
      </c>
      <c r="K191" t="str">
        <f t="shared" si="48"/>
        <v>0.00292 - (0.0093 * E2_7_1_2_mRNA)</v>
      </c>
      <c r="L191" t="str">
        <f t="shared" si="49"/>
        <v>(0.278 * E2_7_1_2_mRNA) - (0.00000278 * E2_7_1_2)</v>
      </c>
      <c r="M191" t="str">
        <f t="shared" si="50"/>
        <v>mRNA190: -&gt; E2_7_1_2_mRNA | 0.00292 - (0.0093 * E2_7_1_2_mRNA)</v>
      </c>
      <c r="N191" t="str">
        <f t="shared" si="51"/>
        <v>Peptide190: E2_7_1_2_mRNA -&gt; E2_7_1_2 | (0.278 * E2_7_1_2_mRNA) - (0.000000278 * E2_7_1_2)</v>
      </c>
    </row>
    <row r="192" spans="1:14" x14ac:dyDescent="0.25">
      <c r="A192">
        <f t="shared" si="39"/>
        <v>191</v>
      </c>
      <c r="B192" s="5" t="s">
        <v>9621</v>
      </c>
      <c r="C192" t="str">
        <f t="shared" si="40"/>
        <v>E2_7_1_21_mRNA</v>
      </c>
      <c r="D192" t="str">
        <f t="shared" si="41"/>
        <v>E2_7_1_21</v>
      </c>
      <c r="E192" t="str">
        <f t="shared" si="42"/>
        <v>E2_7_1_21_kcat : 13.7</v>
      </c>
      <c r="F192" t="str">
        <f t="shared" si="43"/>
        <v>E2_7_1_21_km : 1</v>
      </c>
      <c r="G192" t="str">
        <f t="shared" si="44"/>
        <v>E2_7_1_21_mRNA : E2_7_1_21_mRNA</v>
      </c>
      <c r="H192" t="str">
        <f t="shared" si="45"/>
        <v>E2_7_1_21 : E2_7_1_21</v>
      </c>
      <c r="I192" t="str">
        <f t="shared" si="46"/>
        <v>E2_7_1_21_mRNA : 0</v>
      </c>
      <c r="J192" t="str">
        <f t="shared" si="47"/>
        <v>E2_7_1_21 : 0</v>
      </c>
      <c r="K192" t="str">
        <f t="shared" si="48"/>
        <v>0.00292 - (0.0093 * E2_7_1_21_mRNA)</v>
      </c>
      <c r="L192" t="str">
        <f t="shared" si="49"/>
        <v>(0.278 * E2_7_1_21_mRNA) - (0.00000278 * E2_7_1_21)</v>
      </c>
      <c r="M192" t="str">
        <f t="shared" si="50"/>
        <v>mRNA191: -&gt; E2_7_1_21_mRNA | 0.00292 - (0.0093 * E2_7_1_21_mRNA)</v>
      </c>
      <c r="N192" t="str">
        <f t="shared" si="51"/>
        <v>Peptide191: E2_7_1_21_mRNA -&gt; E2_7_1_21 | (0.278 * E2_7_1_21_mRNA) - (0.000000278 * E2_7_1_21)</v>
      </c>
    </row>
    <row r="193" spans="1:14" x14ac:dyDescent="0.25">
      <c r="A193">
        <f t="shared" si="39"/>
        <v>192</v>
      </c>
      <c r="B193" s="5" t="s">
        <v>9523</v>
      </c>
      <c r="C193" t="str">
        <f t="shared" si="40"/>
        <v>E2_7_1_24_mRNA</v>
      </c>
      <c r="D193" t="str">
        <f t="shared" si="41"/>
        <v>E2_7_1_24</v>
      </c>
      <c r="E193" t="str">
        <f t="shared" si="42"/>
        <v>E2_7_1_24_kcat : 13.7</v>
      </c>
      <c r="F193" t="str">
        <f t="shared" si="43"/>
        <v>E2_7_1_24_km : 1</v>
      </c>
      <c r="G193" t="str">
        <f t="shared" si="44"/>
        <v>E2_7_1_24_mRNA : E2_7_1_24_mRNA</v>
      </c>
      <c r="H193" t="str">
        <f t="shared" si="45"/>
        <v>E2_7_1_24 : E2_7_1_24</v>
      </c>
      <c r="I193" t="str">
        <f t="shared" si="46"/>
        <v>E2_7_1_24_mRNA : 0</v>
      </c>
      <c r="J193" t="str">
        <f t="shared" si="47"/>
        <v>E2_7_1_24 : 0</v>
      </c>
      <c r="K193" t="str">
        <f t="shared" si="48"/>
        <v>0.00292 - (0.0093 * E2_7_1_24_mRNA)</v>
      </c>
      <c r="L193" t="str">
        <f t="shared" si="49"/>
        <v>(0.278 * E2_7_1_24_mRNA) - (0.00000278 * E2_7_1_24)</v>
      </c>
      <c r="M193" t="str">
        <f t="shared" si="50"/>
        <v>mRNA192: -&gt; E2_7_1_24_mRNA | 0.00292 - (0.0093 * E2_7_1_24_mRNA)</v>
      </c>
      <c r="N193" t="str">
        <f t="shared" si="51"/>
        <v>Peptide192: E2_7_1_24_mRNA -&gt; E2_7_1_24 | (0.278 * E2_7_1_24_mRNA) - (0.000000278 * E2_7_1_24)</v>
      </c>
    </row>
    <row r="194" spans="1:14" x14ac:dyDescent="0.25">
      <c r="A194">
        <f t="shared" si="39"/>
        <v>193</v>
      </c>
      <c r="B194" s="5" t="s">
        <v>9723</v>
      </c>
      <c r="C194" t="str">
        <f t="shared" si="40"/>
        <v>E2_7_1_26_mRNA</v>
      </c>
      <c r="D194" t="str">
        <f t="shared" si="41"/>
        <v>E2_7_1_26</v>
      </c>
      <c r="E194" t="str">
        <f t="shared" si="42"/>
        <v>E2_7_1_26_kcat : 13.7</v>
      </c>
      <c r="F194" t="str">
        <f t="shared" si="43"/>
        <v>E2_7_1_26_km : 1</v>
      </c>
      <c r="G194" t="str">
        <f t="shared" si="44"/>
        <v>E2_7_1_26_mRNA : E2_7_1_26_mRNA</v>
      </c>
      <c r="H194" t="str">
        <f t="shared" si="45"/>
        <v>E2_7_1_26 : E2_7_1_26</v>
      </c>
      <c r="I194" t="str">
        <f t="shared" si="46"/>
        <v>E2_7_1_26_mRNA : 0</v>
      </c>
      <c r="J194" t="str">
        <f t="shared" si="47"/>
        <v>E2_7_1_26 : 0</v>
      </c>
      <c r="K194" t="str">
        <f t="shared" si="48"/>
        <v>0.00292 - (0.0093 * E2_7_1_26_mRNA)</v>
      </c>
      <c r="L194" t="str">
        <f t="shared" si="49"/>
        <v>(0.278 * E2_7_1_26_mRNA) - (0.00000278 * E2_7_1_26)</v>
      </c>
      <c r="M194" t="str">
        <f t="shared" si="50"/>
        <v>mRNA193: -&gt; E2_7_1_26_mRNA | 0.00292 - (0.0093 * E2_7_1_26_mRNA)</v>
      </c>
      <c r="N194" t="str">
        <f t="shared" si="51"/>
        <v>Peptide193: E2_7_1_26_mRNA -&gt; E2_7_1_26 | (0.278 * E2_7_1_26_mRNA) - (0.000000278 * E2_7_1_26)</v>
      </c>
    </row>
    <row r="195" spans="1:14" x14ac:dyDescent="0.25">
      <c r="A195">
        <f t="shared" si="39"/>
        <v>194</v>
      </c>
      <c r="B195" s="5" t="s">
        <v>9731</v>
      </c>
      <c r="C195" t="str">
        <f t="shared" si="40"/>
        <v>E2_7_1_30_mRNA</v>
      </c>
      <c r="D195" t="str">
        <f t="shared" si="41"/>
        <v>E2_7_1_30</v>
      </c>
      <c r="E195" t="str">
        <f t="shared" si="42"/>
        <v>E2_7_1_30_kcat : 13.7</v>
      </c>
      <c r="F195" t="str">
        <f t="shared" si="43"/>
        <v>E2_7_1_30_km : 1</v>
      </c>
      <c r="G195" t="str">
        <f t="shared" si="44"/>
        <v>E2_7_1_30_mRNA : E2_7_1_30_mRNA</v>
      </c>
      <c r="H195" t="str">
        <f t="shared" si="45"/>
        <v>E2_7_1_30 : E2_7_1_30</v>
      </c>
      <c r="I195" t="str">
        <f t="shared" si="46"/>
        <v>E2_7_1_30_mRNA : 0</v>
      </c>
      <c r="J195" t="str">
        <f t="shared" si="47"/>
        <v>E2_7_1_30 : 0</v>
      </c>
      <c r="K195" t="str">
        <f t="shared" si="48"/>
        <v>0.00292 - (0.0093 * E2_7_1_30_mRNA)</v>
      </c>
      <c r="L195" t="str">
        <f t="shared" si="49"/>
        <v>(0.278 * E2_7_1_30_mRNA) - (0.00000278 * E2_7_1_30)</v>
      </c>
      <c r="M195" t="str">
        <f t="shared" si="50"/>
        <v>mRNA194: -&gt; E2_7_1_30_mRNA | 0.00292 - (0.0093 * E2_7_1_30_mRNA)</v>
      </c>
      <c r="N195" t="str">
        <f t="shared" si="51"/>
        <v>Peptide194: E2_7_1_30_mRNA -&gt; E2_7_1_30 | (0.278 * E2_7_1_30_mRNA) - (0.000000278 * E2_7_1_30)</v>
      </c>
    </row>
    <row r="196" spans="1:14" x14ac:dyDescent="0.25">
      <c r="A196">
        <f t="shared" si="39"/>
        <v>195</v>
      </c>
      <c r="B196" s="5" t="s">
        <v>9493</v>
      </c>
      <c r="C196" t="str">
        <f t="shared" si="40"/>
        <v>E2_7_1_33_mRNA</v>
      </c>
      <c r="D196" t="str">
        <f t="shared" si="41"/>
        <v>E2_7_1_33</v>
      </c>
      <c r="E196" t="str">
        <f t="shared" si="42"/>
        <v>E2_7_1_33_kcat : 13.7</v>
      </c>
      <c r="F196" t="str">
        <f t="shared" si="43"/>
        <v>E2_7_1_33_km : 1</v>
      </c>
      <c r="G196" t="str">
        <f t="shared" si="44"/>
        <v>E2_7_1_33_mRNA : E2_7_1_33_mRNA</v>
      </c>
      <c r="H196" t="str">
        <f t="shared" si="45"/>
        <v>E2_7_1_33 : E2_7_1_33</v>
      </c>
      <c r="I196" t="str">
        <f t="shared" si="46"/>
        <v>E2_7_1_33_mRNA : 0</v>
      </c>
      <c r="J196" t="str">
        <f t="shared" si="47"/>
        <v>E2_7_1_33 : 0</v>
      </c>
      <c r="K196" t="str">
        <f t="shared" si="48"/>
        <v>0.00292 - (0.0093 * E2_7_1_33_mRNA)</v>
      </c>
      <c r="L196" t="str">
        <f t="shared" si="49"/>
        <v>(0.278 * E2_7_1_33_mRNA) - (0.00000278 * E2_7_1_33)</v>
      </c>
      <c r="M196" t="str">
        <f t="shared" si="50"/>
        <v>mRNA195: -&gt; E2_7_1_33_mRNA | 0.00292 - (0.0093 * E2_7_1_33_mRNA)</v>
      </c>
      <c r="N196" t="str">
        <f t="shared" si="51"/>
        <v>Peptide195: E2_7_1_33_mRNA -&gt; E2_7_1_33 | (0.278 * E2_7_1_33_mRNA) - (0.000000278 * E2_7_1_33)</v>
      </c>
    </row>
    <row r="197" spans="1:14" x14ac:dyDescent="0.25">
      <c r="A197">
        <f t="shared" si="39"/>
        <v>196</v>
      </c>
      <c r="B197" s="5" t="s">
        <v>9487</v>
      </c>
      <c r="C197" t="str">
        <f t="shared" si="40"/>
        <v>E2_7_1_39_mRNA</v>
      </c>
      <c r="D197" t="str">
        <f t="shared" si="41"/>
        <v>E2_7_1_39</v>
      </c>
      <c r="E197" t="str">
        <f t="shared" si="42"/>
        <v>E2_7_1_39_kcat : 13.7</v>
      </c>
      <c r="F197" t="str">
        <f t="shared" si="43"/>
        <v>E2_7_1_39_km : 1</v>
      </c>
      <c r="G197" t="str">
        <f t="shared" si="44"/>
        <v>E2_7_1_39_mRNA : E2_7_1_39_mRNA</v>
      </c>
      <c r="H197" t="str">
        <f t="shared" si="45"/>
        <v>E2_7_1_39 : E2_7_1_39</v>
      </c>
      <c r="I197" t="str">
        <f t="shared" si="46"/>
        <v>E2_7_1_39_mRNA : 0</v>
      </c>
      <c r="J197" t="str">
        <f t="shared" si="47"/>
        <v>E2_7_1_39 : 0</v>
      </c>
      <c r="K197" t="str">
        <f t="shared" si="48"/>
        <v>0.00292 - (0.0093 * E2_7_1_39_mRNA)</v>
      </c>
      <c r="L197" t="str">
        <f t="shared" si="49"/>
        <v>(0.278 * E2_7_1_39_mRNA) - (0.00000278 * E2_7_1_39)</v>
      </c>
      <c r="M197" t="str">
        <f t="shared" si="50"/>
        <v>mRNA196: -&gt; E2_7_1_39_mRNA | 0.00292 - (0.0093 * E2_7_1_39_mRNA)</v>
      </c>
      <c r="N197" t="str">
        <f t="shared" si="51"/>
        <v>Peptide196: E2_7_1_39_mRNA -&gt; E2_7_1_39 | (0.278 * E2_7_1_39_mRNA) - (0.000000278 * E2_7_1_39)</v>
      </c>
    </row>
    <row r="198" spans="1:14" x14ac:dyDescent="0.25">
      <c r="A198">
        <f t="shared" si="39"/>
        <v>197</v>
      </c>
      <c r="B198" s="5" t="s">
        <v>9577</v>
      </c>
      <c r="C198" t="str">
        <f t="shared" si="40"/>
        <v>E2_7_1_4_mRNA</v>
      </c>
      <c r="D198" t="str">
        <f t="shared" si="41"/>
        <v>E2_7_1_4</v>
      </c>
      <c r="E198" t="str">
        <f t="shared" si="42"/>
        <v>E2_7_1_4_kcat : 13.7</v>
      </c>
      <c r="F198" t="str">
        <f t="shared" si="43"/>
        <v>E2_7_1_4_km : 1</v>
      </c>
      <c r="G198" t="str">
        <f t="shared" si="44"/>
        <v>E2_7_1_4_mRNA : E2_7_1_4_mRNA</v>
      </c>
      <c r="H198" t="str">
        <f t="shared" si="45"/>
        <v>E2_7_1_4 : E2_7_1_4</v>
      </c>
      <c r="I198" t="str">
        <f t="shared" si="46"/>
        <v>E2_7_1_4_mRNA : 0</v>
      </c>
      <c r="J198" t="str">
        <f t="shared" si="47"/>
        <v>E2_7_1_4 : 0</v>
      </c>
      <c r="K198" t="str">
        <f t="shared" si="48"/>
        <v>0.00292 - (0.0093 * E2_7_1_4_mRNA)</v>
      </c>
      <c r="L198" t="str">
        <f t="shared" si="49"/>
        <v>(0.278 * E2_7_1_4_mRNA) - (0.00000278 * E2_7_1_4)</v>
      </c>
      <c r="M198" t="str">
        <f t="shared" si="50"/>
        <v>mRNA197: -&gt; E2_7_1_4_mRNA | 0.00292 - (0.0093 * E2_7_1_4_mRNA)</v>
      </c>
      <c r="N198" t="str">
        <f t="shared" si="51"/>
        <v>Peptide197: E2_7_1_4_mRNA -&gt; E2_7_1_4 | (0.278 * E2_7_1_4_mRNA) - (0.000000278 * E2_7_1_4)</v>
      </c>
    </row>
    <row r="199" spans="1:14" x14ac:dyDescent="0.25">
      <c r="A199">
        <f t="shared" si="39"/>
        <v>198</v>
      </c>
      <c r="B199" s="5" t="s">
        <v>9388</v>
      </c>
      <c r="C199" t="str">
        <f t="shared" si="40"/>
        <v>E2_7_1_40_mRNA</v>
      </c>
      <c r="D199" t="str">
        <f t="shared" si="41"/>
        <v>E2_7_1_40</v>
      </c>
      <c r="E199" t="str">
        <f t="shared" si="42"/>
        <v>E2_7_1_40_kcat : 13.7</v>
      </c>
      <c r="F199" t="str">
        <f t="shared" si="43"/>
        <v>E2_7_1_40_km : 1</v>
      </c>
      <c r="G199" t="str">
        <f t="shared" si="44"/>
        <v>E2_7_1_40_mRNA : E2_7_1_40_mRNA</v>
      </c>
      <c r="H199" t="str">
        <f t="shared" si="45"/>
        <v>E2_7_1_40 : E2_7_1_40</v>
      </c>
      <c r="I199" t="str">
        <f t="shared" si="46"/>
        <v>E2_7_1_40_mRNA : 0</v>
      </c>
      <c r="J199" t="str">
        <f t="shared" si="47"/>
        <v>E2_7_1_40 : 0</v>
      </c>
      <c r="K199" t="str">
        <f t="shared" si="48"/>
        <v>0.00292 - (0.0093 * E2_7_1_40_mRNA)</v>
      </c>
      <c r="L199" t="str">
        <f t="shared" si="49"/>
        <v>(0.278 * E2_7_1_40_mRNA) - (0.00000278 * E2_7_1_40)</v>
      </c>
      <c r="M199" t="str">
        <f t="shared" si="50"/>
        <v>mRNA198: -&gt; E2_7_1_40_mRNA | 0.00292 - (0.0093 * E2_7_1_40_mRNA)</v>
      </c>
      <c r="N199" t="str">
        <f t="shared" si="51"/>
        <v>Peptide198: E2_7_1_40_mRNA -&gt; E2_7_1_40 | (0.278 * E2_7_1_40_mRNA) - (0.000000278 * E2_7_1_40)</v>
      </c>
    </row>
    <row r="200" spans="1:14" x14ac:dyDescent="0.25">
      <c r="A200">
        <f t="shared" si="39"/>
        <v>199</v>
      </c>
      <c r="B200" s="5" t="s">
        <v>9597</v>
      </c>
      <c r="C200" t="str">
        <f t="shared" si="40"/>
        <v>E2_7_1_6_mRNA</v>
      </c>
      <c r="D200" t="str">
        <f t="shared" si="41"/>
        <v>E2_7_1_6</v>
      </c>
      <c r="E200" t="str">
        <f t="shared" si="42"/>
        <v>E2_7_1_6_kcat : 13.7</v>
      </c>
      <c r="F200" t="str">
        <f t="shared" si="43"/>
        <v>E2_7_1_6_km : 1</v>
      </c>
      <c r="G200" t="str">
        <f t="shared" si="44"/>
        <v>E2_7_1_6_mRNA : E2_7_1_6_mRNA</v>
      </c>
      <c r="H200" t="str">
        <f t="shared" si="45"/>
        <v>E2_7_1_6 : E2_7_1_6</v>
      </c>
      <c r="I200" t="str">
        <f t="shared" si="46"/>
        <v>E2_7_1_6_mRNA : 0</v>
      </c>
      <c r="J200" t="str">
        <f t="shared" si="47"/>
        <v>E2_7_1_6 : 0</v>
      </c>
      <c r="K200" t="str">
        <f t="shared" si="48"/>
        <v>0.00292 - (0.0093 * E2_7_1_6_mRNA)</v>
      </c>
      <c r="L200" t="str">
        <f t="shared" si="49"/>
        <v>(0.278 * E2_7_1_6_mRNA) - (0.00000278 * E2_7_1_6)</v>
      </c>
      <c r="M200" t="str">
        <f t="shared" si="50"/>
        <v>mRNA199: -&gt; E2_7_1_6_mRNA | 0.00292 - (0.0093 * E2_7_1_6_mRNA)</v>
      </c>
      <c r="N200" t="str">
        <f t="shared" si="51"/>
        <v>Peptide199: E2_7_1_6_mRNA -&gt; E2_7_1_6 | (0.278 * E2_7_1_6_mRNA) - (0.000000278 * E2_7_1_6)</v>
      </c>
    </row>
    <row r="201" spans="1:14" x14ac:dyDescent="0.25">
      <c r="A201">
        <f t="shared" si="39"/>
        <v>200</v>
      </c>
      <c r="B201" s="5" t="s">
        <v>9490</v>
      </c>
      <c r="C201" t="str">
        <f t="shared" si="40"/>
        <v>E2_7_1_71_mRNA</v>
      </c>
      <c r="D201" t="str">
        <f t="shared" si="41"/>
        <v>E2_7_1_71</v>
      </c>
      <c r="E201" t="str">
        <f t="shared" si="42"/>
        <v>E2_7_1_71_kcat : 13.7</v>
      </c>
      <c r="F201" t="str">
        <f t="shared" si="43"/>
        <v>E2_7_1_71_km : 1</v>
      </c>
      <c r="G201" t="str">
        <f t="shared" si="44"/>
        <v>E2_7_1_71_mRNA : E2_7_1_71_mRNA</v>
      </c>
      <c r="H201" t="str">
        <f t="shared" si="45"/>
        <v>E2_7_1_71 : E2_7_1_71</v>
      </c>
      <c r="I201" t="str">
        <f t="shared" si="46"/>
        <v>E2_7_1_71_mRNA : 0</v>
      </c>
      <c r="J201" t="str">
        <f t="shared" si="47"/>
        <v>E2_7_1_71 : 0</v>
      </c>
      <c r="K201" t="str">
        <f t="shared" si="48"/>
        <v>0.00292 - (0.0093 * E2_7_1_71_mRNA)</v>
      </c>
      <c r="L201" t="str">
        <f t="shared" si="49"/>
        <v>(0.278 * E2_7_1_71_mRNA) - (0.00000278 * E2_7_1_71)</v>
      </c>
      <c r="M201" t="str">
        <f t="shared" si="50"/>
        <v>mRNA200: -&gt; E2_7_1_71_mRNA | 0.00292 - (0.0093 * E2_7_1_71_mRNA)</v>
      </c>
      <c r="N201" t="str">
        <f t="shared" si="51"/>
        <v>Peptide200: E2_7_1_71_mRNA -&gt; E2_7_1_71 | (0.278 * E2_7_1_71_mRNA) - (0.000000278 * E2_7_1_71)</v>
      </c>
    </row>
    <row r="202" spans="1:14" x14ac:dyDescent="0.25">
      <c r="A202">
        <f t="shared" si="39"/>
        <v>201</v>
      </c>
      <c r="B202" s="5" t="s">
        <v>9678</v>
      </c>
      <c r="C202" t="str">
        <f t="shared" si="40"/>
        <v>E2_7_1_76_mRNA</v>
      </c>
      <c r="D202" t="str">
        <f t="shared" si="41"/>
        <v>E2_7_1_76</v>
      </c>
      <c r="E202" t="str">
        <f t="shared" si="42"/>
        <v>E2_7_1_76_kcat : 13.7</v>
      </c>
      <c r="F202" t="str">
        <f t="shared" si="43"/>
        <v>E2_7_1_76_km : 1</v>
      </c>
      <c r="G202" t="str">
        <f t="shared" si="44"/>
        <v>E2_7_1_76_mRNA : E2_7_1_76_mRNA</v>
      </c>
      <c r="H202" t="str">
        <f t="shared" si="45"/>
        <v>E2_7_1_76 : E2_7_1_76</v>
      </c>
      <c r="I202" t="str">
        <f t="shared" si="46"/>
        <v>E2_7_1_76_mRNA : 0</v>
      </c>
      <c r="J202" t="str">
        <f t="shared" si="47"/>
        <v>E2_7_1_76 : 0</v>
      </c>
      <c r="K202" t="str">
        <f t="shared" si="48"/>
        <v>0.00292 - (0.0093 * E2_7_1_76_mRNA)</v>
      </c>
      <c r="L202" t="str">
        <f t="shared" si="49"/>
        <v>(0.278 * E2_7_1_76_mRNA) - (0.00000278 * E2_7_1_76)</v>
      </c>
      <c r="M202" t="str">
        <f t="shared" si="50"/>
        <v>mRNA201: -&gt; E2_7_1_76_mRNA | 0.00292 - (0.0093 * E2_7_1_76_mRNA)</v>
      </c>
      <c r="N202" t="str">
        <f t="shared" si="51"/>
        <v>Peptide201: E2_7_1_76_mRNA -&gt; E2_7_1_76 | (0.278 * E2_7_1_76_mRNA) - (0.000000278 * E2_7_1_76)</v>
      </c>
    </row>
    <row r="203" spans="1:14" x14ac:dyDescent="0.25">
      <c r="A203">
        <f t="shared" si="39"/>
        <v>202</v>
      </c>
      <c r="B203" s="5" t="s">
        <v>9692</v>
      </c>
      <c r="C203" t="str">
        <f t="shared" si="40"/>
        <v>E2_7_11_1_mRNA</v>
      </c>
      <c r="D203" t="str">
        <f t="shared" si="41"/>
        <v>E2_7_11_1</v>
      </c>
      <c r="E203" t="str">
        <f t="shared" si="42"/>
        <v>E2_7_11_1_kcat : 13.7</v>
      </c>
      <c r="F203" t="str">
        <f t="shared" si="43"/>
        <v>E2_7_11_1_km : 1</v>
      </c>
      <c r="G203" t="str">
        <f t="shared" si="44"/>
        <v>E2_7_11_1_mRNA : E2_7_11_1_mRNA</v>
      </c>
      <c r="H203" t="str">
        <f t="shared" si="45"/>
        <v>E2_7_11_1 : E2_7_11_1</v>
      </c>
      <c r="I203" t="str">
        <f t="shared" si="46"/>
        <v>E2_7_11_1_mRNA : 0</v>
      </c>
      <c r="J203" t="str">
        <f t="shared" si="47"/>
        <v>E2_7_11_1 : 0</v>
      </c>
      <c r="K203" t="str">
        <f t="shared" si="48"/>
        <v>0.00292 - (0.0093 * E2_7_11_1_mRNA)</v>
      </c>
      <c r="L203" t="str">
        <f t="shared" si="49"/>
        <v>(0.278 * E2_7_11_1_mRNA) - (0.00000278 * E2_7_11_1)</v>
      </c>
      <c r="M203" t="str">
        <f t="shared" si="50"/>
        <v>mRNA202: -&gt; E2_7_11_1_mRNA | 0.00292 - (0.0093 * E2_7_11_1_mRNA)</v>
      </c>
      <c r="N203" t="str">
        <f t="shared" si="51"/>
        <v>Peptide202: E2_7_11_1_mRNA -&gt; E2_7_11_1 | (0.278 * E2_7_11_1_mRNA) - (0.000000278 * E2_7_11_1)</v>
      </c>
    </row>
    <row r="204" spans="1:14" x14ac:dyDescent="0.25">
      <c r="A204">
        <f t="shared" si="39"/>
        <v>203</v>
      </c>
      <c r="B204" s="5" t="s">
        <v>9811</v>
      </c>
      <c r="C204" t="str">
        <f t="shared" si="40"/>
        <v>E2_7_2_11_mRNA</v>
      </c>
      <c r="D204" t="str">
        <f t="shared" si="41"/>
        <v>E2_7_2_11</v>
      </c>
      <c r="E204" t="str">
        <f t="shared" si="42"/>
        <v>E2_7_2_11_kcat : 13.7</v>
      </c>
      <c r="F204" t="str">
        <f t="shared" si="43"/>
        <v>E2_7_2_11_km : 1</v>
      </c>
      <c r="G204" t="str">
        <f t="shared" si="44"/>
        <v>E2_7_2_11_mRNA : E2_7_2_11_mRNA</v>
      </c>
      <c r="H204" t="str">
        <f t="shared" si="45"/>
        <v>E2_7_2_11 : E2_7_2_11</v>
      </c>
      <c r="I204" t="str">
        <f t="shared" si="46"/>
        <v>E2_7_2_11_mRNA : 0</v>
      </c>
      <c r="J204" t="str">
        <f t="shared" si="47"/>
        <v>E2_7_2_11 : 0</v>
      </c>
      <c r="K204" t="str">
        <f t="shared" si="48"/>
        <v>0.00292 - (0.0093 * E2_7_2_11_mRNA)</v>
      </c>
      <c r="L204" t="str">
        <f t="shared" si="49"/>
        <v>(0.278 * E2_7_2_11_mRNA) - (0.00000278 * E2_7_2_11)</v>
      </c>
      <c r="M204" t="str">
        <f t="shared" si="50"/>
        <v>mRNA203: -&gt; E2_7_2_11_mRNA | 0.00292 - (0.0093 * E2_7_2_11_mRNA)</v>
      </c>
      <c r="N204" t="str">
        <f t="shared" si="51"/>
        <v>Peptide203: E2_7_2_11_mRNA -&gt; E2_7_2_11 | (0.278 * E2_7_2_11_mRNA) - (0.000000278 * E2_7_2_11)</v>
      </c>
    </row>
    <row r="205" spans="1:14" x14ac:dyDescent="0.25">
      <c r="A205">
        <f t="shared" si="39"/>
        <v>204</v>
      </c>
      <c r="B205" s="5" t="s">
        <v>9610</v>
      </c>
      <c r="C205" t="str">
        <f t="shared" si="40"/>
        <v>E2_7_2_3_mRNA</v>
      </c>
      <c r="D205" t="str">
        <f t="shared" si="41"/>
        <v>E2_7_2_3</v>
      </c>
      <c r="E205" t="str">
        <f t="shared" si="42"/>
        <v>E2_7_2_3_kcat : 13.7</v>
      </c>
      <c r="F205" t="str">
        <f t="shared" si="43"/>
        <v>E2_7_2_3_km : 1</v>
      </c>
      <c r="G205" t="str">
        <f t="shared" si="44"/>
        <v>E2_7_2_3_mRNA : E2_7_2_3_mRNA</v>
      </c>
      <c r="H205" t="str">
        <f t="shared" si="45"/>
        <v>E2_7_2_3 : E2_7_2_3</v>
      </c>
      <c r="I205" t="str">
        <f t="shared" si="46"/>
        <v>E2_7_2_3_mRNA : 0</v>
      </c>
      <c r="J205" t="str">
        <f t="shared" si="47"/>
        <v>E2_7_2_3 : 0</v>
      </c>
      <c r="K205" t="str">
        <f t="shared" si="48"/>
        <v>0.00292 - (0.0093 * E2_7_2_3_mRNA)</v>
      </c>
      <c r="L205" t="str">
        <f t="shared" si="49"/>
        <v>(0.278 * E2_7_2_3_mRNA) - (0.00000278 * E2_7_2_3)</v>
      </c>
      <c r="M205" t="str">
        <f t="shared" si="50"/>
        <v>mRNA204: -&gt; E2_7_2_3_mRNA | 0.00292 - (0.0093 * E2_7_2_3_mRNA)</v>
      </c>
      <c r="N205" t="str">
        <f t="shared" si="51"/>
        <v>Peptide204: E2_7_2_3_mRNA -&gt; E2_7_2_3 | (0.278 * E2_7_2_3_mRNA) - (0.000000278 * E2_7_2_3)</v>
      </c>
    </row>
    <row r="206" spans="1:14" x14ac:dyDescent="0.25">
      <c r="A206">
        <f t="shared" si="39"/>
        <v>205</v>
      </c>
      <c r="B206" s="5" t="s">
        <v>9721</v>
      </c>
      <c r="C206" t="str">
        <f t="shared" si="40"/>
        <v>E2_7_2_4_mRNA</v>
      </c>
      <c r="D206" t="str">
        <f t="shared" si="41"/>
        <v>E2_7_2_4</v>
      </c>
      <c r="E206" t="str">
        <f t="shared" si="42"/>
        <v>E2_7_2_4_kcat : 13.7</v>
      </c>
      <c r="F206" t="str">
        <f t="shared" si="43"/>
        <v>E2_7_2_4_km : 1</v>
      </c>
      <c r="G206" t="str">
        <f t="shared" si="44"/>
        <v>E2_7_2_4_mRNA : E2_7_2_4_mRNA</v>
      </c>
      <c r="H206" t="str">
        <f t="shared" si="45"/>
        <v>E2_7_2_4 : E2_7_2_4</v>
      </c>
      <c r="I206" t="str">
        <f t="shared" si="46"/>
        <v>E2_7_2_4_mRNA : 0</v>
      </c>
      <c r="J206" t="str">
        <f t="shared" si="47"/>
        <v>E2_7_2_4 : 0</v>
      </c>
      <c r="K206" t="str">
        <f t="shared" si="48"/>
        <v>0.00292 - (0.0093 * E2_7_2_4_mRNA)</v>
      </c>
      <c r="L206" t="str">
        <f t="shared" si="49"/>
        <v>(0.278 * E2_7_2_4_mRNA) - (0.00000278 * E2_7_2_4)</v>
      </c>
      <c r="M206" t="str">
        <f t="shared" si="50"/>
        <v>mRNA205: -&gt; E2_7_2_4_mRNA | 0.00292 - (0.0093 * E2_7_2_4_mRNA)</v>
      </c>
      <c r="N206" t="str">
        <f t="shared" si="51"/>
        <v>Peptide205: E2_7_2_4_mRNA -&gt; E2_7_2_4 | (0.278 * E2_7_2_4_mRNA) - (0.000000278 * E2_7_2_4)</v>
      </c>
    </row>
    <row r="207" spans="1:14" x14ac:dyDescent="0.25">
      <c r="A207">
        <f t="shared" si="39"/>
        <v>206</v>
      </c>
      <c r="B207" s="5" t="s">
        <v>9783</v>
      </c>
      <c r="C207" t="str">
        <f t="shared" si="40"/>
        <v>E2_7_2_8_mRNA</v>
      </c>
      <c r="D207" t="str">
        <f t="shared" si="41"/>
        <v>E2_7_2_8</v>
      </c>
      <c r="E207" t="str">
        <f t="shared" si="42"/>
        <v>E2_7_2_8_kcat : 13.7</v>
      </c>
      <c r="F207" t="str">
        <f t="shared" si="43"/>
        <v>E2_7_2_8_km : 1</v>
      </c>
      <c r="G207" t="str">
        <f t="shared" si="44"/>
        <v>E2_7_2_8_mRNA : E2_7_2_8_mRNA</v>
      </c>
      <c r="H207" t="str">
        <f t="shared" si="45"/>
        <v>E2_7_2_8 : E2_7_2_8</v>
      </c>
      <c r="I207" t="str">
        <f t="shared" si="46"/>
        <v>E2_7_2_8_mRNA : 0</v>
      </c>
      <c r="J207" t="str">
        <f t="shared" si="47"/>
        <v>E2_7_2_8 : 0</v>
      </c>
      <c r="K207" t="str">
        <f t="shared" si="48"/>
        <v>0.00292 - (0.0093 * E2_7_2_8_mRNA)</v>
      </c>
      <c r="L207" t="str">
        <f t="shared" si="49"/>
        <v>(0.278 * E2_7_2_8_mRNA) - (0.00000278 * E2_7_2_8)</v>
      </c>
      <c r="M207" t="str">
        <f t="shared" si="50"/>
        <v>mRNA206: -&gt; E2_7_2_8_mRNA | 0.00292 - (0.0093 * E2_7_2_8_mRNA)</v>
      </c>
      <c r="N207" t="str">
        <f t="shared" si="51"/>
        <v>Peptide206: E2_7_2_8_mRNA -&gt; E2_7_2_8 | (0.278 * E2_7_2_8_mRNA) - (0.000000278 * E2_7_2_8)</v>
      </c>
    </row>
    <row r="208" spans="1:14" x14ac:dyDescent="0.25">
      <c r="A208">
        <f t="shared" si="39"/>
        <v>207</v>
      </c>
      <c r="B208" s="5" t="s">
        <v>9688</v>
      </c>
      <c r="C208" t="str">
        <f t="shared" si="40"/>
        <v>E2_7_4_16_mRNA</v>
      </c>
      <c r="D208" t="str">
        <f t="shared" si="41"/>
        <v>E2_7_4_16</v>
      </c>
      <c r="E208" t="str">
        <f t="shared" si="42"/>
        <v>E2_7_4_16_kcat : 13.7</v>
      </c>
      <c r="F208" t="str">
        <f t="shared" si="43"/>
        <v>E2_7_4_16_km : 1</v>
      </c>
      <c r="G208" t="str">
        <f t="shared" si="44"/>
        <v>E2_7_4_16_mRNA : E2_7_4_16_mRNA</v>
      </c>
      <c r="H208" t="str">
        <f t="shared" si="45"/>
        <v>E2_7_4_16 : E2_7_4_16</v>
      </c>
      <c r="I208" t="str">
        <f t="shared" si="46"/>
        <v>E2_7_4_16_mRNA : 0</v>
      </c>
      <c r="J208" t="str">
        <f t="shared" si="47"/>
        <v>E2_7_4_16 : 0</v>
      </c>
      <c r="K208" t="str">
        <f t="shared" si="48"/>
        <v>0.00292 - (0.0093 * E2_7_4_16_mRNA)</v>
      </c>
      <c r="L208" t="str">
        <f t="shared" si="49"/>
        <v>(0.278 * E2_7_4_16_mRNA) - (0.00000278 * E2_7_4_16)</v>
      </c>
      <c r="M208" t="str">
        <f t="shared" si="50"/>
        <v>mRNA207: -&gt; E2_7_4_16_mRNA | 0.00292 - (0.0093 * E2_7_4_16_mRNA)</v>
      </c>
      <c r="N208" t="str">
        <f t="shared" si="51"/>
        <v>Peptide207: E2_7_4_16_mRNA -&gt; E2_7_4_16 | (0.278 * E2_7_4_16_mRNA) - (0.000000278 * E2_7_4_16)</v>
      </c>
    </row>
    <row r="209" spans="1:14" x14ac:dyDescent="0.25">
      <c r="A209">
        <f t="shared" si="39"/>
        <v>208</v>
      </c>
      <c r="B209" s="5" t="s">
        <v>9701</v>
      </c>
      <c r="C209" t="str">
        <f t="shared" si="40"/>
        <v>E2_7_4_22_mRNA</v>
      </c>
      <c r="D209" t="str">
        <f t="shared" si="41"/>
        <v>E2_7_4_22</v>
      </c>
      <c r="E209" t="str">
        <f t="shared" si="42"/>
        <v>E2_7_4_22_kcat : 13.7</v>
      </c>
      <c r="F209" t="str">
        <f t="shared" si="43"/>
        <v>E2_7_4_22_km : 1</v>
      </c>
      <c r="G209" t="str">
        <f t="shared" si="44"/>
        <v>E2_7_4_22_mRNA : E2_7_4_22_mRNA</v>
      </c>
      <c r="H209" t="str">
        <f t="shared" si="45"/>
        <v>E2_7_4_22 : E2_7_4_22</v>
      </c>
      <c r="I209" t="str">
        <f t="shared" si="46"/>
        <v>E2_7_4_22_mRNA : 0</v>
      </c>
      <c r="J209" t="str">
        <f t="shared" si="47"/>
        <v>E2_7_4_22 : 0</v>
      </c>
      <c r="K209" t="str">
        <f t="shared" si="48"/>
        <v>0.00292 - (0.0093 * E2_7_4_22_mRNA)</v>
      </c>
      <c r="L209" t="str">
        <f t="shared" si="49"/>
        <v>(0.278 * E2_7_4_22_mRNA) - (0.00000278 * E2_7_4_22)</v>
      </c>
      <c r="M209" t="str">
        <f t="shared" si="50"/>
        <v>mRNA208: -&gt; E2_7_4_22_mRNA | 0.00292 - (0.0093 * E2_7_4_22_mRNA)</v>
      </c>
      <c r="N209" t="str">
        <f t="shared" si="51"/>
        <v>Peptide208: E2_7_4_22_mRNA -&gt; E2_7_4_22 | (0.278 * E2_7_4_22_mRNA) - (0.000000278 * E2_7_4_22)</v>
      </c>
    </row>
    <row r="210" spans="1:14" x14ac:dyDescent="0.25">
      <c r="A210">
        <f t="shared" si="39"/>
        <v>209</v>
      </c>
      <c r="B210" s="5" t="s">
        <v>9753</v>
      </c>
      <c r="C210" t="str">
        <f t="shared" si="40"/>
        <v>E2_7_4_25_mRNA</v>
      </c>
      <c r="D210" t="str">
        <f t="shared" si="41"/>
        <v>E2_7_4_25</v>
      </c>
      <c r="E210" t="str">
        <f t="shared" si="42"/>
        <v>E2_7_4_25_kcat : 13.7</v>
      </c>
      <c r="F210" t="str">
        <f t="shared" si="43"/>
        <v>E2_7_4_25_km : 1</v>
      </c>
      <c r="G210" t="str">
        <f t="shared" si="44"/>
        <v>E2_7_4_25_mRNA : E2_7_4_25_mRNA</v>
      </c>
      <c r="H210" t="str">
        <f t="shared" si="45"/>
        <v>E2_7_4_25 : E2_7_4_25</v>
      </c>
      <c r="I210" t="str">
        <f t="shared" si="46"/>
        <v>E2_7_4_25_mRNA : 0</v>
      </c>
      <c r="J210" t="str">
        <f t="shared" si="47"/>
        <v>E2_7_4_25 : 0</v>
      </c>
      <c r="K210" t="str">
        <f t="shared" si="48"/>
        <v>0.00292 - (0.0093 * E2_7_4_25_mRNA)</v>
      </c>
      <c r="L210" t="str">
        <f t="shared" si="49"/>
        <v>(0.278 * E2_7_4_25_mRNA) - (0.00000278 * E2_7_4_25)</v>
      </c>
      <c r="M210" t="str">
        <f t="shared" si="50"/>
        <v>mRNA209: -&gt; E2_7_4_25_mRNA | 0.00292 - (0.0093 * E2_7_4_25_mRNA)</v>
      </c>
      <c r="N210" t="str">
        <f t="shared" si="51"/>
        <v>Peptide209: E2_7_4_25_mRNA -&gt; E2_7_4_25 | (0.278 * E2_7_4_25_mRNA) - (0.000000278 * E2_7_4_25)</v>
      </c>
    </row>
    <row r="211" spans="1:14" x14ac:dyDescent="0.25">
      <c r="A211">
        <f t="shared" si="39"/>
        <v>210</v>
      </c>
      <c r="B211" s="5" t="s">
        <v>9459</v>
      </c>
      <c r="C211" t="str">
        <f t="shared" si="40"/>
        <v>E2_7_4_3_mRNA</v>
      </c>
      <c r="D211" t="str">
        <f t="shared" si="41"/>
        <v>E2_7_4_3</v>
      </c>
      <c r="E211" t="str">
        <f t="shared" si="42"/>
        <v>E2_7_4_3_kcat : 13.7</v>
      </c>
      <c r="F211" t="str">
        <f t="shared" si="43"/>
        <v>E2_7_4_3_km : 1</v>
      </c>
      <c r="G211" t="str">
        <f t="shared" si="44"/>
        <v>E2_7_4_3_mRNA : E2_7_4_3_mRNA</v>
      </c>
      <c r="H211" t="str">
        <f t="shared" si="45"/>
        <v>E2_7_4_3 : E2_7_4_3</v>
      </c>
      <c r="I211" t="str">
        <f t="shared" si="46"/>
        <v>E2_7_4_3_mRNA : 0</v>
      </c>
      <c r="J211" t="str">
        <f t="shared" si="47"/>
        <v>E2_7_4_3 : 0</v>
      </c>
      <c r="K211" t="str">
        <f t="shared" si="48"/>
        <v>0.00292 - (0.0093 * E2_7_4_3_mRNA)</v>
      </c>
      <c r="L211" t="str">
        <f t="shared" si="49"/>
        <v>(0.278 * E2_7_4_3_mRNA) - (0.00000278 * E2_7_4_3)</v>
      </c>
      <c r="M211" t="str">
        <f t="shared" si="50"/>
        <v>mRNA210: -&gt; E2_7_4_3_mRNA | 0.00292 - (0.0093 * E2_7_4_3_mRNA)</v>
      </c>
      <c r="N211" t="str">
        <f t="shared" si="51"/>
        <v>Peptide210: E2_7_4_3_mRNA -&gt; E2_7_4_3 | (0.278 * E2_7_4_3_mRNA) - (0.000000278 * E2_7_4_3)</v>
      </c>
    </row>
    <row r="212" spans="1:14" x14ac:dyDescent="0.25">
      <c r="A212">
        <f t="shared" si="39"/>
        <v>211</v>
      </c>
      <c r="B212" s="5" t="s">
        <v>9785</v>
      </c>
      <c r="C212" t="str">
        <f t="shared" si="40"/>
        <v>E2_7_4_6_mRNA</v>
      </c>
      <c r="D212" t="str">
        <f t="shared" si="41"/>
        <v>E2_7_4_6</v>
      </c>
      <c r="E212" t="str">
        <f t="shared" si="42"/>
        <v>E2_7_4_6_kcat : 13.7</v>
      </c>
      <c r="F212" t="str">
        <f t="shared" si="43"/>
        <v>E2_7_4_6_km : 1</v>
      </c>
      <c r="G212" t="str">
        <f t="shared" si="44"/>
        <v>E2_7_4_6_mRNA : E2_7_4_6_mRNA</v>
      </c>
      <c r="H212" t="str">
        <f t="shared" si="45"/>
        <v>E2_7_4_6 : E2_7_4_6</v>
      </c>
      <c r="I212" t="str">
        <f t="shared" si="46"/>
        <v>E2_7_4_6_mRNA : 0</v>
      </c>
      <c r="J212" t="str">
        <f t="shared" si="47"/>
        <v>E2_7_4_6 : 0</v>
      </c>
      <c r="K212" t="str">
        <f t="shared" si="48"/>
        <v>0.00292 - (0.0093 * E2_7_4_6_mRNA)</v>
      </c>
      <c r="L212" t="str">
        <f t="shared" si="49"/>
        <v>(0.278 * E2_7_4_6_mRNA) - (0.00000278 * E2_7_4_6)</v>
      </c>
      <c r="M212" t="str">
        <f t="shared" si="50"/>
        <v>mRNA211: -&gt; E2_7_4_6_mRNA | 0.00292 - (0.0093 * E2_7_4_6_mRNA)</v>
      </c>
      <c r="N212" t="str">
        <f t="shared" si="51"/>
        <v>Peptide211: E2_7_4_6_mRNA -&gt; E2_7_4_6 | (0.278 * E2_7_4_6_mRNA) - (0.000000278 * E2_7_4_6)</v>
      </c>
    </row>
    <row r="213" spans="1:14" x14ac:dyDescent="0.25">
      <c r="A213">
        <f t="shared" si="39"/>
        <v>212</v>
      </c>
      <c r="B213" s="5" t="s">
        <v>9569</v>
      </c>
      <c r="C213" t="str">
        <f t="shared" si="40"/>
        <v>E2_7_4_7_mRNA</v>
      </c>
      <c r="D213" t="str">
        <f t="shared" si="41"/>
        <v>E2_7_4_7</v>
      </c>
      <c r="E213" t="str">
        <f t="shared" si="42"/>
        <v>E2_7_4_7_kcat : 13.7</v>
      </c>
      <c r="F213" t="str">
        <f t="shared" si="43"/>
        <v>E2_7_4_7_km : 1</v>
      </c>
      <c r="G213" t="str">
        <f t="shared" si="44"/>
        <v>E2_7_4_7_mRNA : E2_7_4_7_mRNA</v>
      </c>
      <c r="H213" t="str">
        <f t="shared" si="45"/>
        <v>E2_7_4_7 : E2_7_4_7</v>
      </c>
      <c r="I213" t="str">
        <f t="shared" si="46"/>
        <v>E2_7_4_7_mRNA : 0</v>
      </c>
      <c r="J213" t="str">
        <f t="shared" si="47"/>
        <v>E2_7_4_7 : 0</v>
      </c>
      <c r="K213" t="str">
        <f t="shared" si="48"/>
        <v>0.00292 - (0.0093 * E2_7_4_7_mRNA)</v>
      </c>
      <c r="L213" t="str">
        <f t="shared" si="49"/>
        <v>(0.278 * E2_7_4_7_mRNA) - (0.00000278 * E2_7_4_7)</v>
      </c>
      <c r="M213" t="str">
        <f t="shared" si="50"/>
        <v>mRNA212: -&gt; E2_7_4_7_mRNA | 0.00292 - (0.0093 * E2_7_4_7_mRNA)</v>
      </c>
      <c r="N213" t="str">
        <f t="shared" si="51"/>
        <v>Peptide212: E2_7_4_7_mRNA -&gt; E2_7_4_7 | (0.278 * E2_7_4_7_mRNA) - (0.000000278 * E2_7_4_7)</v>
      </c>
    </row>
    <row r="214" spans="1:14" x14ac:dyDescent="0.25">
      <c r="A214">
        <f t="shared" si="39"/>
        <v>213</v>
      </c>
      <c r="B214" s="5" t="s">
        <v>9465</v>
      </c>
      <c r="C214" t="str">
        <f t="shared" si="40"/>
        <v>E2_7_4_8_mRNA</v>
      </c>
      <c r="D214" t="str">
        <f t="shared" si="41"/>
        <v>E2_7_4_8</v>
      </c>
      <c r="E214" t="str">
        <f t="shared" si="42"/>
        <v>E2_7_4_8_kcat : 13.7</v>
      </c>
      <c r="F214" t="str">
        <f t="shared" si="43"/>
        <v>E2_7_4_8_km : 1</v>
      </c>
      <c r="G214" t="str">
        <f t="shared" si="44"/>
        <v>E2_7_4_8_mRNA : E2_7_4_8_mRNA</v>
      </c>
      <c r="H214" t="str">
        <f t="shared" si="45"/>
        <v>E2_7_4_8 : E2_7_4_8</v>
      </c>
      <c r="I214" t="str">
        <f t="shared" si="46"/>
        <v>E2_7_4_8_mRNA : 0</v>
      </c>
      <c r="J214" t="str">
        <f t="shared" si="47"/>
        <v>E2_7_4_8 : 0</v>
      </c>
      <c r="K214" t="str">
        <f t="shared" si="48"/>
        <v>0.00292 - (0.0093 * E2_7_4_8_mRNA)</v>
      </c>
      <c r="L214" t="str">
        <f t="shared" si="49"/>
        <v>(0.278 * E2_7_4_8_mRNA) - (0.00000278 * E2_7_4_8)</v>
      </c>
      <c r="M214" t="str">
        <f t="shared" si="50"/>
        <v>mRNA213: -&gt; E2_7_4_8_mRNA | 0.00292 - (0.0093 * E2_7_4_8_mRNA)</v>
      </c>
      <c r="N214" t="str">
        <f t="shared" si="51"/>
        <v>Peptide213: E2_7_4_8_mRNA -&gt; E2_7_4_8 | (0.278 * E2_7_4_8_mRNA) - (0.000000278 * E2_7_4_8)</v>
      </c>
    </row>
    <row r="215" spans="1:14" x14ac:dyDescent="0.25">
      <c r="A215">
        <f t="shared" si="39"/>
        <v>214</v>
      </c>
      <c r="B215" s="5" t="s">
        <v>9481</v>
      </c>
      <c r="C215" t="str">
        <f t="shared" si="40"/>
        <v>E2_7_4_9_mRNA</v>
      </c>
      <c r="D215" t="str">
        <f t="shared" si="41"/>
        <v>E2_7_4_9</v>
      </c>
      <c r="E215" t="str">
        <f t="shared" si="42"/>
        <v>E2_7_4_9_kcat : 13.7</v>
      </c>
      <c r="F215" t="str">
        <f t="shared" si="43"/>
        <v>E2_7_4_9_km : 1</v>
      </c>
      <c r="G215" t="str">
        <f t="shared" si="44"/>
        <v>E2_7_4_9_mRNA : E2_7_4_9_mRNA</v>
      </c>
      <c r="H215" t="str">
        <f t="shared" si="45"/>
        <v>E2_7_4_9 : E2_7_4_9</v>
      </c>
      <c r="I215" t="str">
        <f t="shared" si="46"/>
        <v>E2_7_4_9_mRNA : 0</v>
      </c>
      <c r="J215" t="str">
        <f t="shared" si="47"/>
        <v>E2_7_4_9 : 0</v>
      </c>
      <c r="K215" t="str">
        <f t="shared" si="48"/>
        <v>0.00292 - (0.0093 * E2_7_4_9_mRNA)</v>
      </c>
      <c r="L215" t="str">
        <f t="shared" si="49"/>
        <v>(0.278 * E2_7_4_9_mRNA) - (0.00000278 * E2_7_4_9)</v>
      </c>
      <c r="M215" t="str">
        <f t="shared" si="50"/>
        <v>mRNA214: -&gt; E2_7_4_9_mRNA | 0.00292 - (0.0093 * E2_7_4_9_mRNA)</v>
      </c>
      <c r="N215" t="str">
        <f t="shared" si="51"/>
        <v>Peptide214: E2_7_4_9_mRNA -&gt; E2_7_4_9 | (0.278 * E2_7_4_9_mRNA) - (0.000000278 * E2_7_4_9)</v>
      </c>
    </row>
    <row r="216" spans="1:14" x14ac:dyDescent="0.25">
      <c r="A216">
        <f t="shared" si="39"/>
        <v>215</v>
      </c>
      <c r="B216" s="5" t="s">
        <v>9735</v>
      </c>
      <c r="C216" t="str">
        <f t="shared" si="40"/>
        <v>E2_7_6_1_mRNA</v>
      </c>
      <c r="D216" t="str">
        <f t="shared" si="41"/>
        <v>E2_7_6_1</v>
      </c>
      <c r="E216" t="str">
        <f t="shared" si="42"/>
        <v>E2_7_6_1_kcat : 13.7</v>
      </c>
      <c r="F216" t="str">
        <f t="shared" si="43"/>
        <v>E2_7_6_1_km : 1</v>
      </c>
      <c r="G216" t="str">
        <f t="shared" si="44"/>
        <v>E2_7_6_1_mRNA : E2_7_6_1_mRNA</v>
      </c>
      <c r="H216" t="str">
        <f t="shared" si="45"/>
        <v>E2_7_6_1 : E2_7_6_1</v>
      </c>
      <c r="I216" t="str">
        <f t="shared" si="46"/>
        <v>E2_7_6_1_mRNA : 0</v>
      </c>
      <c r="J216" t="str">
        <f t="shared" si="47"/>
        <v>E2_7_6_1 : 0</v>
      </c>
      <c r="K216" t="str">
        <f t="shared" si="48"/>
        <v>0.00292 - (0.0093 * E2_7_6_1_mRNA)</v>
      </c>
      <c r="L216" t="str">
        <f t="shared" si="49"/>
        <v>(0.278 * E2_7_6_1_mRNA) - (0.00000278 * E2_7_6_1)</v>
      </c>
      <c r="M216" t="str">
        <f t="shared" si="50"/>
        <v>mRNA215: -&gt; E2_7_6_1_mRNA | 0.00292 - (0.0093 * E2_7_6_1_mRNA)</v>
      </c>
      <c r="N216" t="str">
        <f t="shared" si="51"/>
        <v>Peptide215: E2_7_6_1_mRNA -&gt; E2_7_6_1 | (0.278 * E2_7_6_1_mRNA) - (0.000000278 * E2_7_6_1)</v>
      </c>
    </row>
    <row r="217" spans="1:14" x14ac:dyDescent="0.25">
      <c r="A217">
        <f t="shared" si="39"/>
        <v>216</v>
      </c>
      <c r="B217" s="5" t="s">
        <v>9485</v>
      </c>
      <c r="C217" t="str">
        <f t="shared" si="40"/>
        <v>E2_7_6_2_mRNA</v>
      </c>
      <c r="D217" t="str">
        <f t="shared" si="41"/>
        <v>E2_7_6_2</v>
      </c>
      <c r="E217" t="str">
        <f t="shared" si="42"/>
        <v>E2_7_6_2_kcat : 13.7</v>
      </c>
      <c r="F217" t="str">
        <f t="shared" si="43"/>
        <v>E2_7_6_2_km : 1</v>
      </c>
      <c r="G217" t="str">
        <f t="shared" si="44"/>
        <v>E2_7_6_2_mRNA : E2_7_6_2_mRNA</v>
      </c>
      <c r="H217" t="str">
        <f t="shared" si="45"/>
        <v>E2_7_6_2 : E2_7_6_2</v>
      </c>
      <c r="I217" t="str">
        <f t="shared" si="46"/>
        <v>E2_7_6_2_mRNA : 0</v>
      </c>
      <c r="J217" t="str">
        <f t="shared" si="47"/>
        <v>E2_7_6_2 : 0</v>
      </c>
      <c r="K217" t="str">
        <f t="shared" si="48"/>
        <v>0.00292 - (0.0093 * E2_7_6_2_mRNA)</v>
      </c>
      <c r="L217" t="str">
        <f t="shared" si="49"/>
        <v>(0.278 * E2_7_6_2_mRNA) - (0.00000278 * E2_7_6_2)</v>
      </c>
      <c r="M217" t="str">
        <f t="shared" si="50"/>
        <v>mRNA216: -&gt; E2_7_6_2_mRNA | 0.00292 - (0.0093 * E2_7_6_2_mRNA)</v>
      </c>
      <c r="N217" t="str">
        <f t="shared" si="51"/>
        <v>Peptide216: E2_7_6_2_mRNA -&gt; E2_7_6_2 | (0.278 * E2_7_6_2_mRNA) - (0.000000278 * E2_7_6_2)</v>
      </c>
    </row>
    <row r="218" spans="1:14" x14ac:dyDescent="0.25">
      <c r="A218">
        <f t="shared" si="39"/>
        <v>217</v>
      </c>
      <c r="B218" s="5" t="s">
        <v>9439</v>
      </c>
      <c r="C218" t="str">
        <f t="shared" si="40"/>
        <v>E2_7_6_3_mRNA</v>
      </c>
      <c r="D218" t="str">
        <f t="shared" si="41"/>
        <v>E2_7_6_3</v>
      </c>
      <c r="E218" t="str">
        <f t="shared" si="42"/>
        <v>E2_7_6_3_kcat : 13.7</v>
      </c>
      <c r="F218" t="str">
        <f t="shared" si="43"/>
        <v>E2_7_6_3_km : 1</v>
      </c>
      <c r="G218" t="str">
        <f t="shared" si="44"/>
        <v>E2_7_6_3_mRNA : E2_7_6_3_mRNA</v>
      </c>
      <c r="H218" t="str">
        <f t="shared" si="45"/>
        <v>E2_7_6_3 : E2_7_6_3</v>
      </c>
      <c r="I218" t="str">
        <f t="shared" si="46"/>
        <v>E2_7_6_3_mRNA : 0</v>
      </c>
      <c r="J218" t="str">
        <f t="shared" si="47"/>
        <v>E2_7_6_3 : 0</v>
      </c>
      <c r="K218" t="str">
        <f t="shared" si="48"/>
        <v>0.00292 - (0.0093 * E2_7_6_3_mRNA)</v>
      </c>
      <c r="L218" t="str">
        <f t="shared" si="49"/>
        <v>(0.278 * E2_7_6_3_mRNA) - (0.00000278 * E2_7_6_3)</v>
      </c>
      <c r="M218" t="str">
        <f t="shared" si="50"/>
        <v>mRNA217: -&gt; E2_7_6_3_mRNA | 0.00292 - (0.0093 * E2_7_6_3_mRNA)</v>
      </c>
      <c r="N218" t="str">
        <f t="shared" si="51"/>
        <v>Peptide217: E2_7_6_3_mRNA -&gt; E2_7_6_3 | (0.278 * E2_7_6_3_mRNA) - (0.000000278 * E2_7_6_3)</v>
      </c>
    </row>
    <row r="219" spans="1:14" x14ac:dyDescent="0.25">
      <c r="A219">
        <f t="shared" si="39"/>
        <v>218</v>
      </c>
      <c r="B219" s="5" t="s">
        <v>9417</v>
      </c>
      <c r="C219" t="str">
        <f t="shared" si="40"/>
        <v>E2_7_6_5_mRNA</v>
      </c>
      <c r="D219" t="str">
        <f t="shared" si="41"/>
        <v>E2_7_6_5</v>
      </c>
      <c r="E219" t="str">
        <f t="shared" si="42"/>
        <v>E2_7_6_5_kcat : 13.7</v>
      </c>
      <c r="F219" t="str">
        <f t="shared" si="43"/>
        <v>E2_7_6_5_km : 1</v>
      </c>
      <c r="G219" t="str">
        <f t="shared" si="44"/>
        <v>E2_7_6_5_mRNA : E2_7_6_5_mRNA</v>
      </c>
      <c r="H219" t="str">
        <f t="shared" si="45"/>
        <v>E2_7_6_5 : E2_7_6_5</v>
      </c>
      <c r="I219" t="str">
        <f t="shared" si="46"/>
        <v>E2_7_6_5_mRNA : 0</v>
      </c>
      <c r="J219" t="str">
        <f t="shared" si="47"/>
        <v>E2_7_6_5 : 0</v>
      </c>
      <c r="K219" t="str">
        <f t="shared" si="48"/>
        <v>0.00292 - (0.0093 * E2_7_6_5_mRNA)</v>
      </c>
      <c r="L219" t="str">
        <f t="shared" si="49"/>
        <v>(0.278 * E2_7_6_5_mRNA) - (0.00000278 * E2_7_6_5)</v>
      </c>
      <c r="M219" t="str">
        <f t="shared" si="50"/>
        <v>mRNA218: -&gt; E2_7_6_5_mRNA | 0.00292 - (0.0093 * E2_7_6_5_mRNA)</v>
      </c>
      <c r="N219" t="str">
        <f t="shared" si="51"/>
        <v>Peptide218: E2_7_6_5_mRNA -&gt; E2_7_6_5 | (0.278 * E2_7_6_5_mRNA) - (0.000000278 * E2_7_6_5)</v>
      </c>
    </row>
    <row r="220" spans="1:14" x14ac:dyDescent="0.25">
      <c r="A220">
        <f t="shared" si="39"/>
        <v>219</v>
      </c>
      <c r="B220" s="5" t="s">
        <v>9732</v>
      </c>
      <c r="C220" t="str">
        <f t="shared" si="40"/>
        <v>E2_7_7_10_mRNA</v>
      </c>
      <c r="D220" t="str">
        <f t="shared" si="41"/>
        <v>E2_7_7_10</v>
      </c>
      <c r="E220" t="str">
        <f t="shared" si="42"/>
        <v>E2_7_7_10_kcat : 13.7</v>
      </c>
      <c r="F220" t="str">
        <f t="shared" si="43"/>
        <v>E2_7_7_10_km : 1</v>
      </c>
      <c r="G220" t="str">
        <f t="shared" si="44"/>
        <v>E2_7_7_10_mRNA : E2_7_7_10_mRNA</v>
      </c>
      <c r="H220" t="str">
        <f t="shared" si="45"/>
        <v>E2_7_7_10 : E2_7_7_10</v>
      </c>
      <c r="I220" t="str">
        <f t="shared" si="46"/>
        <v>E2_7_7_10_mRNA : 0</v>
      </c>
      <c r="J220" t="str">
        <f t="shared" si="47"/>
        <v>E2_7_7_10 : 0</v>
      </c>
      <c r="K220" t="str">
        <f t="shared" si="48"/>
        <v>0.00292 - (0.0093 * E2_7_7_10_mRNA)</v>
      </c>
      <c r="L220" t="str">
        <f t="shared" si="49"/>
        <v>(0.278 * E2_7_7_10_mRNA) - (0.00000278 * E2_7_7_10)</v>
      </c>
      <c r="M220" t="str">
        <f t="shared" si="50"/>
        <v>mRNA219: -&gt; E2_7_7_10_mRNA | 0.00292 - (0.0093 * E2_7_7_10_mRNA)</v>
      </c>
      <c r="N220" t="str">
        <f t="shared" si="51"/>
        <v>Peptide219: E2_7_7_10_mRNA -&gt; E2_7_7_10 | (0.278 * E2_7_7_10_mRNA) - (0.000000278 * E2_7_7_10)</v>
      </c>
    </row>
    <row r="221" spans="1:14" x14ac:dyDescent="0.25">
      <c r="A221">
        <f t="shared" si="39"/>
        <v>220</v>
      </c>
      <c r="B221" s="5" t="s">
        <v>9427</v>
      </c>
      <c r="C221" t="str">
        <f t="shared" si="40"/>
        <v>E2_7_7_18_mRNA</v>
      </c>
      <c r="D221" t="str">
        <f t="shared" si="41"/>
        <v>E2_7_7_18</v>
      </c>
      <c r="E221" t="str">
        <f t="shared" si="42"/>
        <v>E2_7_7_18_kcat : 13.7</v>
      </c>
      <c r="F221" t="str">
        <f t="shared" si="43"/>
        <v>E2_7_7_18_km : 1</v>
      </c>
      <c r="G221" t="str">
        <f t="shared" si="44"/>
        <v>E2_7_7_18_mRNA : E2_7_7_18_mRNA</v>
      </c>
      <c r="H221" t="str">
        <f t="shared" si="45"/>
        <v>E2_7_7_18 : E2_7_7_18</v>
      </c>
      <c r="I221" t="str">
        <f t="shared" si="46"/>
        <v>E2_7_7_18_mRNA : 0</v>
      </c>
      <c r="J221" t="str">
        <f t="shared" si="47"/>
        <v>E2_7_7_18 : 0</v>
      </c>
      <c r="K221" t="str">
        <f t="shared" si="48"/>
        <v>0.00292 - (0.0093 * E2_7_7_18_mRNA)</v>
      </c>
      <c r="L221" t="str">
        <f t="shared" si="49"/>
        <v>(0.278 * E2_7_7_18_mRNA) - (0.00000278 * E2_7_7_18)</v>
      </c>
      <c r="M221" t="str">
        <f t="shared" si="50"/>
        <v>mRNA220: -&gt; E2_7_7_18_mRNA | 0.00292 - (0.0093 * E2_7_7_18_mRNA)</v>
      </c>
      <c r="N221" t="str">
        <f t="shared" si="51"/>
        <v>Peptide220: E2_7_7_18_mRNA -&gt; E2_7_7_18 | (0.278 * E2_7_7_18_mRNA) - (0.000000278 * E2_7_7_18)</v>
      </c>
    </row>
    <row r="222" spans="1:14" x14ac:dyDescent="0.25">
      <c r="A222">
        <f t="shared" si="39"/>
        <v>221</v>
      </c>
      <c r="B222" s="5" t="s">
        <v>9438</v>
      </c>
      <c r="C222" t="str">
        <f t="shared" si="40"/>
        <v>E2_7_7_22_mRNA</v>
      </c>
      <c r="D222" t="str">
        <f t="shared" si="41"/>
        <v>E2_7_7_22</v>
      </c>
      <c r="E222" t="str">
        <f t="shared" si="42"/>
        <v>E2_7_7_22_kcat : 13.7</v>
      </c>
      <c r="F222" t="str">
        <f t="shared" si="43"/>
        <v>E2_7_7_22_km : 1</v>
      </c>
      <c r="G222" t="str">
        <f t="shared" si="44"/>
        <v>E2_7_7_22_mRNA : E2_7_7_22_mRNA</v>
      </c>
      <c r="H222" t="str">
        <f t="shared" si="45"/>
        <v>E2_7_7_22 : E2_7_7_22</v>
      </c>
      <c r="I222" t="str">
        <f t="shared" si="46"/>
        <v>E2_7_7_22_mRNA : 0</v>
      </c>
      <c r="J222" t="str">
        <f t="shared" si="47"/>
        <v>E2_7_7_22 : 0</v>
      </c>
      <c r="K222" t="str">
        <f t="shared" si="48"/>
        <v>0.00292 - (0.0093 * E2_7_7_22_mRNA)</v>
      </c>
      <c r="L222" t="str">
        <f t="shared" si="49"/>
        <v>(0.278 * E2_7_7_22_mRNA) - (0.00000278 * E2_7_7_22)</v>
      </c>
      <c r="M222" t="str">
        <f t="shared" si="50"/>
        <v>mRNA221: -&gt; E2_7_7_22_mRNA | 0.00292 - (0.0093 * E2_7_7_22_mRNA)</v>
      </c>
      <c r="N222" t="str">
        <f t="shared" si="51"/>
        <v>Peptide221: E2_7_7_22_mRNA -&gt; E2_7_7_22 | (0.278 * E2_7_7_22_mRNA) - (0.000000278 * E2_7_7_22)</v>
      </c>
    </row>
    <row r="223" spans="1:14" x14ac:dyDescent="0.25">
      <c r="A223">
        <f t="shared" si="39"/>
        <v>222</v>
      </c>
      <c r="B223" s="5" t="s">
        <v>9772</v>
      </c>
      <c r="C223" t="str">
        <f t="shared" si="40"/>
        <v>E2_7_7_23_mRNA</v>
      </c>
      <c r="D223" t="str">
        <f t="shared" si="41"/>
        <v>E2_7_7_23</v>
      </c>
      <c r="E223" t="str">
        <f t="shared" si="42"/>
        <v>E2_7_7_23_kcat : 13.7</v>
      </c>
      <c r="F223" t="str">
        <f t="shared" si="43"/>
        <v>E2_7_7_23_km : 1</v>
      </c>
      <c r="G223" t="str">
        <f t="shared" si="44"/>
        <v>E2_7_7_23_mRNA : E2_7_7_23_mRNA</v>
      </c>
      <c r="H223" t="str">
        <f t="shared" si="45"/>
        <v>E2_7_7_23 : E2_7_7_23</v>
      </c>
      <c r="I223" t="str">
        <f t="shared" si="46"/>
        <v>E2_7_7_23_mRNA : 0</v>
      </c>
      <c r="J223" t="str">
        <f t="shared" si="47"/>
        <v>E2_7_7_23 : 0</v>
      </c>
      <c r="K223" t="str">
        <f t="shared" si="48"/>
        <v>0.00292 - (0.0093 * E2_7_7_23_mRNA)</v>
      </c>
      <c r="L223" t="str">
        <f t="shared" si="49"/>
        <v>(0.278 * E2_7_7_23_mRNA) - (0.00000278 * E2_7_7_23)</v>
      </c>
      <c r="M223" t="str">
        <f t="shared" si="50"/>
        <v>mRNA222: -&gt; E2_7_7_23_mRNA | 0.00292 - (0.0093 * E2_7_7_23_mRNA)</v>
      </c>
      <c r="N223" t="str">
        <f t="shared" si="51"/>
        <v>Peptide222: E2_7_7_23_mRNA -&gt; E2_7_7_23 | (0.278 * E2_7_7_23_mRNA) - (0.000000278 * E2_7_7_23)</v>
      </c>
    </row>
    <row r="224" spans="1:14" x14ac:dyDescent="0.25">
      <c r="A224">
        <f t="shared" si="39"/>
        <v>223</v>
      </c>
      <c r="B224" s="5" t="s">
        <v>9416</v>
      </c>
      <c r="C224" t="str">
        <f t="shared" si="40"/>
        <v>E2_7_7_24_mRNA</v>
      </c>
      <c r="D224" t="str">
        <f t="shared" si="41"/>
        <v>E2_7_7_24</v>
      </c>
      <c r="E224" t="str">
        <f t="shared" si="42"/>
        <v>E2_7_7_24_kcat : 13.7</v>
      </c>
      <c r="F224" t="str">
        <f t="shared" si="43"/>
        <v>E2_7_7_24_km : 1</v>
      </c>
      <c r="G224" t="str">
        <f t="shared" si="44"/>
        <v>E2_7_7_24_mRNA : E2_7_7_24_mRNA</v>
      </c>
      <c r="H224" t="str">
        <f t="shared" si="45"/>
        <v>E2_7_7_24 : E2_7_7_24</v>
      </c>
      <c r="I224" t="str">
        <f t="shared" si="46"/>
        <v>E2_7_7_24_mRNA : 0</v>
      </c>
      <c r="J224" t="str">
        <f t="shared" si="47"/>
        <v>E2_7_7_24 : 0</v>
      </c>
      <c r="K224" t="str">
        <f t="shared" si="48"/>
        <v>0.00292 - (0.0093 * E2_7_7_24_mRNA)</v>
      </c>
      <c r="L224" t="str">
        <f t="shared" si="49"/>
        <v>(0.278 * E2_7_7_24_mRNA) - (0.00000278 * E2_7_7_24)</v>
      </c>
      <c r="M224" t="str">
        <f t="shared" si="50"/>
        <v>mRNA223: -&gt; E2_7_7_24_mRNA | 0.00292 - (0.0093 * E2_7_7_24_mRNA)</v>
      </c>
      <c r="N224" t="str">
        <f t="shared" si="51"/>
        <v>Peptide223: E2_7_7_24_mRNA -&gt; E2_7_7_24 | (0.278 * E2_7_7_24_mRNA) - (0.000000278 * E2_7_7_24)</v>
      </c>
    </row>
    <row r="225" spans="1:14" x14ac:dyDescent="0.25">
      <c r="A225">
        <f t="shared" si="39"/>
        <v>224</v>
      </c>
      <c r="B225" s="5" t="s">
        <v>9455</v>
      </c>
      <c r="C225" t="str">
        <f t="shared" si="40"/>
        <v>E2_7_7_27_mRNA</v>
      </c>
      <c r="D225" t="str">
        <f t="shared" si="41"/>
        <v>E2_7_7_27</v>
      </c>
      <c r="E225" t="str">
        <f t="shared" si="42"/>
        <v>E2_7_7_27_kcat : 13.7</v>
      </c>
      <c r="F225" t="str">
        <f t="shared" si="43"/>
        <v>E2_7_7_27_km : 1</v>
      </c>
      <c r="G225" t="str">
        <f t="shared" si="44"/>
        <v>E2_7_7_27_mRNA : E2_7_7_27_mRNA</v>
      </c>
      <c r="H225" t="str">
        <f t="shared" si="45"/>
        <v>E2_7_7_27 : E2_7_7_27</v>
      </c>
      <c r="I225" t="str">
        <f t="shared" si="46"/>
        <v>E2_7_7_27_mRNA : 0</v>
      </c>
      <c r="J225" t="str">
        <f t="shared" si="47"/>
        <v>E2_7_7_27 : 0</v>
      </c>
      <c r="K225" t="str">
        <f t="shared" si="48"/>
        <v>0.00292 - (0.0093 * E2_7_7_27_mRNA)</v>
      </c>
      <c r="L225" t="str">
        <f t="shared" si="49"/>
        <v>(0.278 * E2_7_7_27_mRNA) - (0.00000278 * E2_7_7_27)</v>
      </c>
      <c r="M225" t="str">
        <f t="shared" si="50"/>
        <v>mRNA224: -&gt; E2_7_7_27_mRNA | 0.00292 - (0.0093 * E2_7_7_27_mRNA)</v>
      </c>
      <c r="N225" t="str">
        <f t="shared" si="51"/>
        <v>Peptide224: E2_7_7_27_mRNA -&gt; E2_7_7_27 | (0.278 * E2_7_7_27_mRNA) - (0.000000278 * E2_7_7_27)</v>
      </c>
    </row>
    <row r="226" spans="1:14" x14ac:dyDescent="0.25">
      <c r="A226">
        <f t="shared" si="39"/>
        <v>225</v>
      </c>
      <c r="B226" s="5" t="s">
        <v>9604</v>
      </c>
      <c r="C226" t="str">
        <f t="shared" si="40"/>
        <v>E2_7_7_3_mRNA</v>
      </c>
      <c r="D226" t="str">
        <f t="shared" si="41"/>
        <v>E2_7_7_3</v>
      </c>
      <c r="E226" t="str">
        <f t="shared" si="42"/>
        <v>E2_7_7_3_kcat : 13.7</v>
      </c>
      <c r="F226" t="str">
        <f t="shared" si="43"/>
        <v>E2_7_7_3_km : 1</v>
      </c>
      <c r="G226" t="str">
        <f t="shared" si="44"/>
        <v>E2_7_7_3_mRNA : E2_7_7_3_mRNA</v>
      </c>
      <c r="H226" t="str">
        <f t="shared" si="45"/>
        <v>E2_7_7_3 : E2_7_7_3</v>
      </c>
      <c r="I226" t="str">
        <f t="shared" si="46"/>
        <v>E2_7_7_3_mRNA : 0</v>
      </c>
      <c r="J226" t="str">
        <f t="shared" si="47"/>
        <v>E2_7_7_3 : 0</v>
      </c>
      <c r="K226" t="str">
        <f t="shared" si="48"/>
        <v>0.00292 - (0.0093 * E2_7_7_3_mRNA)</v>
      </c>
      <c r="L226" t="str">
        <f t="shared" si="49"/>
        <v>(0.278 * E2_7_7_3_mRNA) - (0.00000278 * E2_7_7_3)</v>
      </c>
      <c r="M226" t="str">
        <f t="shared" si="50"/>
        <v>mRNA225: -&gt; E2_7_7_3_mRNA | 0.00292 - (0.0093 * E2_7_7_3_mRNA)</v>
      </c>
      <c r="N226" t="str">
        <f t="shared" si="51"/>
        <v>Peptide225: E2_7_7_3_mRNA -&gt; E2_7_7_3 | (0.278 * E2_7_7_3_mRNA) - (0.000000278 * E2_7_7_3)</v>
      </c>
    </row>
    <row r="227" spans="1:14" x14ac:dyDescent="0.25">
      <c r="A227">
        <f t="shared" si="39"/>
        <v>226</v>
      </c>
      <c r="B227" s="5" t="s">
        <v>9561</v>
      </c>
      <c r="C227" t="str">
        <f t="shared" si="40"/>
        <v>E2_7_7_4_mRNA</v>
      </c>
      <c r="D227" t="str">
        <f t="shared" si="41"/>
        <v>E2_7_7_4</v>
      </c>
      <c r="E227" t="str">
        <f t="shared" si="42"/>
        <v>E2_7_7_4_kcat : 13.7</v>
      </c>
      <c r="F227" t="str">
        <f t="shared" si="43"/>
        <v>E2_7_7_4_km : 1</v>
      </c>
      <c r="G227" t="str">
        <f t="shared" si="44"/>
        <v>E2_7_7_4_mRNA : E2_7_7_4_mRNA</v>
      </c>
      <c r="H227" t="str">
        <f t="shared" si="45"/>
        <v>E2_7_7_4 : E2_7_7_4</v>
      </c>
      <c r="I227" t="str">
        <f t="shared" si="46"/>
        <v>E2_7_7_4_mRNA : 0</v>
      </c>
      <c r="J227" t="str">
        <f t="shared" si="47"/>
        <v>E2_7_7_4 : 0</v>
      </c>
      <c r="K227" t="str">
        <f t="shared" si="48"/>
        <v>0.00292 - (0.0093 * E2_7_7_4_mRNA)</v>
      </c>
      <c r="L227" t="str">
        <f t="shared" si="49"/>
        <v>(0.278 * E2_7_7_4_mRNA) - (0.00000278 * E2_7_7_4)</v>
      </c>
      <c r="M227" t="str">
        <f t="shared" si="50"/>
        <v>mRNA226: -&gt; E2_7_7_4_mRNA | 0.00292 - (0.0093 * E2_7_7_4_mRNA)</v>
      </c>
      <c r="N227" t="str">
        <f t="shared" si="51"/>
        <v>Peptide226: E2_7_7_4_mRNA -&gt; E2_7_7_4 | (0.278 * E2_7_7_4_mRNA) - (0.000000278 * E2_7_7_4)</v>
      </c>
    </row>
    <row r="228" spans="1:14" x14ac:dyDescent="0.25">
      <c r="A228">
        <f t="shared" si="39"/>
        <v>227</v>
      </c>
      <c r="B228" s="5" t="s">
        <v>9702</v>
      </c>
      <c r="C228" t="str">
        <f t="shared" si="40"/>
        <v>E2_7_7_41_mRNA</v>
      </c>
      <c r="D228" t="str">
        <f t="shared" si="41"/>
        <v>E2_7_7_41</v>
      </c>
      <c r="E228" t="str">
        <f t="shared" si="42"/>
        <v>E2_7_7_41_kcat : 13.7</v>
      </c>
      <c r="F228" t="str">
        <f t="shared" si="43"/>
        <v>E2_7_7_41_km : 1</v>
      </c>
      <c r="G228" t="str">
        <f t="shared" si="44"/>
        <v>E2_7_7_41_mRNA : E2_7_7_41_mRNA</v>
      </c>
      <c r="H228" t="str">
        <f t="shared" si="45"/>
        <v>E2_7_7_41 : E2_7_7_41</v>
      </c>
      <c r="I228" t="str">
        <f t="shared" si="46"/>
        <v>E2_7_7_41_mRNA : 0</v>
      </c>
      <c r="J228" t="str">
        <f t="shared" si="47"/>
        <v>E2_7_7_41 : 0</v>
      </c>
      <c r="K228" t="str">
        <f t="shared" si="48"/>
        <v>0.00292 - (0.0093 * E2_7_7_41_mRNA)</v>
      </c>
      <c r="L228" t="str">
        <f t="shared" si="49"/>
        <v>(0.278 * E2_7_7_41_mRNA) - (0.00000278 * E2_7_7_41)</v>
      </c>
      <c r="M228" t="str">
        <f t="shared" si="50"/>
        <v>mRNA227: -&gt; E2_7_7_41_mRNA | 0.00292 - (0.0093 * E2_7_7_41_mRNA)</v>
      </c>
      <c r="N228" t="str">
        <f t="shared" si="51"/>
        <v>Peptide227: E2_7_7_41_mRNA -&gt; E2_7_7_41 | (0.278 * E2_7_7_41_mRNA) - (0.000000278 * E2_7_7_41)</v>
      </c>
    </row>
    <row r="229" spans="1:14" x14ac:dyDescent="0.25">
      <c r="A229">
        <f t="shared" si="39"/>
        <v>228</v>
      </c>
      <c r="B229" s="5" t="s">
        <v>9622</v>
      </c>
      <c r="C229" t="str">
        <f t="shared" si="40"/>
        <v>E2_7_7_49_mRNA</v>
      </c>
      <c r="D229" t="str">
        <f t="shared" si="41"/>
        <v>E2_7_7_49</v>
      </c>
      <c r="E229" t="str">
        <f t="shared" si="42"/>
        <v>E2_7_7_49_kcat : 13.7</v>
      </c>
      <c r="F229" t="str">
        <f t="shared" si="43"/>
        <v>E2_7_7_49_km : 1</v>
      </c>
      <c r="G229" t="str">
        <f t="shared" si="44"/>
        <v>E2_7_7_49_mRNA : E2_7_7_49_mRNA</v>
      </c>
      <c r="H229" t="str">
        <f t="shared" si="45"/>
        <v>E2_7_7_49 : E2_7_7_49</v>
      </c>
      <c r="I229" t="str">
        <f t="shared" si="46"/>
        <v>E2_7_7_49_mRNA : 0</v>
      </c>
      <c r="J229" t="str">
        <f t="shared" si="47"/>
        <v>E2_7_7_49 : 0</v>
      </c>
      <c r="K229" t="str">
        <f t="shared" si="48"/>
        <v>0.00292 - (0.0093 * E2_7_7_49_mRNA)</v>
      </c>
      <c r="L229" t="str">
        <f t="shared" si="49"/>
        <v>(0.278 * E2_7_7_49_mRNA) - (0.00000278 * E2_7_7_49)</v>
      </c>
      <c r="M229" t="str">
        <f t="shared" si="50"/>
        <v>mRNA228: -&gt; E2_7_7_49_mRNA | 0.00292 - (0.0093 * E2_7_7_49_mRNA)</v>
      </c>
      <c r="N229" t="str">
        <f t="shared" si="51"/>
        <v>Peptide228: E2_7_7_49_mRNA -&gt; E2_7_7_49 | (0.278 * E2_7_7_49_mRNA) - (0.000000278 * E2_7_7_49)</v>
      </c>
    </row>
    <row r="230" spans="1:14" x14ac:dyDescent="0.25">
      <c r="A230">
        <f t="shared" si="39"/>
        <v>229</v>
      </c>
      <c r="B230" s="5" t="s">
        <v>9450</v>
      </c>
      <c r="C230" t="str">
        <f t="shared" si="40"/>
        <v>E2_7_7_6_mRNA</v>
      </c>
      <c r="D230" t="str">
        <f t="shared" si="41"/>
        <v>E2_7_7_6</v>
      </c>
      <c r="E230" t="str">
        <f t="shared" si="42"/>
        <v>E2_7_7_6_kcat : 13.7</v>
      </c>
      <c r="F230" t="str">
        <f t="shared" si="43"/>
        <v>E2_7_7_6_km : 1</v>
      </c>
      <c r="G230" t="str">
        <f t="shared" si="44"/>
        <v>E2_7_7_6_mRNA : E2_7_7_6_mRNA</v>
      </c>
      <c r="H230" t="str">
        <f t="shared" si="45"/>
        <v>E2_7_7_6 : E2_7_7_6</v>
      </c>
      <c r="I230" t="str">
        <f t="shared" si="46"/>
        <v>E2_7_7_6_mRNA : 0</v>
      </c>
      <c r="J230" t="str">
        <f t="shared" si="47"/>
        <v>E2_7_7_6 : 0</v>
      </c>
      <c r="K230" t="str">
        <f t="shared" si="48"/>
        <v>0.00292 - (0.0093 * E2_7_7_6_mRNA)</v>
      </c>
      <c r="L230" t="str">
        <f t="shared" si="49"/>
        <v>(0.278 * E2_7_7_6_mRNA) - (0.00000278 * E2_7_7_6)</v>
      </c>
      <c r="M230" t="str">
        <f t="shared" si="50"/>
        <v>mRNA229: -&gt; E2_7_7_6_mRNA | 0.00292 - (0.0093 * E2_7_7_6_mRNA)</v>
      </c>
      <c r="N230" t="str">
        <f t="shared" si="51"/>
        <v>Peptide229: E2_7_7_6_mRNA -&gt; E2_7_7_6 | (0.278 * E2_7_7_6_mRNA) - (0.000000278 * E2_7_7_6)</v>
      </c>
    </row>
    <row r="231" spans="1:14" x14ac:dyDescent="0.25">
      <c r="A231">
        <f t="shared" si="39"/>
        <v>230</v>
      </c>
      <c r="B231" s="5" t="s">
        <v>9434</v>
      </c>
      <c r="C231" t="str">
        <f t="shared" si="40"/>
        <v>E2_7_7_60_mRNA</v>
      </c>
      <c r="D231" t="str">
        <f t="shared" si="41"/>
        <v>E2_7_7_60</v>
      </c>
      <c r="E231" t="str">
        <f t="shared" si="42"/>
        <v>E2_7_7_60_kcat : 13.7</v>
      </c>
      <c r="F231" t="str">
        <f t="shared" si="43"/>
        <v>E2_7_7_60_km : 1</v>
      </c>
      <c r="G231" t="str">
        <f t="shared" si="44"/>
        <v>E2_7_7_60_mRNA : E2_7_7_60_mRNA</v>
      </c>
      <c r="H231" t="str">
        <f t="shared" si="45"/>
        <v>E2_7_7_60 : E2_7_7_60</v>
      </c>
      <c r="I231" t="str">
        <f t="shared" si="46"/>
        <v>E2_7_7_60_mRNA : 0</v>
      </c>
      <c r="J231" t="str">
        <f t="shared" si="47"/>
        <v>E2_7_7_60 : 0</v>
      </c>
      <c r="K231" t="str">
        <f t="shared" si="48"/>
        <v>0.00292 - (0.0093 * E2_7_7_60_mRNA)</v>
      </c>
      <c r="L231" t="str">
        <f t="shared" si="49"/>
        <v>(0.278 * E2_7_7_60_mRNA) - (0.00000278 * E2_7_7_60)</v>
      </c>
      <c r="M231" t="str">
        <f t="shared" si="50"/>
        <v>mRNA230: -&gt; E2_7_7_60_mRNA | 0.00292 - (0.0093 * E2_7_7_60_mRNA)</v>
      </c>
      <c r="N231" t="str">
        <f t="shared" si="51"/>
        <v>Peptide230: E2_7_7_60_mRNA -&gt; E2_7_7_60 | (0.278 * E2_7_7_60_mRNA) - (0.000000278 * E2_7_7_60)</v>
      </c>
    </row>
    <row r="232" spans="1:14" x14ac:dyDescent="0.25">
      <c r="A232">
        <f t="shared" si="39"/>
        <v>231</v>
      </c>
      <c r="B232" s="5" t="s">
        <v>9553</v>
      </c>
      <c r="C232" t="str">
        <f t="shared" si="40"/>
        <v>E2_7_7_62_mRNA</v>
      </c>
      <c r="D232" t="str">
        <f t="shared" si="41"/>
        <v>E2_7_7_62</v>
      </c>
      <c r="E232" t="str">
        <f t="shared" si="42"/>
        <v>E2_7_7_62_kcat : 13.7</v>
      </c>
      <c r="F232" t="str">
        <f t="shared" si="43"/>
        <v>E2_7_7_62_km : 1</v>
      </c>
      <c r="G232" t="str">
        <f t="shared" si="44"/>
        <v>E2_7_7_62_mRNA : E2_7_7_62_mRNA</v>
      </c>
      <c r="H232" t="str">
        <f t="shared" si="45"/>
        <v>E2_7_7_62 : E2_7_7_62</v>
      </c>
      <c r="I232" t="str">
        <f t="shared" si="46"/>
        <v>E2_7_7_62_mRNA : 0</v>
      </c>
      <c r="J232" t="str">
        <f t="shared" si="47"/>
        <v>E2_7_7_62 : 0</v>
      </c>
      <c r="K232" t="str">
        <f t="shared" si="48"/>
        <v>0.00292 - (0.0093 * E2_7_7_62_mRNA)</v>
      </c>
      <c r="L232" t="str">
        <f t="shared" si="49"/>
        <v>(0.278 * E2_7_7_62_mRNA) - (0.00000278 * E2_7_7_62)</v>
      </c>
      <c r="M232" t="str">
        <f t="shared" si="50"/>
        <v>mRNA231: -&gt; E2_7_7_62_mRNA | 0.00292 - (0.0093 * E2_7_7_62_mRNA)</v>
      </c>
      <c r="N232" t="str">
        <f t="shared" si="51"/>
        <v>Peptide231: E2_7_7_62_mRNA -&gt; E2_7_7_62 | (0.278 * E2_7_7_62_mRNA) - (0.000000278 * E2_7_7_62)</v>
      </c>
    </row>
    <row r="233" spans="1:14" x14ac:dyDescent="0.25">
      <c r="A233">
        <f t="shared" si="39"/>
        <v>232</v>
      </c>
      <c r="B233" s="5" t="s">
        <v>9386</v>
      </c>
      <c r="C233" t="str">
        <f t="shared" si="40"/>
        <v>E2_7_7_7_mRNA</v>
      </c>
      <c r="D233" t="str">
        <f t="shared" si="41"/>
        <v>E2_7_7_7</v>
      </c>
      <c r="E233" t="str">
        <f t="shared" si="42"/>
        <v>E2_7_7_7_kcat : 13.7</v>
      </c>
      <c r="F233" t="str">
        <f t="shared" si="43"/>
        <v>E2_7_7_7_km : 1</v>
      </c>
      <c r="G233" t="str">
        <f t="shared" si="44"/>
        <v>E2_7_7_7_mRNA : E2_7_7_7_mRNA</v>
      </c>
      <c r="H233" t="str">
        <f t="shared" si="45"/>
        <v>E2_7_7_7 : E2_7_7_7</v>
      </c>
      <c r="I233" t="str">
        <f t="shared" si="46"/>
        <v>E2_7_7_7_mRNA : 0</v>
      </c>
      <c r="J233" t="str">
        <f t="shared" si="47"/>
        <v>E2_7_7_7 : 0</v>
      </c>
      <c r="K233" t="str">
        <f t="shared" si="48"/>
        <v>0.00292 - (0.0093 * E2_7_7_7_mRNA)</v>
      </c>
      <c r="L233" t="str">
        <f t="shared" si="49"/>
        <v>(0.278 * E2_7_7_7_mRNA) - (0.00000278 * E2_7_7_7)</v>
      </c>
      <c r="M233" t="str">
        <f t="shared" si="50"/>
        <v>mRNA232: -&gt; E2_7_7_7_mRNA | 0.00292 - (0.0093 * E2_7_7_7_mRNA)</v>
      </c>
      <c r="N233" t="str">
        <f t="shared" si="51"/>
        <v>Peptide232: E2_7_7_7_mRNA -&gt; E2_7_7_7 | (0.278 * E2_7_7_7_mRNA) - (0.000000278 * E2_7_7_7)</v>
      </c>
    </row>
    <row r="234" spans="1:14" x14ac:dyDescent="0.25">
      <c r="A234">
        <f t="shared" si="39"/>
        <v>233</v>
      </c>
      <c r="B234" s="5" t="s">
        <v>9522</v>
      </c>
      <c r="C234" t="str">
        <f t="shared" si="40"/>
        <v>E2_7_7_72_mRNA</v>
      </c>
      <c r="D234" t="str">
        <f t="shared" si="41"/>
        <v>E2_7_7_72</v>
      </c>
      <c r="E234" t="str">
        <f t="shared" si="42"/>
        <v>E2_7_7_72_kcat : 13.7</v>
      </c>
      <c r="F234" t="str">
        <f t="shared" si="43"/>
        <v>E2_7_7_72_km : 1</v>
      </c>
      <c r="G234" t="str">
        <f t="shared" si="44"/>
        <v>E2_7_7_72_mRNA : E2_7_7_72_mRNA</v>
      </c>
      <c r="H234" t="str">
        <f t="shared" si="45"/>
        <v>E2_7_7_72 : E2_7_7_72</v>
      </c>
      <c r="I234" t="str">
        <f t="shared" si="46"/>
        <v>E2_7_7_72_mRNA : 0</v>
      </c>
      <c r="J234" t="str">
        <f t="shared" si="47"/>
        <v>E2_7_7_72 : 0</v>
      </c>
      <c r="K234" t="str">
        <f t="shared" si="48"/>
        <v>0.00292 - (0.0093 * E2_7_7_72_mRNA)</v>
      </c>
      <c r="L234" t="str">
        <f t="shared" si="49"/>
        <v>(0.278 * E2_7_7_72_mRNA) - (0.00000278 * E2_7_7_72)</v>
      </c>
      <c r="M234" t="str">
        <f t="shared" si="50"/>
        <v>mRNA233: -&gt; E2_7_7_72_mRNA | 0.00292 - (0.0093 * E2_7_7_72_mRNA)</v>
      </c>
      <c r="N234" t="str">
        <f t="shared" si="51"/>
        <v>Peptide233: E2_7_7_72_mRNA -&gt; E2_7_7_72 | (0.278 * E2_7_7_72_mRNA) - (0.000000278 * E2_7_7_72)</v>
      </c>
    </row>
    <row r="235" spans="1:14" x14ac:dyDescent="0.25">
      <c r="A235">
        <f t="shared" si="39"/>
        <v>234</v>
      </c>
      <c r="B235" s="5" t="s">
        <v>9440</v>
      </c>
      <c r="C235" t="str">
        <f t="shared" si="40"/>
        <v>E2_7_7_8_mRNA</v>
      </c>
      <c r="D235" t="str">
        <f t="shared" si="41"/>
        <v>E2_7_7_8</v>
      </c>
      <c r="E235" t="str">
        <f t="shared" si="42"/>
        <v>E2_7_7_8_kcat : 13.7</v>
      </c>
      <c r="F235" t="str">
        <f t="shared" si="43"/>
        <v>E2_7_7_8_km : 1</v>
      </c>
      <c r="G235" t="str">
        <f t="shared" si="44"/>
        <v>E2_7_7_8_mRNA : E2_7_7_8_mRNA</v>
      </c>
      <c r="H235" t="str">
        <f t="shared" si="45"/>
        <v>E2_7_7_8 : E2_7_7_8</v>
      </c>
      <c r="I235" t="str">
        <f t="shared" si="46"/>
        <v>E2_7_7_8_mRNA : 0</v>
      </c>
      <c r="J235" t="str">
        <f t="shared" si="47"/>
        <v>E2_7_7_8 : 0</v>
      </c>
      <c r="K235" t="str">
        <f t="shared" si="48"/>
        <v>0.00292 - (0.0093 * E2_7_7_8_mRNA)</v>
      </c>
      <c r="L235" t="str">
        <f t="shared" si="49"/>
        <v>(0.278 * E2_7_7_8_mRNA) - (0.00000278 * E2_7_7_8)</v>
      </c>
      <c r="M235" t="str">
        <f t="shared" si="50"/>
        <v>mRNA234: -&gt; E2_7_7_8_mRNA | 0.00292 - (0.0093 * E2_7_7_8_mRNA)</v>
      </c>
      <c r="N235" t="str">
        <f t="shared" si="51"/>
        <v>Peptide234: E2_7_7_8_mRNA -&gt; E2_7_7_8 | (0.278 * E2_7_7_8_mRNA) - (0.000000278 * E2_7_7_8)</v>
      </c>
    </row>
    <row r="236" spans="1:14" x14ac:dyDescent="0.25">
      <c r="A236">
        <f t="shared" si="39"/>
        <v>235</v>
      </c>
      <c r="B236" s="5" t="s">
        <v>9625</v>
      </c>
      <c r="C236" t="str">
        <f t="shared" si="40"/>
        <v>E2_7_8_13_mRNA</v>
      </c>
      <c r="D236" t="str">
        <f t="shared" si="41"/>
        <v>E2_7_8_13</v>
      </c>
      <c r="E236" t="str">
        <f t="shared" si="42"/>
        <v>E2_7_8_13_kcat : 13.7</v>
      </c>
      <c r="F236" t="str">
        <f t="shared" si="43"/>
        <v>E2_7_8_13_km : 1</v>
      </c>
      <c r="G236" t="str">
        <f t="shared" si="44"/>
        <v>E2_7_8_13_mRNA : E2_7_8_13_mRNA</v>
      </c>
      <c r="H236" t="str">
        <f t="shared" si="45"/>
        <v>E2_7_8_13 : E2_7_8_13</v>
      </c>
      <c r="I236" t="str">
        <f t="shared" si="46"/>
        <v>E2_7_8_13_mRNA : 0</v>
      </c>
      <c r="J236" t="str">
        <f t="shared" si="47"/>
        <v>E2_7_8_13 : 0</v>
      </c>
      <c r="K236" t="str">
        <f t="shared" si="48"/>
        <v>0.00292 - (0.0093 * E2_7_8_13_mRNA)</v>
      </c>
      <c r="L236" t="str">
        <f t="shared" si="49"/>
        <v>(0.278 * E2_7_8_13_mRNA) - (0.00000278 * E2_7_8_13)</v>
      </c>
      <c r="M236" t="str">
        <f t="shared" si="50"/>
        <v>mRNA235: -&gt; E2_7_8_13_mRNA | 0.00292 - (0.0093 * E2_7_8_13_mRNA)</v>
      </c>
      <c r="N236" t="str">
        <f t="shared" si="51"/>
        <v>Peptide235: E2_7_8_13_mRNA -&gt; E2_7_8_13 | (0.278 * E2_7_8_13_mRNA) - (0.000000278 * E2_7_8_13)</v>
      </c>
    </row>
    <row r="237" spans="1:14" x14ac:dyDescent="0.25">
      <c r="A237">
        <f t="shared" si="39"/>
        <v>236</v>
      </c>
      <c r="B237" s="5" t="s">
        <v>9559</v>
      </c>
      <c r="C237" t="str">
        <f t="shared" si="40"/>
        <v>E2_7_8_26_mRNA</v>
      </c>
      <c r="D237" t="str">
        <f t="shared" si="41"/>
        <v>E2_7_8_26</v>
      </c>
      <c r="E237" t="str">
        <f t="shared" si="42"/>
        <v>E2_7_8_26_kcat : 13.7</v>
      </c>
      <c r="F237" t="str">
        <f t="shared" si="43"/>
        <v>E2_7_8_26_km : 1</v>
      </c>
      <c r="G237" t="str">
        <f t="shared" si="44"/>
        <v>E2_7_8_26_mRNA : E2_7_8_26_mRNA</v>
      </c>
      <c r="H237" t="str">
        <f t="shared" si="45"/>
        <v>E2_7_8_26 : E2_7_8_26</v>
      </c>
      <c r="I237" t="str">
        <f t="shared" si="46"/>
        <v>E2_7_8_26_mRNA : 0</v>
      </c>
      <c r="J237" t="str">
        <f t="shared" si="47"/>
        <v>E2_7_8_26 : 0</v>
      </c>
      <c r="K237" t="str">
        <f t="shared" si="48"/>
        <v>0.00292 - (0.0093 * E2_7_8_26_mRNA)</v>
      </c>
      <c r="L237" t="str">
        <f t="shared" si="49"/>
        <v>(0.278 * E2_7_8_26_mRNA) - (0.00000278 * E2_7_8_26)</v>
      </c>
      <c r="M237" t="str">
        <f t="shared" si="50"/>
        <v>mRNA236: -&gt; E2_7_8_26_mRNA | 0.00292 - (0.0093 * E2_7_8_26_mRNA)</v>
      </c>
      <c r="N237" t="str">
        <f t="shared" si="51"/>
        <v>Peptide236: E2_7_8_26_mRNA -&gt; E2_7_8_26 | (0.278 * E2_7_8_26_mRNA) - (0.000000278 * E2_7_8_26)</v>
      </c>
    </row>
    <row r="238" spans="1:14" x14ac:dyDescent="0.25">
      <c r="A238">
        <f t="shared" si="39"/>
        <v>237</v>
      </c>
      <c r="B238" s="5" t="s">
        <v>9534</v>
      </c>
      <c r="C238" t="str">
        <f t="shared" si="40"/>
        <v>E2_7_8_6_mRNA</v>
      </c>
      <c r="D238" t="str">
        <f t="shared" si="41"/>
        <v>E2_7_8_6</v>
      </c>
      <c r="E238" t="str">
        <f t="shared" si="42"/>
        <v>E2_7_8_6_kcat : 13.7</v>
      </c>
      <c r="F238" t="str">
        <f t="shared" si="43"/>
        <v>E2_7_8_6_km : 1</v>
      </c>
      <c r="G238" t="str">
        <f t="shared" si="44"/>
        <v>E2_7_8_6_mRNA : E2_7_8_6_mRNA</v>
      </c>
      <c r="H238" t="str">
        <f t="shared" si="45"/>
        <v>E2_7_8_6 : E2_7_8_6</v>
      </c>
      <c r="I238" t="str">
        <f t="shared" si="46"/>
        <v>E2_7_8_6_mRNA : 0</v>
      </c>
      <c r="J238" t="str">
        <f t="shared" si="47"/>
        <v>E2_7_8_6 : 0</v>
      </c>
      <c r="K238" t="str">
        <f t="shared" si="48"/>
        <v>0.00292 - (0.0093 * E2_7_8_6_mRNA)</v>
      </c>
      <c r="L238" t="str">
        <f t="shared" si="49"/>
        <v>(0.278 * E2_7_8_6_mRNA) - (0.00000278 * E2_7_8_6)</v>
      </c>
      <c r="M238" t="str">
        <f t="shared" si="50"/>
        <v>mRNA237: -&gt; E2_7_8_6_mRNA | 0.00292 - (0.0093 * E2_7_8_6_mRNA)</v>
      </c>
      <c r="N238" t="str">
        <f t="shared" si="51"/>
        <v>Peptide237: E2_7_8_6_mRNA -&gt; E2_7_8_6 | (0.278 * E2_7_8_6_mRNA) - (0.000000278 * E2_7_8_6)</v>
      </c>
    </row>
    <row r="239" spans="1:14" x14ac:dyDescent="0.25">
      <c r="A239">
        <f t="shared" si="39"/>
        <v>238</v>
      </c>
      <c r="B239" s="5" t="s">
        <v>9488</v>
      </c>
      <c r="C239" t="str">
        <f t="shared" si="40"/>
        <v>E2_7_8_7_mRNA</v>
      </c>
      <c r="D239" t="str">
        <f t="shared" si="41"/>
        <v>E2_7_8_7</v>
      </c>
      <c r="E239" t="str">
        <f t="shared" si="42"/>
        <v>E2_7_8_7_kcat : 13.7</v>
      </c>
      <c r="F239" t="str">
        <f t="shared" si="43"/>
        <v>E2_7_8_7_km : 1</v>
      </c>
      <c r="G239" t="str">
        <f t="shared" si="44"/>
        <v>E2_7_8_7_mRNA : E2_7_8_7_mRNA</v>
      </c>
      <c r="H239" t="str">
        <f t="shared" si="45"/>
        <v>E2_7_8_7 : E2_7_8_7</v>
      </c>
      <c r="I239" t="str">
        <f t="shared" si="46"/>
        <v>E2_7_8_7_mRNA : 0</v>
      </c>
      <c r="J239" t="str">
        <f t="shared" si="47"/>
        <v>E2_7_8_7 : 0</v>
      </c>
      <c r="K239" t="str">
        <f t="shared" si="48"/>
        <v>0.00292 - (0.0093 * E2_7_8_7_mRNA)</v>
      </c>
      <c r="L239" t="str">
        <f t="shared" si="49"/>
        <v>(0.278 * E2_7_8_7_mRNA) - (0.00000278 * E2_7_8_7)</v>
      </c>
      <c r="M239" t="str">
        <f t="shared" si="50"/>
        <v>mRNA238: -&gt; E2_7_8_7_mRNA | 0.00292 - (0.0093 * E2_7_8_7_mRNA)</v>
      </c>
      <c r="N239" t="str">
        <f t="shared" si="51"/>
        <v>Peptide238: E2_7_8_7_mRNA -&gt; E2_7_8_7 | (0.278 * E2_7_8_7_mRNA) - (0.000000278 * E2_7_8_7)</v>
      </c>
    </row>
    <row r="240" spans="1:14" x14ac:dyDescent="0.25">
      <c r="A240">
        <f t="shared" si="39"/>
        <v>239</v>
      </c>
      <c r="B240" s="5" t="s">
        <v>9552</v>
      </c>
      <c r="C240" t="str">
        <f t="shared" si="40"/>
        <v>E2_7_9_1_mRNA</v>
      </c>
      <c r="D240" t="str">
        <f t="shared" si="41"/>
        <v>E2_7_9_1</v>
      </c>
      <c r="E240" t="str">
        <f t="shared" si="42"/>
        <v>E2_7_9_1_kcat : 13.7</v>
      </c>
      <c r="F240" t="str">
        <f t="shared" si="43"/>
        <v>E2_7_9_1_km : 1</v>
      </c>
      <c r="G240" t="str">
        <f t="shared" si="44"/>
        <v>E2_7_9_1_mRNA : E2_7_9_1_mRNA</v>
      </c>
      <c r="H240" t="str">
        <f t="shared" si="45"/>
        <v>E2_7_9_1 : E2_7_9_1</v>
      </c>
      <c r="I240" t="str">
        <f t="shared" si="46"/>
        <v>E2_7_9_1_mRNA : 0</v>
      </c>
      <c r="J240" t="str">
        <f t="shared" si="47"/>
        <v>E2_7_9_1 : 0</v>
      </c>
      <c r="K240" t="str">
        <f t="shared" si="48"/>
        <v>0.00292 - (0.0093 * E2_7_9_1_mRNA)</v>
      </c>
      <c r="L240" t="str">
        <f t="shared" si="49"/>
        <v>(0.278 * E2_7_9_1_mRNA) - (0.00000278 * E2_7_9_1)</v>
      </c>
      <c r="M240" t="str">
        <f t="shared" si="50"/>
        <v>mRNA239: -&gt; E2_7_9_1_mRNA | 0.00292 - (0.0093 * E2_7_9_1_mRNA)</v>
      </c>
      <c r="N240" t="str">
        <f t="shared" si="51"/>
        <v>Peptide239: E2_7_9_1_mRNA -&gt; E2_7_9_1 | (0.278 * E2_7_9_1_mRNA) - (0.000000278 * E2_7_9_1)</v>
      </c>
    </row>
    <row r="241" spans="1:14" x14ac:dyDescent="0.25">
      <c r="A241">
        <f t="shared" si="39"/>
        <v>240</v>
      </c>
      <c r="B241" s="5" t="s">
        <v>9475</v>
      </c>
      <c r="C241" t="str">
        <f t="shared" si="40"/>
        <v>E2_7_9_2_mRNA</v>
      </c>
      <c r="D241" t="str">
        <f t="shared" si="41"/>
        <v>E2_7_9_2</v>
      </c>
      <c r="E241" t="str">
        <f t="shared" si="42"/>
        <v>E2_7_9_2_kcat : 13.7</v>
      </c>
      <c r="F241" t="str">
        <f t="shared" si="43"/>
        <v>E2_7_9_2_km : 1</v>
      </c>
      <c r="G241" t="str">
        <f t="shared" si="44"/>
        <v>E2_7_9_2_mRNA : E2_7_9_2_mRNA</v>
      </c>
      <c r="H241" t="str">
        <f t="shared" si="45"/>
        <v>E2_7_9_2 : E2_7_9_2</v>
      </c>
      <c r="I241" t="str">
        <f t="shared" si="46"/>
        <v>E2_7_9_2_mRNA : 0</v>
      </c>
      <c r="J241" t="str">
        <f t="shared" si="47"/>
        <v>E2_7_9_2 : 0</v>
      </c>
      <c r="K241" t="str">
        <f t="shared" si="48"/>
        <v>0.00292 - (0.0093 * E2_7_9_2_mRNA)</v>
      </c>
      <c r="L241" t="str">
        <f t="shared" si="49"/>
        <v>(0.278 * E2_7_9_2_mRNA) - (0.00000278 * E2_7_9_2)</v>
      </c>
      <c r="M241" t="str">
        <f t="shared" si="50"/>
        <v>mRNA240: -&gt; E2_7_9_2_mRNA | 0.00292 - (0.0093 * E2_7_9_2_mRNA)</v>
      </c>
      <c r="N241" t="str">
        <f t="shared" si="51"/>
        <v>Peptide240: E2_7_9_2_mRNA -&gt; E2_7_9_2 | (0.278 * E2_7_9_2_mRNA) - (0.000000278 * E2_7_9_2)</v>
      </c>
    </row>
    <row r="242" spans="1:14" x14ac:dyDescent="0.25">
      <c r="A242">
        <f t="shared" si="39"/>
        <v>241</v>
      </c>
      <c r="B242" s="5" t="s">
        <v>9612</v>
      </c>
      <c r="C242" t="str">
        <f t="shared" si="40"/>
        <v>E2_8_1_1_mRNA</v>
      </c>
      <c r="D242" t="str">
        <f t="shared" si="41"/>
        <v>E2_8_1_1</v>
      </c>
      <c r="E242" t="str">
        <f t="shared" si="42"/>
        <v>E2_8_1_1_kcat : 13.7</v>
      </c>
      <c r="F242" t="str">
        <f t="shared" si="43"/>
        <v>E2_8_1_1_km : 1</v>
      </c>
      <c r="G242" t="str">
        <f t="shared" si="44"/>
        <v>E2_8_1_1_mRNA : E2_8_1_1_mRNA</v>
      </c>
      <c r="H242" t="str">
        <f t="shared" si="45"/>
        <v>E2_8_1_1 : E2_8_1_1</v>
      </c>
      <c r="I242" t="str">
        <f t="shared" si="46"/>
        <v>E2_8_1_1_mRNA : 0</v>
      </c>
      <c r="J242" t="str">
        <f t="shared" si="47"/>
        <v>E2_8_1_1 : 0</v>
      </c>
      <c r="K242" t="str">
        <f t="shared" si="48"/>
        <v>0.00292 - (0.0093 * E2_8_1_1_mRNA)</v>
      </c>
      <c r="L242" t="str">
        <f t="shared" si="49"/>
        <v>(0.278 * E2_8_1_1_mRNA) - (0.00000278 * E2_8_1_1)</v>
      </c>
      <c r="M242" t="str">
        <f t="shared" si="50"/>
        <v>mRNA241: -&gt; E2_8_1_1_mRNA | 0.00292 - (0.0093 * E2_8_1_1_mRNA)</v>
      </c>
      <c r="N242" t="str">
        <f t="shared" si="51"/>
        <v>Peptide241: E2_8_1_1_mRNA -&gt; E2_8_1_1 | (0.278 * E2_8_1_1_mRNA) - (0.000000278 * E2_8_1_1)</v>
      </c>
    </row>
    <row r="243" spans="1:14" x14ac:dyDescent="0.25">
      <c r="A243">
        <f t="shared" si="39"/>
        <v>242</v>
      </c>
      <c r="B243" s="5" t="s">
        <v>9445</v>
      </c>
      <c r="C243" t="str">
        <f t="shared" si="40"/>
        <v>E2_8_1_7_mRNA</v>
      </c>
      <c r="D243" t="str">
        <f t="shared" si="41"/>
        <v>E2_8_1_7</v>
      </c>
      <c r="E243" t="str">
        <f t="shared" si="42"/>
        <v>E2_8_1_7_kcat : 13.7</v>
      </c>
      <c r="F243" t="str">
        <f t="shared" si="43"/>
        <v>E2_8_1_7_km : 1</v>
      </c>
      <c r="G243" t="str">
        <f t="shared" si="44"/>
        <v>E2_8_1_7_mRNA : E2_8_1_7_mRNA</v>
      </c>
      <c r="H243" t="str">
        <f t="shared" si="45"/>
        <v>E2_8_1_7 : E2_8_1_7</v>
      </c>
      <c r="I243" t="str">
        <f t="shared" si="46"/>
        <v>E2_8_1_7_mRNA : 0</v>
      </c>
      <c r="J243" t="str">
        <f t="shared" si="47"/>
        <v>E2_8_1_7 : 0</v>
      </c>
      <c r="K243" t="str">
        <f t="shared" si="48"/>
        <v>0.00292 - (0.0093 * E2_8_1_7_mRNA)</v>
      </c>
      <c r="L243" t="str">
        <f t="shared" si="49"/>
        <v>(0.278 * E2_8_1_7_mRNA) - (0.00000278 * E2_8_1_7)</v>
      </c>
      <c r="M243" t="str">
        <f t="shared" si="50"/>
        <v>mRNA242: -&gt; E2_8_1_7_mRNA | 0.00292 - (0.0093 * E2_8_1_7_mRNA)</v>
      </c>
      <c r="N243" t="str">
        <f t="shared" si="51"/>
        <v>Peptide242: E2_8_1_7_mRNA -&gt; E2_8_1_7 | (0.278 * E2_8_1_7_mRNA) - (0.000000278 * E2_8_1_7)</v>
      </c>
    </row>
    <row r="244" spans="1:14" x14ac:dyDescent="0.25">
      <c r="A244">
        <f t="shared" si="39"/>
        <v>243</v>
      </c>
      <c r="B244" s="5" t="s">
        <v>9444</v>
      </c>
      <c r="C244" t="str">
        <f t="shared" si="40"/>
        <v>E3_1_1_24_mRNA</v>
      </c>
      <c r="D244" t="str">
        <f t="shared" si="41"/>
        <v>E3_1_1_24</v>
      </c>
      <c r="E244" t="str">
        <f t="shared" si="42"/>
        <v>E3_1_1_24_kcat : 13.7</v>
      </c>
      <c r="F244" t="str">
        <f t="shared" si="43"/>
        <v>E3_1_1_24_km : 1</v>
      </c>
      <c r="G244" t="str">
        <f t="shared" si="44"/>
        <v>E3_1_1_24_mRNA : E3_1_1_24_mRNA</v>
      </c>
      <c r="H244" t="str">
        <f t="shared" si="45"/>
        <v>E3_1_1_24 : E3_1_1_24</v>
      </c>
      <c r="I244" t="str">
        <f t="shared" si="46"/>
        <v>E3_1_1_24_mRNA : 0</v>
      </c>
      <c r="J244" t="str">
        <f t="shared" si="47"/>
        <v>E3_1_1_24 : 0</v>
      </c>
      <c r="K244" t="str">
        <f t="shared" si="48"/>
        <v>0.00292 - (0.0093 * E3_1_1_24_mRNA)</v>
      </c>
      <c r="L244" t="str">
        <f t="shared" si="49"/>
        <v>(0.278 * E3_1_1_24_mRNA) - (0.00000278 * E3_1_1_24)</v>
      </c>
      <c r="M244" t="str">
        <f t="shared" si="50"/>
        <v>mRNA243: -&gt; E3_1_1_24_mRNA | 0.00292 - (0.0093 * E3_1_1_24_mRNA)</v>
      </c>
      <c r="N244" t="str">
        <f t="shared" si="51"/>
        <v>Peptide243: E3_1_1_24_mRNA -&gt; E3_1_1_24 | (0.278 * E3_1_1_24_mRNA) - (0.000000278 * E3_1_1_24)</v>
      </c>
    </row>
    <row r="245" spans="1:14" x14ac:dyDescent="0.25">
      <c r="A245">
        <f t="shared" si="39"/>
        <v>244</v>
      </c>
      <c r="B245" s="5" t="s">
        <v>9734</v>
      </c>
      <c r="C245" t="str">
        <f t="shared" si="40"/>
        <v>E3_1_1_29_mRNA</v>
      </c>
      <c r="D245" t="str">
        <f t="shared" si="41"/>
        <v>E3_1_1_29</v>
      </c>
      <c r="E245" t="str">
        <f t="shared" si="42"/>
        <v>E3_1_1_29_kcat : 13.7</v>
      </c>
      <c r="F245" t="str">
        <f t="shared" si="43"/>
        <v>E3_1_1_29_km : 1</v>
      </c>
      <c r="G245" t="str">
        <f t="shared" si="44"/>
        <v>E3_1_1_29_mRNA : E3_1_1_29_mRNA</v>
      </c>
      <c r="H245" t="str">
        <f t="shared" si="45"/>
        <v>E3_1_1_29 : E3_1_1_29</v>
      </c>
      <c r="I245" t="str">
        <f t="shared" si="46"/>
        <v>E3_1_1_29_mRNA : 0</v>
      </c>
      <c r="J245" t="str">
        <f t="shared" si="47"/>
        <v>E3_1_1_29 : 0</v>
      </c>
      <c r="K245" t="str">
        <f t="shared" si="48"/>
        <v>0.00292 - (0.0093 * E3_1_1_29_mRNA)</v>
      </c>
      <c r="L245" t="str">
        <f t="shared" si="49"/>
        <v>(0.278 * E3_1_1_29_mRNA) - (0.00000278 * E3_1_1_29)</v>
      </c>
      <c r="M245" t="str">
        <f t="shared" si="50"/>
        <v>mRNA244: -&gt; E3_1_1_29_mRNA | 0.00292 - (0.0093 * E3_1_1_29_mRNA)</v>
      </c>
      <c r="N245" t="str">
        <f t="shared" si="51"/>
        <v>Peptide244: E3_1_1_29_mRNA -&gt; E3_1_1_29 | (0.278 * E3_1_1_29_mRNA) - (0.000000278 * E3_1_1_29)</v>
      </c>
    </row>
    <row r="246" spans="1:14" x14ac:dyDescent="0.25">
      <c r="A246">
        <f t="shared" si="39"/>
        <v>245</v>
      </c>
      <c r="B246" s="5" t="s">
        <v>9451</v>
      </c>
      <c r="C246" t="str">
        <f t="shared" si="40"/>
        <v>E3_1_2_20_mRNA</v>
      </c>
      <c r="D246" t="str">
        <f t="shared" si="41"/>
        <v>E3_1_2_20</v>
      </c>
      <c r="E246" t="str">
        <f t="shared" si="42"/>
        <v>E3_1_2_20_kcat : 13.7</v>
      </c>
      <c r="F246" t="str">
        <f t="shared" si="43"/>
        <v>E3_1_2_20_km : 1</v>
      </c>
      <c r="G246" t="str">
        <f t="shared" si="44"/>
        <v>E3_1_2_20_mRNA : E3_1_2_20_mRNA</v>
      </c>
      <c r="H246" t="str">
        <f t="shared" si="45"/>
        <v>E3_1_2_20 : E3_1_2_20</v>
      </c>
      <c r="I246" t="str">
        <f t="shared" si="46"/>
        <v>E3_1_2_20_mRNA : 0</v>
      </c>
      <c r="J246" t="str">
        <f t="shared" si="47"/>
        <v>E3_1_2_20 : 0</v>
      </c>
      <c r="K246" t="str">
        <f t="shared" si="48"/>
        <v>0.00292 - (0.0093 * E3_1_2_20_mRNA)</v>
      </c>
      <c r="L246" t="str">
        <f t="shared" si="49"/>
        <v>(0.278 * E3_1_2_20_mRNA) - (0.00000278 * E3_1_2_20)</v>
      </c>
      <c r="M246" t="str">
        <f t="shared" si="50"/>
        <v>mRNA245: -&gt; E3_1_2_20_mRNA | 0.00292 - (0.0093 * E3_1_2_20_mRNA)</v>
      </c>
      <c r="N246" t="str">
        <f t="shared" si="51"/>
        <v>Peptide245: E3_1_2_20_mRNA -&gt; E3_1_2_20 | (0.278 * E3_1_2_20_mRNA) - (0.000000278 * E3_1_2_20)</v>
      </c>
    </row>
    <row r="247" spans="1:14" x14ac:dyDescent="0.25">
      <c r="A247">
        <f t="shared" si="39"/>
        <v>246</v>
      </c>
      <c r="B247" s="5" t="s">
        <v>9774</v>
      </c>
      <c r="C247" t="str">
        <f t="shared" si="40"/>
        <v>E3_1_2_6_mRNA</v>
      </c>
      <c r="D247" t="str">
        <f t="shared" si="41"/>
        <v>E3_1_2_6</v>
      </c>
      <c r="E247" t="str">
        <f t="shared" si="42"/>
        <v>E3_1_2_6_kcat : 13.7</v>
      </c>
      <c r="F247" t="str">
        <f t="shared" si="43"/>
        <v>E3_1_2_6_km : 1</v>
      </c>
      <c r="G247" t="str">
        <f t="shared" si="44"/>
        <v>E3_1_2_6_mRNA : E3_1_2_6_mRNA</v>
      </c>
      <c r="H247" t="str">
        <f t="shared" si="45"/>
        <v>E3_1_2_6 : E3_1_2_6</v>
      </c>
      <c r="I247" t="str">
        <f t="shared" si="46"/>
        <v>E3_1_2_6_mRNA : 0</v>
      </c>
      <c r="J247" t="str">
        <f t="shared" si="47"/>
        <v>E3_1_2_6 : 0</v>
      </c>
      <c r="K247" t="str">
        <f t="shared" si="48"/>
        <v>0.00292 - (0.0093 * E3_1_2_6_mRNA)</v>
      </c>
      <c r="L247" t="str">
        <f t="shared" si="49"/>
        <v>(0.278 * E3_1_2_6_mRNA) - (0.00000278 * E3_1_2_6)</v>
      </c>
      <c r="M247" t="str">
        <f t="shared" si="50"/>
        <v>mRNA246: -&gt; E3_1_2_6_mRNA | 0.00292 - (0.0093 * E3_1_2_6_mRNA)</v>
      </c>
      <c r="N247" t="str">
        <f t="shared" si="51"/>
        <v>Peptide246: E3_1_2_6_mRNA -&gt; E3_1_2_6 | (0.278 * E3_1_2_6_mRNA) - (0.000000278 * E3_1_2_6)</v>
      </c>
    </row>
    <row r="248" spans="1:14" x14ac:dyDescent="0.25">
      <c r="A248">
        <f t="shared" ref="A248:A305" si="52">ROW()-1</f>
        <v>247</v>
      </c>
      <c r="B248" s="5" t="s">
        <v>9576</v>
      </c>
      <c r="C248" t="str">
        <f t="shared" si="40"/>
        <v>E3_1_3_1_mRNA</v>
      </c>
      <c r="D248" t="str">
        <f t="shared" si="41"/>
        <v>E3_1_3_1</v>
      </c>
      <c r="E248" t="str">
        <f t="shared" si="42"/>
        <v>E3_1_3_1_kcat : 13.7</v>
      </c>
      <c r="F248" t="str">
        <f t="shared" si="43"/>
        <v>E3_1_3_1_km : 1</v>
      </c>
      <c r="G248" t="str">
        <f t="shared" si="44"/>
        <v>E3_1_3_1_mRNA : E3_1_3_1_mRNA</v>
      </c>
      <c r="H248" t="str">
        <f t="shared" si="45"/>
        <v>E3_1_3_1 : E3_1_3_1</v>
      </c>
      <c r="I248" t="str">
        <f t="shared" si="46"/>
        <v>E3_1_3_1_mRNA : 0</v>
      </c>
      <c r="J248" t="str">
        <f t="shared" si="47"/>
        <v>E3_1_3_1 : 0</v>
      </c>
      <c r="K248" t="str">
        <f t="shared" si="48"/>
        <v>0.00292 - (0.0093 * E3_1_3_1_mRNA)</v>
      </c>
      <c r="L248" t="str">
        <f t="shared" si="49"/>
        <v>(0.278 * E3_1_3_1_mRNA) - (0.00000278 * E3_1_3_1)</v>
      </c>
      <c r="M248" t="str">
        <f t="shared" si="50"/>
        <v>mRNA247: -&gt; E3_1_3_1_mRNA | 0.00292 - (0.0093 * E3_1_3_1_mRNA)</v>
      </c>
      <c r="N248" t="str">
        <f t="shared" si="51"/>
        <v>Peptide247: E3_1_3_1_mRNA -&gt; E3_1_3_1 | (0.278 * E3_1_3_1_mRNA) - (0.000000278 * E3_1_3_1)</v>
      </c>
    </row>
    <row r="249" spans="1:14" x14ac:dyDescent="0.25">
      <c r="A249">
        <f t="shared" si="52"/>
        <v>248</v>
      </c>
      <c r="B249" s="5" t="s">
        <v>9555</v>
      </c>
      <c r="C249" t="str">
        <f t="shared" ref="C249:C306" si="53">CONCATENATE(D249,"_mRNA")</f>
        <v>E3_1_3_11_mRNA</v>
      </c>
      <c r="D249" t="str">
        <f t="shared" ref="D249:D306" si="54">CONCATENATE("E",B249)</f>
        <v>E3_1_3_11</v>
      </c>
      <c r="E249" t="str">
        <f t="shared" ref="E249:E306" si="55">CONCATENATE("E",B249,"_kcat : 13.7")</f>
        <v>E3_1_3_11_kcat : 13.7</v>
      </c>
      <c r="F249" t="str">
        <f t="shared" ref="F249:F306" si="56">CONCATENATE("E",B249,"_km : 1")</f>
        <v>E3_1_3_11_km : 1</v>
      </c>
      <c r="G249" t="str">
        <f t="shared" ref="G249:G306" si="57">CONCATENATE(C249," : ",C249)</f>
        <v>E3_1_3_11_mRNA : E3_1_3_11_mRNA</v>
      </c>
      <c r="H249" t="str">
        <f t="shared" ref="H249:H306" si="58">CONCATENATE(D249," : ",D249)</f>
        <v>E3_1_3_11 : E3_1_3_11</v>
      </c>
      <c r="I249" t="str">
        <f t="shared" ref="I249:I306" si="59">CONCATENATE(C249," : ","0")</f>
        <v>E3_1_3_11_mRNA : 0</v>
      </c>
      <c r="J249" t="str">
        <f t="shared" ref="J249:J306" si="60">CONCATENATE(D249," : ","0")</f>
        <v>E3_1_3_11 : 0</v>
      </c>
      <c r="K249" t="str">
        <f t="shared" ref="K249:K306" si="61">CONCATENATE("0.00292 - (0.0093 * ",C249,")")</f>
        <v>0.00292 - (0.0093 * E3_1_3_11_mRNA)</v>
      </c>
      <c r="L249" t="str">
        <f t="shared" ref="L249:L306" si="62">CONCATENATE("(0.278 * ",C249,")"," - (0.00000278 * ",D249,")")</f>
        <v>(0.278 * E3_1_3_11_mRNA) - (0.00000278 * E3_1_3_11)</v>
      </c>
      <c r="M249" t="str">
        <f t="shared" ref="M249:M306" si="63">CONCATENATE("mRNA",A249,": -&gt; ",C249," | ","0.00292"," - ","(","0.0093"," * ",C249,")")</f>
        <v>mRNA248: -&gt; E3_1_3_11_mRNA | 0.00292 - (0.0093 * E3_1_3_11_mRNA)</v>
      </c>
      <c r="N249" t="str">
        <f t="shared" ref="N249:N306" si="64">CONCATENATE("Peptide",A249,": ",C249," -&gt; ",D249," | ","(","0.278"," * ",C249,")"," - ","(","0.000000278"," * ",D249,")")</f>
        <v>Peptide248: E3_1_3_11_mRNA -&gt; E3_1_3_11 | (0.278 * E3_1_3_11_mRNA) - (0.000000278 * E3_1_3_11)</v>
      </c>
    </row>
    <row r="250" spans="1:14" x14ac:dyDescent="0.25">
      <c r="A250">
        <f t="shared" si="52"/>
        <v>249</v>
      </c>
      <c r="B250" s="5" t="s">
        <v>9399</v>
      </c>
      <c r="C250" t="str">
        <f t="shared" si="53"/>
        <v>E3_1_3_15_mRNA</v>
      </c>
      <c r="D250" t="str">
        <f t="shared" si="54"/>
        <v>E3_1_3_15</v>
      </c>
      <c r="E250" t="str">
        <f t="shared" si="55"/>
        <v>E3_1_3_15_kcat : 13.7</v>
      </c>
      <c r="F250" t="str">
        <f t="shared" si="56"/>
        <v>E3_1_3_15_km : 1</v>
      </c>
      <c r="G250" t="str">
        <f t="shared" si="57"/>
        <v>E3_1_3_15_mRNA : E3_1_3_15_mRNA</v>
      </c>
      <c r="H250" t="str">
        <f t="shared" si="58"/>
        <v>E3_1_3_15 : E3_1_3_15</v>
      </c>
      <c r="I250" t="str">
        <f t="shared" si="59"/>
        <v>E3_1_3_15_mRNA : 0</v>
      </c>
      <c r="J250" t="str">
        <f t="shared" si="60"/>
        <v>E3_1_3_15 : 0</v>
      </c>
      <c r="K250" t="str">
        <f t="shared" si="61"/>
        <v>0.00292 - (0.0093 * E3_1_3_15_mRNA)</v>
      </c>
      <c r="L250" t="str">
        <f t="shared" si="62"/>
        <v>(0.278 * E3_1_3_15_mRNA) - (0.00000278 * E3_1_3_15)</v>
      </c>
      <c r="M250" t="str">
        <f t="shared" si="63"/>
        <v>mRNA249: -&gt; E3_1_3_15_mRNA | 0.00292 - (0.0093 * E3_1_3_15_mRNA)</v>
      </c>
      <c r="N250" t="str">
        <f t="shared" si="64"/>
        <v>Peptide249: E3_1_3_15_mRNA -&gt; E3_1_3_15 | (0.278 * E3_1_3_15_mRNA) - (0.000000278 * E3_1_3_15)</v>
      </c>
    </row>
    <row r="251" spans="1:14" x14ac:dyDescent="0.25">
      <c r="A251">
        <f t="shared" si="52"/>
        <v>250</v>
      </c>
      <c r="B251" s="5" t="s">
        <v>9483</v>
      </c>
      <c r="C251" t="str">
        <f t="shared" si="53"/>
        <v>E3_1_3_16_mRNA</v>
      </c>
      <c r="D251" t="str">
        <f t="shared" si="54"/>
        <v>E3_1_3_16</v>
      </c>
      <c r="E251" t="str">
        <f t="shared" si="55"/>
        <v>E3_1_3_16_kcat : 13.7</v>
      </c>
      <c r="F251" t="str">
        <f t="shared" si="56"/>
        <v>E3_1_3_16_km : 1</v>
      </c>
      <c r="G251" t="str">
        <f t="shared" si="57"/>
        <v>E3_1_3_16_mRNA : E3_1_3_16_mRNA</v>
      </c>
      <c r="H251" t="str">
        <f t="shared" si="58"/>
        <v>E3_1_3_16 : E3_1_3_16</v>
      </c>
      <c r="I251" t="str">
        <f t="shared" si="59"/>
        <v>E3_1_3_16_mRNA : 0</v>
      </c>
      <c r="J251" t="str">
        <f t="shared" si="60"/>
        <v>E3_1_3_16 : 0</v>
      </c>
      <c r="K251" t="str">
        <f t="shared" si="61"/>
        <v>0.00292 - (0.0093 * E3_1_3_16_mRNA)</v>
      </c>
      <c r="L251" t="str">
        <f t="shared" si="62"/>
        <v>(0.278 * E3_1_3_16_mRNA) - (0.00000278 * E3_1_3_16)</v>
      </c>
      <c r="M251" t="str">
        <f t="shared" si="63"/>
        <v>mRNA250: -&gt; E3_1_3_16_mRNA | 0.00292 - (0.0093 * E3_1_3_16_mRNA)</v>
      </c>
      <c r="N251" t="str">
        <f t="shared" si="64"/>
        <v>Peptide250: E3_1_3_16_mRNA -&gt; E3_1_3_16 | (0.278 * E3_1_3_16_mRNA) - (0.000000278 * E3_1_3_16)</v>
      </c>
    </row>
    <row r="252" spans="1:14" x14ac:dyDescent="0.25">
      <c r="A252">
        <f t="shared" si="52"/>
        <v>251</v>
      </c>
      <c r="B252" s="5" t="s">
        <v>9476</v>
      </c>
      <c r="C252" t="str">
        <f t="shared" si="53"/>
        <v>E3_1_3_25_mRNA</v>
      </c>
      <c r="D252" t="str">
        <f t="shared" si="54"/>
        <v>E3_1_3_25</v>
      </c>
      <c r="E252" t="str">
        <f t="shared" si="55"/>
        <v>E3_1_3_25_kcat : 13.7</v>
      </c>
      <c r="F252" t="str">
        <f t="shared" si="56"/>
        <v>E3_1_3_25_km : 1</v>
      </c>
      <c r="G252" t="str">
        <f t="shared" si="57"/>
        <v>E3_1_3_25_mRNA : E3_1_3_25_mRNA</v>
      </c>
      <c r="H252" t="str">
        <f t="shared" si="58"/>
        <v>E3_1_3_25 : E3_1_3_25</v>
      </c>
      <c r="I252" t="str">
        <f t="shared" si="59"/>
        <v>E3_1_3_25_mRNA : 0</v>
      </c>
      <c r="J252" t="str">
        <f t="shared" si="60"/>
        <v>E3_1_3_25 : 0</v>
      </c>
      <c r="K252" t="str">
        <f t="shared" si="61"/>
        <v>0.00292 - (0.0093 * E3_1_3_25_mRNA)</v>
      </c>
      <c r="L252" t="str">
        <f t="shared" si="62"/>
        <v>(0.278 * E3_1_3_25_mRNA) - (0.00000278 * E3_1_3_25)</v>
      </c>
      <c r="M252" t="str">
        <f t="shared" si="63"/>
        <v>mRNA251: -&gt; E3_1_3_25_mRNA | 0.00292 - (0.0093 * E3_1_3_25_mRNA)</v>
      </c>
      <c r="N252" t="str">
        <f t="shared" si="64"/>
        <v>Peptide251: E3_1_3_25_mRNA -&gt; E3_1_3_25 | (0.278 * E3_1_3_25_mRNA) - (0.000000278 * E3_1_3_25)</v>
      </c>
    </row>
    <row r="253" spans="1:14" x14ac:dyDescent="0.25">
      <c r="A253">
        <f t="shared" si="52"/>
        <v>252</v>
      </c>
      <c r="B253" s="5" t="s">
        <v>9640</v>
      </c>
      <c r="C253" t="str">
        <f t="shared" si="53"/>
        <v>E3_1_3_48_mRNA</v>
      </c>
      <c r="D253" t="str">
        <f t="shared" si="54"/>
        <v>E3_1_3_48</v>
      </c>
      <c r="E253" t="str">
        <f t="shared" si="55"/>
        <v>E3_1_3_48_kcat : 13.7</v>
      </c>
      <c r="F253" t="str">
        <f t="shared" si="56"/>
        <v>E3_1_3_48_km : 1</v>
      </c>
      <c r="G253" t="str">
        <f t="shared" si="57"/>
        <v>E3_1_3_48_mRNA : E3_1_3_48_mRNA</v>
      </c>
      <c r="H253" t="str">
        <f t="shared" si="58"/>
        <v>E3_1_3_48 : E3_1_3_48</v>
      </c>
      <c r="I253" t="str">
        <f t="shared" si="59"/>
        <v>E3_1_3_48_mRNA : 0</v>
      </c>
      <c r="J253" t="str">
        <f t="shared" si="60"/>
        <v>E3_1_3_48 : 0</v>
      </c>
      <c r="K253" t="str">
        <f t="shared" si="61"/>
        <v>0.00292 - (0.0093 * E3_1_3_48_mRNA)</v>
      </c>
      <c r="L253" t="str">
        <f t="shared" si="62"/>
        <v>(0.278 * E3_1_3_48_mRNA) - (0.00000278 * E3_1_3_48)</v>
      </c>
      <c r="M253" t="str">
        <f t="shared" si="63"/>
        <v>mRNA252: -&gt; E3_1_3_48_mRNA | 0.00292 - (0.0093 * E3_1_3_48_mRNA)</v>
      </c>
      <c r="N253" t="str">
        <f t="shared" si="64"/>
        <v>Peptide252: E3_1_3_48_mRNA -&gt; E3_1_3_48 | (0.278 * E3_1_3_48_mRNA) - (0.000000278 * E3_1_3_48)</v>
      </c>
    </row>
    <row r="254" spans="1:14" x14ac:dyDescent="0.25">
      <c r="A254">
        <f t="shared" si="52"/>
        <v>253</v>
      </c>
      <c r="B254" s="5" t="s">
        <v>9392</v>
      </c>
      <c r="C254" t="str">
        <f t="shared" si="53"/>
        <v>E3_1_3_5_mRNA</v>
      </c>
      <c r="D254" t="str">
        <f t="shared" si="54"/>
        <v>E3_1_3_5</v>
      </c>
      <c r="E254" t="str">
        <f t="shared" si="55"/>
        <v>E3_1_3_5_kcat : 13.7</v>
      </c>
      <c r="F254" t="str">
        <f t="shared" si="56"/>
        <v>E3_1_3_5_km : 1</v>
      </c>
      <c r="G254" t="str">
        <f t="shared" si="57"/>
        <v>E3_1_3_5_mRNA : E3_1_3_5_mRNA</v>
      </c>
      <c r="H254" t="str">
        <f t="shared" si="58"/>
        <v>E3_1_3_5 : E3_1_3_5</v>
      </c>
      <c r="I254" t="str">
        <f t="shared" si="59"/>
        <v>E3_1_3_5_mRNA : 0</v>
      </c>
      <c r="J254" t="str">
        <f t="shared" si="60"/>
        <v>E3_1_3_5 : 0</v>
      </c>
      <c r="K254" t="str">
        <f t="shared" si="61"/>
        <v>0.00292 - (0.0093 * E3_1_3_5_mRNA)</v>
      </c>
      <c r="L254" t="str">
        <f t="shared" si="62"/>
        <v>(0.278 * E3_1_3_5_mRNA) - (0.00000278 * E3_1_3_5)</v>
      </c>
      <c r="M254" t="str">
        <f t="shared" si="63"/>
        <v>mRNA253: -&gt; E3_1_3_5_mRNA | 0.00292 - (0.0093 * E3_1_3_5_mRNA)</v>
      </c>
      <c r="N254" t="str">
        <f t="shared" si="64"/>
        <v>Peptide253: E3_1_3_5_mRNA -&gt; E3_1_3_5 | (0.278 * E3_1_3_5_mRNA) - (0.000000278 * E3_1_3_5)</v>
      </c>
    </row>
    <row r="255" spans="1:14" x14ac:dyDescent="0.25">
      <c r="A255">
        <f t="shared" si="52"/>
        <v>254</v>
      </c>
      <c r="B255" s="5" t="s">
        <v>9503</v>
      </c>
      <c r="C255" t="str">
        <f t="shared" si="53"/>
        <v>E3_1_3_71_mRNA</v>
      </c>
      <c r="D255" t="str">
        <f t="shared" si="54"/>
        <v>E3_1_3_71</v>
      </c>
      <c r="E255" t="str">
        <f t="shared" si="55"/>
        <v>E3_1_3_71_kcat : 13.7</v>
      </c>
      <c r="F255" t="str">
        <f t="shared" si="56"/>
        <v>E3_1_3_71_km : 1</v>
      </c>
      <c r="G255" t="str">
        <f t="shared" si="57"/>
        <v>E3_1_3_71_mRNA : E3_1_3_71_mRNA</v>
      </c>
      <c r="H255" t="str">
        <f t="shared" si="58"/>
        <v>E3_1_3_71 : E3_1_3_71</v>
      </c>
      <c r="I255" t="str">
        <f t="shared" si="59"/>
        <v>E3_1_3_71_mRNA : 0</v>
      </c>
      <c r="J255" t="str">
        <f t="shared" si="60"/>
        <v>E3_1_3_71 : 0</v>
      </c>
      <c r="K255" t="str">
        <f t="shared" si="61"/>
        <v>0.00292 - (0.0093 * E3_1_3_71_mRNA)</v>
      </c>
      <c r="L255" t="str">
        <f t="shared" si="62"/>
        <v>(0.278 * E3_1_3_71_mRNA) - (0.00000278 * E3_1_3_71)</v>
      </c>
      <c r="M255" t="str">
        <f t="shared" si="63"/>
        <v>mRNA254: -&gt; E3_1_3_71_mRNA | 0.00292 - (0.0093 * E3_1_3_71_mRNA)</v>
      </c>
      <c r="N255" t="str">
        <f t="shared" si="64"/>
        <v>Peptide254: E3_1_3_71_mRNA -&gt; E3_1_3_71 | (0.278 * E3_1_3_71_mRNA) - (0.000000278 * E3_1_3_71)</v>
      </c>
    </row>
    <row r="256" spans="1:14" x14ac:dyDescent="0.25">
      <c r="A256">
        <f t="shared" si="52"/>
        <v>255</v>
      </c>
      <c r="B256" s="5" t="s">
        <v>9557</v>
      </c>
      <c r="C256" t="str">
        <f t="shared" si="53"/>
        <v>E3_1_3_73_mRNA</v>
      </c>
      <c r="D256" t="str">
        <f t="shared" si="54"/>
        <v>E3_1_3_73</v>
      </c>
      <c r="E256" t="str">
        <f t="shared" si="55"/>
        <v>E3_1_3_73_kcat : 13.7</v>
      </c>
      <c r="F256" t="str">
        <f t="shared" si="56"/>
        <v>E3_1_3_73_km : 1</v>
      </c>
      <c r="G256" t="str">
        <f t="shared" si="57"/>
        <v>E3_1_3_73_mRNA : E3_1_3_73_mRNA</v>
      </c>
      <c r="H256" t="str">
        <f t="shared" si="58"/>
        <v>E3_1_3_73 : E3_1_3_73</v>
      </c>
      <c r="I256" t="str">
        <f t="shared" si="59"/>
        <v>E3_1_3_73_mRNA : 0</v>
      </c>
      <c r="J256" t="str">
        <f t="shared" si="60"/>
        <v>E3_1_3_73 : 0</v>
      </c>
      <c r="K256" t="str">
        <f t="shared" si="61"/>
        <v>0.00292 - (0.0093 * E3_1_3_73_mRNA)</v>
      </c>
      <c r="L256" t="str">
        <f t="shared" si="62"/>
        <v>(0.278 * E3_1_3_73_mRNA) - (0.00000278 * E3_1_3_73)</v>
      </c>
      <c r="M256" t="str">
        <f t="shared" si="63"/>
        <v>mRNA255: -&gt; E3_1_3_73_mRNA | 0.00292 - (0.0093 * E3_1_3_73_mRNA)</v>
      </c>
      <c r="N256" t="str">
        <f t="shared" si="64"/>
        <v>Peptide255: E3_1_3_73_mRNA -&gt; E3_1_3_73 | (0.278 * E3_1_3_73_mRNA) - (0.000000278 * E3_1_3_73)</v>
      </c>
    </row>
    <row r="257" spans="1:14" x14ac:dyDescent="0.25">
      <c r="A257">
        <f t="shared" si="52"/>
        <v>256</v>
      </c>
      <c r="B257" s="5" t="s">
        <v>9816</v>
      </c>
      <c r="C257" t="str">
        <f t="shared" si="53"/>
        <v>E3_1_4_46_mRNA</v>
      </c>
      <c r="D257" t="str">
        <f t="shared" si="54"/>
        <v>E3_1_4_46</v>
      </c>
      <c r="E257" t="str">
        <f t="shared" si="55"/>
        <v>E3_1_4_46_kcat : 13.7</v>
      </c>
      <c r="F257" t="str">
        <f t="shared" si="56"/>
        <v>E3_1_4_46_km : 1</v>
      </c>
      <c r="G257" t="str">
        <f t="shared" si="57"/>
        <v>E3_1_4_46_mRNA : E3_1_4_46_mRNA</v>
      </c>
      <c r="H257" t="str">
        <f t="shared" si="58"/>
        <v>E3_1_4_46 : E3_1_4_46</v>
      </c>
      <c r="I257" t="str">
        <f t="shared" si="59"/>
        <v>E3_1_4_46_mRNA : 0</v>
      </c>
      <c r="J257" t="str">
        <f t="shared" si="60"/>
        <v>E3_1_4_46 : 0</v>
      </c>
      <c r="K257" t="str">
        <f t="shared" si="61"/>
        <v>0.00292 - (0.0093 * E3_1_4_46_mRNA)</v>
      </c>
      <c r="L257" t="str">
        <f t="shared" si="62"/>
        <v>(0.278 * E3_1_4_46_mRNA) - (0.00000278 * E3_1_4_46)</v>
      </c>
      <c r="M257" t="str">
        <f t="shared" si="63"/>
        <v>mRNA256: -&gt; E3_1_4_46_mRNA | 0.00292 - (0.0093 * E3_1_4_46_mRNA)</v>
      </c>
      <c r="N257" t="str">
        <f t="shared" si="64"/>
        <v>Peptide256: E3_1_4_46_mRNA -&gt; E3_1_4_46 | (0.278 * E3_1_4_46_mRNA) - (0.000000278 * E3_1_4_46)</v>
      </c>
    </row>
    <row r="258" spans="1:14" x14ac:dyDescent="0.25">
      <c r="A258">
        <f t="shared" si="52"/>
        <v>257</v>
      </c>
      <c r="B258" s="5" t="s">
        <v>9684</v>
      </c>
      <c r="C258" t="str">
        <f t="shared" si="53"/>
        <v>E3_1_5_1_mRNA</v>
      </c>
      <c r="D258" t="str">
        <f t="shared" si="54"/>
        <v>E3_1_5_1</v>
      </c>
      <c r="E258" t="str">
        <f t="shared" si="55"/>
        <v>E3_1_5_1_kcat : 13.7</v>
      </c>
      <c r="F258" t="str">
        <f t="shared" si="56"/>
        <v>E3_1_5_1_km : 1</v>
      </c>
      <c r="G258" t="str">
        <f t="shared" si="57"/>
        <v>E3_1_5_1_mRNA : E3_1_5_1_mRNA</v>
      </c>
      <c r="H258" t="str">
        <f t="shared" si="58"/>
        <v>E3_1_5_1 : E3_1_5_1</v>
      </c>
      <c r="I258" t="str">
        <f t="shared" si="59"/>
        <v>E3_1_5_1_mRNA : 0</v>
      </c>
      <c r="J258" t="str">
        <f t="shared" si="60"/>
        <v>E3_1_5_1 : 0</v>
      </c>
      <c r="K258" t="str">
        <f t="shared" si="61"/>
        <v>0.00292 - (0.0093 * E3_1_5_1_mRNA)</v>
      </c>
      <c r="L258" t="str">
        <f t="shared" si="62"/>
        <v>(0.278 * E3_1_5_1_mRNA) - (0.00000278 * E3_1_5_1)</v>
      </c>
      <c r="M258" t="str">
        <f t="shared" si="63"/>
        <v>mRNA257: -&gt; E3_1_5_1_mRNA | 0.00292 - (0.0093 * E3_1_5_1_mRNA)</v>
      </c>
      <c r="N258" t="str">
        <f t="shared" si="64"/>
        <v>Peptide257: E3_1_5_1_mRNA -&gt; E3_1_5_1 | (0.278 * E3_1_5_1_mRNA) - (0.000000278 * E3_1_5_1)</v>
      </c>
    </row>
    <row r="259" spans="1:14" x14ac:dyDescent="0.25">
      <c r="A259">
        <f t="shared" si="52"/>
        <v>258</v>
      </c>
      <c r="B259" s="5" t="s">
        <v>9464</v>
      </c>
      <c r="C259" t="str">
        <f t="shared" si="53"/>
        <v>E3_2_1_20_mRNA</v>
      </c>
      <c r="D259" t="str">
        <f t="shared" si="54"/>
        <v>E3_2_1_20</v>
      </c>
      <c r="E259" t="str">
        <f t="shared" si="55"/>
        <v>E3_2_1_20_kcat : 13.7</v>
      </c>
      <c r="F259" t="str">
        <f t="shared" si="56"/>
        <v>E3_2_1_20_km : 1</v>
      </c>
      <c r="G259" t="str">
        <f t="shared" si="57"/>
        <v>E3_2_1_20_mRNA : E3_2_1_20_mRNA</v>
      </c>
      <c r="H259" t="str">
        <f t="shared" si="58"/>
        <v>E3_2_1_20 : E3_2_1_20</v>
      </c>
      <c r="I259" t="str">
        <f t="shared" si="59"/>
        <v>E3_2_1_20_mRNA : 0</v>
      </c>
      <c r="J259" t="str">
        <f t="shared" si="60"/>
        <v>E3_2_1_20 : 0</v>
      </c>
      <c r="K259" t="str">
        <f t="shared" si="61"/>
        <v>0.00292 - (0.0093 * E3_2_1_20_mRNA)</v>
      </c>
      <c r="L259" t="str">
        <f t="shared" si="62"/>
        <v>(0.278 * E3_2_1_20_mRNA) - (0.00000278 * E3_2_1_20)</v>
      </c>
      <c r="M259" t="str">
        <f t="shared" si="63"/>
        <v>mRNA258: -&gt; E3_2_1_20_mRNA | 0.00292 - (0.0093 * E3_2_1_20_mRNA)</v>
      </c>
      <c r="N259" t="str">
        <f t="shared" si="64"/>
        <v>Peptide258: E3_2_1_20_mRNA -&gt; E3_2_1_20 | (0.278 * E3_2_1_20_mRNA) - (0.000000278 * E3_2_1_20)</v>
      </c>
    </row>
    <row r="260" spans="1:14" x14ac:dyDescent="0.25">
      <c r="A260">
        <f t="shared" si="52"/>
        <v>259</v>
      </c>
      <c r="B260" s="5" t="s">
        <v>9408</v>
      </c>
      <c r="C260" t="str">
        <f t="shared" si="53"/>
        <v>E3_2_1_4_mRNA</v>
      </c>
      <c r="D260" t="str">
        <f t="shared" si="54"/>
        <v>E3_2_1_4</v>
      </c>
      <c r="E260" t="str">
        <f t="shared" si="55"/>
        <v>E3_2_1_4_kcat : 13.7</v>
      </c>
      <c r="F260" t="str">
        <f t="shared" si="56"/>
        <v>E3_2_1_4_km : 1</v>
      </c>
      <c r="G260" t="str">
        <f t="shared" si="57"/>
        <v>E3_2_1_4_mRNA : E3_2_1_4_mRNA</v>
      </c>
      <c r="H260" t="str">
        <f t="shared" si="58"/>
        <v>E3_2_1_4 : E3_2_1_4</v>
      </c>
      <c r="I260" t="str">
        <f t="shared" si="59"/>
        <v>E3_2_1_4_mRNA : 0</v>
      </c>
      <c r="J260" t="str">
        <f t="shared" si="60"/>
        <v>E3_2_1_4 : 0</v>
      </c>
      <c r="K260" t="str">
        <f t="shared" si="61"/>
        <v>0.00292 - (0.0093 * E3_2_1_4_mRNA)</v>
      </c>
      <c r="L260" t="str">
        <f t="shared" si="62"/>
        <v>(0.278 * E3_2_1_4_mRNA) - (0.00000278 * E3_2_1_4)</v>
      </c>
      <c r="M260" t="str">
        <f t="shared" si="63"/>
        <v>mRNA259: -&gt; E3_2_1_4_mRNA | 0.00292 - (0.0093 * E3_2_1_4_mRNA)</v>
      </c>
      <c r="N260" t="str">
        <f t="shared" si="64"/>
        <v>Peptide259: E3_2_1_4_mRNA -&gt; E3_2_1_4 | (0.278 * E3_2_1_4_mRNA) - (0.000000278 * E3_2_1_4)</v>
      </c>
    </row>
    <row r="261" spans="1:14" x14ac:dyDescent="0.25">
      <c r="A261">
        <f t="shared" si="52"/>
        <v>260</v>
      </c>
      <c r="B261" s="5" t="s">
        <v>9736</v>
      </c>
      <c r="C261" t="str">
        <f t="shared" si="53"/>
        <v>E3_2_2_16_mRNA</v>
      </c>
      <c r="D261" t="str">
        <f t="shared" si="54"/>
        <v>E3_2_2_16</v>
      </c>
      <c r="E261" t="str">
        <f t="shared" si="55"/>
        <v>E3_2_2_16_kcat : 13.7</v>
      </c>
      <c r="F261" t="str">
        <f t="shared" si="56"/>
        <v>E3_2_2_16_km : 1</v>
      </c>
      <c r="G261" t="str">
        <f t="shared" si="57"/>
        <v>E3_2_2_16_mRNA : E3_2_2_16_mRNA</v>
      </c>
      <c r="H261" t="str">
        <f t="shared" si="58"/>
        <v>E3_2_2_16 : E3_2_2_16</v>
      </c>
      <c r="I261" t="str">
        <f t="shared" si="59"/>
        <v>E3_2_2_16_mRNA : 0</v>
      </c>
      <c r="J261" t="str">
        <f t="shared" si="60"/>
        <v>E3_2_2_16 : 0</v>
      </c>
      <c r="K261" t="str">
        <f t="shared" si="61"/>
        <v>0.00292 - (0.0093 * E3_2_2_16_mRNA)</v>
      </c>
      <c r="L261" t="str">
        <f t="shared" si="62"/>
        <v>(0.278 * E3_2_2_16_mRNA) - (0.00000278 * E3_2_2_16)</v>
      </c>
      <c r="M261" t="str">
        <f t="shared" si="63"/>
        <v>mRNA260: -&gt; E3_2_2_16_mRNA | 0.00292 - (0.0093 * E3_2_2_16_mRNA)</v>
      </c>
      <c r="N261" t="str">
        <f t="shared" si="64"/>
        <v>Peptide260: E3_2_2_16_mRNA -&gt; E3_2_2_16 | (0.278 * E3_2_2_16_mRNA) - (0.000000278 * E3_2_2_16)</v>
      </c>
    </row>
    <row r="262" spans="1:14" x14ac:dyDescent="0.25">
      <c r="A262">
        <f t="shared" si="52"/>
        <v>261</v>
      </c>
      <c r="B262" s="5" t="s">
        <v>9793</v>
      </c>
      <c r="C262" t="str">
        <f t="shared" si="53"/>
        <v>E3_4_11_1_mRNA</v>
      </c>
      <c r="D262" t="str">
        <f t="shared" si="54"/>
        <v>E3_4_11_1</v>
      </c>
      <c r="E262" t="str">
        <f t="shared" si="55"/>
        <v>E3_4_11_1_kcat : 13.7</v>
      </c>
      <c r="F262" t="str">
        <f t="shared" si="56"/>
        <v>E3_4_11_1_km : 1</v>
      </c>
      <c r="G262" t="str">
        <f t="shared" si="57"/>
        <v>E3_4_11_1_mRNA : E3_4_11_1_mRNA</v>
      </c>
      <c r="H262" t="str">
        <f t="shared" si="58"/>
        <v>E3_4_11_1 : E3_4_11_1</v>
      </c>
      <c r="I262" t="str">
        <f t="shared" si="59"/>
        <v>E3_4_11_1_mRNA : 0</v>
      </c>
      <c r="J262" t="str">
        <f t="shared" si="60"/>
        <v>E3_4_11_1 : 0</v>
      </c>
      <c r="K262" t="str">
        <f t="shared" si="61"/>
        <v>0.00292 - (0.0093 * E3_4_11_1_mRNA)</v>
      </c>
      <c r="L262" t="str">
        <f t="shared" si="62"/>
        <v>(0.278 * E3_4_11_1_mRNA) - (0.00000278 * E3_4_11_1)</v>
      </c>
      <c r="M262" t="str">
        <f t="shared" si="63"/>
        <v>mRNA261: -&gt; E3_4_11_1_mRNA | 0.00292 - (0.0093 * E3_4_11_1_mRNA)</v>
      </c>
      <c r="N262" t="str">
        <f t="shared" si="64"/>
        <v>Peptide261: E3_4_11_1_mRNA -&gt; E3_4_11_1 | (0.278 * E3_4_11_1_mRNA) - (0.000000278 * E3_4_11_1)</v>
      </c>
    </row>
    <row r="263" spans="1:14" x14ac:dyDescent="0.25">
      <c r="A263">
        <f t="shared" si="52"/>
        <v>262</v>
      </c>
      <c r="B263" s="5" t="s">
        <v>9437</v>
      </c>
      <c r="C263" t="str">
        <f t="shared" si="53"/>
        <v>E3_4_15_6_mRNA</v>
      </c>
      <c r="D263" t="str">
        <f t="shared" si="54"/>
        <v>E3_4_15_6</v>
      </c>
      <c r="E263" t="str">
        <f t="shared" si="55"/>
        <v>E3_4_15_6_kcat : 13.7</v>
      </c>
      <c r="F263" t="str">
        <f t="shared" si="56"/>
        <v>E3_4_15_6_km : 1</v>
      </c>
      <c r="G263" t="str">
        <f t="shared" si="57"/>
        <v>E3_4_15_6_mRNA : E3_4_15_6_mRNA</v>
      </c>
      <c r="H263" t="str">
        <f t="shared" si="58"/>
        <v>E3_4_15_6 : E3_4_15_6</v>
      </c>
      <c r="I263" t="str">
        <f t="shared" si="59"/>
        <v>E3_4_15_6_mRNA : 0</v>
      </c>
      <c r="J263" t="str">
        <f t="shared" si="60"/>
        <v>E3_4_15_6 : 0</v>
      </c>
      <c r="K263" t="str">
        <f t="shared" si="61"/>
        <v>0.00292 - (0.0093 * E3_4_15_6_mRNA)</v>
      </c>
      <c r="L263" t="str">
        <f t="shared" si="62"/>
        <v>(0.278 * E3_4_15_6_mRNA) - (0.00000278 * E3_4_15_6)</v>
      </c>
      <c r="M263" t="str">
        <f t="shared" si="63"/>
        <v>mRNA262: -&gt; E3_4_15_6_mRNA | 0.00292 - (0.0093 * E3_4_15_6_mRNA)</v>
      </c>
      <c r="N263" t="str">
        <f t="shared" si="64"/>
        <v>Peptide262: E3_4_15_6_mRNA -&gt; E3_4_15_6 | (0.278 * E3_4_15_6_mRNA) - (0.000000278 * E3_4_15_6)</v>
      </c>
    </row>
    <row r="264" spans="1:14" x14ac:dyDescent="0.25">
      <c r="A264">
        <f t="shared" si="52"/>
        <v>263</v>
      </c>
      <c r="B264" s="5" t="s">
        <v>9781</v>
      </c>
      <c r="C264" t="str">
        <f t="shared" si="53"/>
        <v>E3_5_1_1_mRNA</v>
      </c>
      <c r="D264" t="str">
        <f t="shared" si="54"/>
        <v>E3_5_1_1</v>
      </c>
      <c r="E264" t="str">
        <f t="shared" si="55"/>
        <v>E3_5_1_1_kcat : 13.7</v>
      </c>
      <c r="F264" t="str">
        <f t="shared" si="56"/>
        <v>E3_5_1_1_km : 1</v>
      </c>
      <c r="G264" t="str">
        <f t="shared" si="57"/>
        <v>E3_5_1_1_mRNA : E3_5_1_1_mRNA</v>
      </c>
      <c r="H264" t="str">
        <f t="shared" si="58"/>
        <v>E3_5_1_1 : E3_5_1_1</v>
      </c>
      <c r="I264" t="str">
        <f t="shared" si="59"/>
        <v>E3_5_1_1_mRNA : 0</v>
      </c>
      <c r="J264" t="str">
        <f t="shared" si="60"/>
        <v>E3_5_1_1 : 0</v>
      </c>
      <c r="K264" t="str">
        <f t="shared" si="61"/>
        <v>0.00292 - (0.0093 * E3_5_1_1_mRNA)</v>
      </c>
      <c r="L264" t="str">
        <f t="shared" si="62"/>
        <v>(0.278 * E3_5_1_1_mRNA) - (0.00000278 * E3_5_1_1)</v>
      </c>
      <c r="M264" t="str">
        <f t="shared" si="63"/>
        <v>mRNA263: -&gt; E3_5_1_1_mRNA | 0.00292 - (0.0093 * E3_5_1_1_mRNA)</v>
      </c>
      <c r="N264" t="str">
        <f t="shared" si="64"/>
        <v>Peptide263: E3_5_1_1_mRNA -&gt; E3_5_1_1 | (0.278 * E3_5_1_1_mRNA) - (0.000000278 * E3_5_1_1)</v>
      </c>
    </row>
    <row r="265" spans="1:14" x14ac:dyDescent="0.25">
      <c r="A265">
        <f t="shared" si="52"/>
        <v>264</v>
      </c>
      <c r="B265" s="5" t="s">
        <v>9499</v>
      </c>
      <c r="C265" t="str">
        <f t="shared" si="53"/>
        <v>E3_5_1_10_mRNA</v>
      </c>
      <c r="D265" t="str">
        <f t="shared" si="54"/>
        <v>E3_5_1_10</v>
      </c>
      <c r="E265" t="str">
        <f t="shared" si="55"/>
        <v>E3_5_1_10_kcat : 13.7</v>
      </c>
      <c r="F265" t="str">
        <f t="shared" si="56"/>
        <v>E3_5_1_10_km : 1</v>
      </c>
      <c r="G265" t="str">
        <f t="shared" si="57"/>
        <v>E3_5_1_10_mRNA : E3_5_1_10_mRNA</v>
      </c>
      <c r="H265" t="str">
        <f t="shared" si="58"/>
        <v>E3_5_1_10 : E3_5_1_10</v>
      </c>
      <c r="I265" t="str">
        <f t="shared" si="59"/>
        <v>E3_5_1_10_mRNA : 0</v>
      </c>
      <c r="J265" t="str">
        <f t="shared" si="60"/>
        <v>E3_5_1_10 : 0</v>
      </c>
      <c r="K265" t="str">
        <f t="shared" si="61"/>
        <v>0.00292 - (0.0093 * E3_5_1_10_mRNA)</v>
      </c>
      <c r="L265" t="str">
        <f t="shared" si="62"/>
        <v>(0.278 * E3_5_1_10_mRNA) - (0.00000278 * E3_5_1_10)</v>
      </c>
      <c r="M265" t="str">
        <f t="shared" si="63"/>
        <v>mRNA264: -&gt; E3_5_1_10_mRNA | 0.00292 - (0.0093 * E3_5_1_10_mRNA)</v>
      </c>
      <c r="N265" t="str">
        <f t="shared" si="64"/>
        <v>Peptide264: E3_5_1_10_mRNA -&gt; E3_5_1_10 | (0.278 * E3_5_1_10_mRNA) - (0.000000278 * E3_5_1_10)</v>
      </c>
    </row>
    <row r="266" spans="1:14" x14ac:dyDescent="0.25">
      <c r="A266">
        <f t="shared" si="52"/>
        <v>265</v>
      </c>
      <c r="B266" s="5" t="s">
        <v>9454</v>
      </c>
      <c r="C266" t="str">
        <f t="shared" si="53"/>
        <v>E3_5_1_11_mRNA</v>
      </c>
      <c r="D266" t="str">
        <f t="shared" si="54"/>
        <v>E3_5_1_11</v>
      </c>
      <c r="E266" t="str">
        <f t="shared" si="55"/>
        <v>E3_5_1_11_kcat : 13.7</v>
      </c>
      <c r="F266" t="str">
        <f t="shared" si="56"/>
        <v>E3_5_1_11_km : 1</v>
      </c>
      <c r="G266" t="str">
        <f t="shared" si="57"/>
        <v>E3_5_1_11_mRNA : E3_5_1_11_mRNA</v>
      </c>
      <c r="H266" t="str">
        <f t="shared" si="58"/>
        <v>E3_5_1_11 : E3_5_1_11</v>
      </c>
      <c r="I266" t="str">
        <f t="shared" si="59"/>
        <v>E3_5_1_11_mRNA : 0</v>
      </c>
      <c r="J266" t="str">
        <f t="shared" si="60"/>
        <v>E3_5_1_11 : 0</v>
      </c>
      <c r="K266" t="str">
        <f t="shared" si="61"/>
        <v>0.00292 - (0.0093 * E3_5_1_11_mRNA)</v>
      </c>
      <c r="L266" t="str">
        <f t="shared" si="62"/>
        <v>(0.278 * E3_5_1_11_mRNA) - (0.00000278 * E3_5_1_11)</v>
      </c>
      <c r="M266" t="str">
        <f t="shared" si="63"/>
        <v>mRNA265: -&gt; E3_5_1_11_mRNA | 0.00292 - (0.0093 * E3_5_1_11_mRNA)</v>
      </c>
      <c r="N266" t="str">
        <f t="shared" si="64"/>
        <v>Peptide265: E3_5_1_11_mRNA -&gt; E3_5_1_11 | (0.278 * E3_5_1_11_mRNA) - (0.000000278 * E3_5_1_11)</v>
      </c>
    </row>
    <row r="267" spans="1:14" x14ac:dyDescent="0.25">
      <c r="A267">
        <f t="shared" si="52"/>
        <v>266</v>
      </c>
      <c r="B267" s="5" t="s">
        <v>9798</v>
      </c>
      <c r="C267" t="str">
        <f t="shared" si="53"/>
        <v>E3_5_1_16_mRNA</v>
      </c>
      <c r="D267" t="str">
        <f t="shared" si="54"/>
        <v>E3_5_1_16</v>
      </c>
      <c r="E267" t="str">
        <f t="shared" si="55"/>
        <v>E3_5_1_16_kcat : 13.7</v>
      </c>
      <c r="F267" t="str">
        <f t="shared" si="56"/>
        <v>E3_5_1_16_km : 1</v>
      </c>
      <c r="G267" t="str">
        <f t="shared" si="57"/>
        <v>E3_5_1_16_mRNA : E3_5_1_16_mRNA</v>
      </c>
      <c r="H267" t="str">
        <f t="shared" si="58"/>
        <v>E3_5_1_16 : E3_5_1_16</v>
      </c>
      <c r="I267" t="str">
        <f t="shared" si="59"/>
        <v>E3_5_1_16_mRNA : 0</v>
      </c>
      <c r="J267" t="str">
        <f t="shared" si="60"/>
        <v>E3_5_1_16 : 0</v>
      </c>
      <c r="K267" t="str">
        <f t="shared" si="61"/>
        <v>0.00292 - (0.0093 * E3_5_1_16_mRNA)</v>
      </c>
      <c r="L267" t="str">
        <f t="shared" si="62"/>
        <v>(0.278 * E3_5_1_16_mRNA) - (0.00000278 * E3_5_1_16)</v>
      </c>
      <c r="M267" t="str">
        <f t="shared" si="63"/>
        <v>mRNA266: -&gt; E3_5_1_16_mRNA | 0.00292 - (0.0093 * E3_5_1_16_mRNA)</v>
      </c>
      <c r="N267" t="str">
        <f t="shared" si="64"/>
        <v>Peptide266: E3_5_1_16_mRNA -&gt; E3_5_1_16 | (0.278 * E3_5_1_16_mRNA) - (0.000000278 * E3_5_1_16)</v>
      </c>
    </row>
    <row r="268" spans="1:14" x14ac:dyDescent="0.25">
      <c r="A268">
        <f t="shared" si="52"/>
        <v>267</v>
      </c>
      <c r="B268" s="5" t="s">
        <v>9400</v>
      </c>
      <c r="C268" t="str">
        <f t="shared" si="53"/>
        <v>E3_5_1_19_mRNA</v>
      </c>
      <c r="D268" t="str">
        <f t="shared" si="54"/>
        <v>E3_5_1_19</v>
      </c>
      <c r="E268" t="str">
        <f t="shared" si="55"/>
        <v>E3_5_1_19_kcat : 13.7</v>
      </c>
      <c r="F268" t="str">
        <f t="shared" si="56"/>
        <v>E3_5_1_19_km : 1</v>
      </c>
      <c r="G268" t="str">
        <f t="shared" si="57"/>
        <v>E3_5_1_19_mRNA : E3_5_1_19_mRNA</v>
      </c>
      <c r="H268" t="str">
        <f t="shared" si="58"/>
        <v>E3_5_1_19 : E3_5_1_19</v>
      </c>
      <c r="I268" t="str">
        <f t="shared" si="59"/>
        <v>E3_5_1_19_mRNA : 0</v>
      </c>
      <c r="J268" t="str">
        <f t="shared" si="60"/>
        <v>E3_5_1_19 : 0</v>
      </c>
      <c r="K268" t="str">
        <f t="shared" si="61"/>
        <v>0.00292 - (0.0093 * E3_5_1_19_mRNA)</v>
      </c>
      <c r="L268" t="str">
        <f t="shared" si="62"/>
        <v>(0.278 * E3_5_1_19_mRNA) - (0.00000278 * E3_5_1_19)</v>
      </c>
      <c r="M268" t="str">
        <f t="shared" si="63"/>
        <v>mRNA267: -&gt; E3_5_1_19_mRNA | 0.00292 - (0.0093 * E3_5_1_19_mRNA)</v>
      </c>
      <c r="N268" t="str">
        <f t="shared" si="64"/>
        <v>Peptide267: E3_5_1_19_mRNA -&gt; E3_5_1_19 | (0.278 * E3_5_1_19_mRNA) - (0.000000278 * E3_5_1_19)</v>
      </c>
    </row>
    <row r="269" spans="1:14" x14ac:dyDescent="0.25">
      <c r="A269">
        <f t="shared" si="52"/>
        <v>268</v>
      </c>
      <c r="B269" s="5" t="s">
        <v>9551</v>
      </c>
      <c r="C269" t="str">
        <f t="shared" si="53"/>
        <v>E3_5_1_25_mRNA</v>
      </c>
      <c r="D269" t="str">
        <f t="shared" si="54"/>
        <v>E3_5_1_25</v>
      </c>
      <c r="E269" t="str">
        <f t="shared" si="55"/>
        <v>E3_5_1_25_kcat : 13.7</v>
      </c>
      <c r="F269" t="str">
        <f t="shared" si="56"/>
        <v>E3_5_1_25_km : 1</v>
      </c>
      <c r="G269" t="str">
        <f t="shared" si="57"/>
        <v>E3_5_1_25_mRNA : E3_5_1_25_mRNA</v>
      </c>
      <c r="H269" t="str">
        <f t="shared" si="58"/>
        <v>E3_5_1_25 : E3_5_1_25</v>
      </c>
      <c r="I269" t="str">
        <f t="shared" si="59"/>
        <v>E3_5_1_25_mRNA : 0</v>
      </c>
      <c r="J269" t="str">
        <f t="shared" si="60"/>
        <v>E3_5_1_25 : 0</v>
      </c>
      <c r="K269" t="str">
        <f t="shared" si="61"/>
        <v>0.00292 - (0.0093 * E3_5_1_25_mRNA)</v>
      </c>
      <c r="L269" t="str">
        <f t="shared" si="62"/>
        <v>(0.278 * E3_5_1_25_mRNA) - (0.00000278 * E3_5_1_25)</v>
      </c>
      <c r="M269" t="str">
        <f t="shared" si="63"/>
        <v>mRNA268: -&gt; E3_5_1_25_mRNA | 0.00292 - (0.0093 * E3_5_1_25_mRNA)</v>
      </c>
      <c r="N269" t="str">
        <f t="shared" si="64"/>
        <v>Peptide268: E3_5_1_25_mRNA -&gt; E3_5_1_25 | (0.278 * E3_5_1_25_mRNA) - (0.000000278 * E3_5_1_25)</v>
      </c>
    </row>
    <row r="270" spans="1:14" x14ac:dyDescent="0.25">
      <c r="A270">
        <f t="shared" si="52"/>
        <v>269</v>
      </c>
      <c r="B270" s="5" t="s">
        <v>9494</v>
      </c>
      <c r="C270" t="str">
        <f t="shared" si="53"/>
        <v>E3_5_1_28_mRNA</v>
      </c>
      <c r="D270" t="str">
        <f t="shared" si="54"/>
        <v>E3_5_1_28</v>
      </c>
      <c r="E270" t="str">
        <f t="shared" si="55"/>
        <v>E3_5_1_28_kcat : 13.7</v>
      </c>
      <c r="F270" t="str">
        <f t="shared" si="56"/>
        <v>E3_5_1_28_km : 1</v>
      </c>
      <c r="G270" t="str">
        <f t="shared" si="57"/>
        <v>E3_5_1_28_mRNA : E3_5_1_28_mRNA</v>
      </c>
      <c r="H270" t="str">
        <f t="shared" si="58"/>
        <v>E3_5_1_28 : E3_5_1_28</v>
      </c>
      <c r="I270" t="str">
        <f t="shared" si="59"/>
        <v>E3_5_1_28_mRNA : 0</v>
      </c>
      <c r="J270" t="str">
        <f t="shared" si="60"/>
        <v>E3_5_1_28 : 0</v>
      </c>
      <c r="K270" t="str">
        <f t="shared" si="61"/>
        <v>0.00292 - (0.0093 * E3_5_1_28_mRNA)</v>
      </c>
      <c r="L270" t="str">
        <f t="shared" si="62"/>
        <v>(0.278 * E3_5_1_28_mRNA) - (0.00000278 * E3_5_1_28)</v>
      </c>
      <c r="M270" t="str">
        <f t="shared" si="63"/>
        <v>mRNA269: -&gt; E3_5_1_28_mRNA | 0.00292 - (0.0093 * E3_5_1_28_mRNA)</v>
      </c>
      <c r="N270" t="str">
        <f t="shared" si="64"/>
        <v>Peptide269: E3_5_1_28_mRNA -&gt; E3_5_1_28 | (0.278 * E3_5_1_28_mRNA) - (0.000000278 * E3_5_1_28)</v>
      </c>
    </row>
    <row r="271" spans="1:14" x14ac:dyDescent="0.25">
      <c r="A271">
        <f t="shared" si="52"/>
        <v>270</v>
      </c>
      <c r="B271" s="5" t="s">
        <v>9592</v>
      </c>
      <c r="C271" t="str">
        <f t="shared" si="53"/>
        <v>E3_5_1_54_mRNA</v>
      </c>
      <c r="D271" t="str">
        <f t="shared" si="54"/>
        <v>E3_5_1_54</v>
      </c>
      <c r="E271" t="str">
        <f t="shared" si="55"/>
        <v>E3_5_1_54_kcat : 13.7</v>
      </c>
      <c r="F271" t="str">
        <f t="shared" si="56"/>
        <v>E3_5_1_54_km : 1</v>
      </c>
      <c r="G271" t="str">
        <f t="shared" si="57"/>
        <v>E3_5_1_54_mRNA : E3_5_1_54_mRNA</v>
      </c>
      <c r="H271" t="str">
        <f t="shared" si="58"/>
        <v>E3_5_1_54 : E3_5_1_54</v>
      </c>
      <c r="I271" t="str">
        <f t="shared" si="59"/>
        <v>E3_5_1_54_mRNA : 0</v>
      </c>
      <c r="J271" t="str">
        <f t="shared" si="60"/>
        <v>E3_5_1_54 : 0</v>
      </c>
      <c r="K271" t="str">
        <f t="shared" si="61"/>
        <v>0.00292 - (0.0093 * E3_5_1_54_mRNA)</v>
      </c>
      <c r="L271" t="str">
        <f t="shared" si="62"/>
        <v>(0.278 * E3_5_1_54_mRNA) - (0.00000278 * E3_5_1_54)</v>
      </c>
      <c r="M271" t="str">
        <f t="shared" si="63"/>
        <v>mRNA270: -&gt; E3_5_1_54_mRNA | 0.00292 - (0.0093 * E3_5_1_54_mRNA)</v>
      </c>
      <c r="N271" t="str">
        <f t="shared" si="64"/>
        <v>Peptide270: E3_5_1_54_mRNA -&gt; E3_5_1_54 | (0.278 * E3_5_1_54_mRNA) - (0.000000278 * E3_5_1_54)</v>
      </c>
    </row>
    <row r="272" spans="1:14" x14ac:dyDescent="0.25">
      <c r="A272">
        <f t="shared" si="52"/>
        <v>271</v>
      </c>
      <c r="B272" s="5" t="s">
        <v>9572</v>
      </c>
      <c r="C272" t="str">
        <f t="shared" si="53"/>
        <v>E3_5_1_68_mRNA</v>
      </c>
      <c r="D272" t="str">
        <f t="shared" si="54"/>
        <v>E3_5_1_68</v>
      </c>
      <c r="E272" t="str">
        <f t="shared" si="55"/>
        <v>E3_5_1_68_kcat : 13.7</v>
      </c>
      <c r="F272" t="str">
        <f t="shared" si="56"/>
        <v>E3_5_1_68_km : 1</v>
      </c>
      <c r="G272" t="str">
        <f t="shared" si="57"/>
        <v>E3_5_1_68_mRNA : E3_5_1_68_mRNA</v>
      </c>
      <c r="H272" t="str">
        <f t="shared" si="58"/>
        <v>E3_5_1_68 : E3_5_1_68</v>
      </c>
      <c r="I272" t="str">
        <f t="shared" si="59"/>
        <v>E3_5_1_68_mRNA : 0</v>
      </c>
      <c r="J272" t="str">
        <f t="shared" si="60"/>
        <v>E3_5_1_68 : 0</v>
      </c>
      <c r="K272" t="str">
        <f t="shared" si="61"/>
        <v>0.00292 - (0.0093 * E3_5_1_68_mRNA)</v>
      </c>
      <c r="L272" t="str">
        <f t="shared" si="62"/>
        <v>(0.278 * E3_5_1_68_mRNA) - (0.00000278 * E3_5_1_68)</v>
      </c>
      <c r="M272" t="str">
        <f t="shared" si="63"/>
        <v>mRNA271: -&gt; E3_5_1_68_mRNA | 0.00292 - (0.0093 * E3_5_1_68_mRNA)</v>
      </c>
      <c r="N272" t="str">
        <f t="shared" si="64"/>
        <v>Peptide271: E3_5_1_68_mRNA -&gt; E3_5_1_68 | (0.278 * E3_5_1_68_mRNA) - (0.000000278 * E3_5_1_68)</v>
      </c>
    </row>
    <row r="273" spans="1:14" x14ac:dyDescent="0.25">
      <c r="A273">
        <f t="shared" si="52"/>
        <v>272</v>
      </c>
      <c r="B273" s="5" t="s">
        <v>9804</v>
      </c>
      <c r="C273" t="str">
        <f t="shared" si="53"/>
        <v>E3_5_1_88_mRNA</v>
      </c>
      <c r="D273" t="str">
        <f t="shared" si="54"/>
        <v>E3_5_1_88</v>
      </c>
      <c r="E273" t="str">
        <f t="shared" si="55"/>
        <v>E3_5_1_88_kcat : 13.7</v>
      </c>
      <c r="F273" t="str">
        <f t="shared" si="56"/>
        <v>E3_5_1_88_km : 1</v>
      </c>
      <c r="G273" t="str">
        <f t="shared" si="57"/>
        <v>E3_5_1_88_mRNA : E3_5_1_88_mRNA</v>
      </c>
      <c r="H273" t="str">
        <f t="shared" si="58"/>
        <v>E3_5_1_88 : E3_5_1_88</v>
      </c>
      <c r="I273" t="str">
        <f t="shared" si="59"/>
        <v>E3_5_1_88_mRNA : 0</v>
      </c>
      <c r="J273" t="str">
        <f t="shared" si="60"/>
        <v>E3_5_1_88 : 0</v>
      </c>
      <c r="K273" t="str">
        <f t="shared" si="61"/>
        <v>0.00292 - (0.0093 * E3_5_1_88_mRNA)</v>
      </c>
      <c r="L273" t="str">
        <f t="shared" si="62"/>
        <v>(0.278 * E3_5_1_88_mRNA) - (0.00000278 * E3_5_1_88)</v>
      </c>
      <c r="M273" t="str">
        <f t="shared" si="63"/>
        <v>mRNA272: -&gt; E3_5_1_88_mRNA | 0.00292 - (0.0093 * E3_5_1_88_mRNA)</v>
      </c>
      <c r="N273" t="str">
        <f t="shared" si="64"/>
        <v>Peptide272: E3_5_1_88_mRNA -&gt; E3_5_1_88 | (0.278 * E3_5_1_88_mRNA) - (0.000000278 * E3_5_1_88)</v>
      </c>
    </row>
    <row r="274" spans="1:14" x14ac:dyDescent="0.25">
      <c r="A274">
        <f t="shared" si="52"/>
        <v>273</v>
      </c>
      <c r="B274" s="5" t="s">
        <v>9674</v>
      </c>
      <c r="C274" t="str">
        <f t="shared" si="53"/>
        <v>E3_5_2_3_mRNA</v>
      </c>
      <c r="D274" t="str">
        <f t="shared" si="54"/>
        <v>E3_5_2_3</v>
      </c>
      <c r="E274" t="str">
        <f t="shared" si="55"/>
        <v>E3_5_2_3_kcat : 13.7</v>
      </c>
      <c r="F274" t="str">
        <f t="shared" si="56"/>
        <v>E3_5_2_3_km : 1</v>
      </c>
      <c r="G274" t="str">
        <f t="shared" si="57"/>
        <v>E3_5_2_3_mRNA : E3_5_2_3_mRNA</v>
      </c>
      <c r="H274" t="str">
        <f t="shared" si="58"/>
        <v>E3_5_2_3 : E3_5_2_3</v>
      </c>
      <c r="I274" t="str">
        <f t="shared" si="59"/>
        <v>E3_5_2_3_mRNA : 0</v>
      </c>
      <c r="J274" t="str">
        <f t="shared" si="60"/>
        <v>E3_5_2_3 : 0</v>
      </c>
      <c r="K274" t="str">
        <f t="shared" si="61"/>
        <v>0.00292 - (0.0093 * E3_5_2_3_mRNA)</v>
      </c>
      <c r="L274" t="str">
        <f t="shared" si="62"/>
        <v>(0.278 * E3_5_2_3_mRNA) - (0.00000278 * E3_5_2_3)</v>
      </c>
      <c r="M274" t="str">
        <f t="shared" si="63"/>
        <v>mRNA273: -&gt; E3_5_2_3_mRNA | 0.00292 - (0.0093 * E3_5_2_3_mRNA)</v>
      </c>
      <c r="N274" t="str">
        <f t="shared" si="64"/>
        <v>Peptide273: E3_5_2_3_mRNA -&gt; E3_5_2_3 | (0.278 * E3_5_2_3_mRNA) - (0.000000278 * E3_5_2_3)</v>
      </c>
    </row>
    <row r="275" spans="1:14" x14ac:dyDescent="0.25">
      <c r="A275">
        <f t="shared" si="52"/>
        <v>274</v>
      </c>
      <c r="B275" s="5" t="s">
        <v>9511</v>
      </c>
      <c r="C275" t="str">
        <f t="shared" si="53"/>
        <v>E3_5_3_1_mRNA</v>
      </c>
      <c r="D275" t="str">
        <f t="shared" si="54"/>
        <v>E3_5_3_1</v>
      </c>
      <c r="E275" t="str">
        <f t="shared" si="55"/>
        <v>E3_5_3_1_kcat : 13.7</v>
      </c>
      <c r="F275" t="str">
        <f t="shared" si="56"/>
        <v>E3_5_3_1_km : 1</v>
      </c>
      <c r="G275" t="str">
        <f t="shared" si="57"/>
        <v>E3_5_3_1_mRNA : E3_5_3_1_mRNA</v>
      </c>
      <c r="H275" t="str">
        <f t="shared" si="58"/>
        <v>E3_5_3_1 : E3_5_3_1</v>
      </c>
      <c r="I275" t="str">
        <f t="shared" si="59"/>
        <v>E3_5_3_1_mRNA : 0</v>
      </c>
      <c r="J275" t="str">
        <f t="shared" si="60"/>
        <v>E3_5_3_1 : 0</v>
      </c>
      <c r="K275" t="str">
        <f t="shared" si="61"/>
        <v>0.00292 - (0.0093 * E3_5_3_1_mRNA)</v>
      </c>
      <c r="L275" t="str">
        <f t="shared" si="62"/>
        <v>(0.278 * E3_5_3_1_mRNA) - (0.00000278 * E3_5_3_1)</v>
      </c>
      <c r="M275" t="str">
        <f t="shared" si="63"/>
        <v>mRNA274: -&gt; E3_5_3_1_mRNA | 0.00292 - (0.0093 * E3_5_3_1_mRNA)</v>
      </c>
      <c r="N275" t="str">
        <f t="shared" si="64"/>
        <v>Peptide274: E3_5_3_1_mRNA -&gt; E3_5_3_1 | (0.278 * E3_5_3_1_mRNA) - (0.000000278 * E3_5_3_1)</v>
      </c>
    </row>
    <row r="276" spans="1:14" x14ac:dyDescent="0.25">
      <c r="A276">
        <f t="shared" si="52"/>
        <v>275</v>
      </c>
      <c r="B276" s="5" t="s">
        <v>9526</v>
      </c>
      <c r="C276" t="str">
        <f t="shared" si="53"/>
        <v>E3_5_3_11_mRNA</v>
      </c>
      <c r="D276" t="str">
        <f t="shared" si="54"/>
        <v>E3_5_3_11</v>
      </c>
      <c r="E276" t="str">
        <f t="shared" si="55"/>
        <v>E3_5_3_11_kcat : 13.7</v>
      </c>
      <c r="F276" t="str">
        <f t="shared" si="56"/>
        <v>E3_5_3_11_km : 1</v>
      </c>
      <c r="G276" t="str">
        <f t="shared" si="57"/>
        <v>E3_5_3_11_mRNA : E3_5_3_11_mRNA</v>
      </c>
      <c r="H276" t="str">
        <f t="shared" si="58"/>
        <v>E3_5_3_11 : E3_5_3_11</v>
      </c>
      <c r="I276" t="str">
        <f t="shared" si="59"/>
        <v>E3_5_3_11_mRNA : 0</v>
      </c>
      <c r="J276" t="str">
        <f t="shared" si="60"/>
        <v>E3_5_3_11 : 0</v>
      </c>
      <c r="K276" t="str">
        <f t="shared" si="61"/>
        <v>0.00292 - (0.0093 * E3_5_3_11_mRNA)</v>
      </c>
      <c r="L276" t="str">
        <f t="shared" si="62"/>
        <v>(0.278 * E3_5_3_11_mRNA) - (0.00000278 * E3_5_3_11)</v>
      </c>
      <c r="M276" t="str">
        <f t="shared" si="63"/>
        <v>mRNA275: -&gt; E3_5_3_11_mRNA | 0.00292 - (0.0093 * E3_5_3_11_mRNA)</v>
      </c>
      <c r="N276" t="str">
        <f t="shared" si="64"/>
        <v>Peptide275: E3_5_3_11_mRNA -&gt; E3_5_3_11 | (0.278 * E3_5_3_11_mRNA) - (0.000000278 * E3_5_3_11)</v>
      </c>
    </row>
    <row r="277" spans="1:14" x14ac:dyDescent="0.25">
      <c r="A277">
        <f t="shared" si="52"/>
        <v>276</v>
      </c>
      <c r="B277" s="5" t="s">
        <v>9549</v>
      </c>
      <c r="C277" t="str">
        <f t="shared" si="53"/>
        <v>E3_5_4_10_mRNA</v>
      </c>
      <c r="D277" t="str">
        <f t="shared" si="54"/>
        <v>E3_5_4_10</v>
      </c>
      <c r="E277" t="str">
        <f t="shared" si="55"/>
        <v>E3_5_4_10_kcat : 13.7</v>
      </c>
      <c r="F277" t="str">
        <f t="shared" si="56"/>
        <v>E3_5_4_10_km : 1</v>
      </c>
      <c r="G277" t="str">
        <f t="shared" si="57"/>
        <v>E3_5_4_10_mRNA : E3_5_4_10_mRNA</v>
      </c>
      <c r="H277" t="str">
        <f t="shared" si="58"/>
        <v>E3_5_4_10 : E3_5_4_10</v>
      </c>
      <c r="I277" t="str">
        <f t="shared" si="59"/>
        <v>E3_5_4_10_mRNA : 0</v>
      </c>
      <c r="J277" t="str">
        <f t="shared" si="60"/>
        <v>E3_5_4_10 : 0</v>
      </c>
      <c r="K277" t="str">
        <f t="shared" si="61"/>
        <v>0.00292 - (0.0093 * E3_5_4_10_mRNA)</v>
      </c>
      <c r="L277" t="str">
        <f t="shared" si="62"/>
        <v>(0.278 * E3_5_4_10_mRNA) - (0.00000278 * E3_5_4_10)</v>
      </c>
      <c r="M277" t="str">
        <f t="shared" si="63"/>
        <v>mRNA276: -&gt; E3_5_4_10_mRNA | 0.00292 - (0.0093 * E3_5_4_10_mRNA)</v>
      </c>
      <c r="N277" t="str">
        <f t="shared" si="64"/>
        <v>Peptide276: E3_5_4_10_mRNA -&gt; E3_5_4_10 | (0.278 * E3_5_4_10_mRNA) - (0.000000278 * E3_5_4_10)</v>
      </c>
    </row>
    <row r="278" spans="1:14" x14ac:dyDescent="0.25">
      <c r="A278">
        <f t="shared" si="52"/>
        <v>277</v>
      </c>
      <c r="B278" s="5" t="s">
        <v>9757</v>
      </c>
      <c r="C278" t="str">
        <f t="shared" si="53"/>
        <v>E3_5_4_13_mRNA</v>
      </c>
      <c r="D278" t="str">
        <f t="shared" si="54"/>
        <v>E3_5_4_13</v>
      </c>
      <c r="E278" t="str">
        <f t="shared" si="55"/>
        <v>E3_5_4_13_kcat : 13.7</v>
      </c>
      <c r="F278" t="str">
        <f t="shared" si="56"/>
        <v>E3_5_4_13_km : 1</v>
      </c>
      <c r="G278" t="str">
        <f t="shared" si="57"/>
        <v>E3_5_4_13_mRNA : E3_5_4_13_mRNA</v>
      </c>
      <c r="H278" t="str">
        <f t="shared" si="58"/>
        <v>E3_5_4_13 : E3_5_4_13</v>
      </c>
      <c r="I278" t="str">
        <f t="shared" si="59"/>
        <v>E3_5_4_13_mRNA : 0</v>
      </c>
      <c r="J278" t="str">
        <f t="shared" si="60"/>
        <v>E3_5_4_13 : 0</v>
      </c>
      <c r="K278" t="str">
        <f t="shared" si="61"/>
        <v>0.00292 - (0.0093 * E3_5_4_13_mRNA)</v>
      </c>
      <c r="L278" t="str">
        <f t="shared" si="62"/>
        <v>(0.278 * E3_5_4_13_mRNA) - (0.00000278 * E3_5_4_13)</v>
      </c>
      <c r="M278" t="str">
        <f t="shared" si="63"/>
        <v>mRNA277: -&gt; E3_5_4_13_mRNA | 0.00292 - (0.0093 * E3_5_4_13_mRNA)</v>
      </c>
      <c r="N278" t="str">
        <f t="shared" si="64"/>
        <v>Peptide277: E3_5_4_13_mRNA -&gt; E3_5_4_13 | (0.278 * E3_5_4_13_mRNA) - (0.000000278 * E3_5_4_13)</v>
      </c>
    </row>
    <row r="279" spans="1:14" x14ac:dyDescent="0.25">
      <c r="A279">
        <f t="shared" si="52"/>
        <v>278</v>
      </c>
      <c r="B279" s="5" t="s">
        <v>9800</v>
      </c>
      <c r="C279" t="str">
        <f t="shared" si="53"/>
        <v>E3_5_4_16_mRNA</v>
      </c>
      <c r="D279" t="str">
        <f t="shared" si="54"/>
        <v>E3_5_4_16</v>
      </c>
      <c r="E279" t="str">
        <f t="shared" si="55"/>
        <v>E3_5_4_16_kcat : 13.7</v>
      </c>
      <c r="F279" t="str">
        <f t="shared" si="56"/>
        <v>E3_5_4_16_km : 1</v>
      </c>
      <c r="G279" t="str">
        <f t="shared" si="57"/>
        <v>E3_5_4_16_mRNA : E3_5_4_16_mRNA</v>
      </c>
      <c r="H279" t="str">
        <f t="shared" si="58"/>
        <v>E3_5_4_16 : E3_5_4_16</v>
      </c>
      <c r="I279" t="str">
        <f t="shared" si="59"/>
        <v>E3_5_4_16_mRNA : 0</v>
      </c>
      <c r="J279" t="str">
        <f t="shared" si="60"/>
        <v>E3_5_4_16 : 0</v>
      </c>
      <c r="K279" t="str">
        <f t="shared" si="61"/>
        <v>0.00292 - (0.0093 * E3_5_4_16_mRNA)</v>
      </c>
      <c r="L279" t="str">
        <f t="shared" si="62"/>
        <v>(0.278 * E3_5_4_16_mRNA) - (0.00000278 * E3_5_4_16)</v>
      </c>
      <c r="M279" t="str">
        <f t="shared" si="63"/>
        <v>mRNA278: -&gt; E3_5_4_16_mRNA | 0.00292 - (0.0093 * E3_5_4_16_mRNA)</v>
      </c>
      <c r="N279" t="str">
        <f t="shared" si="64"/>
        <v>Peptide278: E3_5_4_16_mRNA -&gt; E3_5_4_16 | (0.278 * E3_5_4_16_mRNA) - (0.000000278 * E3_5_4_16)</v>
      </c>
    </row>
    <row r="280" spans="1:14" x14ac:dyDescent="0.25">
      <c r="A280">
        <f t="shared" si="52"/>
        <v>279</v>
      </c>
      <c r="B280" s="5" t="s">
        <v>9514</v>
      </c>
      <c r="C280" t="str">
        <f t="shared" si="53"/>
        <v>E3_5_4_26_mRNA</v>
      </c>
      <c r="D280" t="str">
        <f t="shared" si="54"/>
        <v>E3_5_4_26</v>
      </c>
      <c r="E280" t="str">
        <f t="shared" si="55"/>
        <v>E3_5_4_26_kcat : 13.7</v>
      </c>
      <c r="F280" t="str">
        <f t="shared" si="56"/>
        <v>E3_5_4_26_km : 1</v>
      </c>
      <c r="G280" t="str">
        <f t="shared" si="57"/>
        <v>E3_5_4_26_mRNA : E3_5_4_26_mRNA</v>
      </c>
      <c r="H280" t="str">
        <f t="shared" si="58"/>
        <v>E3_5_4_26 : E3_5_4_26</v>
      </c>
      <c r="I280" t="str">
        <f t="shared" si="59"/>
        <v>E3_5_4_26_mRNA : 0</v>
      </c>
      <c r="J280" t="str">
        <f t="shared" si="60"/>
        <v>E3_5_4_26 : 0</v>
      </c>
      <c r="K280" t="str">
        <f t="shared" si="61"/>
        <v>0.00292 - (0.0093 * E3_5_4_26_mRNA)</v>
      </c>
      <c r="L280" t="str">
        <f t="shared" si="62"/>
        <v>(0.278 * E3_5_4_26_mRNA) - (0.00000278 * E3_5_4_26)</v>
      </c>
      <c r="M280" t="str">
        <f t="shared" si="63"/>
        <v>mRNA279: -&gt; E3_5_4_26_mRNA | 0.00292 - (0.0093 * E3_5_4_26_mRNA)</v>
      </c>
      <c r="N280" t="str">
        <f t="shared" si="64"/>
        <v>Peptide279: E3_5_4_26_mRNA -&gt; E3_5_4_26 | (0.278 * E3_5_4_26_mRNA) - (0.000000278 * E3_5_4_26)</v>
      </c>
    </row>
    <row r="281" spans="1:14" x14ac:dyDescent="0.25">
      <c r="A281">
        <f t="shared" si="52"/>
        <v>280</v>
      </c>
      <c r="B281" s="5" t="s">
        <v>9601</v>
      </c>
      <c r="C281" t="str">
        <f t="shared" si="53"/>
        <v>E3_5_4_28_mRNA</v>
      </c>
      <c r="D281" t="str">
        <f t="shared" si="54"/>
        <v>E3_5_4_28</v>
      </c>
      <c r="E281" t="str">
        <f t="shared" si="55"/>
        <v>E3_5_4_28_kcat : 13.7</v>
      </c>
      <c r="F281" t="str">
        <f t="shared" si="56"/>
        <v>E3_5_4_28_km : 1</v>
      </c>
      <c r="G281" t="str">
        <f t="shared" si="57"/>
        <v>E3_5_4_28_mRNA : E3_5_4_28_mRNA</v>
      </c>
      <c r="H281" t="str">
        <f t="shared" si="58"/>
        <v>E3_5_4_28 : E3_5_4_28</v>
      </c>
      <c r="I281" t="str">
        <f t="shared" si="59"/>
        <v>E3_5_4_28_mRNA : 0</v>
      </c>
      <c r="J281" t="str">
        <f t="shared" si="60"/>
        <v>E3_5_4_28 : 0</v>
      </c>
      <c r="K281" t="str">
        <f t="shared" si="61"/>
        <v>0.00292 - (0.0093 * E3_5_4_28_mRNA)</v>
      </c>
      <c r="L281" t="str">
        <f t="shared" si="62"/>
        <v>(0.278 * E3_5_4_28_mRNA) - (0.00000278 * E3_5_4_28)</v>
      </c>
      <c r="M281" t="str">
        <f t="shared" si="63"/>
        <v>mRNA280: -&gt; E3_5_4_28_mRNA | 0.00292 - (0.0093 * E3_5_4_28_mRNA)</v>
      </c>
      <c r="N281" t="str">
        <f t="shared" si="64"/>
        <v>Peptide280: E3_5_4_28_mRNA -&gt; E3_5_4_28 | (0.278 * E3_5_4_28_mRNA) - (0.000000278 * E3_5_4_28)</v>
      </c>
    </row>
    <row r="282" spans="1:14" x14ac:dyDescent="0.25">
      <c r="A282">
        <f t="shared" si="52"/>
        <v>281</v>
      </c>
      <c r="B282" s="5" t="s">
        <v>9512</v>
      </c>
      <c r="C282" t="str">
        <f t="shared" si="53"/>
        <v>E3_5_4_5_mRNA</v>
      </c>
      <c r="D282" t="str">
        <f t="shared" si="54"/>
        <v>E3_5_4_5</v>
      </c>
      <c r="E282" t="str">
        <f t="shared" si="55"/>
        <v>E3_5_4_5_kcat : 13.7</v>
      </c>
      <c r="F282" t="str">
        <f t="shared" si="56"/>
        <v>E3_5_4_5_km : 1</v>
      </c>
      <c r="G282" t="str">
        <f t="shared" si="57"/>
        <v>E3_5_4_5_mRNA : E3_5_4_5_mRNA</v>
      </c>
      <c r="H282" t="str">
        <f t="shared" si="58"/>
        <v>E3_5_4_5 : E3_5_4_5</v>
      </c>
      <c r="I282" t="str">
        <f t="shared" si="59"/>
        <v>E3_5_4_5_mRNA : 0</v>
      </c>
      <c r="J282" t="str">
        <f t="shared" si="60"/>
        <v>E3_5_4_5 : 0</v>
      </c>
      <c r="K282" t="str">
        <f t="shared" si="61"/>
        <v>0.00292 - (0.0093 * E3_5_4_5_mRNA)</v>
      </c>
      <c r="L282" t="str">
        <f t="shared" si="62"/>
        <v>(0.278 * E3_5_4_5_mRNA) - (0.00000278 * E3_5_4_5)</v>
      </c>
      <c r="M282" t="str">
        <f t="shared" si="63"/>
        <v>mRNA281: -&gt; E3_5_4_5_mRNA | 0.00292 - (0.0093 * E3_5_4_5_mRNA)</v>
      </c>
      <c r="N282" t="str">
        <f t="shared" si="64"/>
        <v>Peptide281: E3_5_4_5_mRNA -&gt; E3_5_4_5 | (0.278 * E3_5_4_5_mRNA) - (0.000000278 * E3_5_4_5)</v>
      </c>
    </row>
    <row r="283" spans="1:14" x14ac:dyDescent="0.25">
      <c r="A283">
        <f t="shared" si="52"/>
        <v>282</v>
      </c>
      <c r="B283" s="5" t="s">
        <v>9436</v>
      </c>
      <c r="C283" t="str">
        <f t="shared" si="53"/>
        <v>E3_5_99_2_mRNA</v>
      </c>
      <c r="D283" t="str">
        <f t="shared" si="54"/>
        <v>E3_5_99_2</v>
      </c>
      <c r="E283" t="str">
        <f t="shared" si="55"/>
        <v>E3_5_99_2_kcat : 13.7</v>
      </c>
      <c r="F283" t="str">
        <f t="shared" si="56"/>
        <v>E3_5_99_2_km : 1</v>
      </c>
      <c r="G283" t="str">
        <f t="shared" si="57"/>
        <v>E3_5_99_2_mRNA : E3_5_99_2_mRNA</v>
      </c>
      <c r="H283" t="str">
        <f t="shared" si="58"/>
        <v>E3_5_99_2 : E3_5_99_2</v>
      </c>
      <c r="I283" t="str">
        <f t="shared" si="59"/>
        <v>E3_5_99_2_mRNA : 0</v>
      </c>
      <c r="J283" t="str">
        <f t="shared" si="60"/>
        <v>E3_5_99_2 : 0</v>
      </c>
      <c r="K283" t="str">
        <f t="shared" si="61"/>
        <v>0.00292 - (0.0093 * E3_5_99_2_mRNA)</v>
      </c>
      <c r="L283" t="str">
        <f t="shared" si="62"/>
        <v>(0.278 * E3_5_99_2_mRNA) - (0.00000278 * E3_5_99_2)</v>
      </c>
      <c r="M283" t="str">
        <f t="shared" si="63"/>
        <v>mRNA282: -&gt; E3_5_99_2_mRNA | 0.00292 - (0.0093 * E3_5_99_2_mRNA)</v>
      </c>
      <c r="N283" t="str">
        <f t="shared" si="64"/>
        <v>Peptide282: E3_5_99_2_mRNA -&gt; E3_5_99_2 | (0.278 * E3_5_99_2_mRNA) - (0.000000278 * E3_5_99_2)</v>
      </c>
    </row>
    <row r="284" spans="1:14" x14ac:dyDescent="0.25">
      <c r="A284">
        <f t="shared" si="52"/>
        <v>283</v>
      </c>
      <c r="B284" s="5" t="s">
        <v>9745</v>
      </c>
      <c r="C284" t="str">
        <f t="shared" si="53"/>
        <v>E3_5_99_6_mRNA</v>
      </c>
      <c r="D284" t="str">
        <f t="shared" si="54"/>
        <v>E3_5_99_6</v>
      </c>
      <c r="E284" t="str">
        <f t="shared" si="55"/>
        <v>E3_5_99_6_kcat : 13.7</v>
      </c>
      <c r="F284" t="str">
        <f t="shared" si="56"/>
        <v>E3_5_99_6_km : 1</v>
      </c>
      <c r="G284" t="str">
        <f t="shared" si="57"/>
        <v>E3_5_99_6_mRNA : E3_5_99_6_mRNA</v>
      </c>
      <c r="H284" t="str">
        <f t="shared" si="58"/>
        <v>E3_5_99_6 : E3_5_99_6</v>
      </c>
      <c r="I284" t="str">
        <f t="shared" si="59"/>
        <v>E3_5_99_6_mRNA : 0</v>
      </c>
      <c r="J284" t="str">
        <f t="shared" si="60"/>
        <v>E3_5_99_6 : 0</v>
      </c>
      <c r="K284" t="str">
        <f t="shared" si="61"/>
        <v>0.00292 - (0.0093 * E3_5_99_6_mRNA)</v>
      </c>
      <c r="L284" t="str">
        <f t="shared" si="62"/>
        <v>(0.278 * E3_5_99_6_mRNA) - (0.00000278 * E3_5_99_6)</v>
      </c>
      <c r="M284" t="str">
        <f t="shared" si="63"/>
        <v>mRNA283: -&gt; E3_5_99_6_mRNA | 0.00292 - (0.0093 * E3_5_99_6_mRNA)</v>
      </c>
      <c r="N284" t="str">
        <f t="shared" si="64"/>
        <v>Peptide283: E3_5_99_6_mRNA -&gt; E3_5_99_6 | (0.278 * E3_5_99_6_mRNA) - (0.000000278 * E3_5_99_6)</v>
      </c>
    </row>
    <row r="285" spans="1:14" x14ac:dyDescent="0.25">
      <c r="A285">
        <f t="shared" si="52"/>
        <v>284</v>
      </c>
      <c r="B285" s="5" t="s">
        <v>9815</v>
      </c>
      <c r="C285" t="str">
        <f t="shared" si="53"/>
        <v>E3_6_1_1_mRNA</v>
      </c>
      <c r="D285" t="str">
        <f t="shared" si="54"/>
        <v>E3_6_1_1</v>
      </c>
      <c r="E285" t="str">
        <f t="shared" si="55"/>
        <v>E3_6_1_1_kcat : 13.7</v>
      </c>
      <c r="F285" t="str">
        <f t="shared" si="56"/>
        <v>E3_6_1_1_km : 1</v>
      </c>
      <c r="G285" t="str">
        <f t="shared" si="57"/>
        <v>E3_6_1_1_mRNA : E3_6_1_1_mRNA</v>
      </c>
      <c r="H285" t="str">
        <f t="shared" si="58"/>
        <v>E3_6_1_1 : E3_6_1_1</v>
      </c>
      <c r="I285" t="str">
        <f t="shared" si="59"/>
        <v>E3_6_1_1_mRNA : 0</v>
      </c>
      <c r="J285" t="str">
        <f t="shared" si="60"/>
        <v>E3_6_1_1 : 0</v>
      </c>
      <c r="K285" t="str">
        <f t="shared" si="61"/>
        <v>0.00292 - (0.0093 * E3_6_1_1_mRNA)</v>
      </c>
      <c r="L285" t="str">
        <f t="shared" si="62"/>
        <v>(0.278 * E3_6_1_1_mRNA) - (0.00000278 * E3_6_1_1)</v>
      </c>
      <c r="M285" t="str">
        <f t="shared" si="63"/>
        <v>mRNA284: -&gt; E3_6_1_1_mRNA | 0.00292 - (0.0093 * E3_6_1_1_mRNA)</v>
      </c>
      <c r="N285" t="str">
        <f t="shared" si="64"/>
        <v>Peptide284: E3_6_1_1_mRNA -&gt; E3_6_1_1 | (0.278 * E3_6_1_1_mRNA) - (0.000000278 * E3_6_1_1)</v>
      </c>
    </row>
    <row r="286" spans="1:14" x14ac:dyDescent="0.25">
      <c r="A286">
        <f t="shared" si="52"/>
        <v>285</v>
      </c>
      <c r="B286" s="5" t="s">
        <v>9548</v>
      </c>
      <c r="C286" t="str">
        <f t="shared" si="53"/>
        <v>E3_6_1_13_mRNA</v>
      </c>
      <c r="D286" t="str">
        <f t="shared" si="54"/>
        <v>E3_6_1_13</v>
      </c>
      <c r="E286" t="str">
        <f t="shared" si="55"/>
        <v>E3_6_1_13_kcat : 13.7</v>
      </c>
      <c r="F286" t="str">
        <f t="shared" si="56"/>
        <v>E3_6_1_13_km : 1</v>
      </c>
      <c r="G286" t="str">
        <f t="shared" si="57"/>
        <v>E3_6_1_13_mRNA : E3_6_1_13_mRNA</v>
      </c>
      <c r="H286" t="str">
        <f t="shared" si="58"/>
        <v>E3_6_1_13 : E3_6_1_13</v>
      </c>
      <c r="I286" t="str">
        <f t="shared" si="59"/>
        <v>E3_6_1_13_mRNA : 0</v>
      </c>
      <c r="J286" t="str">
        <f t="shared" si="60"/>
        <v>E3_6_1_13 : 0</v>
      </c>
      <c r="K286" t="str">
        <f t="shared" si="61"/>
        <v>0.00292 - (0.0093 * E3_6_1_13_mRNA)</v>
      </c>
      <c r="L286" t="str">
        <f t="shared" si="62"/>
        <v>(0.278 * E3_6_1_13_mRNA) - (0.00000278 * E3_6_1_13)</v>
      </c>
      <c r="M286" t="str">
        <f t="shared" si="63"/>
        <v>mRNA285: -&gt; E3_6_1_13_mRNA | 0.00292 - (0.0093 * E3_6_1_13_mRNA)</v>
      </c>
      <c r="N286" t="str">
        <f t="shared" si="64"/>
        <v>Peptide285: E3_6_1_13_mRNA -&gt; E3_6_1_13 | (0.278 * E3_6_1_13_mRNA) - (0.000000278 * E3_6_1_13)</v>
      </c>
    </row>
    <row r="287" spans="1:14" x14ac:dyDescent="0.25">
      <c r="A287">
        <f t="shared" si="52"/>
        <v>286</v>
      </c>
      <c r="B287" s="5" t="s">
        <v>9778</v>
      </c>
      <c r="C287" t="str">
        <f t="shared" si="53"/>
        <v>E3_6_1_15_mRNA</v>
      </c>
      <c r="D287" t="str">
        <f t="shared" si="54"/>
        <v>E3_6_1_15</v>
      </c>
      <c r="E287" t="str">
        <f t="shared" si="55"/>
        <v>E3_6_1_15_kcat : 13.7</v>
      </c>
      <c r="F287" t="str">
        <f t="shared" si="56"/>
        <v>E3_6_1_15_km : 1</v>
      </c>
      <c r="G287" t="str">
        <f t="shared" si="57"/>
        <v>E3_6_1_15_mRNA : E3_6_1_15_mRNA</v>
      </c>
      <c r="H287" t="str">
        <f t="shared" si="58"/>
        <v>E3_6_1_15 : E3_6_1_15</v>
      </c>
      <c r="I287" t="str">
        <f t="shared" si="59"/>
        <v>E3_6_1_15_mRNA : 0</v>
      </c>
      <c r="J287" t="str">
        <f t="shared" si="60"/>
        <v>E3_6_1_15 : 0</v>
      </c>
      <c r="K287" t="str">
        <f t="shared" si="61"/>
        <v>0.00292 - (0.0093 * E3_6_1_15_mRNA)</v>
      </c>
      <c r="L287" t="str">
        <f t="shared" si="62"/>
        <v>(0.278 * E3_6_1_15_mRNA) - (0.00000278 * E3_6_1_15)</v>
      </c>
      <c r="M287" t="str">
        <f t="shared" si="63"/>
        <v>mRNA286: -&gt; E3_6_1_15_mRNA | 0.00292 - (0.0093 * E3_6_1_15_mRNA)</v>
      </c>
      <c r="N287" t="str">
        <f t="shared" si="64"/>
        <v>Peptide286: E3_6_1_15_mRNA -&gt; E3_6_1_15 | (0.278 * E3_6_1_15_mRNA) - (0.000000278 * E3_6_1_15)</v>
      </c>
    </row>
    <row r="288" spans="1:14" x14ac:dyDescent="0.25">
      <c r="A288">
        <f t="shared" si="52"/>
        <v>287</v>
      </c>
      <c r="B288" s="5" t="s">
        <v>9801</v>
      </c>
      <c r="C288" t="str">
        <f t="shared" si="53"/>
        <v>E3_6_1_17_mRNA</v>
      </c>
      <c r="D288" t="str">
        <f t="shared" si="54"/>
        <v>E3_6_1_17</v>
      </c>
      <c r="E288" t="str">
        <f t="shared" si="55"/>
        <v>E3_6_1_17_kcat : 13.7</v>
      </c>
      <c r="F288" t="str">
        <f t="shared" si="56"/>
        <v>E3_6_1_17_km : 1</v>
      </c>
      <c r="G288" t="str">
        <f t="shared" si="57"/>
        <v>E3_6_1_17_mRNA : E3_6_1_17_mRNA</v>
      </c>
      <c r="H288" t="str">
        <f t="shared" si="58"/>
        <v>E3_6_1_17 : E3_6_1_17</v>
      </c>
      <c r="I288" t="str">
        <f t="shared" si="59"/>
        <v>E3_6_1_17_mRNA : 0</v>
      </c>
      <c r="J288" t="str">
        <f t="shared" si="60"/>
        <v>E3_6_1_17 : 0</v>
      </c>
      <c r="K288" t="str">
        <f t="shared" si="61"/>
        <v>0.00292 - (0.0093 * E3_6_1_17_mRNA)</v>
      </c>
      <c r="L288" t="str">
        <f t="shared" si="62"/>
        <v>(0.278 * E3_6_1_17_mRNA) - (0.00000278 * E3_6_1_17)</v>
      </c>
      <c r="M288" t="str">
        <f t="shared" si="63"/>
        <v>mRNA287: -&gt; E3_6_1_17_mRNA | 0.00292 - (0.0093 * E3_6_1_17_mRNA)</v>
      </c>
      <c r="N288" t="str">
        <f t="shared" si="64"/>
        <v>Peptide287: E3_6_1_17_mRNA -&gt; E3_6_1_17 | (0.278 * E3_6_1_17_mRNA) - (0.000000278 * E3_6_1_17)</v>
      </c>
    </row>
    <row r="289" spans="1:14" x14ac:dyDescent="0.25">
      <c r="A289">
        <f t="shared" si="52"/>
        <v>288</v>
      </c>
      <c r="B289" s="5" t="s">
        <v>9433</v>
      </c>
      <c r="C289" t="str">
        <f t="shared" si="53"/>
        <v>E3_6_1_27_mRNA</v>
      </c>
      <c r="D289" t="str">
        <f t="shared" si="54"/>
        <v>E3_6_1_27</v>
      </c>
      <c r="E289" t="str">
        <f t="shared" si="55"/>
        <v>E3_6_1_27_kcat : 13.7</v>
      </c>
      <c r="F289" t="str">
        <f t="shared" si="56"/>
        <v>E3_6_1_27_km : 1</v>
      </c>
      <c r="G289" t="str">
        <f t="shared" si="57"/>
        <v>E3_6_1_27_mRNA : E3_6_1_27_mRNA</v>
      </c>
      <c r="H289" t="str">
        <f t="shared" si="58"/>
        <v>E3_6_1_27 : E3_6_1_27</v>
      </c>
      <c r="I289" t="str">
        <f t="shared" si="59"/>
        <v>E3_6_1_27_mRNA : 0</v>
      </c>
      <c r="J289" t="str">
        <f t="shared" si="60"/>
        <v>E3_6_1_27 : 0</v>
      </c>
      <c r="K289" t="str">
        <f t="shared" si="61"/>
        <v>0.00292 - (0.0093 * E3_6_1_27_mRNA)</v>
      </c>
      <c r="L289" t="str">
        <f t="shared" si="62"/>
        <v>(0.278 * E3_6_1_27_mRNA) - (0.00000278 * E3_6_1_27)</v>
      </c>
      <c r="M289" t="str">
        <f t="shared" si="63"/>
        <v>mRNA288: -&gt; E3_6_1_27_mRNA | 0.00292 - (0.0093 * E3_6_1_27_mRNA)</v>
      </c>
      <c r="N289" t="str">
        <f t="shared" si="64"/>
        <v>Peptide288: E3_6_1_27_mRNA -&gt; E3_6_1_27 | (0.278 * E3_6_1_27_mRNA) - (0.000000278 * E3_6_1_27)</v>
      </c>
    </row>
    <row r="290" spans="1:14" x14ac:dyDescent="0.25">
      <c r="A290">
        <f t="shared" si="52"/>
        <v>289</v>
      </c>
      <c r="B290" s="5" t="s">
        <v>9679</v>
      </c>
      <c r="C290" t="str">
        <f t="shared" si="53"/>
        <v>E3_6_1_31_mRNA</v>
      </c>
      <c r="D290" t="str">
        <f t="shared" si="54"/>
        <v>E3_6_1_31</v>
      </c>
      <c r="E290" t="str">
        <f t="shared" si="55"/>
        <v>E3_6_1_31_kcat : 13.7</v>
      </c>
      <c r="F290" t="str">
        <f t="shared" si="56"/>
        <v>E3_6_1_31_km : 1</v>
      </c>
      <c r="G290" t="str">
        <f t="shared" si="57"/>
        <v>E3_6_1_31_mRNA : E3_6_1_31_mRNA</v>
      </c>
      <c r="H290" t="str">
        <f t="shared" si="58"/>
        <v>E3_6_1_31 : E3_6_1_31</v>
      </c>
      <c r="I290" t="str">
        <f t="shared" si="59"/>
        <v>E3_6_1_31_mRNA : 0</v>
      </c>
      <c r="J290" t="str">
        <f t="shared" si="60"/>
        <v>E3_6_1_31 : 0</v>
      </c>
      <c r="K290" t="str">
        <f t="shared" si="61"/>
        <v>0.00292 - (0.0093 * E3_6_1_31_mRNA)</v>
      </c>
      <c r="L290" t="str">
        <f t="shared" si="62"/>
        <v>(0.278 * E3_6_1_31_mRNA) - (0.00000278 * E3_6_1_31)</v>
      </c>
      <c r="M290" t="str">
        <f t="shared" si="63"/>
        <v>mRNA289: -&gt; E3_6_1_31_mRNA | 0.00292 - (0.0093 * E3_6_1_31_mRNA)</v>
      </c>
      <c r="N290" t="str">
        <f t="shared" si="64"/>
        <v>Peptide289: E3_6_1_31_mRNA -&gt; E3_6_1_31 | (0.278 * E3_6_1_31_mRNA) - (0.000000278 * E3_6_1_31)</v>
      </c>
    </row>
    <row r="291" spans="1:14" x14ac:dyDescent="0.25">
      <c r="A291">
        <f t="shared" si="52"/>
        <v>290</v>
      </c>
      <c r="B291" s="5" t="s">
        <v>9660</v>
      </c>
      <c r="C291" t="str">
        <f t="shared" si="53"/>
        <v>E3_6_1_7_mRNA</v>
      </c>
      <c r="D291" t="str">
        <f t="shared" si="54"/>
        <v>E3_6_1_7</v>
      </c>
      <c r="E291" t="str">
        <f t="shared" si="55"/>
        <v>E3_6_1_7_kcat : 13.7</v>
      </c>
      <c r="F291" t="str">
        <f t="shared" si="56"/>
        <v>E3_6_1_7_km : 1</v>
      </c>
      <c r="G291" t="str">
        <f t="shared" si="57"/>
        <v>E3_6_1_7_mRNA : E3_6_1_7_mRNA</v>
      </c>
      <c r="H291" t="str">
        <f t="shared" si="58"/>
        <v>E3_6_1_7 : E3_6_1_7</v>
      </c>
      <c r="I291" t="str">
        <f t="shared" si="59"/>
        <v>E3_6_1_7_mRNA : 0</v>
      </c>
      <c r="J291" t="str">
        <f t="shared" si="60"/>
        <v>E3_6_1_7 : 0</v>
      </c>
      <c r="K291" t="str">
        <f t="shared" si="61"/>
        <v>0.00292 - (0.0093 * E3_6_1_7_mRNA)</v>
      </c>
      <c r="L291" t="str">
        <f t="shared" si="62"/>
        <v>(0.278 * E3_6_1_7_mRNA) - (0.00000278 * E3_6_1_7)</v>
      </c>
      <c r="M291" t="str">
        <f t="shared" si="63"/>
        <v>mRNA290: -&gt; E3_6_1_7_mRNA | 0.00292 - (0.0093 * E3_6_1_7_mRNA)</v>
      </c>
      <c r="N291" t="str">
        <f t="shared" si="64"/>
        <v>Peptide290: E3_6_1_7_mRNA -&gt; E3_6_1_7 | (0.278 * E3_6_1_7_mRNA) - (0.000000278 * E3_6_1_7)</v>
      </c>
    </row>
    <row r="292" spans="1:14" x14ac:dyDescent="0.25">
      <c r="A292">
        <f t="shared" si="52"/>
        <v>291</v>
      </c>
      <c r="B292" s="5" t="s">
        <v>9782</v>
      </c>
      <c r="C292" t="str">
        <f t="shared" si="53"/>
        <v>E3_6_1_8_mRNA</v>
      </c>
      <c r="D292" t="str">
        <f t="shared" si="54"/>
        <v>E3_6_1_8</v>
      </c>
      <c r="E292" t="str">
        <f t="shared" si="55"/>
        <v>E3_6_1_8_kcat : 13.7</v>
      </c>
      <c r="F292" t="str">
        <f t="shared" si="56"/>
        <v>E3_6_1_8_km : 1</v>
      </c>
      <c r="G292" t="str">
        <f t="shared" si="57"/>
        <v>E3_6_1_8_mRNA : E3_6_1_8_mRNA</v>
      </c>
      <c r="H292" t="str">
        <f t="shared" si="58"/>
        <v>E3_6_1_8 : E3_6_1_8</v>
      </c>
      <c r="I292" t="str">
        <f t="shared" si="59"/>
        <v>E3_6_1_8_mRNA : 0</v>
      </c>
      <c r="J292" t="str">
        <f t="shared" si="60"/>
        <v>E3_6_1_8 : 0</v>
      </c>
      <c r="K292" t="str">
        <f t="shared" si="61"/>
        <v>0.00292 - (0.0093 * E3_6_1_8_mRNA)</v>
      </c>
      <c r="L292" t="str">
        <f t="shared" si="62"/>
        <v>(0.278 * E3_6_1_8_mRNA) - (0.00000278 * E3_6_1_8)</v>
      </c>
      <c r="M292" t="str">
        <f t="shared" si="63"/>
        <v>mRNA291: -&gt; E3_6_1_8_mRNA | 0.00292 - (0.0093 * E3_6_1_8_mRNA)</v>
      </c>
      <c r="N292" t="str">
        <f t="shared" si="64"/>
        <v>Peptide291: E3_6_1_8_mRNA -&gt; E3_6_1_8 | (0.278 * E3_6_1_8_mRNA) - (0.000000278 * E3_6_1_8)</v>
      </c>
    </row>
    <row r="293" spans="1:14" x14ac:dyDescent="0.25">
      <c r="A293">
        <f t="shared" si="52"/>
        <v>292</v>
      </c>
      <c r="B293" s="5" t="s">
        <v>9619</v>
      </c>
      <c r="C293" t="str">
        <f t="shared" si="53"/>
        <v>E4_1_1_11_mRNA</v>
      </c>
      <c r="D293" t="str">
        <f t="shared" si="54"/>
        <v>E4_1_1_11</v>
      </c>
      <c r="E293" t="str">
        <f t="shared" si="55"/>
        <v>E4_1_1_11_kcat : 13.7</v>
      </c>
      <c r="F293" t="str">
        <f t="shared" si="56"/>
        <v>E4_1_1_11_km : 1</v>
      </c>
      <c r="G293" t="str">
        <f t="shared" si="57"/>
        <v>E4_1_1_11_mRNA : E4_1_1_11_mRNA</v>
      </c>
      <c r="H293" t="str">
        <f t="shared" si="58"/>
        <v>E4_1_1_11 : E4_1_1_11</v>
      </c>
      <c r="I293" t="str">
        <f t="shared" si="59"/>
        <v>E4_1_1_11_mRNA : 0</v>
      </c>
      <c r="J293" t="str">
        <f t="shared" si="60"/>
        <v>E4_1_1_11 : 0</v>
      </c>
      <c r="K293" t="str">
        <f t="shared" si="61"/>
        <v>0.00292 - (0.0093 * E4_1_1_11_mRNA)</v>
      </c>
      <c r="L293" t="str">
        <f t="shared" si="62"/>
        <v>(0.278 * E4_1_1_11_mRNA) - (0.00000278 * E4_1_1_11)</v>
      </c>
      <c r="M293" t="str">
        <f t="shared" si="63"/>
        <v>mRNA292: -&gt; E4_1_1_11_mRNA | 0.00292 - (0.0093 * E4_1_1_11_mRNA)</v>
      </c>
      <c r="N293" t="str">
        <f t="shared" si="64"/>
        <v>Peptide292: E4_1_1_11_mRNA -&gt; E4_1_1_11 | (0.278 * E4_1_1_11_mRNA) - (0.000000278 * E4_1_1_11)</v>
      </c>
    </row>
    <row r="294" spans="1:14" x14ac:dyDescent="0.25">
      <c r="A294">
        <f t="shared" si="52"/>
        <v>293</v>
      </c>
      <c r="B294" s="5" t="s">
        <v>9775</v>
      </c>
      <c r="C294" t="str">
        <f t="shared" si="53"/>
        <v>E4_1_1_19_mRNA</v>
      </c>
      <c r="D294" t="str">
        <f t="shared" si="54"/>
        <v>E4_1_1_19</v>
      </c>
      <c r="E294" t="str">
        <f t="shared" si="55"/>
        <v>E4_1_1_19_kcat : 13.7</v>
      </c>
      <c r="F294" t="str">
        <f t="shared" si="56"/>
        <v>E4_1_1_19_km : 1</v>
      </c>
      <c r="G294" t="str">
        <f t="shared" si="57"/>
        <v>E4_1_1_19_mRNA : E4_1_1_19_mRNA</v>
      </c>
      <c r="H294" t="str">
        <f t="shared" si="58"/>
        <v>E4_1_1_19 : E4_1_1_19</v>
      </c>
      <c r="I294" t="str">
        <f t="shared" si="59"/>
        <v>E4_1_1_19_mRNA : 0</v>
      </c>
      <c r="J294" t="str">
        <f t="shared" si="60"/>
        <v>E4_1_1_19 : 0</v>
      </c>
      <c r="K294" t="str">
        <f t="shared" si="61"/>
        <v>0.00292 - (0.0093 * E4_1_1_19_mRNA)</v>
      </c>
      <c r="L294" t="str">
        <f t="shared" si="62"/>
        <v>(0.278 * E4_1_1_19_mRNA) - (0.00000278 * E4_1_1_19)</v>
      </c>
      <c r="M294" t="str">
        <f t="shared" si="63"/>
        <v>mRNA293: -&gt; E4_1_1_19_mRNA | 0.00292 - (0.0093 * E4_1_1_19_mRNA)</v>
      </c>
      <c r="N294" t="str">
        <f t="shared" si="64"/>
        <v>Peptide293: E4_1_1_19_mRNA -&gt; E4_1_1_19 | (0.278 * E4_1_1_19_mRNA) - (0.000000278 * E4_1_1_19)</v>
      </c>
    </row>
    <row r="295" spans="1:14" x14ac:dyDescent="0.25">
      <c r="A295">
        <f t="shared" si="52"/>
        <v>294</v>
      </c>
      <c r="B295" s="5" t="s">
        <v>9550</v>
      </c>
      <c r="C295" t="str">
        <f t="shared" si="53"/>
        <v>E4_1_1_20_mRNA</v>
      </c>
      <c r="D295" t="str">
        <f t="shared" si="54"/>
        <v>E4_1_1_20</v>
      </c>
      <c r="E295" t="str">
        <f t="shared" si="55"/>
        <v>E4_1_1_20_kcat : 13.7</v>
      </c>
      <c r="F295" t="str">
        <f t="shared" si="56"/>
        <v>E4_1_1_20_km : 1</v>
      </c>
      <c r="G295" t="str">
        <f t="shared" si="57"/>
        <v>E4_1_1_20_mRNA : E4_1_1_20_mRNA</v>
      </c>
      <c r="H295" t="str">
        <f t="shared" si="58"/>
        <v>E4_1_1_20 : E4_1_1_20</v>
      </c>
      <c r="I295" t="str">
        <f t="shared" si="59"/>
        <v>E4_1_1_20_mRNA : 0</v>
      </c>
      <c r="J295" t="str">
        <f t="shared" si="60"/>
        <v>E4_1_1_20 : 0</v>
      </c>
      <c r="K295" t="str">
        <f t="shared" si="61"/>
        <v>0.00292 - (0.0093 * E4_1_1_20_mRNA)</v>
      </c>
      <c r="L295" t="str">
        <f t="shared" si="62"/>
        <v>(0.278 * E4_1_1_20_mRNA) - (0.00000278 * E4_1_1_20)</v>
      </c>
      <c r="M295" t="str">
        <f t="shared" si="63"/>
        <v>mRNA294: -&gt; E4_1_1_20_mRNA | 0.00292 - (0.0093 * E4_1_1_20_mRNA)</v>
      </c>
      <c r="N295" t="str">
        <f t="shared" si="64"/>
        <v>Peptide294: E4_1_1_20_mRNA -&gt; E4_1_1_20 | (0.278 * E4_1_1_20_mRNA) - (0.000000278 * E4_1_1_20)</v>
      </c>
    </row>
    <row r="296" spans="1:14" x14ac:dyDescent="0.25">
      <c r="A296">
        <f t="shared" si="52"/>
        <v>295</v>
      </c>
      <c r="B296" s="5" t="s">
        <v>9727</v>
      </c>
      <c r="C296" t="str">
        <f t="shared" si="53"/>
        <v>E4_1_1_21_mRNA</v>
      </c>
      <c r="D296" t="str">
        <f t="shared" si="54"/>
        <v>E4_1_1_21</v>
      </c>
      <c r="E296" t="str">
        <f t="shared" si="55"/>
        <v>E4_1_1_21_kcat : 13.7</v>
      </c>
      <c r="F296" t="str">
        <f t="shared" si="56"/>
        <v>E4_1_1_21_km : 1</v>
      </c>
      <c r="G296" t="str">
        <f t="shared" si="57"/>
        <v>E4_1_1_21_mRNA : E4_1_1_21_mRNA</v>
      </c>
      <c r="H296" t="str">
        <f t="shared" si="58"/>
        <v>E4_1_1_21 : E4_1_1_21</v>
      </c>
      <c r="I296" t="str">
        <f t="shared" si="59"/>
        <v>E4_1_1_21_mRNA : 0</v>
      </c>
      <c r="J296" t="str">
        <f t="shared" si="60"/>
        <v>E4_1_1_21 : 0</v>
      </c>
      <c r="K296" t="str">
        <f t="shared" si="61"/>
        <v>0.00292 - (0.0093 * E4_1_1_21_mRNA)</v>
      </c>
      <c r="L296" t="str">
        <f t="shared" si="62"/>
        <v>(0.278 * E4_1_1_21_mRNA) - (0.00000278 * E4_1_1_21)</v>
      </c>
      <c r="M296" t="str">
        <f t="shared" si="63"/>
        <v>mRNA295: -&gt; E4_1_1_21_mRNA | 0.00292 - (0.0093 * E4_1_1_21_mRNA)</v>
      </c>
      <c r="N296" t="str">
        <f t="shared" si="64"/>
        <v>Peptide295: E4_1_1_21_mRNA -&gt; E4_1_1_21 | (0.278 * E4_1_1_21_mRNA) - (0.000000278 * E4_1_1_21)</v>
      </c>
    </row>
    <row r="297" spans="1:14" x14ac:dyDescent="0.25">
      <c r="A297">
        <f t="shared" si="52"/>
        <v>296</v>
      </c>
      <c r="B297" s="5" t="s">
        <v>9441</v>
      </c>
      <c r="C297" t="str">
        <f t="shared" si="53"/>
        <v>E4_1_1_23_mRNA</v>
      </c>
      <c r="D297" t="str">
        <f t="shared" si="54"/>
        <v>E4_1_1_23</v>
      </c>
      <c r="E297" t="str">
        <f t="shared" si="55"/>
        <v>E4_1_1_23_kcat : 13.7</v>
      </c>
      <c r="F297" t="str">
        <f t="shared" si="56"/>
        <v>E4_1_1_23_km : 1</v>
      </c>
      <c r="G297" t="str">
        <f t="shared" si="57"/>
        <v>E4_1_1_23_mRNA : E4_1_1_23_mRNA</v>
      </c>
      <c r="H297" t="str">
        <f t="shared" si="58"/>
        <v>E4_1_1_23 : E4_1_1_23</v>
      </c>
      <c r="I297" t="str">
        <f t="shared" si="59"/>
        <v>E4_1_1_23_mRNA : 0</v>
      </c>
      <c r="J297" t="str">
        <f t="shared" si="60"/>
        <v>E4_1_1_23 : 0</v>
      </c>
      <c r="K297" t="str">
        <f t="shared" si="61"/>
        <v>0.00292 - (0.0093 * E4_1_1_23_mRNA)</v>
      </c>
      <c r="L297" t="str">
        <f t="shared" si="62"/>
        <v>(0.278 * E4_1_1_23_mRNA) - (0.00000278 * E4_1_1_23)</v>
      </c>
      <c r="M297" t="str">
        <f t="shared" si="63"/>
        <v>mRNA296: -&gt; E4_1_1_23_mRNA | 0.00292 - (0.0093 * E4_1_1_23_mRNA)</v>
      </c>
      <c r="N297" t="str">
        <f t="shared" si="64"/>
        <v>Peptide296: E4_1_1_23_mRNA -&gt; E4_1_1_23 | (0.278 * E4_1_1_23_mRNA) - (0.000000278 * E4_1_1_23)</v>
      </c>
    </row>
    <row r="298" spans="1:14" x14ac:dyDescent="0.25">
      <c r="A298">
        <f t="shared" si="52"/>
        <v>297</v>
      </c>
      <c r="B298" s="5" t="s">
        <v>9614</v>
      </c>
      <c r="C298" t="str">
        <f t="shared" si="53"/>
        <v>E4_1_1_31_mRNA</v>
      </c>
      <c r="D298" t="str">
        <f t="shared" si="54"/>
        <v>E4_1_1_31</v>
      </c>
      <c r="E298" t="str">
        <f t="shared" si="55"/>
        <v>E4_1_1_31_kcat : 13.7</v>
      </c>
      <c r="F298" t="str">
        <f t="shared" si="56"/>
        <v>E4_1_1_31_km : 1</v>
      </c>
      <c r="G298" t="str">
        <f t="shared" si="57"/>
        <v>E4_1_1_31_mRNA : E4_1_1_31_mRNA</v>
      </c>
      <c r="H298" t="str">
        <f t="shared" si="58"/>
        <v>E4_1_1_31 : E4_1_1_31</v>
      </c>
      <c r="I298" t="str">
        <f t="shared" si="59"/>
        <v>E4_1_1_31_mRNA : 0</v>
      </c>
      <c r="J298" t="str">
        <f t="shared" si="60"/>
        <v>E4_1_1_31 : 0</v>
      </c>
      <c r="K298" t="str">
        <f t="shared" si="61"/>
        <v>0.00292 - (0.0093 * E4_1_1_31_mRNA)</v>
      </c>
      <c r="L298" t="str">
        <f t="shared" si="62"/>
        <v>(0.278 * E4_1_1_31_mRNA) - (0.00000278 * E4_1_1_31)</v>
      </c>
      <c r="M298" t="str">
        <f t="shared" si="63"/>
        <v>mRNA297: -&gt; E4_1_1_31_mRNA | 0.00292 - (0.0093 * E4_1_1_31_mRNA)</v>
      </c>
      <c r="N298" t="str">
        <f t="shared" si="64"/>
        <v>Peptide297: E4_1_1_31_mRNA -&gt; E4_1_1_31 | (0.278 * E4_1_1_31_mRNA) - (0.000000278 * E4_1_1_31)</v>
      </c>
    </row>
    <row r="299" spans="1:14" x14ac:dyDescent="0.25">
      <c r="A299">
        <f t="shared" si="52"/>
        <v>298</v>
      </c>
      <c r="B299" s="5" t="s">
        <v>9466</v>
      </c>
      <c r="C299" t="str">
        <f t="shared" si="53"/>
        <v>E4_1_1_36_mRNA</v>
      </c>
      <c r="D299" t="str">
        <f t="shared" si="54"/>
        <v>E4_1_1_36</v>
      </c>
      <c r="E299" t="str">
        <f t="shared" si="55"/>
        <v>E4_1_1_36_kcat : 13.7</v>
      </c>
      <c r="F299" t="str">
        <f t="shared" si="56"/>
        <v>E4_1_1_36_km : 1</v>
      </c>
      <c r="G299" t="str">
        <f t="shared" si="57"/>
        <v>E4_1_1_36_mRNA : E4_1_1_36_mRNA</v>
      </c>
      <c r="H299" t="str">
        <f t="shared" si="58"/>
        <v>E4_1_1_36 : E4_1_1_36</v>
      </c>
      <c r="I299" t="str">
        <f t="shared" si="59"/>
        <v>E4_1_1_36_mRNA : 0</v>
      </c>
      <c r="J299" t="str">
        <f t="shared" si="60"/>
        <v>E4_1_1_36 : 0</v>
      </c>
      <c r="K299" t="str">
        <f t="shared" si="61"/>
        <v>0.00292 - (0.0093 * E4_1_1_36_mRNA)</v>
      </c>
      <c r="L299" t="str">
        <f t="shared" si="62"/>
        <v>(0.278 * E4_1_1_36_mRNA) - (0.00000278 * E4_1_1_36)</v>
      </c>
      <c r="M299" t="str">
        <f t="shared" si="63"/>
        <v>mRNA298: -&gt; E4_1_1_36_mRNA | 0.00292 - (0.0093 * E4_1_1_36_mRNA)</v>
      </c>
      <c r="N299" t="str">
        <f t="shared" si="64"/>
        <v>Peptide298: E4_1_1_36_mRNA -&gt; E4_1_1_36 | (0.278 * E4_1_1_36_mRNA) - (0.000000278 * E4_1_1_36)</v>
      </c>
    </row>
    <row r="300" spans="1:14" x14ac:dyDescent="0.25">
      <c r="A300">
        <f t="shared" si="52"/>
        <v>299</v>
      </c>
      <c r="B300" s="5" t="s">
        <v>9705</v>
      </c>
      <c r="C300" t="str">
        <f t="shared" si="53"/>
        <v>E4_1_1_37_mRNA</v>
      </c>
      <c r="D300" t="str">
        <f t="shared" si="54"/>
        <v>E4_1_1_37</v>
      </c>
      <c r="E300" t="str">
        <f t="shared" si="55"/>
        <v>E4_1_1_37_kcat : 13.7</v>
      </c>
      <c r="F300" t="str">
        <f t="shared" si="56"/>
        <v>E4_1_1_37_km : 1</v>
      </c>
      <c r="G300" t="str">
        <f t="shared" si="57"/>
        <v>E4_1_1_37_mRNA : E4_1_1_37_mRNA</v>
      </c>
      <c r="H300" t="str">
        <f t="shared" si="58"/>
        <v>E4_1_1_37 : E4_1_1_37</v>
      </c>
      <c r="I300" t="str">
        <f t="shared" si="59"/>
        <v>E4_1_1_37_mRNA : 0</v>
      </c>
      <c r="J300" t="str">
        <f t="shared" si="60"/>
        <v>E4_1_1_37 : 0</v>
      </c>
      <c r="K300" t="str">
        <f t="shared" si="61"/>
        <v>0.00292 - (0.0093 * E4_1_1_37_mRNA)</v>
      </c>
      <c r="L300" t="str">
        <f t="shared" si="62"/>
        <v>(0.278 * E4_1_1_37_mRNA) - (0.00000278 * E4_1_1_37)</v>
      </c>
      <c r="M300" t="str">
        <f t="shared" si="63"/>
        <v>mRNA299: -&gt; E4_1_1_37_mRNA | 0.00292 - (0.0093 * E4_1_1_37_mRNA)</v>
      </c>
      <c r="N300" t="str">
        <f t="shared" si="64"/>
        <v>Peptide299: E4_1_1_37_mRNA -&gt; E4_1_1_37 | (0.278 * E4_1_1_37_mRNA) - (0.000000278 * E4_1_1_37)</v>
      </c>
    </row>
    <row r="301" spans="1:14" x14ac:dyDescent="0.25">
      <c r="A301">
        <f t="shared" si="52"/>
        <v>300</v>
      </c>
      <c r="B301" s="5" t="s">
        <v>9472</v>
      </c>
      <c r="C301" t="str">
        <f t="shared" si="53"/>
        <v>E4_1_1_44_mRNA</v>
      </c>
      <c r="D301" t="str">
        <f t="shared" si="54"/>
        <v>E4_1_1_44</v>
      </c>
      <c r="E301" t="str">
        <f t="shared" si="55"/>
        <v>E4_1_1_44_kcat : 13.7</v>
      </c>
      <c r="F301" t="str">
        <f t="shared" si="56"/>
        <v>E4_1_1_44_km : 1</v>
      </c>
      <c r="G301" t="str">
        <f t="shared" si="57"/>
        <v>E4_1_1_44_mRNA : E4_1_1_44_mRNA</v>
      </c>
      <c r="H301" t="str">
        <f t="shared" si="58"/>
        <v>E4_1_1_44 : E4_1_1_44</v>
      </c>
      <c r="I301" t="str">
        <f t="shared" si="59"/>
        <v>E4_1_1_44_mRNA : 0</v>
      </c>
      <c r="J301" t="str">
        <f t="shared" si="60"/>
        <v>E4_1_1_44 : 0</v>
      </c>
      <c r="K301" t="str">
        <f t="shared" si="61"/>
        <v>0.00292 - (0.0093 * E4_1_1_44_mRNA)</v>
      </c>
      <c r="L301" t="str">
        <f t="shared" si="62"/>
        <v>(0.278 * E4_1_1_44_mRNA) - (0.00000278 * E4_1_1_44)</v>
      </c>
      <c r="M301" t="str">
        <f t="shared" si="63"/>
        <v>mRNA300: -&gt; E4_1_1_44_mRNA | 0.00292 - (0.0093 * E4_1_1_44_mRNA)</v>
      </c>
      <c r="N301" t="str">
        <f t="shared" si="64"/>
        <v>Peptide300: E4_1_1_44_mRNA -&gt; E4_1_1_44 | (0.278 * E4_1_1_44_mRNA) - (0.000000278 * E4_1_1_44)</v>
      </c>
    </row>
    <row r="302" spans="1:14" x14ac:dyDescent="0.25">
      <c r="A302">
        <f t="shared" si="52"/>
        <v>301</v>
      </c>
      <c r="B302" s="5" t="s">
        <v>9638</v>
      </c>
      <c r="C302" t="str">
        <f t="shared" si="53"/>
        <v>E4_1_1_48_mRNA</v>
      </c>
      <c r="D302" t="str">
        <f t="shared" si="54"/>
        <v>E4_1_1_48</v>
      </c>
      <c r="E302" t="str">
        <f t="shared" si="55"/>
        <v>E4_1_1_48_kcat : 13.7</v>
      </c>
      <c r="F302" t="str">
        <f t="shared" si="56"/>
        <v>E4_1_1_48_km : 1</v>
      </c>
      <c r="G302" t="str">
        <f t="shared" si="57"/>
        <v>E4_1_1_48_mRNA : E4_1_1_48_mRNA</v>
      </c>
      <c r="H302" t="str">
        <f t="shared" si="58"/>
        <v>E4_1_1_48 : E4_1_1_48</v>
      </c>
      <c r="I302" t="str">
        <f t="shared" si="59"/>
        <v>E4_1_1_48_mRNA : 0</v>
      </c>
      <c r="J302" t="str">
        <f t="shared" si="60"/>
        <v>E4_1_1_48 : 0</v>
      </c>
      <c r="K302" t="str">
        <f t="shared" si="61"/>
        <v>0.00292 - (0.0093 * E4_1_1_48_mRNA)</v>
      </c>
      <c r="L302" t="str">
        <f t="shared" si="62"/>
        <v>(0.278 * E4_1_1_48_mRNA) - (0.00000278 * E4_1_1_48)</v>
      </c>
      <c r="M302" t="str">
        <f t="shared" si="63"/>
        <v>mRNA301: -&gt; E4_1_1_48_mRNA | 0.00292 - (0.0093 * E4_1_1_48_mRNA)</v>
      </c>
      <c r="N302" t="str">
        <f t="shared" si="64"/>
        <v>Peptide301: E4_1_1_48_mRNA -&gt; E4_1_1_48 | (0.278 * E4_1_1_48_mRNA) - (0.000000278 * E4_1_1_48)</v>
      </c>
    </row>
    <row r="303" spans="1:14" x14ac:dyDescent="0.25">
      <c r="A303">
        <f t="shared" si="52"/>
        <v>302</v>
      </c>
      <c r="B303" s="5" t="s">
        <v>9794</v>
      </c>
      <c r="C303" t="str">
        <f t="shared" si="53"/>
        <v>E4_1_1_49_mRNA</v>
      </c>
      <c r="D303" t="str">
        <f t="shared" si="54"/>
        <v>E4_1_1_49</v>
      </c>
      <c r="E303" t="str">
        <f t="shared" si="55"/>
        <v>E4_1_1_49_kcat : 13.7</v>
      </c>
      <c r="F303" t="str">
        <f t="shared" si="56"/>
        <v>E4_1_1_49_km : 1</v>
      </c>
      <c r="G303" t="str">
        <f t="shared" si="57"/>
        <v>E4_1_1_49_mRNA : E4_1_1_49_mRNA</v>
      </c>
      <c r="H303" t="str">
        <f t="shared" si="58"/>
        <v>E4_1_1_49 : E4_1_1_49</v>
      </c>
      <c r="I303" t="str">
        <f t="shared" si="59"/>
        <v>E4_1_1_49_mRNA : 0</v>
      </c>
      <c r="J303" t="str">
        <f t="shared" si="60"/>
        <v>E4_1_1_49 : 0</v>
      </c>
      <c r="K303" t="str">
        <f t="shared" si="61"/>
        <v>0.00292 - (0.0093 * E4_1_1_49_mRNA)</v>
      </c>
      <c r="L303" t="str">
        <f t="shared" si="62"/>
        <v>(0.278 * E4_1_1_49_mRNA) - (0.00000278 * E4_1_1_49)</v>
      </c>
      <c r="M303" t="str">
        <f t="shared" si="63"/>
        <v>mRNA302: -&gt; E4_1_1_49_mRNA | 0.00292 - (0.0093 * E4_1_1_49_mRNA)</v>
      </c>
      <c r="N303" t="str">
        <f t="shared" si="64"/>
        <v>Peptide302: E4_1_1_49_mRNA -&gt; E4_1_1_49 | (0.278 * E4_1_1_49_mRNA) - (0.000000278 * E4_1_1_49)</v>
      </c>
    </row>
    <row r="304" spans="1:14" x14ac:dyDescent="0.25">
      <c r="A304">
        <f t="shared" si="52"/>
        <v>303</v>
      </c>
      <c r="B304" s="5" t="s">
        <v>9682</v>
      </c>
      <c r="C304" t="str">
        <f t="shared" si="53"/>
        <v>E4_1_1_50_mRNA</v>
      </c>
      <c r="D304" t="str">
        <f t="shared" si="54"/>
        <v>E4_1_1_50</v>
      </c>
      <c r="E304" t="str">
        <f t="shared" si="55"/>
        <v>E4_1_1_50_kcat : 13.7</v>
      </c>
      <c r="F304" t="str">
        <f t="shared" si="56"/>
        <v>E4_1_1_50_km : 1</v>
      </c>
      <c r="G304" t="str">
        <f t="shared" si="57"/>
        <v>E4_1_1_50_mRNA : E4_1_1_50_mRNA</v>
      </c>
      <c r="H304" t="str">
        <f t="shared" si="58"/>
        <v>E4_1_1_50 : E4_1_1_50</v>
      </c>
      <c r="I304" t="str">
        <f t="shared" si="59"/>
        <v>E4_1_1_50_mRNA : 0</v>
      </c>
      <c r="J304" t="str">
        <f t="shared" si="60"/>
        <v>E4_1_1_50 : 0</v>
      </c>
      <c r="K304" t="str">
        <f t="shared" si="61"/>
        <v>0.00292 - (0.0093 * E4_1_1_50_mRNA)</v>
      </c>
      <c r="L304" t="str">
        <f t="shared" si="62"/>
        <v>(0.278 * E4_1_1_50_mRNA) - (0.00000278 * E4_1_1_50)</v>
      </c>
      <c r="M304" t="str">
        <f t="shared" si="63"/>
        <v>mRNA303: -&gt; E4_1_1_50_mRNA | 0.00292 - (0.0093 * E4_1_1_50_mRNA)</v>
      </c>
      <c r="N304" t="str">
        <f t="shared" si="64"/>
        <v>Peptide303: E4_1_1_50_mRNA -&gt; E4_1_1_50 | (0.278 * E4_1_1_50_mRNA) - (0.000000278 * E4_1_1_50)</v>
      </c>
    </row>
    <row r="305" spans="1:14" x14ac:dyDescent="0.25">
      <c r="A305">
        <f t="shared" si="52"/>
        <v>304</v>
      </c>
      <c r="B305" s="5" t="s">
        <v>9583</v>
      </c>
      <c r="C305" t="str">
        <f t="shared" si="53"/>
        <v>E4_1_1_68_mRNA</v>
      </c>
      <c r="D305" t="str">
        <f t="shared" si="54"/>
        <v>E4_1_1_68</v>
      </c>
      <c r="E305" t="str">
        <f t="shared" si="55"/>
        <v>E4_1_1_68_kcat : 13.7</v>
      </c>
      <c r="F305" t="str">
        <f t="shared" si="56"/>
        <v>E4_1_1_68_km : 1</v>
      </c>
      <c r="G305" t="str">
        <f t="shared" si="57"/>
        <v>E4_1_1_68_mRNA : E4_1_1_68_mRNA</v>
      </c>
      <c r="H305" t="str">
        <f t="shared" si="58"/>
        <v>E4_1_1_68 : E4_1_1_68</v>
      </c>
      <c r="I305" t="str">
        <f t="shared" si="59"/>
        <v>E4_1_1_68_mRNA : 0</v>
      </c>
      <c r="J305" t="str">
        <f t="shared" si="60"/>
        <v>E4_1_1_68 : 0</v>
      </c>
      <c r="K305" t="str">
        <f t="shared" si="61"/>
        <v>0.00292 - (0.0093 * E4_1_1_68_mRNA)</v>
      </c>
      <c r="L305" t="str">
        <f t="shared" si="62"/>
        <v>(0.278 * E4_1_1_68_mRNA) - (0.00000278 * E4_1_1_68)</v>
      </c>
      <c r="M305" t="str">
        <f t="shared" si="63"/>
        <v>mRNA304: -&gt; E4_1_1_68_mRNA | 0.00292 - (0.0093 * E4_1_1_68_mRNA)</v>
      </c>
      <c r="N305" t="str">
        <f t="shared" si="64"/>
        <v>Peptide304: E4_1_1_68_mRNA -&gt; E4_1_1_68 | (0.278 * E4_1_1_68_mRNA) - (0.000000278 * E4_1_1_68)</v>
      </c>
    </row>
    <row r="306" spans="1:14" x14ac:dyDescent="0.25">
      <c r="A306">
        <f t="shared" ref="A306:A367" si="65">ROW()-1</f>
        <v>305</v>
      </c>
      <c r="B306" s="5" t="s">
        <v>9554</v>
      </c>
      <c r="C306" t="str">
        <f t="shared" si="53"/>
        <v>E4_1_1_81_mRNA</v>
      </c>
      <c r="D306" t="str">
        <f t="shared" si="54"/>
        <v>E4_1_1_81</v>
      </c>
      <c r="E306" t="str">
        <f t="shared" si="55"/>
        <v>E4_1_1_81_kcat : 13.7</v>
      </c>
      <c r="F306" t="str">
        <f t="shared" si="56"/>
        <v>E4_1_1_81_km : 1</v>
      </c>
      <c r="G306" t="str">
        <f t="shared" si="57"/>
        <v>E4_1_1_81_mRNA : E4_1_1_81_mRNA</v>
      </c>
      <c r="H306" t="str">
        <f t="shared" si="58"/>
        <v>E4_1_1_81 : E4_1_1_81</v>
      </c>
      <c r="I306" t="str">
        <f t="shared" si="59"/>
        <v>E4_1_1_81_mRNA : 0</v>
      </c>
      <c r="J306" t="str">
        <f t="shared" si="60"/>
        <v>E4_1_1_81 : 0</v>
      </c>
      <c r="K306" t="str">
        <f t="shared" si="61"/>
        <v>0.00292 - (0.0093 * E4_1_1_81_mRNA)</v>
      </c>
      <c r="L306" t="str">
        <f t="shared" si="62"/>
        <v>(0.278 * E4_1_1_81_mRNA) - (0.00000278 * E4_1_1_81)</v>
      </c>
      <c r="M306" t="str">
        <f t="shared" si="63"/>
        <v>mRNA305: -&gt; E4_1_1_81_mRNA | 0.00292 - (0.0093 * E4_1_1_81_mRNA)</v>
      </c>
      <c r="N306" t="str">
        <f t="shared" si="64"/>
        <v>Peptide305: E4_1_1_81_mRNA -&gt; E4_1_1_81 | (0.278 * E4_1_1_81_mRNA) - (0.000000278 * E4_1_1_81)</v>
      </c>
    </row>
    <row r="307" spans="1:14" x14ac:dyDescent="0.25">
      <c r="A307">
        <f t="shared" si="65"/>
        <v>306</v>
      </c>
      <c r="B307" s="5" t="s">
        <v>9429</v>
      </c>
      <c r="C307" t="str">
        <f t="shared" ref="C307:C368" si="66">CONCATENATE(D307,"_mRNA")</f>
        <v>E4_1_2_13_mRNA</v>
      </c>
      <c r="D307" t="str">
        <f t="shared" ref="D307:D368" si="67">CONCATENATE("E",B307)</f>
        <v>E4_1_2_13</v>
      </c>
      <c r="E307" t="str">
        <f t="shared" ref="E307:E368" si="68">CONCATENATE("E",B307,"_kcat : 13.7")</f>
        <v>E4_1_2_13_kcat : 13.7</v>
      </c>
      <c r="F307" t="str">
        <f t="shared" ref="F307:F368" si="69">CONCATENATE("E",B307,"_km : 1")</f>
        <v>E4_1_2_13_km : 1</v>
      </c>
      <c r="G307" t="str">
        <f t="shared" ref="G307:G368" si="70">CONCATENATE(C307," : ",C307)</f>
        <v>E4_1_2_13_mRNA : E4_1_2_13_mRNA</v>
      </c>
      <c r="H307" t="str">
        <f t="shared" ref="H307:H368" si="71">CONCATENATE(D307," : ",D307)</f>
        <v>E4_1_2_13 : E4_1_2_13</v>
      </c>
      <c r="I307" t="str">
        <f t="shared" ref="I307:I368" si="72">CONCATENATE(C307," : ","0")</f>
        <v>E4_1_2_13_mRNA : 0</v>
      </c>
      <c r="J307" t="str">
        <f t="shared" ref="J307:J368" si="73">CONCATENATE(D307," : ","0")</f>
        <v>E4_1_2_13 : 0</v>
      </c>
      <c r="K307" t="str">
        <f t="shared" ref="K307:K368" si="74">CONCATENATE("0.00292 - (0.0093 * ",C307,")")</f>
        <v>0.00292 - (0.0093 * E4_1_2_13_mRNA)</v>
      </c>
      <c r="L307" t="str">
        <f t="shared" ref="L307:L368" si="75">CONCATENATE("(0.278 * ",C307,")"," - (0.00000278 * ",D307,")")</f>
        <v>(0.278 * E4_1_2_13_mRNA) - (0.00000278 * E4_1_2_13)</v>
      </c>
      <c r="M307" t="str">
        <f t="shared" ref="M307:M368" si="76">CONCATENATE("mRNA",A307,": -&gt; ",C307," | ","0.00292"," - ","(","0.0093"," * ",C307,")")</f>
        <v>mRNA306: -&gt; E4_1_2_13_mRNA | 0.00292 - (0.0093 * E4_1_2_13_mRNA)</v>
      </c>
      <c r="N307" t="str">
        <f t="shared" ref="N307:N368" si="77">CONCATENATE("Peptide",A307,": ",C307," -&gt; ",D307," | ","(","0.278"," * ",C307,")"," - ","(","0.000000278"," * ",D307,")")</f>
        <v>Peptide306: E4_1_2_13_mRNA -&gt; E4_1_2_13 | (0.278 * E4_1_2_13_mRNA) - (0.000000278 * E4_1_2_13)</v>
      </c>
    </row>
    <row r="308" spans="1:14" x14ac:dyDescent="0.25">
      <c r="A308">
        <f t="shared" si="65"/>
        <v>307</v>
      </c>
      <c r="B308" s="5" t="s">
        <v>9786</v>
      </c>
      <c r="C308" t="str">
        <f t="shared" si="66"/>
        <v>E4_1_2_25_mRNA</v>
      </c>
      <c r="D308" t="str">
        <f t="shared" si="67"/>
        <v>E4_1_2_25</v>
      </c>
      <c r="E308" t="str">
        <f t="shared" si="68"/>
        <v>E4_1_2_25_kcat : 13.7</v>
      </c>
      <c r="F308" t="str">
        <f t="shared" si="69"/>
        <v>E4_1_2_25_km : 1</v>
      </c>
      <c r="G308" t="str">
        <f t="shared" si="70"/>
        <v>E4_1_2_25_mRNA : E4_1_2_25_mRNA</v>
      </c>
      <c r="H308" t="str">
        <f t="shared" si="71"/>
        <v>E4_1_2_25 : E4_1_2_25</v>
      </c>
      <c r="I308" t="str">
        <f t="shared" si="72"/>
        <v>E4_1_2_25_mRNA : 0</v>
      </c>
      <c r="J308" t="str">
        <f t="shared" si="73"/>
        <v>E4_1_2_25 : 0</v>
      </c>
      <c r="K308" t="str">
        <f t="shared" si="74"/>
        <v>0.00292 - (0.0093 * E4_1_2_25_mRNA)</v>
      </c>
      <c r="L308" t="str">
        <f t="shared" si="75"/>
        <v>(0.278 * E4_1_2_25_mRNA) - (0.00000278 * E4_1_2_25)</v>
      </c>
      <c r="M308" t="str">
        <f t="shared" si="76"/>
        <v>mRNA307: -&gt; E4_1_2_25_mRNA | 0.00292 - (0.0093 * E4_1_2_25_mRNA)</v>
      </c>
      <c r="N308" t="str">
        <f t="shared" si="77"/>
        <v>Peptide307: E4_1_2_25_mRNA -&gt; E4_1_2_25 | (0.278 * E4_1_2_25_mRNA) - (0.000000278 * E4_1_2_25)</v>
      </c>
    </row>
    <row r="309" spans="1:14" x14ac:dyDescent="0.25">
      <c r="A309">
        <f t="shared" si="65"/>
        <v>308</v>
      </c>
      <c r="B309" s="5" t="s">
        <v>9641</v>
      </c>
      <c r="C309" t="str">
        <f t="shared" si="66"/>
        <v>E4_1_2_4_mRNA</v>
      </c>
      <c r="D309" t="str">
        <f t="shared" si="67"/>
        <v>E4_1_2_4</v>
      </c>
      <c r="E309" t="str">
        <f t="shared" si="68"/>
        <v>E4_1_2_4_kcat : 13.7</v>
      </c>
      <c r="F309" t="str">
        <f t="shared" si="69"/>
        <v>E4_1_2_4_km : 1</v>
      </c>
      <c r="G309" t="str">
        <f t="shared" si="70"/>
        <v>E4_1_2_4_mRNA : E4_1_2_4_mRNA</v>
      </c>
      <c r="H309" t="str">
        <f t="shared" si="71"/>
        <v>E4_1_2_4 : E4_1_2_4</v>
      </c>
      <c r="I309" t="str">
        <f t="shared" si="72"/>
        <v>E4_1_2_4_mRNA : 0</v>
      </c>
      <c r="J309" t="str">
        <f t="shared" si="73"/>
        <v>E4_1_2_4 : 0</v>
      </c>
      <c r="K309" t="str">
        <f t="shared" si="74"/>
        <v>0.00292 - (0.0093 * E4_1_2_4_mRNA)</v>
      </c>
      <c r="L309" t="str">
        <f t="shared" si="75"/>
        <v>(0.278 * E4_1_2_4_mRNA) - (0.00000278 * E4_1_2_4)</v>
      </c>
      <c r="M309" t="str">
        <f t="shared" si="76"/>
        <v>mRNA308: -&gt; E4_1_2_4_mRNA | 0.00292 - (0.0093 * E4_1_2_4_mRNA)</v>
      </c>
      <c r="N309" t="str">
        <f t="shared" si="77"/>
        <v>Peptide308: E4_1_2_4_mRNA -&gt; E4_1_2_4 | (0.278 * E4_1_2_4_mRNA) - (0.000000278 * E4_1_2_4)</v>
      </c>
    </row>
    <row r="310" spans="1:14" x14ac:dyDescent="0.25">
      <c r="A310">
        <f t="shared" si="65"/>
        <v>309</v>
      </c>
      <c r="B310" s="5" t="s">
        <v>9633</v>
      </c>
      <c r="C310" t="str">
        <f t="shared" si="66"/>
        <v>E4_1_2_48_mRNA</v>
      </c>
      <c r="D310" t="str">
        <f t="shared" si="67"/>
        <v>E4_1_2_48</v>
      </c>
      <c r="E310" t="str">
        <f t="shared" si="68"/>
        <v>E4_1_2_48_kcat : 13.7</v>
      </c>
      <c r="F310" t="str">
        <f t="shared" si="69"/>
        <v>E4_1_2_48_km : 1</v>
      </c>
      <c r="G310" t="str">
        <f t="shared" si="70"/>
        <v>E4_1_2_48_mRNA : E4_1_2_48_mRNA</v>
      </c>
      <c r="H310" t="str">
        <f t="shared" si="71"/>
        <v>E4_1_2_48 : E4_1_2_48</v>
      </c>
      <c r="I310" t="str">
        <f t="shared" si="72"/>
        <v>E4_1_2_48_mRNA : 0</v>
      </c>
      <c r="J310" t="str">
        <f t="shared" si="73"/>
        <v>E4_1_2_48 : 0</v>
      </c>
      <c r="K310" t="str">
        <f t="shared" si="74"/>
        <v>0.00292 - (0.0093 * E4_1_2_48_mRNA)</v>
      </c>
      <c r="L310" t="str">
        <f t="shared" si="75"/>
        <v>(0.278 * E4_1_2_48_mRNA) - (0.00000278 * E4_1_2_48)</v>
      </c>
      <c r="M310" t="str">
        <f t="shared" si="76"/>
        <v>mRNA309: -&gt; E4_1_2_48_mRNA | 0.00292 - (0.0093 * E4_1_2_48_mRNA)</v>
      </c>
      <c r="N310" t="str">
        <f t="shared" si="77"/>
        <v>Peptide309: E4_1_2_48_mRNA -&gt; E4_1_2_48 | (0.278 * E4_1_2_48_mRNA) - (0.000000278 * E4_1_2_48)</v>
      </c>
    </row>
    <row r="311" spans="1:14" x14ac:dyDescent="0.25">
      <c r="A311">
        <f t="shared" si="65"/>
        <v>310</v>
      </c>
      <c r="B311" s="5" t="s">
        <v>9446</v>
      </c>
      <c r="C311" t="str">
        <f t="shared" si="66"/>
        <v>E4_1_3_1_mRNA</v>
      </c>
      <c r="D311" t="str">
        <f t="shared" si="67"/>
        <v>E4_1_3_1</v>
      </c>
      <c r="E311" t="str">
        <f t="shared" si="68"/>
        <v>E4_1_3_1_kcat : 13.7</v>
      </c>
      <c r="F311" t="str">
        <f t="shared" si="69"/>
        <v>E4_1_3_1_km : 1</v>
      </c>
      <c r="G311" t="str">
        <f t="shared" si="70"/>
        <v>E4_1_3_1_mRNA : E4_1_3_1_mRNA</v>
      </c>
      <c r="H311" t="str">
        <f t="shared" si="71"/>
        <v>E4_1_3_1 : E4_1_3_1</v>
      </c>
      <c r="I311" t="str">
        <f t="shared" si="72"/>
        <v>E4_1_3_1_mRNA : 0</v>
      </c>
      <c r="J311" t="str">
        <f t="shared" si="73"/>
        <v>E4_1_3_1 : 0</v>
      </c>
      <c r="K311" t="str">
        <f t="shared" si="74"/>
        <v>0.00292 - (0.0093 * E4_1_3_1_mRNA)</v>
      </c>
      <c r="L311" t="str">
        <f t="shared" si="75"/>
        <v>(0.278 * E4_1_3_1_mRNA) - (0.00000278 * E4_1_3_1)</v>
      </c>
      <c r="M311" t="str">
        <f t="shared" si="76"/>
        <v>mRNA310: -&gt; E4_1_3_1_mRNA | 0.00292 - (0.0093 * E4_1_3_1_mRNA)</v>
      </c>
      <c r="N311" t="str">
        <f t="shared" si="77"/>
        <v>Peptide310: E4_1_3_1_mRNA -&gt; E4_1_3_1 | (0.278 * E4_1_3_1_mRNA) - (0.000000278 * E4_1_3_1)</v>
      </c>
    </row>
    <row r="312" spans="1:14" x14ac:dyDescent="0.25">
      <c r="A312">
        <f t="shared" si="65"/>
        <v>311</v>
      </c>
      <c r="B312" s="5" t="s">
        <v>9768</v>
      </c>
      <c r="C312" t="str">
        <f t="shared" si="66"/>
        <v>E4_1_3_27_mRNA</v>
      </c>
      <c r="D312" t="str">
        <f t="shared" si="67"/>
        <v>E4_1_3_27</v>
      </c>
      <c r="E312" t="str">
        <f t="shared" si="68"/>
        <v>E4_1_3_27_kcat : 13.7</v>
      </c>
      <c r="F312" t="str">
        <f t="shared" si="69"/>
        <v>E4_1_3_27_km : 1</v>
      </c>
      <c r="G312" t="str">
        <f t="shared" si="70"/>
        <v>E4_1_3_27_mRNA : E4_1_3_27_mRNA</v>
      </c>
      <c r="H312" t="str">
        <f t="shared" si="71"/>
        <v>E4_1_3_27 : E4_1_3_27</v>
      </c>
      <c r="I312" t="str">
        <f t="shared" si="72"/>
        <v>E4_1_3_27_mRNA : 0</v>
      </c>
      <c r="J312" t="str">
        <f t="shared" si="73"/>
        <v>E4_1_3_27 : 0</v>
      </c>
      <c r="K312" t="str">
        <f t="shared" si="74"/>
        <v>0.00292 - (0.0093 * E4_1_3_27_mRNA)</v>
      </c>
      <c r="L312" t="str">
        <f t="shared" si="75"/>
        <v>(0.278 * E4_1_3_27_mRNA) - (0.00000278 * E4_1_3_27)</v>
      </c>
      <c r="M312" t="str">
        <f t="shared" si="76"/>
        <v>mRNA311: -&gt; E4_1_3_27_mRNA | 0.00292 - (0.0093 * E4_1_3_27_mRNA)</v>
      </c>
      <c r="N312" t="str">
        <f t="shared" si="77"/>
        <v>Peptide311: E4_1_3_27_mRNA -&gt; E4_1_3_27 | (0.278 * E4_1_3_27_mRNA) - (0.000000278 * E4_1_3_27)</v>
      </c>
    </row>
    <row r="313" spans="1:14" x14ac:dyDescent="0.25">
      <c r="A313">
        <f t="shared" si="65"/>
        <v>312</v>
      </c>
      <c r="B313" s="5" t="s">
        <v>9615</v>
      </c>
      <c r="C313" t="str">
        <f t="shared" si="66"/>
        <v>E4_1_3_38_mRNA</v>
      </c>
      <c r="D313" t="str">
        <f t="shared" si="67"/>
        <v>E4_1_3_38</v>
      </c>
      <c r="E313" t="str">
        <f t="shared" si="68"/>
        <v>E4_1_3_38_kcat : 13.7</v>
      </c>
      <c r="F313" t="str">
        <f t="shared" si="69"/>
        <v>E4_1_3_38_km : 1</v>
      </c>
      <c r="G313" t="str">
        <f t="shared" si="70"/>
        <v>E4_1_3_38_mRNA : E4_1_3_38_mRNA</v>
      </c>
      <c r="H313" t="str">
        <f t="shared" si="71"/>
        <v>E4_1_3_38 : E4_1_3_38</v>
      </c>
      <c r="I313" t="str">
        <f t="shared" si="72"/>
        <v>E4_1_3_38_mRNA : 0</v>
      </c>
      <c r="J313" t="str">
        <f t="shared" si="73"/>
        <v>E4_1_3_38 : 0</v>
      </c>
      <c r="K313" t="str">
        <f t="shared" si="74"/>
        <v>0.00292 - (0.0093 * E4_1_3_38_mRNA)</v>
      </c>
      <c r="L313" t="str">
        <f t="shared" si="75"/>
        <v>(0.278 * E4_1_3_38_mRNA) - (0.00000278 * E4_1_3_38)</v>
      </c>
      <c r="M313" t="str">
        <f t="shared" si="76"/>
        <v>mRNA312: -&gt; E4_1_3_38_mRNA | 0.00292 - (0.0093 * E4_1_3_38_mRNA)</v>
      </c>
      <c r="N313" t="str">
        <f t="shared" si="77"/>
        <v>Peptide312: E4_1_3_38_mRNA -&gt; E4_1_3_38 | (0.278 * E4_1_3_38_mRNA) - (0.000000278 * E4_1_3_38)</v>
      </c>
    </row>
    <row r="314" spans="1:14" x14ac:dyDescent="0.25">
      <c r="A314">
        <f t="shared" si="65"/>
        <v>313</v>
      </c>
      <c r="B314" s="5" t="s">
        <v>9740</v>
      </c>
      <c r="C314" t="str">
        <f t="shared" si="66"/>
        <v>E4_1_3_4_mRNA</v>
      </c>
      <c r="D314" t="str">
        <f t="shared" si="67"/>
        <v>E4_1_3_4</v>
      </c>
      <c r="E314" t="str">
        <f t="shared" si="68"/>
        <v>E4_1_3_4_kcat : 13.7</v>
      </c>
      <c r="F314" t="str">
        <f t="shared" si="69"/>
        <v>E4_1_3_4_km : 1</v>
      </c>
      <c r="G314" t="str">
        <f t="shared" si="70"/>
        <v>E4_1_3_4_mRNA : E4_1_3_4_mRNA</v>
      </c>
      <c r="H314" t="str">
        <f t="shared" si="71"/>
        <v>E4_1_3_4 : E4_1_3_4</v>
      </c>
      <c r="I314" t="str">
        <f t="shared" si="72"/>
        <v>E4_1_3_4_mRNA : 0</v>
      </c>
      <c r="J314" t="str">
        <f t="shared" si="73"/>
        <v>E4_1_3_4 : 0</v>
      </c>
      <c r="K314" t="str">
        <f t="shared" si="74"/>
        <v>0.00292 - (0.0093 * E4_1_3_4_mRNA)</v>
      </c>
      <c r="L314" t="str">
        <f t="shared" si="75"/>
        <v>(0.278 * E4_1_3_4_mRNA) - (0.00000278 * E4_1_3_4)</v>
      </c>
      <c r="M314" t="str">
        <f t="shared" si="76"/>
        <v>mRNA313: -&gt; E4_1_3_4_mRNA | 0.00292 - (0.0093 * E4_1_3_4_mRNA)</v>
      </c>
      <c r="N314" t="str">
        <f t="shared" si="77"/>
        <v>Peptide313: E4_1_3_4_mRNA -&gt; E4_1_3_4 | (0.278 * E4_1_3_4_mRNA) - (0.000000278 * E4_1_3_4)</v>
      </c>
    </row>
    <row r="315" spans="1:14" x14ac:dyDescent="0.25">
      <c r="A315">
        <f t="shared" si="65"/>
        <v>314</v>
      </c>
      <c r="B315" s="5" t="s">
        <v>9516</v>
      </c>
      <c r="C315" t="str">
        <f t="shared" si="66"/>
        <v>E4_1_99_12_mRNA</v>
      </c>
      <c r="D315" t="str">
        <f t="shared" si="67"/>
        <v>E4_1_99_12</v>
      </c>
      <c r="E315" t="str">
        <f t="shared" si="68"/>
        <v>E4_1_99_12_kcat : 13.7</v>
      </c>
      <c r="F315" t="str">
        <f t="shared" si="69"/>
        <v>E4_1_99_12_km : 1</v>
      </c>
      <c r="G315" t="str">
        <f t="shared" si="70"/>
        <v>E4_1_99_12_mRNA : E4_1_99_12_mRNA</v>
      </c>
      <c r="H315" t="str">
        <f t="shared" si="71"/>
        <v>E4_1_99_12 : E4_1_99_12</v>
      </c>
      <c r="I315" t="str">
        <f t="shared" si="72"/>
        <v>E4_1_99_12_mRNA : 0</v>
      </c>
      <c r="J315" t="str">
        <f t="shared" si="73"/>
        <v>E4_1_99_12 : 0</v>
      </c>
      <c r="K315" t="str">
        <f t="shared" si="74"/>
        <v>0.00292 - (0.0093 * E4_1_99_12_mRNA)</v>
      </c>
      <c r="L315" t="str">
        <f t="shared" si="75"/>
        <v>(0.278 * E4_1_99_12_mRNA) - (0.00000278 * E4_1_99_12)</v>
      </c>
      <c r="M315" t="str">
        <f t="shared" si="76"/>
        <v>mRNA314: -&gt; E4_1_99_12_mRNA | 0.00292 - (0.0093 * E4_1_99_12_mRNA)</v>
      </c>
      <c r="N315" t="str">
        <f t="shared" si="77"/>
        <v>Peptide314: E4_1_99_12_mRNA -&gt; E4_1_99_12 | (0.278 * E4_1_99_12_mRNA) - (0.000000278 * E4_1_99_12)</v>
      </c>
    </row>
    <row r="316" spans="1:14" x14ac:dyDescent="0.25">
      <c r="A316">
        <f t="shared" si="65"/>
        <v>315</v>
      </c>
      <c r="B316" s="5" t="s">
        <v>9568</v>
      </c>
      <c r="C316" t="str">
        <f t="shared" si="66"/>
        <v>E4_1_99_17_mRNA</v>
      </c>
      <c r="D316" t="str">
        <f t="shared" si="67"/>
        <v>E4_1_99_17</v>
      </c>
      <c r="E316" t="str">
        <f t="shared" si="68"/>
        <v>E4_1_99_17_kcat : 13.7</v>
      </c>
      <c r="F316" t="str">
        <f t="shared" si="69"/>
        <v>E4_1_99_17_km : 1</v>
      </c>
      <c r="G316" t="str">
        <f t="shared" si="70"/>
        <v>E4_1_99_17_mRNA : E4_1_99_17_mRNA</v>
      </c>
      <c r="H316" t="str">
        <f t="shared" si="71"/>
        <v>E4_1_99_17 : E4_1_99_17</v>
      </c>
      <c r="I316" t="str">
        <f t="shared" si="72"/>
        <v>E4_1_99_17_mRNA : 0</v>
      </c>
      <c r="J316" t="str">
        <f t="shared" si="73"/>
        <v>E4_1_99_17 : 0</v>
      </c>
      <c r="K316" t="str">
        <f t="shared" si="74"/>
        <v>0.00292 - (0.0093 * E4_1_99_17_mRNA)</v>
      </c>
      <c r="L316" t="str">
        <f t="shared" si="75"/>
        <v>(0.278 * E4_1_99_17_mRNA) - (0.00000278 * E4_1_99_17)</v>
      </c>
      <c r="M316" t="str">
        <f t="shared" si="76"/>
        <v>mRNA315: -&gt; E4_1_99_17_mRNA | 0.00292 - (0.0093 * E4_1_99_17_mRNA)</v>
      </c>
      <c r="N316" t="str">
        <f t="shared" si="77"/>
        <v>Peptide315: E4_1_99_17_mRNA -&gt; E4_1_99_17 | (0.278 * E4_1_99_17_mRNA) - (0.000000278 * E4_1_99_17)</v>
      </c>
    </row>
    <row r="317" spans="1:14" x14ac:dyDescent="0.25">
      <c r="A317">
        <f t="shared" si="65"/>
        <v>316</v>
      </c>
      <c r="B317" s="5" t="s">
        <v>9631</v>
      </c>
      <c r="C317" t="str">
        <f t="shared" si="66"/>
        <v>E4_1_99_3_mRNA</v>
      </c>
      <c r="D317" t="str">
        <f t="shared" si="67"/>
        <v>E4_1_99_3</v>
      </c>
      <c r="E317" t="str">
        <f t="shared" si="68"/>
        <v>E4_1_99_3_kcat : 13.7</v>
      </c>
      <c r="F317" t="str">
        <f t="shared" si="69"/>
        <v>E4_1_99_3_km : 1</v>
      </c>
      <c r="G317" t="str">
        <f t="shared" si="70"/>
        <v>E4_1_99_3_mRNA : E4_1_99_3_mRNA</v>
      </c>
      <c r="H317" t="str">
        <f t="shared" si="71"/>
        <v>E4_1_99_3 : E4_1_99_3</v>
      </c>
      <c r="I317" t="str">
        <f t="shared" si="72"/>
        <v>E4_1_99_3_mRNA : 0</v>
      </c>
      <c r="J317" t="str">
        <f t="shared" si="73"/>
        <v>E4_1_99_3 : 0</v>
      </c>
      <c r="K317" t="str">
        <f t="shared" si="74"/>
        <v>0.00292 - (0.0093 * E4_1_99_3_mRNA)</v>
      </c>
      <c r="L317" t="str">
        <f t="shared" si="75"/>
        <v>(0.278 * E4_1_99_3_mRNA) - (0.00000278 * E4_1_99_3)</v>
      </c>
      <c r="M317" t="str">
        <f t="shared" si="76"/>
        <v>mRNA316: -&gt; E4_1_99_3_mRNA | 0.00292 - (0.0093 * E4_1_99_3_mRNA)</v>
      </c>
      <c r="N317" t="str">
        <f t="shared" si="77"/>
        <v>Peptide316: E4_1_99_3_mRNA -&gt; E4_1_99_3 | (0.278 * E4_1_99_3_mRNA) - (0.000000278 * E4_1_99_3)</v>
      </c>
    </row>
    <row r="318" spans="1:14" x14ac:dyDescent="0.25">
      <c r="A318">
        <f t="shared" si="65"/>
        <v>317</v>
      </c>
      <c r="B318" s="5" t="s">
        <v>9495</v>
      </c>
      <c r="C318" t="str">
        <f t="shared" si="66"/>
        <v>E4_2_1_10_mRNA</v>
      </c>
      <c r="D318" t="str">
        <f t="shared" si="67"/>
        <v>E4_2_1_10</v>
      </c>
      <c r="E318" t="str">
        <f t="shared" si="68"/>
        <v>E4_2_1_10_kcat : 13.7</v>
      </c>
      <c r="F318" t="str">
        <f t="shared" si="69"/>
        <v>E4_2_1_10_km : 1</v>
      </c>
      <c r="G318" t="str">
        <f t="shared" si="70"/>
        <v>E4_2_1_10_mRNA : E4_2_1_10_mRNA</v>
      </c>
      <c r="H318" t="str">
        <f t="shared" si="71"/>
        <v>E4_2_1_10 : E4_2_1_10</v>
      </c>
      <c r="I318" t="str">
        <f t="shared" si="72"/>
        <v>E4_2_1_10_mRNA : 0</v>
      </c>
      <c r="J318" t="str">
        <f t="shared" si="73"/>
        <v>E4_2_1_10 : 0</v>
      </c>
      <c r="K318" t="str">
        <f t="shared" si="74"/>
        <v>0.00292 - (0.0093 * E4_2_1_10_mRNA)</v>
      </c>
      <c r="L318" t="str">
        <f t="shared" si="75"/>
        <v>(0.278 * E4_2_1_10_mRNA) - (0.00000278 * E4_2_1_10)</v>
      </c>
      <c r="M318" t="str">
        <f t="shared" si="76"/>
        <v>mRNA317: -&gt; E4_2_1_10_mRNA | 0.00292 - (0.0093 * E4_2_1_10_mRNA)</v>
      </c>
      <c r="N318" t="str">
        <f t="shared" si="77"/>
        <v>Peptide317: E4_2_1_10_mRNA -&gt; E4_2_1_10 | (0.278 * E4_2_1_10_mRNA) - (0.000000278 * E4_2_1_10)</v>
      </c>
    </row>
    <row r="319" spans="1:14" x14ac:dyDescent="0.25">
      <c r="A319">
        <f t="shared" si="65"/>
        <v>318</v>
      </c>
      <c r="B319" s="5" t="s">
        <v>9387</v>
      </c>
      <c r="C319" t="str">
        <f t="shared" si="66"/>
        <v>E4_2_1_11_mRNA</v>
      </c>
      <c r="D319" t="str">
        <f t="shared" si="67"/>
        <v>E4_2_1_11</v>
      </c>
      <c r="E319" t="str">
        <f t="shared" si="68"/>
        <v>E4_2_1_11_kcat : 13.7</v>
      </c>
      <c r="F319" t="str">
        <f t="shared" si="69"/>
        <v>E4_2_1_11_km : 1</v>
      </c>
      <c r="G319" t="str">
        <f t="shared" si="70"/>
        <v>E4_2_1_11_mRNA : E4_2_1_11_mRNA</v>
      </c>
      <c r="H319" t="str">
        <f t="shared" si="71"/>
        <v>E4_2_1_11 : E4_2_1_11</v>
      </c>
      <c r="I319" t="str">
        <f t="shared" si="72"/>
        <v>E4_2_1_11_mRNA : 0</v>
      </c>
      <c r="J319" t="str">
        <f t="shared" si="73"/>
        <v>E4_2_1_11 : 0</v>
      </c>
      <c r="K319" t="str">
        <f t="shared" si="74"/>
        <v>0.00292 - (0.0093 * E4_2_1_11_mRNA)</v>
      </c>
      <c r="L319" t="str">
        <f t="shared" si="75"/>
        <v>(0.278 * E4_2_1_11_mRNA) - (0.00000278 * E4_2_1_11)</v>
      </c>
      <c r="M319" t="str">
        <f t="shared" si="76"/>
        <v>mRNA318: -&gt; E4_2_1_11_mRNA | 0.00292 - (0.0093 * E4_2_1_11_mRNA)</v>
      </c>
      <c r="N319" t="str">
        <f t="shared" si="77"/>
        <v>Peptide318: E4_2_1_11_mRNA -&gt; E4_2_1_11 | (0.278 * E4_2_1_11_mRNA) - (0.000000278 * E4_2_1_11)</v>
      </c>
    </row>
    <row r="320" spans="1:14" x14ac:dyDescent="0.25">
      <c r="A320">
        <f t="shared" si="65"/>
        <v>319</v>
      </c>
      <c r="B320" s="5" t="s">
        <v>9418</v>
      </c>
      <c r="C320" t="str">
        <f t="shared" si="66"/>
        <v>E4_2_1_17_mRNA</v>
      </c>
      <c r="D320" t="str">
        <f t="shared" si="67"/>
        <v>E4_2_1_17</v>
      </c>
      <c r="E320" t="str">
        <f t="shared" si="68"/>
        <v>E4_2_1_17_kcat : 13.7</v>
      </c>
      <c r="F320" t="str">
        <f t="shared" si="69"/>
        <v>E4_2_1_17_km : 1</v>
      </c>
      <c r="G320" t="str">
        <f t="shared" si="70"/>
        <v>E4_2_1_17_mRNA : E4_2_1_17_mRNA</v>
      </c>
      <c r="H320" t="str">
        <f t="shared" si="71"/>
        <v>E4_2_1_17 : E4_2_1_17</v>
      </c>
      <c r="I320" t="str">
        <f t="shared" si="72"/>
        <v>E4_2_1_17_mRNA : 0</v>
      </c>
      <c r="J320" t="str">
        <f t="shared" si="73"/>
        <v>E4_2_1_17 : 0</v>
      </c>
      <c r="K320" t="str">
        <f t="shared" si="74"/>
        <v>0.00292 - (0.0093 * E4_2_1_17_mRNA)</v>
      </c>
      <c r="L320" t="str">
        <f t="shared" si="75"/>
        <v>(0.278 * E4_2_1_17_mRNA) - (0.00000278 * E4_2_1_17)</v>
      </c>
      <c r="M320" t="str">
        <f t="shared" si="76"/>
        <v>mRNA319: -&gt; E4_2_1_17_mRNA | 0.00292 - (0.0093 * E4_2_1_17_mRNA)</v>
      </c>
      <c r="N320" t="str">
        <f t="shared" si="77"/>
        <v>Peptide319: E4_2_1_17_mRNA -&gt; E4_2_1_17 | (0.278 * E4_2_1_17_mRNA) - (0.000000278 * E4_2_1_17)</v>
      </c>
    </row>
    <row r="321" spans="1:14" x14ac:dyDescent="0.25">
      <c r="A321">
        <f t="shared" si="65"/>
        <v>320</v>
      </c>
      <c r="B321" s="5" t="s">
        <v>9686</v>
      </c>
      <c r="C321" t="str">
        <f t="shared" si="66"/>
        <v>E4_2_1_19_mRNA</v>
      </c>
      <c r="D321" t="str">
        <f t="shared" si="67"/>
        <v>E4_2_1_19</v>
      </c>
      <c r="E321" t="str">
        <f t="shared" si="68"/>
        <v>E4_2_1_19_kcat : 13.7</v>
      </c>
      <c r="F321" t="str">
        <f t="shared" si="69"/>
        <v>E4_2_1_19_km : 1</v>
      </c>
      <c r="G321" t="str">
        <f t="shared" si="70"/>
        <v>E4_2_1_19_mRNA : E4_2_1_19_mRNA</v>
      </c>
      <c r="H321" t="str">
        <f t="shared" si="71"/>
        <v>E4_2_1_19 : E4_2_1_19</v>
      </c>
      <c r="I321" t="str">
        <f t="shared" si="72"/>
        <v>E4_2_1_19_mRNA : 0</v>
      </c>
      <c r="J321" t="str">
        <f t="shared" si="73"/>
        <v>E4_2_1_19 : 0</v>
      </c>
      <c r="K321" t="str">
        <f t="shared" si="74"/>
        <v>0.00292 - (0.0093 * E4_2_1_19_mRNA)</v>
      </c>
      <c r="L321" t="str">
        <f t="shared" si="75"/>
        <v>(0.278 * E4_2_1_19_mRNA) - (0.00000278 * E4_2_1_19)</v>
      </c>
      <c r="M321" t="str">
        <f t="shared" si="76"/>
        <v>mRNA320: -&gt; E4_2_1_19_mRNA | 0.00292 - (0.0093 * E4_2_1_19_mRNA)</v>
      </c>
      <c r="N321" t="str">
        <f t="shared" si="77"/>
        <v>Peptide320: E4_2_1_19_mRNA -&gt; E4_2_1_19 | (0.278 * E4_2_1_19_mRNA) - (0.000000278 * E4_2_1_19)</v>
      </c>
    </row>
    <row r="322" spans="1:14" x14ac:dyDescent="0.25">
      <c r="A322">
        <f t="shared" si="65"/>
        <v>321</v>
      </c>
      <c r="B322" s="5" t="s">
        <v>9650</v>
      </c>
      <c r="C322" t="str">
        <f t="shared" si="66"/>
        <v>E4_2_1_2_mRNA</v>
      </c>
      <c r="D322" t="str">
        <f t="shared" si="67"/>
        <v>E4_2_1_2</v>
      </c>
      <c r="E322" t="str">
        <f t="shared" si="68"/>
        <v>E4_2_1_2_kcat : 13.7</v>
      </c>
      <c r="F322" t="str">
        <f t="shared" si="69"/>
        <v>E4_2_1_2_km : 1</v>
      </c>
      <c r="G322" t="str">
        <f t="shared" si="70"/>
        <v>E4_2_1_2_mRNA : E4_2_1_2_mRNA</v>
      </c>
      <c r="H322" t="str">
        <f t="shared" si="71"/>
        <v>E4_2_1_2 : E4_2_1_2</v>
      </c>
      <c r="I322" t="str">
        <f t="shared" si="72"/>
        <v>E4_2_1_2_mRNA : 0</v>
      </c>
      <c r="J322" t="str">
        <f t="shared" si="73"/>
        <v>E4_2_1_2 : 0</v>
      </c>
      <c r="K322" t="str">
        <f t="shared" si="74"/>
        <v>0.00292 - (0.0093 * E4_2_1_2_mRNA)</v>
      </c>
      <c r="L322" t="str">
        <f t="shared" si="75"/>
        <v>(0.278 * E4_2_1_2_mRNA) - (0.00000278 * E4_2_1_2)</v>
      </c>
      <c r="M322" t="str">
        <f t="shared" si="76"/>
        <v>mRNA321: -&gt; E4_2_1_2_mRNA | 0.00292 - (0.0093 * E4_2_1_2_mRNA)</v>
      </c>
      <c r="N322" t="str">
        <f t="shared" si="77"/>
        <v>Peptide321: E4_2_1_2_mRNA -&gt; E4_2_1_2 | (0.278 * E4_2_1_2_mRNA) - (0.000000278 * E4_2_1_2)</v>
      </c>
    </row>
    <row r="323" spans="1:14" x14ac:dyDescent="0.25">
      <c r="A323">
        <f t="shared" si="65"/>
        <v>322</v>
      </c>
      <c r="B323" s="5" t="s">
        <v>9716</v>
      </c>
      <c r="C323" t="str">
        <f t="shared" si="66"/>
        <v>E4_2_1_20_mRNA</v>
      </c>
      <c r="D323" t="str">
        <f t="shared" si="67"/>
        <v>E4_2_1_20</v>
      </c>
      <c r="E323" t="str">
        <f t="shared" si="68"/>
        <v>E4_2_1_20_kcat : 13.7</v>
      </c>
      <c r="F323" t="str">
        <f t="shared" si="69"/>
        <v>E4_2_1_20_km : 1</v>
      </c>
      <c r="G323" t="str">
        <f t="shared" si="70"/>
        <v>E4_2_1_20_mRNA : E4_2_1_20_mRNA</v>
      </c>
      <c r="H323" t="str">
        <f t="shared" si="71"/>
        <v>E4_2_1_20 : E4_2_1_20</v>
      </c>
      <c r="I323" t="str">
        <f t="shared" si="72"/>
        <v>E4_2_1_20_mRNA : 0</v>
      </c>
      <c r="J323" t="str">
        <f t="shared" si="73"/>
        <v>E4_2_1_20 : 0</v>
      </c>
      <c r="K323" t="str">
        <f t="shared" si="74"/>
        <v>0.00292 - (0.0093 * E4_2_1_20_mRNA)</v>
      </c>
      <c r="L323" t="str">
        <f t="shared" si="75"/>
        <v>(0.278 * E4_2_1_20_mRNA) - (0.00000278 * E4_2_1_20)</v>
      </c>
      <c r="M323" t="str">
        <f t="shared" si="76"/>
        <v>mRNA322: -&gt; E4_2_1_20_mRNA | 0.00292 - (0.0093 * E4_2_1_20_mRNA)</v>
      </c>
      <c r="N323" t="str">
        <f t="shared" si="77"/>
        <v>Peptide322: E4_2_1_20_mRNA -&gt; E4_2_1_20 | (0.278 * E4_2_1_20_mRNA) - (0.000000278 * E4_2_1_20)</v>
      </c>
    </row>
    <row r="324" spans="1:14" x14ac:dyDescent="0.25">
      <c r="A324">
        <f t="shared" si="65"/>
        <v>323</v>
      </c>
      <c r="B324" s="5" t="s">
        <v>9482</v>
      </c>
      <c r="C324" t="str">
        <f t="shared" si="66"/>
        <v>E4_2_1_24_mRNA</v>
      </c>
      <c r="D324" t="str">
        <f t="shared" si="67"/>
        <v>E4_2_1_24</v>
      </c>
      <c r="E324" t="str">
        <f t="shared" si="68"/>
        <v>E4_2_1_24_kcat : 13.7</v>
      </c>
      <c r="F324" t="str">
        <f t="shared" si="69"/>
        <v>E4_2_1_24_km : 1</v>
      </c>
      <c r="G324" t="str">
        <f t="shared" si="70"/>
        <v>E4_2_1_24_mRNA : E4_2_1_24_mRNA</v>
      </c>
      <c r="H324" t="str">
        <f t="shared" si="71"/>
        <v>E4_2_1_24 : E4_2_1_24</v>
      </c>
      <c r="I324" t="str">
        <f t="shared" si="72"/>
        <v>E4_2_1_24_mRNA : 0</v>
      </c>
      <c r="J324" t="str">
        <f t="shared" si="73"/>
        <v>E4_2_1_24 : 0</v>
      </c>
      <c r="K324" t="str">
        <f t="shared" si="74"/>
        <v>0.00292 - (0.0093 * E4_2_1_24_mRNA)</v>
      </c>
      <c r="L324" t="str">
        <f t="shared" si="75"/>
        <v>(0.278 * E4_2_1_24_mRNA) - (0.00000278 * E4_2_1_24)</v>
      </c>
      <c r="M324" t="str">
        <f t="shared" si="76"/>
        <v>mRNA323: -&gt; E4_2_1_24_mRNA | 0.00292 - (0.0093 * E4_2_1_24_mRNA)</v>
      </c>
      <c r="N324" t="str">
        <f t="shared" si="77"/>
        <v>Peptide323: E4_2_1_24_mRNA -&gt; E4_2_1_24 | (0.278 * E4_2_1_24_mRNA) - (0.000000278 * E4_2_1_24)</v>
      </c>
    </row>
    <row r="325" spans="1:14" x14ac:dyDescent="0.25">
      <c r="A325">
        <f t="shared" si="65"/>
        <v>324</v>
      </c>
      <c r="B325" s="5" t="s">
        <v>9691</v>
      </c>
      <c r="C325" t="str">
        <f t="shared" si="66"/>
        <v>E4_2_1_3_mRNA</v>
      </c>
      <c r="D325" t="str">
        <f t="shared" si="67"/>
        <v>E4_2_1_3</v>
      </c>
      <c r="E325" t="str">
        <f t="shared" si="68"/>
        <v>E4_2_1_3_kcat : 13.7</v>
      </c>
      <c r="F325" t="str">
        <f t="shared" si="69"/>
        <v>E4_2_1_3_km : 1</v>
      </c>
      <c r="G325" t="str">
        <f t="shared" si="70"/>
        <v>E4_2_1_3_mRNA : E4_2_1_3_mRNA</v>
      </c>
      <c r="H325" t="str">
        <f t="shared" si="71"/>
        <v>E4_2_1_3 : E4_2_1_3</v>
      </c>
      <c r="I325" t="str">
        <f t="shared" si="72"/>
        <v>E4_2_1_3_mRNA : 0</v>
      </c>
      <c r="J325" t="str">
        <f t="shared" si="73"/>
        <v>E4_2_1_3 : 0</v>
      </c>
      <c r="K325" t="str">
        <f t="shared" si="74"/>
        <v>0.00292 - (0.0093 * E4_2_1_3_mRNA)</v>
      </c>
      <c r="L325" t="str">
        <f t="shared" si="75"/>
        <v>(0.278 * E4_2_1_3_mRNA) - (0.00000278 * E4_2_1_3)</v>
      </c>
      <c r="M325" t="str">
        <f t="shared" si="76"/>
        <v>mRNA324: -&gt; E4_2_1_3_mRNA | 0.00292 - (0.0093 * E4_2_1_3_mRNA)</v>
      </c>
      <c r="N325" t="str">
        <f t="shared" si="77"/>
        <v>Peptide324: E4_2_1_3_mRNA -&gt; E4_2_1_3 | (0.278 * E4_2_1_3_mRNA) - (0.000000278 * E4_2_1_3)</v>
      </c>
    </row>
    <row r="326" spans="1:14" x14ac:dyDescent="0.25">
      <c r="A326">
        <f t="shared" si="65"/>
        <v>325</v>
      </c>
      <c r="B326" s="5" t="s">
        <v>9661</v>
      </c>
      <c r="C326" t="str">
        <f t="shared" si="66"/>
        <v>E4_2_1_33_mRNA</v>
      </c>
      <c r="D326" t="str">
        <f t="shared" si="67"/>
        <v>E4_2_1_33</v>
      </c>
      <c r="E326" t="str">
        <f t="shared" si="68"/>
        <v>E4_2_1_33_kcat : 13.7</v>
      </c>
      <c r="F326" t="str">
        <f t="shared" si="69"/>
        <v>E4_2_1_33_km : 1</v>
      </c>
      <c r="G326" t="str">
        <f t="shared" si="70"/>
        <v>E4_2_1_33_mRNA : E4_2_1_33_mRNA</v>
      </c>
      <c r="H326" t="str">
        <f t="shared" si="71"/>
        <v>E4_2_1_33 : E4_2_1_33</v>
      </c>
      <c r="I326" t="str">
        <f t="shared" si="72"/>
        <v>E4_2_1_33_mRNA : 0</v>
      </c>
      <c r="J326" t="str">
        <f t="shared" si="73"/>
        <v>E4_2_1_33 : 0</v>
      </c>
      <c r="K326" t="str">
        <f t="shared" si="74"/>
        <v>0.00292 - (0.0093 * E4_2_1_33_mRNA)</v>
      </c>
      <c r="L326" t="str">
        <f t="shared" si="75"/>
        <v>(0.278 * E4_2_1_33_mRNA) - (0.00000278 * E4_2_1_33)</v>
      </c>
      <c r="M326" t="str">
        <f t="shared" si="76"/>
        <v>mRNA325: -&gt; E4_2_1_33_mRNA | 0.00292 - (0.0093 * E4_2_1_33_mRNA)</v>
      </c>
      <c r="N326" t="str">
        <f t="shared" si="77"/>
        <v>Peptide325: E4_2_1_33_mRNA -&gt; E4_2_1_33 | (0.278 * E4_2_1_33_mRNA) - (0.000000278 * E4_2_1_33)</v>
      </c>
    </row>
    <row r="327" spans="1:14" x14ac:dyDescent="0.25">
      <c r="A327">
        <f t="shared" si="65"/>
        <v>326</v>
      </c>
      <c r="B327" s="5" t="s">
        <v>9405</v>
      </c>
      <c r="C327" t="str">
        <f t="shared" si="66"/>
        <v>E4_2_1_36_mRNA</v>
      </c>
      <c r="D327" t="str">
        <f t="shared" si="67"/>
        <v>E4_2_1_36</v>
      </c>
      <c r="E327" t="str">
        <f t="shared" si="68"/>
        <v>E4_2_1_36_kcat : 13.7</v>
      </c>
      <c r="F327" t="str">
        <f t="shared" si="69"/>
        <v>E4_2_1_36_km : 1</v>
      </c>
      <c r="G327" t="str">
        <f t="shared" si="70"/>
        <v>E4_2_1_36_mRNA : E4_2_1_36_mRNA</v>
      </c>
      <c r="H327" t="str">
        <f t="shared" si="71"/>
        <v>E4_2_1_36 : E4_2_1_36</v>
      </c>
      <c r="I327" t="str">
        <f t="shared" si="72"/>
        <v>E4_2_1_36_mRNA : 0</v>
      </c>
      <c r="J327" t="str">
        <f t="shared" si="73"/>
        <v>E4_2_1_36 : 0</v>
      </c>
      <c r="K327" t="str">
        <f t="shared" si="74"/>
        <v>0.00292 - (0.0093 * E4_2_1_36_mRNA)</v>
      </c>
      <c r="L327" t="str">
        <f t="shared" si="75"/>
        <v>(0.278 * E4_2_1_36_mRNA) - (0.00000278 * E4_2_1_36)</v>
      </c>
      <c r="M327" t="str">
        <f t="shared" si="76"/>
        <v>mRNA326: -&gt; E4_2_1_36_mRNA | 0.00292 - (0.0093 * E4_2_1_36_mRNA)</v>
      </c>
      <c r="N327" t="str">
        <f t="shared" si="77"/>
        <v>Peptide326: E4_2_1_36_mRNA -&gt; E4_2_1_36 | (0.278 * E4_2_1_36_mRNA) - (0.000000278 * E4_2_1_36)</v>
      </c>
    </row>
    <row r="328" spans="1:14" x14ac:dyDescent="0.25">
      <c r="A328">
        <f t="shared" si="65"/>
        <v>327</v>
      </c>
      <c r="B328" s="5" t="s">
        <v>9532</v>
      </c>
      <c r="C328" t="str">
        <f t="shared" si="66"/>
        <v>E4_2_1_47_mRNA</v>
      </c>
      <c r="D328" t="str">
        <f t="shared" si="67"/>
        <v>E4_2_1_47</v>
      </c>
      <c r="E328" t="str">
        <f t="shared" si="68"/>
        <v>E4_2_1_47_kcat : 13.7</v>
      </c>
      <c r="F328" t="str">
        <f t="shared" si="69"/>
        <v>E4_2_1_47_km : 1</v>
      </c>
      <c r="G328" t="str">
        <f t="shared" si="70"/>
        <v>E4_2_1_47_mRNA : E4_2_1_47_mRNA</v>
      </c>
      <c r="H328" t="str">
        <f t="shared" si="71"/>
        <v>E4_2_1_47 : E4_2_1_47</v>
      </c>
      <c r="I328" t="str">
        <f t="shared" si="72"/>
        <v>E4_2_1_47_mRNA : 0</v>
      </c>
      <c r="J328" t="str">
        <f t="shared" si="73"/>
        <v>E4_2_1_47 : 0</v>
      </c>
      <c r="K328" t="str">
        <f t="shared" si="74"/>
        <v>0.00292 - (0.0093 * E4_2_1_47_mRNA)</v>
      </c>
      <c r="L328" t="str">
        <f t="shared" si="75"/>
        <v>(0.278 * E4_2_1_47_mRNA) - (0.00000278 * E4_2_1_47)</v>
      </c>
      <c r="M328" t="str">
        <f t="shared" si="76"/>
        <v>mRNA327: -&gt; E4_2_1_47_mRNA | 0.00292 - (0.0093 * E4_2_1_47_mRNA)</v>
      </c>
      <c r="N328" t="str">
        <f t="shared" si="77"/>
        <v>Peptide327: E4_2_1_47_mRNA -&gt; E4_2_1_47 | (0.278 * E4_2_1_47_mRNA) - (0.000000278 * E4_2_1_47)</v>
      </c>
    </row>
    <row r="329" spans="1:14" x14ac:dyDescent="0.25">
      <c r="A329">
        <f t="shared" si="65"/>
        <v>328</v>
      </c>
      <c r="B329" s="5" t="s">
        <v>9719</v>
      </c>
      <c r="C329" t="str">
        <f t="shared" si="66"/>
        <v>E4_2_1_51_mRNA</v>
      </c>
      <c r="D329" t="str">
        <f t="shared" si="67"/>
        <v>E4_2_1_51</v>
      </c>
      <c r="E329" t="str">
        <f t="shared" si="68"/>
        <v>E4_2_1_51_kcat : 13.7</v>
      </c>
      <c r="F329" t="str">
        <f t="shared" si="69"/>
        <v>E4_2_1_51_km : 1</v>
      </c>
      <c r="G329" t="str">
        <f t="shared" si="70"/>
        <v>E4_2_1_51_mRNA : E4_2_1_51_mRNA</v>
      </c>
      <c r="H329" t="str">
        <f t="shared" si="71"/>
        <v>E4_2_1_51 : E4_2_1_51</v>
      </c>
      <c r="I329" t="str">
        <f t="shared" si="72"/>
        <v>E4_2_1_51_mRNA : 0</v>
      </c>
      <c r="J329" t="str">
        <f t="shared" si="73"/>
        <v>E4_2_1_51 : 0</v>
      </c>
      <c r="K329" t="str">
        <f t="shared" si="74"/>
        <v>0.00292 - (0.0093 * E4_2_1_51_mRNA)</v>
      </c>
      <c r="L329" t="str">
        <f t="shared" si="75"/>
        <v>(0.278 * E4_2_1_51_mRNA) - (0.00000278 * E4_2_1_51)</v>
      </c>
      <c r="M329" t="str">
        <f t="shared" si="76"/>
        <v>mRNA328: -&gt; E4_2_1_51_mRNA | 0.00292 - (0.0093 * E4_2_1_51_mRNA)</v>
      </c>
      <c r="N329" t="str">
        <f t="shared" si="77"/>
        <v>Peptide328: E4_2_1_51_mRNA -&gt; E4_2_1_51 | (0.278 * E4_2_1_51_mRNA) - (0.000000278 * E4_2_1_51)</v>
      </c>
    </row>
    <row r="330" spans="1:14" x14ac:dyDescent="0.25">
      <c r="A330">
        <f t="shared" si="65"/>
        <v>329</v>
      </c>
      <c r="B330" s="5" t="s">
        <v>9449</v>
      </c>
      <c r="C330" t="str">
        <f t="shared" si="66"/>
        <v>E4_2_1_59_mRNA</v>
      </c>
      <c r="D330" t="str">
        <f t="shared" si="67"/>
        <v>E4_2_1_59</v>
      </c>
      <c r="E330" t="str">
        <f t="shared" si="68"/>
        <v>E4_2_1_59_kcat : 13.7</v>
      </c>
      <c r="F330" t="str">
        <f t="shared" si="69"/>
        <v>E4_2_1_59_km : 1</v>
      </c>
      <c r="G330" t="str">
        <f t="shared" si="70"/>
        <v>E4_2_1_59_mRNA : E4_2_1_59_mRNA</v>
      </c>
      <c r="H330" t="str">
        <f t="shared" si="71"/>
        <v>E4_2_1_59 : E4_2_1_59</v>
      </c>
      <c r="I330" t="str">
        <f t="shared" si="72"/>
        <v>E4_2_1_59_mRNA : 0</v>
      </c>
      <c r="J330" t="str">
        <f t="shared" si="73"/>
        <v>E4_2_1_59 : 0</v>
      </c>
      <c r="K330" t="str">
        <f t="shared" si="74"/>
        <v>0.00292 - (0.0093 * E4_2_1_59_mRNA)</v>
      </c>
      <c r="L330" t="str">
        <f t="shared" si="75"/>
        <v>(0.278 * E4_2_1_59_mRNA) - (0.00000278 * E4_2_1_59)</v>
      </c>
      <c r="M330" t="str">
        <f t="shared" si="76"/>
        <v>mRNA329: -&gt; E4_2_1_59_mRNA | 0.00292 - (0.0093 * E4_2_1_59_mRNA)</v>
      </c>
      <c r="N330" t="str">
        <f t="shared" si="77"/>
        <v>Peptide329: E4_2_1_59_mRNA -&gt; E4_2_1_59 | (0.278 * E4_2_1_59_mRNA) - (0.000000278 * E4_2_1_59)</v>
      </c>
    </row>
    <row r="331" spans="1:14" x14ac:dyDescent="0.25">
      <c r="A331">
        <f t="shared" si="65"/>
        <v>330</v>
      </c>
      <c r="B331" s="5" t="s">
        <v>9728</v>
      </c>
      <c r="C331" t="str">
        <f t="shared" si="66"/>
        <v>E4_2_1_70_mRNA</v>
      </c>
      <c r="D331" t="str">
        <f t="shared" si="67"/>
        <v>E4_2_1_70</v>
      </c>
      <c r="E331" t="str">
        <f t="shared" si="68"/>
        <v>E4_2_1_70_kcat : 13.7</v>
      </c>
      <c r="F331" t="str">
        <f t="shared" si="69"/>
        <v>E4_2_1_70_km : 1</v>
      </c>
      <c r="G331" t="str">
        <f t="shared" si="70"/>
        <v>E4_2_1_70_mRNA : E4_2_1_70_mRNA</v>
      </c>
      <c r="H331" t="str">
        <f t="shared" si="71"/>
        <v>E4_2_1_70 : E4_2_1_70</v>
      </c>
      <c r="I331" t="str">
        <f t="shared" si="72"/>
        <v>E4_2_1_70_mRNA : 0</v>
      </c>
      <c r="J331" t="str">
        <f t="shared" si="73"/>
        <v>E4_2_1_70 : 0</v>
      </c>
      <c r="K331" t="str">
        <f t="shared" si="74"/>
        <v>0.00292 - (0.0093 * E4_2_1_70_mRNA)</v>
      </c>
      <c r="L331" t="str">
        <f t="shared" si="75"/>
        <v>(0.278 * E4_2_1_70_mRNA) - (0.00000278 * E4_2_1_70)</v>
      </c>
      <c r="M331" t="str">
        <f t="shared" si="76"/>
        <v>mRNA330: -&gt; E4_2_1_70_mRNA | 0.00292 - (0.0093 * E4_2_1_70_mRNA)</v>
      </c>
      <c r="N331" t="str">
        <f t="shared" si="77"/>
        <v>Peptide330: E4_2_1_70_mRNA -&gt; E4_2_1_70 | (0.278 * E4_2_1_70_mRNA) - (0.000000278 * E4_2_1_70)</v>
      </c>
    </row>
    <row r="332" spans="1:14" x14ac:dyDescent="0.25">
      <c r="A332">
        <f t="shared" si="65"/>
        <v>331</v>
      </c>
      <c r="B332" s="5" t="s">
        <v>9473</v>
      </c>
      <c r="C332" t="str">
        <f t="shared" si="66"/>
        <v>E4_2_1_75_mRNA</v>
      </c>
      <c r="D332" t="str">
        <f t="shared" si="67"/>
        <v>E4_2_1_75</v>
      </c>
      <c r="E332" t="str">
        <f t="shared" si="68"/>
        <v>E4_2_1_75_kcat : 13.7</v>
      </c>
      <c r="F332" t="str">
        <f t="shared" si="69"/>
        <v>E4_2_1_75_km : 1</v>
      </c>
      <c r="G332" t="str">
        <f t="shared" si="70"/>
        <v>E4_2_1_75_mRNA : E4_2_1_75_mRNA</v>
      </c>
      <c r="H332" t="str">
        <f t="shared" si="71"/>
        <v>E4_2_1_75 : E4_2_1_75</v>
      </c>
      <c r="I332" t="str">
        <f t="shared" si="72"/>
        <v>E4_2_1_75_mRNA : 0</v>
      </c>
      <c r="J332" t="str">
        <f t="shared" si="73"/>
        <v>E4_2_1_75 : 0</v>
      </c>
      <c r="K332" t="str">
        <f t="shared" si="74"/>
        <v>0.00292 - (0.0093 * E4_2_1_75_mRNA)</v>
      </c>
      <c r="L332" t="str">
        <f t="shared" si="75"/>
        <v>(0.278 * E4_2_1_75_mRNA) - (0.00000278 * E4_2_1_75)</v>
      </c>
      <c r="M332" t="str">
        <f t="shared" si="76"/>
        <v>mRNA331: -&gt; E4_2_1_75_mRNA | 0.00292 - (0.0093 * E4_2_1_75_mRNA)</v>
      </c>
      <c r="N332" t="str">
        <f t="shared" si="77"/>
        <v>Peptide331: E4_2_1_75_mRNA -&gt; E4_2_1_75 | (0.278 * E4_2_1_75_mRNA) - (0.000000278 * E4_2_1_75)</v>
      </c>
    </row>
    <row r="333" spans="1:14" x14ac:dyDescent="0.25">
      <c r="A333">
        <f t="shared" si="65"/>
        <v>332</v>
      </c>
      <c r="B333" s="5" t="s">
        <v>9663</v>
      </c>
      <c r="C333" t="str">
        <f t="shared" si="66"/>
        <v>E4_2_1_9_mRNA</v>
      </c>
      <c r="D333" t="str">
        <f t="shared" si="67"/>
        <v>E4_2_1_9</v>
      </c>
      <c r="E333" t="str">
        <f t="shared" si="68"/>
        <v>E4_2_1_9_kcat : 13.7</v>
      </c>
      <c r="F333" t="str">
        <f t="shared" si="69"/>
        <v>E4_2_1_9_km : 1</v>
      </c>
      <c r="G333" t="str">
        <f t="shared" si="70"/>
        <v>E4_2_1_9_mRNA : E4_2_1_9_mRNA</v>
      </c>
      <c r="H333" t="str">
        <f t="shared" si="71"/>
        <v>E4_2_1_9 : E4_2_1_9</v>
      </c>
      <c r="I333" t="str">
        <f t="shared" si="72"/>
        <v>E4_2_1_9_mRNA : 0</v>
      </c>
      <c r="J333" t="str">
        <f t="shared" si="73"/>
        <v>E4_2_1_9 : 0</v>
      </c>
      <c r="K333" t="str">
        <f t="shared" si="74"/>
        <v>0.00292 - (0.0093 * E4_2_1_9_mRNA)</v>
      </c>
      <c r="L333" t="str">
        <f t="shared" si="75"/>
        <v>(0.278 * E4_2_1_9_mRNA) - (0.00000278 * E4_2_1_9)</v>
      </c>
      <c r="M333" t="str">
        <f t="shared" si="76"/>
        <v>mRNA332: -&gt; E4_2_1_9_mRNA | 0.00292 - (0.0093 * E4_2_1_9_mRNA)</v>
      </c>
      <c r="N333" t="str">
        <f t="shared" si="77"/>
        <v>Peptide332: E4_2_1_9_mRNA -&gt; E4_2_1_9 | (0.278 * E4_2_1_9_mRNA) - (0.000000278 * E4_2_1_9)</v>
      </c>
    </row>
    <row r="334" spans="1:14" x14ac:dyDescent="0.25">
      <c r="A334">
        <f t="shared" si="65"/>
        <v>333</v>
      </c>
      <c r="B334" s="5" t="s">
        <v>9452</v>
      </c>
      <c r="C334" t="str">
        <f t="shared" si="66"/>
        <v>E4_2_1_96_mRNA</v>
      </c>
      <c r="D334" t="str">
        <f t="shared" si="67"/>
        <v>E4_2_1_96</v>
      </c>
      <c r="E334" t="str">
        <f t="shared" si="68"/>
        <v>E4_2_1_96_kcat : 13.7</v>
      </c>
      <c r="F334" t="str">
        <f t="shared" si="69"/>
        <v>E4_2_1_96_km : 1</v>
      </c>
      <c r="G334" t="str">
        <f t="shared" si="70"/>
        <v>E4_2_1_96_mRNA : E4_2_1_96_mRNA</v>
      </c>
      <c r="H334" t="str">
        <f t="shared" si="71"/>
        <v>E4_2_1_96 : E4_2_1_96</v>
      </c>
      <c r="I334" t="str">
        <f t="shared" si="72"/>
        <v>E4_2_1_96_mRNA : 0</v>
      </c>
      <c r="J334" t="str">
        <f t="shared" si="73"/>
        <v>E4_2_1_96 : 0</v>
      </c>
      <c r="K334" t="str">
        <f t="shared" si="74"/>
        <v>0.00292 - (0.0093 * E4_2_1_96_mRNA)</v>
      </c>
      <c r="L334" t="str">
        <f t="shared" si="75"/>
        <v>(0.278 * E4_2_1_96_mRNA) - (0.00000278 * E4_2_1_96)</v>
      </c>
      <c r="M334" t="str">
        <f t="shared" si="76"/>
        <v>mRNA333: -&gt; E4_2_1_96_mRNA | 0.00292 - (0.0093 * E4_2_1_96_mRNA)</v>
      </c>
      <c r="N334" t="str">
        <f t="shared" si="77"/>
        <v>Peptide333: E4_2_1_96_mRNA -&gt; E4_2_1_96 | (0.278 * E4_2_1_96_mRNA) - (0.000000278 * E4_2_1_96)</v>
      </c>
    </row>
    <row r="335" spans="1:14" x14ac:dyDescent="0.25">
      <c r="A335">
        <f t="shared" si="65"/>
        <v>334</v>
      </c>
      <c r="B335" s="5" t="s">
        <v>9742</v>
      </c>
      <c r="C335" t="str">
        <f t="shared" si="66"/>
        <v>E4_2_3_1_mRNA</v>
      </c>
      <c r="D335" t="str">
        <f t="shared" si="67"/>
        <v>E4_2_3_1</v>
      </c>
      <c r="E335" t="str">
        <f t="shared" si="68"/>
        <v>E4_2_3_1_kcat : 13.7</v>
      </c>
      <c r="F335" t="str">
        <f t="shared" si="69"/>
        <v>E4_2_3_1_km : 1</v>
      </c>
      <c r="G335" t="str">
        <f t="shared" si="70"/>
        <v>E4_2_3_1_mRNA : E4_2_3_1_mRNA</v>
      </c>
      <c r="H335" t="str">
        <f t="shared" si="71"/>
        <v>E4_2_3_1 : E4_2_3_1</v>
      </c>
      <c r="I335" t="str">
        <f t="shared" si="72"/>
        <v>E4_2_3_1_mRNA : 0</v>
      </c>
      <c r="J335" t="str">
        <f t="shared" si="73"/>
        <v>E4_2_3_1 : 0</v>
      </c>
      <c r="K335" t="str">
        <f t="shared" si="74"/>
        <v>0.00292 - (0.0093 * E4_2_3_1_mRNA)</v>
      </c>
      <c r="L335" t="str">
        <f t="shared" si="75"/>
        <v>(0.278 * E4_2_3_1_mRNA) - (0.00000278 * E4_2_3_1)</v>
      </c>
      <c r="M335" t="str">
        <f t="shared" si="76"/>
        <v>mRNA334: -&gt; E4_2_3_1_mRNA | 0.00292 - (0.0093 * E4_2_3_1_mRNA)</v>
      </c>
      <c r="N335" t="str">
        <f t="shared" si="77"/>
        <v>Peptide334: E4_2_3_1_mRNA -&gt; E4_2_3_1 | (0.278 * E4_2_3_1_mRNA) - (0.000000278 * E4_2_3_1)</v>
      </c>
    </row>
    <row r="336" spans="1:14" x14ac:dyDescent="0.25">
      <c r="A336">
        <f t="shared" si="65"/>
        <v>335</v>
      </c>
      <c r="B336" s="5" t="s">
        <v>9409</v>
      </c>
      <c r="C336" t="str">
        <f t="shared" si="66"/>
        <v>E4_2_3_3_mRNA</v>
      </c>
      <c r="D336" t="str">
        <f t="shared" si="67"/>
        <v>E4_2_3_3</v>
      </c>
      <c r="E336" t="str">
        <f t="shared" si="68"/>
        <v>E4_2_3_3_kcat : 13.7</v>
      </c>
      <c r="F336" t="str">
        <f t="shared" si="69"/>
        <v>E4_2_3_3_km : 1</v>
      </c>
      <c r="G336" t="str">
        <f t="shared" si="70"/>
        <v>E4_2_3_3_mRNA : E4_2_3_3_mRNA</v>
      </c>
      <c r="H336" t="str">
        <f t="shared" si="71"/>
        <v>E4_2_3_3 : E4_2_3_3</v>
      </c>
      <c r="I336" t="str">
        <f t="shared" si="72"/>
        <v>E4_2_3_3_mRNA : 0</v>
      </c>
      <c r="J336" t="str">
        <f t="shared" si="73"/>
        <v>E4_2_3_3 : 0</v>
      </c>
      <c r="K336" t="str">
        <f t="shared" si="74"/>
        <v>0.00292 - (0.0093 * E4_2_3_3_mRNA)</v>
      </c>
      <c r="L336" t="str">
        <f t="shared" si="75"/>
        <v>(0.278 * E4_2_3_3_mRNA) - (0.00000278 * E4_2_3_3)</v>
      </c>
      <c r="M336" t="str">
        <f t="shared" si="76"/>
        <v>mRNA335: -&gt; E4_2_3_3_mRNA | 0.00292 - (0.0093 * E4_2_3_3_mRNA)</v>
      </c>
      <c r="N336" t="str">
        <f t="shared" si="77"/>
        <v>Peptide335: E4_2_3_3_mRNA -&gt; E4_2_3_3 | (0.278 * E4_2_3_3_mRNA) - (0.000000278 * E4_2_3_3)</v>
      </c>
    </row>
    <row r="337" spans="1:14" x14ac:dyDescent="0.25">
      <c r="A337">
        <f t="shared" si="65"/>
        <v>336</v>
      </c>
      <c r="B337" s="5" t="s">
        <v>9489</v>
      </c>
      <c r="C337" t="str">
        <f t="shared" si="66"/>
        <v>E4_2_3_4_mRNA</v>
      </c>
      <c r="D337" t="str">
        <f t="shared" si="67"/>
        <v>E4_2_3_4</v>
      </c>
      <c r="E337" t="str">
        <f t="shared" si="68"/>
        <v>E4_2_3_4_kcat : 13.7</v>
      </c>
      <c r="F337" t="str">
        <f t="shared" si="69"/>
        <v>E4_2_3_4_km : 1</v>
      </c>
      <c r="G337" t="str">
        <f t="shared" si="70"/>
        <v>E4_2_3_4_mRNA : E4_2_3_4_mRNA</v>
      </c>
      <c r="H337" t="str">
        <f t="shared" si="71"/>
        <v>E4_2_3_4 : E4_2_3_4</v>
      </c>
      <c r="I337" t="str">
        <f t="shared" si="72"/>
        <v>E4_2_3_4_mRNA : 0</v>
      </c>
      <c r="J337" t="str">
        <f t="shared" si="73"/>
        <v>E4_2_3_4 : 0</v>
      </c>
      <c r="K337" t="str">
        <f t="shared" si="74"/>
        <v>0.00292 - (0.0093 * E4_2_3_4_mRNA)</v>
      </c>
      <c r="L337" t="str">
        <f t="shared" si="75"/>
        <v>(0.278 * E4_2_3_4_mRNA) - (0.00000278 * E4_2_3_4)</v>
      </c>
      <c r="M337" t="str">
        <f t="shared" si="76"/>
        <v>mRNA336: -&gt; E4_2_3_4_mRNA | 0.00292 - (0.0093 * E4_2_3_4_mRNA)</v>
      </c>
      <c r="N337" t="str">
        <f t="shared" si="77"/>
        <v>Peptide336: E4_2_3_4_mRNA -&gt; E4_2_3_4 | (0.278 * E4_2_3_4_mRNA) - (0.000000278 * E4_2_3_4)</v>
      </c>
    </row>
    <row r="338" spans="1:14" x14ac:dyDescent="0.25">
      <c r="A338">
        <f t="shared" si="65"/>
        <v>337</v>
      </c>
      <c r="B338" s="5" t="s">
        <v>9491</v>
      </c>
      <c r="C338" t="str">
        <f t="shared" si="66"/>
        <v>E4_2_3_5_mRNA</v>
      </c>
      <c r="D338" t="str">
        <f t="shared" si="67"/>
        <v>E4_2_3_5</v>
      </c>
      <c r="E338" t="str">
        <f t="shared" si="68"/>
        <v>E4_2_3_5_kcat : 13.7</v>
      </c>
      <c r="F338" t="str">
        <f t="shared" si="69"/>
        <v>E4_2_3_5_km : 1</v>
      </c>
      <c r="G338" t="str">
        <f t="shared" si="70"/>
        <v>E4_2_3_5_mRNA : E4_2_3_5_mRNA</v>
      </c>
      <c r="H338" t="str">
        <f t="shared" si="71"/>
        <v>E4_2_3_5 : E4_2_3_5</v>
      </c>
      <c r="I338" t="str">
        <f t="shared" si="72"/>
        <v>E4_2_3_5_mRNA : 0</v>
      </c>
      <c r="J338" t="str">
        <f t="shared" si="73"/>
        <v>E4_2_3_5 : 0</v>
      </c>
      <c r="K338" t="str">
        <f t="shared" si="74"/>
        <v>0.00292 - (0.0093 * E4_2_3_5_mRNA)</v>
      </c>
      <c r="L338" t="str">
        <f t="shared" si="75"/>
        <v>(0.278 * E4_2_3_5_mRNA) - (0.00000278 * E4_2_3_5)</v>
      </c>
      <c r="M338" t="str">
        <f t="shared" si="76"/>
        <v>mRNA337: -&gt; E4_2_3_5_mRNA | 0.00292 - (0.0093 * E4_2_3_5_mRNA)</v>
      </c>
      <c r="N338" t="str">
        <f t="shared" si="77"/>
        <v>Peptide337: E4_2_3_5_mRNA -&gt; E4_2_3_5 | (0.278 * E4_2_3_5_mRNA) - (0.000000278 * E4_2_3_5)</v>
      </c>
    </row>
    <row r="339" spans="1:14" x14ac:dyDescent="0.25">
      <c r="A339">
        <f t="shared" si="65"/>
        <v>338</v>
      </c>
      <c r="B339" s="5" t="s">
        <v>9635</v>
      </c>
      <c r="C339" t="str">
        <f t="shared" si="66"/>
        <v>E4_3_1_12_mRNA</v>
      </c>
      <c r="D339" t="str">
        <f t="shared" si="67"/>
        <v>E4_3_1_12</v>
      </c>
      <c r="E339" t="str">
        <f t="shared" si="68"/>
        <v>E4_3_1_12_kcat : 13.7</v>
      </c>
      <c r="F339" t="str">
        <f t="shared" si="69"/>
        <v>E4_3_1_12_km : 1</v>
      </c>
      <c r="G339" t="str">
        <f t="shared" si="70"/>
        <v>E4_3_1_12_mRNA : E4_3_1_12_mRNA</v>
      </c>
      <c r="H339" t="str">
        <f t="shared" si="71"/>
        <v>E4_3_1_12 : E4_3_1_12</v>
      </c>
      <c r="I339" t="str">
        <f t="shared" si="72"/>
        <v>E4_3_1_12_mRNA : 0</v>
      </c>
      <c r="J339" t="str">
        <f t="shared" si="73"/>
        <v>E4_3_1_12 : 0</v>
      </c>
      <c r="K339" t="str">
        <f t="shared" si="74"/>
        <v>0.00292 - (0.0093 * E4_3_1_12_mRNA)</v>
      </c>
      <c r="L339" t="str">
        <f t="shared" si="75"/>
        <v>(0.278 * E4_3_1_12_mRNA) - (0.00000278 * E4_3_1_12)</v>
      </c>
      <c r="M339" t="str">
        <f t="shared" si="76"/>
        <v>mRNA338: -&gt; E4_3_1_12_mRNA | 0.00292 - (0.0093 * E4_3_1_12_mRNA)</v>
      </c>
      <c r="N339" t="str">
        <f t="shared" si="77"/>
        <v>Peptide338: E4_3_1_12_mRNA -&gt; E4_3_1_12 | (0.278 * E4_3_1_12_mRNA) - (0.000000278 * E4_3_1_12)</v>
      </c>
    </row>
    <row r="340" spans="1:14" x14ac:dyDescent="0.25">
      <c r="A340">
        <f t="shared" si="65"/>
        <v>339</v>
      </c>
      <c r="B340" s="5" t="s">
        <v>9513</v>
      </c>
      <c r="C340" t="str">
        <f t="shared" si="66"/>
        <v>E4_3_1_17_mRNA</v>
      </c>
      <c r="D340" t="str">
        <f t="shared" si="67"/>
        <v>E4_3_1_17</v>
      </c>
      <c r="E340" t="str">
        <f t="shared" si="68"/>
        <v>E4_3_1_17_kcat : 13.7</v>
      </c>
      <c r="F340" t="str">
        <f t="shared" si="69"/>
        <v>E4_3_1_17_km : 1</v>
      </c>
      <c r="G340" t="str">
        <f t="shared" si="70"/>
        <v>E4_3_1_17_mRNA : E4_3_1_17_mRNA</v>
      </c>
      <c r="H340" t="str">
        <f t="shared" si="71"/>
        <v>E4_3_1_17 : E4_3_1_17</v>
      </c>
      <c r="I340" t="str">
        <f t="shared" si="72"/>
        <v>E4_3_1_17_mRNA : 0</v>
      </c>
      <c r="J340" t="str">
        <f t="shared" si="73"/>
        <v>E4_3_1_17 : 0</v>
      </c>
      <c r="K340" t="str">
        <f t="shared" si="74"/>
        <v>0.00292 - (0.0093 * E4_3_1_17_mRNA)</v>
      </c>
      <c r="L340" t="str">
        <f t="shared" si="75"/>
        <v>(0.278 * E4_3_1_17_mRNA) - (0.00000278 * E4_3_1_17)</v>
      </c>
      <c r="M340" t="str">
        <f t="shared" si="76"/>
        <v>mRNA339: -&gt; E4_3_1_17_mRNA | 0.00292 - (0.0093 * E4_3_1_17_mRNA)</v>
      </c>
      <c r="N340" t="str">
        <f t="shared" si="77"/>
        <v>Peptide339: E4_3_1_17_mRNA -&gt; E4_3_1_17 | (0.278 * E4_3_1_17_mRNA) - (0.000000278 * E4_3_1_17)</v>
      </c>
    </row>
    <row r="341" spans="1:14" x14ac:dyDescent="0.25">
      <c r="A341">
        <f t="shared" si="65"/>
        <v>340</v>
      </c>
      <c r="B341" s="5" t="s">
        <v>9426</v>
      </c>
      <c r="C341" t="str">
        <f t="shared" si="66"/>
        <v>E4_3_1_19_mRNA</v>
      </c>
      <c r="D341" t="str">
        <f t="shared" si="67"/>
        <v>E4_3_1_19</v>
      </c>
      <c r="E341" t="str">
        <f t="shared" si="68"/>
        <v>E4_3_1_19_kcat : 13.7</v>
      </c>
      <c r="F341" t="str">
        <f t="shared" si="69"/>
        <v>E4_3_1_19_km : 1</v>
      </c>
      <c r="G341" t="str">
        <f t="shared" si="70"/>
        <v>E4_3_1_19_mRNA : E4_3_1_19_mRNA</v>
      </c>
      <c r="H341" t="str">
        <f t="shared" si="71"/>
        <v>E4_3_1_19 : E4_3_1_19</v>
      </c>
      <c r="I341" t="str">
        <f t="shared" si="72"/>
        <v>E4_3_1_19_mRNA : 0</v>
      </c>
      <c r="J341" t="str">
        <f t="shared" si="73"/>
        <v>E4_3_1_19 : 0</v>
      </c>
      <c r="K341" t="str">
        <f t="shared" si="74"/>
        <v>0.00292 - (0.0093 * E4_3_1_19_mRNA)</v>
      </c>
      <c r="L341" t="str">
        <f t="shared" si="75"/>
        <v>(0.278 * E4_3_1_19_mRNA) - (0.00000278 * E4_3_1_19)</v>
      </c>
      <c r="M341" t="str">
        <f t="shared" si="76"/>
        <v>mRNA340: -&gt; E4_3_1_19_mRNA | 0.00292 - (0.0093 * E4_3_1_19_mRNA)</v>
      </c>
      <c r="N341" t="str">
        <f t="shared" si="77"/>
        <v>Peptide340: E4_3_1_19_mRNA -&gt; E4_3_1_19 | (0.278 * E4_3_1_19_mRNA) - (0.000000278 * E4_3_1_19)</v>
      </c>
    </row>
    <row r="342" spans="1:14" x14ac:dyDescent="0.25">
      <c r="A342">
        <f t="shared" si="65"/>
        <v>341</v>
      </c>
      <c r="B342" s="5" t="s">
        <v>9422</v>
      </c>
      <c r="C342" t="str">
        <f t="shared" si="66"/>
        <v>E4_3_2_1_mRNA</v>
      </c>
      <c r="D342" t="str">
        <f t="shared" si="67"/>
        <v>E4_3_2_1</v>
      </c>
      <c r="E342" t="str">
        <f t="shared" si="68"/>
        <v>E4_3_2_1_kcat : 13.7</v>
      </c>
      <c r="F342" t="str">
        <f t="shared" si="69"/>
        <v>E4_3_2_1_km : 1</v>
      </c>
      <c r="G342" t="str">
        <f t="shared" si="70"/>
        <v>E4_3_2_1_mRNA : E4_3_2_1_mRNA</v>
      </c>
      <c r="H342" t="str">
        <f t="shared" si="71"/>
        <v>E4_3_2_1 : E4_3_2_1</v>
      </c>
      <c r="I342" t="str">
        <f t="shared" si="72"/>
        <v>E4_3_2_1_mRNA : 0</v>
      </c>
      <c r="J342" t="str">
        <f t="shared" si="73"/>
        <v>E4_3_2_1 : 0</v>
      </c>
      <c r="K342" t="str">
        <f t="shared" si="74"/>
        <v>0.00292 - (0.0093 * E4_3_2_1_mRNA)</v>
      </c>
      <c r="L342" t="str">
        <f t="shared" si="75"/>
        <v>(0.278 * E4_3_2_1_mRNA) - (0.00000278 * E4_3_2_1)</v>
      </c>
      <c r="M342" t="str">
        <f t="shared" si="76"/>
        <v>mRNA341: -&gt; E4_3_2_1_mRNA | 0.00292 - (0.0093 * E4_3_2_1_mRNA)</v>
      </c>
      <c r="N342" t="str">
        <f t="shared" si="77"/>
        <v>Peptide341: E4_3_2_1_mRNA -&gt; E4_3_2_1 | (0.278 * E4_3_2_1_mRNA) - (0.000000278 * E4_3_2_1)</v>
      </c>
    </row>
    <row r="343" spans="1:14" x14ac:dyDescent="0.25">
      <c r="A343">
        <f t="shared" si="65"/>
        <v>342</v>
      </c>
      <c r="B343" s="5" t="s">
        <v>9471</v>
      </c>
      <c r="C343" t="str">
        <f t="shared" si="66"/>
        <v>E4_3_2_2_mRNA</v>
      </c>
      <c r="D343" t="str">
        <f t="shared" si="67"/>
        <v>E4_3_2_2</v>
      </c>
      <c r="E343" t="str">
        <f t="shared" si="68"/>
        <v>E4_3_2_2_kcat : 13.7</v>
      </c>
      <c r="F343" t="str">
        <f t="shared" si="69"/>
        <v>E4_3_2_2_km : 1</v>
      </c>
      <c r="G343" t="str">
        <f t="shared" si="70"/>
        <v>E4_3_2_2_mRNA : E4_3_2_2_mRNA</v>
      </c>
      <c r="H343" t="str">
        <f t="shared" si="71"/>
        <v>E4_3_2_2 : E4_3_2_2</v>
      </c>
      <c r="I343" t="str">
        <f t="shared" si="72"/>
        <v>E4_3_2_2_mRNA : 0</v>
      </c>
      <c r="J343" t="str">
        <f t="shared" si="73"/>
        <v>E4_3_2_2 : 0</v>
      </c>
      <c r="K343" t="str">
        <f t="shared" si="74"/>
        <v>0.00292 - (0.0093 * E4_3_2_2_mRNA)</v>
      </c>
      <c r="L343" t="str">
        <f t="shared" si="75"/>
        <v>(0.278 * E4_3_2_2_mRNA) - (0.00000278 * E4_3_2_2)</v>
      </c>
      <c r="M343" t="str">
        <f t="shared" si="76"/>
        <v>mRNA342: -&gt; E4_3_2_2_mRNA | 0.00292 - (0.0093 * E4_3_2_2_mRNA)</v>
      </c>
      <c r="N343" t="str">
        <f t="shared" si="77"/>
        <v>Peptide342: E4_3_2_2_mRNA -&gt; E4_3_2_2 | (0.278 * E4_3_2_2_mRNA) - (0.000000278 * E4_3_2_2)</v>
      </c>
    </row>
    <row r="344" spans="1:14" x14ac:dyDescent="0.25">
      <c r="A344">
        <f t="shared" si="65"/>
        <v>343</v>
      </c>
      <c r="B344" s="5" t="s">
        <v>9584</v>
      </c>
      <c r="C344" t="str">
        <f t="shared" si="66"/>
        <v>E4_3_3_7_mRNA</v>
      </c>
      <c r="D344" t="str">
        <f t="shared" si="67"/>
        <v>E4_3_3_7</v>
      </c>
      <c r="E344" t="str">
        <f t="shared" si="68"/>
        <v>E4_3_3_7_kcat : 13.7</v>
      </c>
      <c r="F344" t="str">
        <f t="shared" si="69"/>
        <v>E4_3_3_7_km : 1</v>
      </c>
      <c r="G344" t="str">
        <f t="shared" si="70"/>
        <v>E4_3_3_7_mRNA : E4_3_3_7_mRNA</v>
      </c>
      <c r="H344" t="str">
        <f t="shared" si="71"/>
        <v>E4_3_3_7 : E4_3_3_7</v>
      </c>
      <c r="I344" t="str">
        <f t="shared" si="72"/>
        <v>E4_3_3_7_mRNA : 0</v>
      </c>
      <c r="J344" t="str">
        <f t="shared" si="73"/>
        <v>E4_3_3_7 : 0</v>
      </c>
      <c r="K344" t="str">
        <f t="shared" si="74"/>
        <v>0.00292 - (0.0093 * E4_3_3_7_mRNA)</v>
      </c>
      <c r="L344" t="str">
        <f t="shared" si="75"/>
        <v>(0.278 * E4_3_3_7_mRNA) - (0.00000278 * E4_3_3_7)</v>
      </c>
      <c r="M344" t="str">
        <f t="shared" si="76"/>
        <v>mRNA343: -&gt; E4_3_3_7_mRNA | 0.00292 - (0.0093 * E4_3_3_7_mRNA)</v>
      </c>
      <c r="N344" t="str">
        <f t="shared" si="77"/>
        <v>Peptide343: E4_3_3_7_mRNA -&gt; E4_3_3_7 | (0.278 * E4_3_3_7_mRNA) - (0.000000278 * E4_3_3_7)</v>
      </c>
    </row>
    <row r="345" spans="1:14" x14ac:dyDescent="0.25">
      <c r="A345">
        <f t="shared" si="65"/>
        <v>344</v>
      </c>
      <c r="B345" s="5" t="s">
        <v>9737</v>
      </c>
      <c r="C345" t="str">
        <f t="shared" si="66"/>
        <v>E4_4_1_21_mRNA</v>
      </c>
      <c r="D345" t="str">
        <f t="shared" si="67"/>
        <v>E4_4_1_21</v>
      </c>
      <c r="E345" t="str">
        <f t="shared" si="68"/>
        <v>E4_4_1_21_kcat : 13.7</v>
      </c>
      <c r="F345" t="str">
        <f t="shared" si="69"/>
        <v>E4_4_1_21_km : 1</v>
      </c>
      <c r="G345" t="str">
        <f t="shared" si="70"/>
        <v>E4_4_1_21_mRNA : E4_4_1_21_mRNA</v>
      </c>
      <c r="H345" t="str">
        <f t="shared" si="71"/>
        <v>E4_4_1_21 : E4_4_1_21</v>
      </c>
      <c r="I345" t="str">
        <f t="shared" si="72"/>
        <v>E4_4_1_21_mRNA : 0</v>
      </c>
      <c r="J345" t="str">
        <f t="shared" si="73"/>
        <v>E4_4_1_21 : 0</v>
      </c>
      <c r="K345" t="str">
        <f t="shared" si="74"/>
        <v>0.00292 - (0.0093 * E4_4_1_21_mRNA)</v>
      </c>
      <c r="L345" t="str">
        <f t="shared" si="75"/>
        <v>(0.278 * E4_4_1_21_mRNA) - (0.00000278 * E4_4_1_21)</v>
      </c>
      <c r="M345" t="str">
        <f t="shared" si="76"/>
        <v>mRNA344: -&gt; E4_4_1_21_mRNA | 0.00292 - (0.0093 * E4_4_1_21_mRNA)</v>
      </c>
      <c r="N345" t="str">
        <f t="shared" si="77"/>
        <v>Peptide344: E4_4_1_21_mRNA -&gt; E4_4_1_21 | (0.278 * E4_4_1_21_mRNA) - (0.000000278 * E4_4_1_21)</v>
      </c>
    </row>
    <row r="346" spans="1:14" x14ac:dyDescent="0.25">
      <c r="A346">
        <f t="shared" si="65"/>
        <v>345</v>
      </c>
      <c r="B346" s="5" t="s">
        <v>9575</v>
      </c>
      <c r="C346" t="str">
        <f t="shared" si="66"/>
        <v>E4_6_1_1_mRNA</v>
      </c>
      <c r="D346" t="str">
        <f t="shared" si="67"/>
        <v>E4_6_1_1</v>
      </c>
      <c r="E346" t="str">
        <f t="shared" si="68"/>
        <v>E4_6_1_1_kcat : 13.7</v>
      </c>
      <c r="F346" t="str">
        <f t="shared" si="69"/>
        <v>E4_6_1_1_km : 1</v>
      </c>
      <c r="G346" t="str">
        <f t="shared" si="70"/>
        <v>E4_6_1_1_mRNA : E4_6_1_1_mRNA</v>
      </c>
      <c r="H346" t="str">
        <f t="shared" si="71"/>
        <v>E4_6_1_1 : E4_6_1_1</v>
      </c>
      <c r="I346" t="str">
        <f t="shared" si="72"/>
        <v>E4_6_1_1_mRNA : 0</v>
      </c>
      <c r="J346" t="str">
        <f t="shared" si="73"/>
        <v>E4_6_1_1 : 0</v>
      </c>
      <c r="K346" t="str">
        <f t="shared" si="74"/>
        <v>0.00292 - (0.0093 * E4_6_1_1_mRNA)</v>
      </c>
      <c r="L346" t="str">
        <f t="shared" si="75"/>
        <v>(0.278 * E4_6_1_1_mRNA) - (0.00000278 * E4_6_1_1)</v>
      </c>
      <c r="M346" t="str">
        <f t="shared" si="76"/>
        <v>mRNA345: -&gt; E4_6_1_1_mRNA | 0.00292 - (0.0093 * E4_6_1_1_mRNA)</v>
      </c>
      <c r="N346" t="str">
        <f t="shared" si="77"/>
        <v>Peptide345: E4_6_1_1_mRNA -&gt; E4_6_1_1 | (0.278 * E4_6_1_1_mRNA) - (0.000000278 * E4_6_1_1)</v>
      </c>
    </row>
    <row r="347" spans="1:14" x14ac:dyDescent="0.25">
      <c r="A347">
        <f t="shared" si="65"/>
        <v>346</v>
      </c>
      <c r="B347" s="5" t="s">
        <v>9393</v>
      </c>
      <c r="C347" t="str">
        <f t="shared" si="66"/>
        <v>E4_6_1_12_mRNA</v>
      </c>
      <c r="D347" t="str">
        <f t="shared" si="67"/>
        <v>E4_6_1_12</v>
      </c>
      <c r="E347" t="str">
        <f t="shared" si="68"/>
        <v>E4_6_1_12_kcat : 13.7</v>
      </c>
      <c r="F347" t="str">
        <f t="shared" si="69"/>
        <v>E4_6_1_12_km : 1</v>
      </c>
      <c r="G347" t="str">
        <f t="shared" si="70"/>
        <v>E4_6_1_12_mRNA : E4_6_1_12_mRNA</v>
      </c>
      <c r="H347" t="str">
        <f t="shared" si="71"/>
        <v>E4_6_1_12 : E4_6_1_12</v>
      </c>
      <c r="I347" t="str">
        <f t="shared" si="72"/>
        <v>E4_6_1_12_mRNA : 0</v>
      </c>
      <c r="J347" t="str">
        <f t="shared" si="73"/>
        <v>E4_6_1_12 : 0</v>
      </c>
      <c r="K347" t="str">
        <f t="shared" si="74"/>
        <v>0.00292 - (0.0093 * E4_6_1_12_mRNA)</v>
      </c>
      <c r="L347" t="str">
        <f t="shared" si="75"/>
        <v>(0.278 * E4_6_1_12_mRNA) - (0.00000278 * E4_6_1_12)</v>
      </c>
      <c r="M347" t="str">
        <f t="shared" si="76"/>
        <v>mRNA346: -&gt; E4_6_1_12_mRNA | 0.00292 - (0.0093 * E4_6_1_12_mRNA)</v>
      </c>
      <c r="N347" t="str">
        <f t="shared" si="77"/>
        <v>Peptide346: E4_6_1_12_mRNA -&gt; E4_6_1_12 | (0.278 * E4_6_1_12_mRNA) - (0.000000278 * E4_6_1_12)</v>
      </c>
    </row>
    <row r="348" spans="1:14" x14ac:dyDescent="0.25">
      <c r="A348">
        <f t="shared" si="65"/>
        <v>347</v>
      </c>
      <c r="B348" s="5" t="s">
        <v>9706</v>
      </c>
      <c r="C348" t="str">
        <f t="shared" si="66"/>
        <v>E4_98_1_1_mRNA</v>
      </c>
      <c r="D348" t="str">
        <f t="shared" si="67"/>
        <v>E4_98_1_1</v>
      </c>
      <c r="E348" t="str">
        <f t="shared" si="68"/>
        <v>E4_98_1_1_kcat : 13.7</v>
      </c>
      <c r="F348" t="str">
        <f t="shared" si="69"/>
        <v>E4_98_1_1_km : 1</v>
      </c>
      <c r="G348" t="str">
        <f t="shared" si="70"/>
        <v>E4_98_1_1_mRNA : E4_98_1_1_mRNA</v>
      </c>
      <c r="H348" t="str">
        <f t="shared" si="71"/>
        <v>E4_98_1_1 : E4_98_1_1</v>
      </c>
      <c r="I348" t="str">
        <f t="shared" si="72"/>
        <v>E4_98_1_1_mRNA : 0</v>
      </c>
      <c r="J348" t="str">
        <f t="shared" si="73"/>
        <v>E4_98_1_1 : 0</v>
      </c>
      <c r="K348" t="str">
        <f t="shared" si="74"/>
        <v>0.00292 - (0.0093 * E4_98_1_1_mRNA)</v>
      </c>
      <c r="L348" t="str">
        <f t="shared" si="75"/>
        <v>(0.278 * E4_98_1_1_mRNA) - (0.00000278 * E4_98_1_1)</v>
      </c>
      <c r="M348" t="str">
        <f t="shared" si="76"/>
        <v>mRNA347: -&gt; E4_98_1_1_mRNA | 0.00292 - (0.0093 * E4_98_1_1_mRNA)</v>
      </c>
      <c r="N348" t="str">
        <f t="shared" si="77"/>
        <v>Peptide347: E4_98_1_1_mRNA -&gt; E4_98_1_1 | (0.278 * E4_98_1_1_mRNA) - (0.000000278 * E4_98_1_1)</v>
      </c>
    </row>
    <row r="349" spans="1:14" x14ac:dyDescent="0.25">
      <c r="A349">
        <f t="shared" si="65"/>
        <v>348</v>
      </c>
      <c r="B349" s="5" t="s">
        <v>9585</v>
      </c>
      <c r="C349" t="str">
        <f t="shared" si="66"/>
        <v>E4_99_1_3_mRNA</v>
      </c>
      <c r="D349" t="str">
        <f t="shared" si="67"/>
        <v>E4_99_1_3</v>
      </c>
      <c r="E349" t="str">
        <f t="shared" si="68"/>
        <v>E4_99_1_3_kcat : 13.7</v>
      </c>
      <c r="F349" t="str">
        <f t="shared" si="69"/>
        <v>E4_99_1_3_km : 1</v>
      </c>
      <c r="G349" t="str">
        <f t="shared" si="70"/>
        <v>E4_99_1_3_mRNA : E4_99_1_3_mRNA</v>
      </c>
      <c r="H349" t="str">
        <f t="shared" si="71"/>
        <v>E4_99_1_3 : E4_99_1_3</v>
      </c>
      <c r="I349" t="str">
        <f t="shared" si="72"/>
        <v>E4_99_1_3_mRNA : 0</v>
      </c>
      <c r="J349" t="str">
        <f t="shared" si="73"/>
        <v>E4_99_1_3 : 0</v>
      </c>
      <c r="K349" t="str">
        <f t="shared" si="74"/>
        <v>0.00292 - (0.0093 * E4_99_1_3_mRNA)</v>
      </c>
      <c r="L349" t="str">
        <f t="shared" si="75"/>
        <v>(0.278 * E4_99_1_3_mRNA) - (0.00000278 * E4_99_1_3)</v>
      </c>
      <c r="M349" t="str">
        <f t="shared" si="76"/>
        <v>mRNA348: -&gt; E4_99_1_3_mRNA | 0.00292 - (0.0093 * E4_99_1_3_mRNA)</v>
      </c>
      <c r="N349" t="str">
        <f t="shared" si="77"/>
        <v>Peptide348: E4_99_1_3_mRNA -&gt; E4_99_1_3 | (0.278 * E4_99_1_3_mRNA) - (0.000000278 * E4_99_1_3)</v>
      </c>
    </row>
    <row r="350" spans="1:14" x14ac:dyDescent="0.25">
      <c r="A350">
        <f t="shared" si="65"/>
        <v>349</v>
      </c>
      <c r="B350" s="5" t="s">
        <v>9812</v>
      </c>
      <c r="C350" t="str">
        <f t="shared" si="66"/>
        <v>E5_1_1_1_mRNA</v>
      </c>
      <c r="D350" t="str">
        <f t="shared" si="67"/>
        <v>E5_1_1_1</v>
      </c>
      <c r="E350" t="str">
        <f t="shared" si="68"/>
        <v>E5_1_1_1_kcat : 13.7</v>
      </c>
      <c r="F350" t="str">
        <f t="shared" si="69"/>
        <v>E5_1_1_1_km : 1</v>
      </c>
      <c r="G350" t="str">
        <f t="shared" si="70"/>
        <v>E5_1_1_1_mRNA : E5_1_1_1_mRNA</v>
      </c>
      <c r="H350" t="str">
        <f t="shared" si="71"/>
        <v>E5_1_1_1 : E5_1_1_1</v>
      </c>
      <c r="I350" t="str">
        <f t="shared" si="72"/>
        <v>E5_1_1_1_mRNA : 0</v>
      </c>
      <c r="J350" t="str">
        <f t="shared" si="73"/>
        <v>E5_1_1_1 : 0</v>
      </c>
      <c r="K350" t="str">
        <f t="shared" si="74"/>
        <v>0.00292 - (0.0093 * E5_1_1_1_mRNA)</v>
      </c>
      <c r="L350" t="str">
        <f t="shared" si="75"/>
        <v>(0.278 * E5_1_1_1_mRNA) - (0.00000278 * E5_1_1_1)</v>
      </c>
      <c r="M350" t="str">
        <f t="shared" si="76"/>
        <v>mRNA349: -&gt; E5_1_1_1_mRNA | 0.00292 - (0.0093 * E5_1_1_1_mRNA)</v>
      </c>
      <c r="N350" t="str">
        <f t="shared" si="77"/>
        <v>Peptide349: E5_1_1_1_mRNA -&gt; E5_1_1_1 | (0.278 * E5_1_1_1_mRNA) - (0.000000278 * E5_1_1_1)</v>
      </c>
    </row>
    <row r="351" spans="1:14" x14ac:dyDescent="0.25">
      <c r="A351">
        <f t="shared" si="65"/>
        <v>350</v>
      </c>
      <c r="B351" s="5" t="s">
        <v>9777</v>
      </c>
      <c r="C351" t="str">
        <f t="shared" si="66"/>
        <v>E5_1_1_3_mRNA</v>
      </c>
      <c r="D351" t="str">
        <f t="shared" si="67"/>
        <v>E5_1_1_3</v>
      </c>
      <c r="E351" t="str">
        <f t="shared" si="68"/>
        <v>E5_1_1_3_kcat : 13.7</v>
      </c>
      <c r="F351" t="str">
        <f t="shared" si="69"/>
        <v>E5_1_1_3_km : 1</v>
      </c>
      <c r="G351" t="str">
        <f t="shared" si="70"/>
        <v>E5_1_1_3_mRNA : E5_1_1_3_mRNA</v>
      </c>
      <c r="H351" t="str">
        <f t="shared" si="71"/>
        <v>E5_1_1_3 : E5_1_1_3</v>
      </c>
      <c r="I351" t="str">
        <f t="shared" si="72"/>
        <v>E5_1_1_3_mRNA : 0</v>
      </c>
      <c r="J351" t="str">
        <f t="shared" si="73"/>
        <v>E5_1_1_3 : 0</v>
      </c>
      <c r="K351" t="str">
        <f t="shared" si="74"/>
        <v>0.00292 - (0.0093 * E5_1_1_3_mRNA)</v>
      </c>
      <c r="L351" t="str">
        <f t="shared" si="75"/>
        <v>(0.278 * E5_1_1_3_mRNA) - (0.00000278 * E5_1_1_3)</v>
      </c>
      <c r="M351" t="str">
        <f t="shared" si="76"/>
        <v>mRNA350: -&gt; E5_1_1_3_mRNA | 0.00292 - (0.0093 * E5_1_1_3_mRNA)</v>
      </c>
      <c r="N351" t="str">
        <f t="shared" si="77"/>
        <v>Peptide350: E5_1_1_3_mRNA -&gt; E5_1_1_3 | (0.278 * E5_1_1_3_mRNA) - (0.000000278 * E5_1_1_3)</v>
      </c>
    </row>
    <row r="352" spans="1:14" x14ac:dyDescent="0.25">
      <c r="A352">
        <f t="shared" si="65"/>
        <v>351</v>
      </c>
      <c r="B352" s="5" t="s">
        <v>9747</v>
      </c>
      <c r="C352" t="str">
        <f t="shared" si="66"/>
        <v>E5_1_3_1_mRNA</v>
      </c>
      <c r="D352" t="str">
        <f t="shared" si="67"/>
        <v>E5_1_3_1</v>
      </c>
      <c r="E352" t="str">
        <f t="shared" si="68"/>
        <v>E5_1_3_1_kcat : 13.7</v>
      </c>
      <c r="F352" t="str">
        <f t="shared" si="69"/>
        <v>E5_1_3_1_km : 1</v>
      </c>
      <c r="G352" t="str">
        <f t="shared" si="70"/>
        <v>E5_1_3_1_mRNA : E5_1_3_1_mRNA</v>
      </c>
      <c r="H352" t="str">
        <f t="shared" si="71"/>
        <v>E5_1_3_1 : E5_1_3_1</v>
      </c>
      <c r="I352" t="str">
        <f t="shared" si="72"/>
        <v>E5_1_3_1_mRNA : 0</v>
      </c>
      <c r="J352" t="str">
        <f t="shared" si="73"/>
        <v>E5_1_3_1 : 0</v>
      </c>
      <c r="K352" t="str">
        <f t="shared" si="74"/>
        <v>0.00292 - (0.0093 * E5_1_3_1_mRNA)</v>
      </c>
      <c r="L352" t="str">
        <f t="shared" si="75"/>
        <v>(0.278 * E5_1_3_1_mRNA) - (0.00000278 * E5_1_3_1)</v>
      </c>
      <c r="M352" t="str">
        <f t="shared" si="76"/>
        <v>mRNA351: -&gt; E5_1_3_1_mRNA | 0.00292 - (0.0093 * E5_1_3_1_mRNA)</v>
      </c>
      <c r="N352" t="str">
        <f t="shared" si="77"/>
        <v>Peptide351: E5_1_3_1_mRNA -&gt; E5_1_3_1 | (0.278 * E5_1_3_1_mRNA) - (0.000000278 * E5_1_3_1)</v>
      </c>
    </row>
    <row r="353" spans="1:14" x14ac:dyDescent="0.25">
      <c r="A353">
        <f t="shared" si="65"/>
        <v>352</v>
      </c>
      <c r="B353" s="5" t="s">
        <v>9500</v>
      </c>
      <c r="C353" t="str">
        <f t="shared" si="66"/>
        <v>E5_1_3_14_mRNA</v>
      </c>
      <c r="D353" t="str">
        <f t="shared" si="67"/>
        <v>E5_1_3_14</v>
      </c>
      <c r="E353" t="str">
        <f t="shared" si="68"/>
        <v>E5_1_3_14_kcat : 13.7</v>
      </c>
      <c r="F353" t="str">
        <f t="shared" si="69"/>
        <v>E5_1_3_14_km : 1</v>
      </c>
      <c r="G353" t="str">
        <f t="shared" si="70"/>
        <v>E5_1_3_14_mRNA : E5_1_3_14_mRNA</v>
      </c>
      <c r="H353" t="str">
        <f t="shared" si="71"/>
        <v>E5_1_3_14 : E5_1_3_14</v>
      </c>
      <c r="I353" t="str">
        <f t="shared" si="72"/>
        <v>E5_1_3_14_mRNA : 0</v>
      </c>
      <c r="J353" t="str">
        <f t="shared" si="73"/>
        <v>E5_1_3_14 : 0</v>
      </c>
      <c r="K353" t="str">
        <f t="shared" si="74"/>
        <v>0.00292 - (0.0093 * E5_1_3_14_mRNA)</v>
      </c>
      <c r="L353" t="str">
        <f t="shared" si="75"/>
        <v>(0.278 * E5_1_3_14_mRNA) - (0.00000278 * E5_1_3_14)</v>
      </c>
      <c r="M353" t="str">
        <f t="shared" si="76"/>
        <v>mRNA352: -&gt; E5_1_3_14_mRNA | 0.00292 - (0.0093 * E5_1_3_14_mRNA)</v>
      </c>
      <c r="N353" t="str">
        <f t="shared" si="77"/>
        <v>Peptide352: E5_1_3_14_mRNA -&gt; E5_1_3_14 | (0.278 * E5_1_3_14_mRNA) - (0.000000278 * E5_1_3_14)</v>
      </c>
    </row>
    <row r="354" spans="1:14" x14ac:dyDescent="0.25">
      <c r="A354">
        <f t="shared" si="65"/>
        <v>353</v>
      </c>
      <c r="B354" s="5" t="s">
        <v>9524</v>
      </c>
      <c r="C354" t="str">
        <f t="shared" si="66"/>
        <v>E5_1_3_2_mRNA</v>
      </c>
      <c r="D354" t="str">
        <f t="shared" si="67"/>
        <v>E5_1_3_2</v>
      </c>
      <c r="E354" t="str">
        <f t="shared" si="68"/>
        <v>E5_1_3_2_kcat : 13.7</v>
      </c>
      <c r="F354" t="str">
        <f t="shared" si="69"/>
        <v>E5_1_3_2_km : 1</v>
      </c>
      <c r="G354" t="str">
        <f t="shared" si="70"/>
        <v>E5_1_3_2_mRNA : E5_1_3_2_mRNA</v>
      </c>
      <c r="H354" t="str">
        <f t="shared" si="71"/>
        <v>E5_1_3_2 : E5_1_3_2</v>
      </c>
      <c r="I354" t="str">
        <f t="shared" si="72"/>
        <v>E5_1_3_2_mRNA : 0</v>
      </c>
      <c r="J354" t="str">
        <f t="shared" si="73"/>
        <v>E5_1_3_2 : 0</v>
      </c>
      <c r="K354" t="str">
        <f t="shared" si="74"/>
        <v>0.00292 - (0.0093 * E5_1_3_2_mRNA)</v>
      </c>
      <c r="L354" t="str">
        <f t="shared" si="75"/>
        <v>(0.278 * E5_1_3_2_mRNA) - (0.00000278 * E5_1_3_2)</v>
      </c>
      <c r="M354" t="str">
        <f t="shared" si="76"/>
        <v>mRNA353: -&gt; E5_1_3_2_mRNA | 0.00292 - (0.0093 * E5_1_3_2_mRNA)</v>
      </c>
      <c r="N354" t="str">
        <f t="shared" si="77"/>
        <v>Peptide353: E5_1_3_2_mRNA -&gt; E5_1_3_2 | (0.278 * E5_1_3_2_mRNA) - (0.000000278 * E5_1_3_2)</v>
      </c>
    </row>
    <row r="355" spans="1:14" x14ac:dyDescent="0.25">
      <c r="A355">
        <f t="shared" si="65"/>
        <v>354</v>
      </c>
      <c r="B355" s="5" t="s">
        <v>9539</v>
      </c>
      <c r="C355" t="str">
        <f t="shared" si="66"/>
        <v>E5_1_99_4_mRNA</v>
      </c>
      <c r="D355" t="str">
        <f t="shared" si="67"/>
        <v>E5_1_99_4</v>
      </c>
      <c r="E355" t="str">
        <f t="shared" si="68"/>
        <v>E5_1_99_4_kcat : 13.7</v>
      </c>
      <c r="F355" t="str">
        <f t="shared" si="69"/>
        <v>E5_1_99_4_km : 1</v>
      </c>
      <c r="G355" t="str">
        <f t="shared" si="70"/>
        <v>E5_1_99_4_mRNA : E5_1_99_4_mRNA</v>
      </c>
      <c r="H355" t="str">
        <f t="shared" si="71"/>
        <v>E5_1_99_4 : E5_1_99_4</v>
      </c>
      <c r="I355" t="str">
        <f t="shared" si="72"/>
        <v>E5_1_99_4_mRNA : 0</v>
      </c>
      <c r="J355" t="str">
        <f t="shared" si="73"/>
        <v>E5_1_99_4 : 0</v>
      </c>
      <c r="K355" t="str">
        <f t="shared" si="74"/>
        <v>0.00292 - (0.0093 * E5_1_99_4_mRNA)</v>
      </c>
      <c r="L355" t="str">
        <f t="shared" si="75"/>
        <v>(0.278 * E5_1_99_4_mRNA) - (0.00000278 * E5_1_99_4)</v>
      </c>
      <c r="M355" t="str">
        <f t="shared" si="76"/>
        <v>mRNA354: -&gt; E5_1_99_4_mRNA | 0.00292 - (0.0093 * E5_1_99_4_mRNA)</v>
      </c>
      <c r="N355" t="str">
        <f t="shared" si="77"/>
        <v>Peptide354: E5_1_99_4_mRNA -&gt; E5_1_99_4 | (0.278 * E5_1_99_4_mRNA) - (0.000000278 * E5_1_99_4)</v>
      </c>
    </row>
    <row r="356" spans="1:14" x14ac:dyDescent="0.25">
      <c r="A356">
        <f t="shared" si="65"/>
        <v>355</v>
      </c>
      <c r="B356" s="5" t="s">
        <v>9391</v>
      </c>
      <c r="C356" t="str">
        <f t="shared" si="66"/>
        <v>E5_2_1_8_mRNA</v>
      </c>
      <c r="D356" t="str">
        <f t="shared" si="67"/>
        <v>E5_2_1_8</v>
      </c>
      <c r="E356" t="str">
        <f t="shared" si="68"/>
        <v>E5_2_1_8_kcat : 13.7</v>
      </c>
      <c r="F356" t="str">
        <f t="shared" si="69"/>
        <v>E5_2_1_8_km : 1</v>
      </c>
      <c r="G356" t="str">
        <f t="shared" si="70"/>
        <v>E5_2_1_8_mRNA : E5_2_1_8_mRNA</v>
      </c>
      <c r="H356" t="str">
        <f t="shared" si="71"/>
        <v>E5_2_1_8 : E5_2_1_8</v>
      </c>
      <c r="I356" t="str">
        <f t="shared" si="72"/>
        <v>E5_2_1_8_mRNA : 0</v>
      </c>
      <c r="J356" t="str">
        <f t="shared" si="73"/>
        <v>E5_2_1_8 : 0</v>
      </c>
      <c r="K356" t="str">
        <f t="shared" si="74"/>
        <v>0.00292 - (0.0093 * E5_2_1_8_mRNA)</v>
      </c>
      <c r="L356" t="str">
        <f t="shared" si="75"/>
        <v>(0.278 * E5_2_1_8_mRNA) - (0.00000278 * E5_2_1_8)</v>
      </c>
      <c r="M356" t="str">
        <f t="shared" si="76"/>
        <v>mRNA355: -&gt; E5_2_1_8_mRNA | 0.00292 - (0.0093 * E5_2_1_8_mRNA)</v>
      </c>
      <c r="N356" t="str">
        <f t="shared" si="77"/>
        <v>Peptide355: E5_2_1_8_mRNA -&gt; E5_2_1_8 | (0.278 * E5_2_1_8_mRNA) - (0.000000278 * E5_2_1_8)</v>
      </c>
    </row>
    <row r="357" spans="1:14" x14ac:dyDescent="0.25">
      <c r="A357">
        <f t="shared" si="65"/>
        <v>356</v>
      </c>
      <c r="B357" s="5" t="s">
        <v>9609</v>
      </c>
      <c r="C357" t="str">
        <f t="shared" si="66"/>
        <v>E5_3_1_1_mRNA</v>
      </c>
      <c r="D357" t="str">
        <f t="shared" si="67"/>
        <v>E5_3_1_1</v>
      </c>
      <c r="E357" t="str">
        <f t="shared" si="68"/>
        <v>E5_3_1_1_kcat : 13.7</v>
      </c>
      <c r="F357" t="str">
        <f t="shared" si="69"/>
        <v>E5_3_1_1_km : 1</v>
      </c>
      <c r="G357" t="str">
        <f t="shared" si="70"/>
        <v>E5_3_1_1_mRNA : E5_3_1_1_mRNA</v>
      </c>
      <c r="H357" t="str">
        <f t="shared" si="71"/>
        <v>E5_3_1_1 : E5_3_1_1</v>
      </c>
      <c r="I357" t="str">
        <f t="shared" si="72"/>
        <v>E5_3_1_1_mRNA : 0</v>
      </c>
      <c r="J357" t="str">
        <f t="shared" si="73"/>
        <v>E5_3_1_1 : 0</v>
      </c>
      <c r="K357" t="str">
        <f t="shared" si="74"/>
        <v>0.00292 - (0.0093 * E5_3_1_1_mRNA)</v>
      </c>
      <c r="L357" t="str">
        <f t="shared" si="75"/>
        <v>(0.278 * E5_3_1_1_mRNA) - (0.00000278 * E5_3_1_1)</v>
      </c>
      <c r="M357" t="str">
        <f t="shared" si="76"/>
        <v>mRNA356: -&gt; E5_3_1_1_mRNA | 0.00292 - (0.0093 * E5_3_1_1_mRNA)</v>
      </c>
      <c r="N357" t="str">
        <f t="shared" si="77"/>
        <v>Peptide356: E5_3_1_1_mRNA -&gt; E5_3_1_1 | (0.278 * E5_3_1_1_mRNA) - (0.000000278 * E5_3_1_1)</v>
      </c>
    </row>
    <row r="358" spans="1:14" x14ac:dyDescent="0.25">
      <c r="A358">
        <f t="shared" si="65"/>
        <v>357</v>
      </c>
      <c r="B358" s="5" t="s">
        <v>9637</v>
      </c>
      <c r="C358" t="str">
        <f t="shared" si="66"/>
        <v>E5_3_1_16_mRNA</v>
      </c>
      <c r="D358" t="str">
        <f t="shared" si="67"/>
        <v>E5_3_1_16</v>
      </c>
      <c r="E358" t="str">
        <f t="shared" si="68"/>
        <v>E5_3_1_16_kcat : 13.7</v>
      </c>
      <c r="F358" t="str">
        <f t="shared" si="69"/>
        <v>E5_3_1_16_km : 1</v>
      </c>
      <c r="G358" t="str">
        <f t="shared" si="70"/>
        <v>E5_3_1_16_mRNA : E5_3_1_16_mRNA</v>
      </c>
      <c r="H358" t="str">
        <f t="shared" si="71"/>
        <v>E5_3_1_16 : E5_3_1_16</v>
      </c>
      <c r="I358" t="str">
        <f t="shared" si="72"/>
        <v>E5_3_1_16_mRNA : 0</v>
      </c>
      <c r="J358" t="str">
        <f t="shared" si="73"/>
        <v>E5_3_1_16 : 0</v>
      </c>
      <c r="K358" t="str">
        <f t="shared" si="74"/>
        <v>0.00292 - (0.0093 * E5_3_1_16_mRNA)</v>
      </c>
      <c r="L358" t="str">
        <f t="shared" si="75"/>
        <v>(0.278 * E5_3_1_16_mRNA) - (0.00000278 * E5_3_1_16)</v>
      </c>
      <c r="M358" t="str">
        <f t="shared" si="76"/>
        <v>mRNA357: -&gt; E5_3_1_16_mRNA | 0.00292 - (0.0093 * E5_3_1_16_mRNA)</v>
      </c>
      <c r="N358" t="str">
        <f t="shared" si="77"/>
        <v>Peptide357: E5_3_1_16_mRNA -&gt; E5_3_1_16 | (0.278 * E5_3_1_16_mRNA) - (0.000000278 * E5_3_1_16)</v>
      </c>
    </row>
    <row r="359" spans="1:14" x14ac:dyDescent="0.25">
      <c r="A359">
        <f t="shared" si="65"/>
        <v>358</v>
      </c>
      <c r="B359" s="5" t="s">
        <v>9658</v>
      </c>
      <c r="C359" t="str">
        <f t="shared" si="66"/>
        <v>E5_3_1_23_mRNA</v>
      </c>
      <c r="D359" t="str">
        <f t="shared" si="67"/>
        <v>E5_3_1_23</v>
      </c>
      <c r="E359" t="str">
        <f t="shared" si="68"/>
        <v>E5_3_1_23_kcat : 13.7</v>
      </c>
      <c r="F359" t="str">
        <f t="shared" si="69"/>
        <v>E5_3_1_23_km : 1</v>
      </c>
      <c r="G359" t="str">
        <f t="shared" si="70"/>
        <v>E5_3_1_23_mRNA : E5_3_1_23_mRNA</v>
      </c>
      <c r="H359" t="str">
        <f t="shared" si="71"/>
        <v>E5_3_1_23 : E5_3_1_23</v>
      </c>
      <c r="I359" t="str">
        <f t="shared" si="72"/>
        <v>E5_3_1_23_mRNA : 0</v>
      </c>
      <c r="J359" t="str">
        <f t="shared" si="73"/>
        <v>E5_3_1_23 : 0</v>
      </c>
      <c r="K359" t="str">
        <f t="shared" si="74"/>
        <v>0.00292 - (0.0093 * E5_3_1_23_mRNA)</v>
      </c>
      <c r="L359" t="str">
        <f t="shared" si="75"/>
        <v>(0.278 * E5_3_1_23_mRNA) - (0.00000278 * E5_3_1_23)</v>
      </c>
      <c r="M359" t="str">
        <f t="shared" si="76"/>
        <v>mRNA358: -&gt; E5_3_1_23_mRNA | 0.00292 - (0.0093 * E5_3_1_23_mRNA)</v>
      </c>
      <c r="N359" t="str">
        <f t="shared" si="77"/>
        <v>Peptide358: E5_3_1_23_mRNA -&gt; E5_3_1_23 | (0.278 * E5_3_1_23_mRNA) - (0.000000278 * E5_3_1_23)</v>
      </c>
    </row>
    <row r="360" spans="1:14" x14ac:dyDescent="0.25">
      <c r="A360">
        <f t="shared" si="65"/>
        <v>359</v>
      </c>
      <c r="B360" s="5" t="s">
        <v>9477</v>
      </c>
      <c r="C360" t="str">
        <f t="shared" si="66"/>
        <v>E5_3_1_24_mRNA</v>
      </c>
      <c r="D360" t="str">
        <f t="shared" si="67"/>
        <v>E5_3_1_24</v>
      </c>
      <c r="E360" t="str">
        <f t="shared" si="68"/>
        <v>E5_3_1_24_kcat : 13.7</v>
      </c>
      <c r="F360" t="str">
        <f t="shared" si="69"/>
        <v>E5_3_1_24_km : 1</v>
      </c>
      <c r="G360" t="str">
        <f t="shared" si="70"/>
        <v>E5_3_1_24_mRNA : E5_3_1_24_mRNA</v>
      </c>
      <c r="H360" t="str">
        <f t="shared" si="71"/>
        <v>E5_3_1_24 : E5_3_1_24</v>
      </c>
      <c r="I360" t="str">
        <f t="shared" si="72"/>
        <v>E5_3_1_24_mRNA : 0</v>
      </c>
      <c r="J360" t="str">
        <f t="shared" si="73"/>
        <v>E5_3_1_24 : 0</v>
      </c>
      <c r="K360" t="str">
        <f t="shared" si="74"/>
        <v>0.00292 - (0.0093 * E5_3_1_24_mRNA)</v>
      </c>
      <c r="L360" t="str">
        <f t="shared" si="75"/>
        <v>(0.278 * E5_3_1_24_mRNA) - (0.00000278 * E5_3_1_24)</v>
      </c>
      <c r="M360" t="str">
        <f t="shared" si="76"/>
        <v>mRNA359: -&gt; E5_3_1_24_mRNA | 0.00292 - (0.0093 * E5_3_1_24_mRNA)</v>
      </c>
      <c r="N360" t="str">
        <f t="shared" si="77"/>
        <v>Peptide359: E5_3_1_24_mRNA -&gt; E5_3_1_24 | (0.278 * E5_3_1_24_mRNA) - (0.000000278 * E5_3_1_24)</v>
      </c>
    </row>
    <row r="361" spans="1:14" x14ac:dyDescent="0.25">
      <c r="A361">
        <f t="shared" si="65"/>
        <v>360</v>
      </c>
      <c r="B361" s="5" t="s">
        <v>9710</v>
      </c>
      <c r="C361" t="str">
        <f t="shared" si="66"/>
        <v>E5_3_1_6_mRNA</v>
      </c>
      <c r="D361" t="str">
        <f t="shared" si="67"/>
        <v>E5_3_1_6</v>
      </c>
      <c r="E361" t="str">
        <f t="shared" si="68"/>
        <v>E5_3_1_6_kcat : 13.7</v>
      </c>
      <c r="F361" t="str">
        <f t="shared" si="69"/>
        <v>E5_3_1_6_km : 1</v>
      </c>
      <c r="G361" t="str">
        <f t="shared" si="70"/>
        <v>E5_3_1_6_mRNA : E5_3_1_6_mRNA</v>
      </c>
      <c r="H361" t="str">
        <f t="shared" si="71"/>
        <v>E5_3_1_6 : E5_3_1_6</v>
      </c>
      <c r="I361" t="str">
        <f t="shared" si="72"/>
        <v>E5_3_1_6_mRNA : 0</v>
      </c>
      <c r="J361" t="str">
        <f t="shared" si="73"/>
        <v>E5_3_1_6 : 0</v>
      </c>
      <c r="K361" t="str">
        <f t="shared" si="74"/>
        <v>0.00292 - (0.0093 * E5_3_1_6_mRNA)</v>
      </c>
      <c r="L361" t="str">
        <f t="shared" si="75"/>
        <v>(0.278 * E5_3_1_6_mRNA) - (0.00000278 * E5_3_1_6)</v>
      </c>
      <c r="M361" t="str">
        <f t="shared" si="76"/>
        <v>mRNA360: -&gt; E5_3_1_6_mRNA | 0.00292 - (0.0093 * E5_3_1_6_mRNA)</v>
      </c>
      <c r="N361" t="str">
        <f t="shared" si="77"/>
        <v>Peptide360: E5_3_1_6_mRNA -&gt; E5_3_1_6 | (0.278 * E5_3_1_6_mRNA) - (0.000000278 * E5_3_1_6)</v>
      </c>
    </row>
    <row r="362" spans="1:14" x14ac:dyDescent="0.25">
      <c r="A362">
        <f t="shared" si="65"/>
        <v>361</v>
      </c>
      <c r="B362" s="5" t="s">
        <v>9570</v>
      </c>
      <c r="C362" t="str">
        <f t="shared" si="66"/>
        <v>E5_3_1_8_mRNA</v>
      </c>
      <c r="D362" t="str">
        <f t="shared" si="67"/>
        <v>E5_3_1_8</v>
      </c>
      <c r="E362" t="str">
        <f t="shared" si="68"/>
        <v>E5_3_1_8_kcat : 13.7</v>
      </c>
      <c r="F362" t="str">
        <f t="shared" si="69"/>
        <v>E5_3_1_8_km : 1</v>
      </c>
      <c r="G362" t="str">
        <f t="shared" si="70"/>
        <v>E5_3_1_8_mRNA : E5_3_1_8_mRNA</v>
      </c>
      <c r="H362" t="str">
        <f t="shared" si="71"/>
        <v>E5_3_1_8 : E5_3_1_8</v>
      </c>
      <c r="I362" t="str">
        <f t="shared" si="72"/>
        <v>E5_3_1_8_mRNA : 0</v>
      </c>
      <c r="J362" t="str">
        <f t="shared" si="73"/>
        <v>E5_3_1_8 : 0</v>
      </c>
      <c r="K362" t="str">
        <f t="shared" si="74"/>
        <v>0.00292 - (0.0093 * E5_3_1_8_mRNA)</v>
      </c>
      <c r="L362" t="str">
        <f t="shared" si="75"/>
        <v>(0.278 * E5_3_1_8_mRNA) - (0.00000278 * E5_3_1_8)</v>
      </c>
      <c r="M362" t="str">
        <f t="shared" si="76"/>
        <v>mRNA361: -&gt; E5_3_1_8_mRNA | 0.00292 - (0.0093 * E5_3_1_8_mRNA)</v>
      </c>
      <c r="N362" t="str">
        <f t="shared" si="77"/>
        <v>Peptide361: E5_3_1_8_mRNA -&gt; E5_3_1_8 | (0.278 * E5_3_1_8_mRNA) - (0.000000278 * E5_3_1_8)</v>
      </c>
    </row>
    <row r="363" spans="1:14" x14ac:dyDescent="0.25">
      <c r="A363">
        <f t="shared" si="65"/>
        <v>362</v>
      </c>
      <c r="B363" s="5" t="s">
        <v>9795</v>
      </c>
      <c r="C363" t="str">
        <f t="shared" si="66"/>
        <v>E5_3_1_9_mRNA</v>
      </c>
      <c r="D363" t="str">
        <f t="shared" si="67"/>
        <v>E5_3_1_9</v>
      </c>
      <c r="E363" t="str">
        <f t="shared" si="68"/>
        <v>E5_3_1_9_kcat : 13.7</v>
      </c>
      <c r="F363" t="str">
        <f t="shared" si="69"/>
        <v>E5_3_1_9_km : 1</v>
      </c>
      <c r="G363" t="str">
        <f t="shared" si="70"/>
        <v>E5_3_1_9_mRNA : E5_3_1_9_mRNA</v>
      </c>
      <c r="H363" t="str">
        <f t="shared" si="71"/>
        <v>E5_3_1_9 : E5_3_1_9</v>
      </c>
      <c r="I363" t="str">
        <f t="shared" si="72"/>
        <v>E5_3_1_9_mRNA : 0</v>
      </c>
      <c r="J363" t="str">
        <f t="shared" si="73"/>
        <v>E5_3_1_9 : 0</v>
      </c>
      <c r="K363" t="str">
        <f t="shared" si="74"/>
        <v>0.00292 - (0.0093 * E5_3_1_9_mRNA)</v>
      </c>
      <c r="L363" t="str">
        <f t="shared" si="75"/>
        <v>(0.278 * E5_3_1_9_mRNA) - (0.00000278 * E5_3_1_9)</v>
      </c>
      <c r="M363" t="str">
        <f t="shared" si="76"/>
        <v>mRNA362: -&gt; E5_3_1_9_mRNA | 0.00292 - (0.0093 * E5_3_1_9_mRNA)</v>
      </c>
      <c r="N363" t="str">
        <f t="shared" si="77"/>
        <v>Peptide362: E5_3_1_9_mRNA -&gt; E5_3_1_9 | (0.278 * E5_3_1_9_mRNA) - (0.000000278 * E5_3_1_9)</v>
      </c>
    </row>
    <row r="364" spans="1:14" x14ac:dyDescent="0.25">
      <c r="A364">
        <f t="shared" si="65"/>
        <v>363</v>
      </c>
      <c r="B364" s="5" t="s">
        <v>9667</v>
      </c>
      <c r="C364" t="str">
        <f t="shared" si="66"/>
        <v>E5_3_3_10_mRNA</v>
      </c>
      <c r="D364" t="str">
        <f t="shared" si="67"/>
        <v>E5_3_3_10</v>
      </c>
      <c r="E364" t="str">
        <f t="shared" si="68"/>
        <v>E5_3_3_10_kcat : 13.7</v>
      </c>
      <c r="F364" t="str">
        <f t="shared" si="69"/>
        <v>E5_3_3_10_km : 1</v>
      </c>
      <c r="G364" t="str">
        <f t="shared" si="70"/>
        <v>E5_3_3_10_mRNA : E5_3_3_10_mRNA</v>
      </c>
      <c r="H364" t="str">
        <f t="shared" si="71"/>
        <v>E5_3_3_10 : E5_3_3_10</v>
      </c>
      <c r="I364" t="str">
        <f t="shared" si="72"/>
        <v>E5_3_3_10_mRNA : 0</v>
      </c>
      <c r="J364" t="str">
        <f t="shared" si="73"/>
        <v>E5_3_3_10 : 0</v>
      </c>
      <c r="K364" t="str">
        <f t="shared" si="74"/>
        <v>0.00292 - (0.0093 * E5_3_3_10_mRNA)</v>
      </c>
      <c r="L364" t="str">
        <f t="shared" si="75"/>
        <v>(0.278 * E5_3_3_10_mRNA) - (0.00000278 * E5_3_3_10)</v>
      </c>
      <c r="M364" t="str">
        <f t="shared" si="76"/>
        <v>mRNA363: -&gt; E5_3_3_10_mRNA | 0.00292 - (0.0093 * E5_3_3_10_mRNA)</v>
      </c>
      <c r="N364" t="str">
        <f t="shared" si="77"/>
        <v>Peptide363: E5_3_3_10_mRNA -&gt; E5_3_3_10 | (0.278 * E5_3_3_10_mRNA) - (0.000000278 * E5_3_3_10)</v>
      </c>
    </row>
    <row r="365" spans="1:14" x14ac:dyDescent="0.25">
      <c r="A365">
        <f t="shared" si="65"/>
        <v>364</v>
      </c>
      <c r="B365" s="5" t="s">
        <v>9595</v>
      </c>
      <c r="C365" t="str">
        <f t="shared" si="66"/>
        <v>E5_3_3_2_mRNA</v>
      </c>
      <c r="D365" t="str">
        <f t="shared" si="67"/>
        <v>E5_3_3_2</v>
      </c>
      <c r="E365" t="str">
        <f t="shared" si="68"/>
        <v>E5_3_3_2_kcat : 13.7</v>
      </c>
      <c r="F365" t="str">
        <f t="shared" si="69"/>
        <v>E5_3_3_2_km : 1</v>
      </c>
      <c r="G365" t="str">
        <f t="shared" si="70"/>
        <v>E5_3_3_2_mRNA : E5_3_3_2_mRNA</v>
      </c>
      <c r="H365" t="str">
        <f t="shared" si="71"/>
        <v>E5_3_3_2 : E5_3_3_2</v>
      </c>
      <c r="I365" t="str">
        <f t="shared" si="72"/>
        <v>E5_3_3_2_mRNA : 0</v>
      </c>
      <c r="J365" t="str">
        <f t="shared" si="73"/>
        <v>E5_3_3_2 : 0</v>
      </c>
      <c r="K365" t="str">
        <f t="shared" si="74"/>
        <v>0.00292 - (0.0093 * E5_3_3_2_mRNA)</v>
      </c>
      <c r="L365" t="str">
        <f t="shared" si="75"/>
        <v>(0.278 * E5_3_3_2_mRNA) - (0.00000278 * E5_3_3_2)</v>
      </c>
      <c r="M365" t="str">
        <f t="shared" si="76"/>
        <v>mRNA364: -&gt; E5_3_3_2_mRNA | 0.00292 - (0.0093 * E5_3_3_2_mRNA)</v>
      </c>
      <c r="N365" t="str">
        <f t="shared" si="77"/>
        <v>Peptide364: E5_3_3_2_mRNA -&gt; E5_3_3_2 | (0.278 * E5_3_3_2_mRNA) - (0.000000278 * E5_3_3_2)</v>
      </c>
    </row>
    <row r="366" spans="1:14" x14ac:dyDescent="0.25">
      <c r="A366">
        <f t="shared" si="65"/>
        <v>365</v>
      </c>
      <c r="B366" s="5" t="s">
        <v>9505</v>
      </c>
      <c r="C366" t="str">
        <f t="shared" si="66"/>
        <v>E5_4_2_10_mRNA</v>
      </c>
      <c r="D366" t="str">
        <f t="shared" si="67"/>
        <v>E5_4_2_10</v>
      </c>
      <c r="E366" t="str">
        <f t="shared" si="68"/>
        <v>E5_4_2_10_kcat : 13.7</v>
      </c>
      <c r="F366" t="str">
        <f t="shared" si="69"/>
        <v>E5_4_2_10_km : 1</v>
      </c>
      <c r="G366" t="str">
        <f t="shared" si="70"/>
        <v>E5_4_2_10_mRNA : E5_4_2_10_mRNA</v>
      </c>
      <c r="H366" t="str">
        <f t="shared" si="71"/>
        <v>E5_4_2_10 : E5_4_2_10</v>
      </c>
      <c r="I366" t="str">
        <f t="shared" si="72"/>
        <v>E5_4_2_10_mRNA : 0</v>
      </c>
      <c r="J366" t="str">
        <f t="shared" si="73"/>
        <v>E5_4_2_10 : 0</v>
      </c>
      <c r="K366" t="str">
        <f t="shared" si="74"/>
        <v>0.00292 - (0.0093 * E5_4_2_10_mRNA)</v>
      </c>
      <c r="L366" t="str">
        <f t="shared" si="75"/>
        <v>(0.278 * E5_4_2_10_mRNA) - (0.00000278 * E5_4_2_10)</v>
      </c>
      <c r="M366" t="str">
        <f t="shared" si="76"/>
        <v>mRNA365: -&gt; E5_4_2_10_mRNA | 0.00292 - (0.0093 * E5_4_2_10_mRNA)</v>
      </c>
      <c r="N366" t="str">
        <f t="shared" si="77"/>
        <v>Peptide365: E5_4_2_10_mRNA -&gt; E5_4_2_10 | (0.278 * E5_4_2_10_mRNA) - (0.000000278 * E5_4_2_10)</v>
      </c>
    </row>
    <row r="367" spans="1:14" x14ac:dyDescent="0.25">
      <c r="A367">
        <f t="shared" si="65"/>
        <v>366</v>
      </c>
      <c r="B367" s="5" t="s">
        <v>9750</v>
      </c>
      <c r="C367" t="str">
        <f t="shared" si="66"/>
        <v>E5_4_2_11_mRNA</v>
      </c>
      <c r="D367" t="str">
        <f t="shared" si="67"/>
        <v>E5_4_2_11</v>
      </c>
      <c r="E367" t="str">
        <f t="shared" si="68"/>
        <v>E5_4_2_11_kcat : 13.7</v>
      </c>
      <c r="F367" t="str">
        <f t="shared" si="69"/>
        <v>E5_4_2_11_km : 1</v>
      </c>
      <c r="G367" t="str">
        <f t="shared" si="70"/>
        <v>E5_4_2_11_mRNA : E5_4_2_11_mRNA</v>
      </c>
      <c r="H367" t="str">
        <f t="shared" si="71"/>
        <v>E5_4_2_11 : E5_4_2_11</v>
      </c>
      <c r="I367" t="str">
        <f t="shared" si="72"/>
        <v>E5_4_2_11_mRNA : 0</v>
      </c>
      <c r="J367" t="str">
        <f t="shared" si="73"/>
        <v>E5_4_2_11 : 0</v>
      </c>
      <c r="K367" t="str">
        <f t="shared" si="74"/>
        <v>0.00292 - (0.0093 * E5_4_2_11_mRNA)</v>
      </c>
      <c r="L367" t="str">
        <f t="shared" si="75"/>
        <v>(0.278 * E5_4_2_11_mRNA) - (0.00000278 * E5_4_2_11)</v>
      </c>
      <c r="M367" t="str">
        <f t="shared" si="76"/>
        <v>mRNA366: -&gt; E5_4_2_11_mRNA | 0.00292 - (0.0093 * E5_4_2_11_mRNA)</v>
      </c>
      <c r="N367" t="str">
        <f t="shared" si="77"/>
        <v>Peptide366: E5_4_2_11_mRNA -&gt; E5_4_2_11 | (0.278 * E5_4_2_11_mRNA) - (0.000000278 * E5_4_2_11)</v>
      </c>
    </row>
    <row r="368" spans="1:14" x14ac:dyDescent="0.25">
      <c r="A368">
        <f t="shared" ref="A368:A431" si="78">ROW()-1</f>
        <v>367</v>
      </c>
      <c r="B368" s="5" t="s">
        <v>9394</v>
      </c>
      <c r="C368" t="str">
        <f t="shared" si="66"/>
        <v>E5_4_2_2_mRNA</v>
      </c>
      <c r="D368" t="str">
        <f t="shared" si="67"/>
        <v>E5_4_2_2</v>
      </c>
      <c r="E368" t="str">
        <f t="shared" si="68"/>
        <v>E5_4_2_2_kcat : 13.7</v>
      </c>
      <c r="F368" t="str">
        <f t="shared" si="69"/>
        <v>E5_4_2_2_km : 1</v>
      </c>
      <c r="G368" t="str">
        <f t="shared" si="70"/>
        <v>E5_4_2_2_mRNA : E5_4_2_2_mRNA</v>
      </c>
      <c r="H368" t="str">
        <f t="shared" si="71"/>
        <v>E5_4_2_2 : E5_4_2_2</v>
      </c>
      <c r="I368" t="str">
        <f t="shared" si="72"/>
        <v>E5_4_2_2_mRNA : 0</v>
      </c>
      <c r="J368" t="str">
        <f t="shared" si="73"/>
        <v>E5_4_2_2 : 0</v>
      </c>
      <c r="K368" t="str">
        <f t="shared" si="74"/>
        <v>0.00292 - (0.0093 * E5_4_2_2_mRNA)</v>
      </c>
      <c r="L368" t="str">
        <f t="shared" si="75"/>
        <v>(0.278 * E5_4_2_2_mRNA) - (0.00000278 * E5_4_2_2)</v>
      </c>
      <c r="M368" t="str">
        <f t="shared" si="76"/>
        <v>mRNA367: -&gt; E5_4_2_2_mRNA | 0.00292 - (0.0093 * E5_4_2_2_mRNA)</v>
      </c>
      <c r="N368" t="str">
        <f t="shared" si="77"/>
        <v>Peptide367: E5_4_2_2_mRNA -&gt; E5_4_2_2 | (0.278 * E5_4_2_2_mRNA) - (0.000000278 * E5_4_2_2)</v>
      </c>
    </row>
    <row r="369" spans="1:14" x14ac:dyDescent="0.25">
      <c r="A369">
        <f t="shared" si="78"/>
        <v>368</v>
      </c>
      <c r="B369" s="5" t="s">
        <v>9805</v>
      </c>
      <c r="C369" t="str">
        <f t="shared" ref="C369:C432" si="79">CONCATENATE(D369,"_mRNA")</f>
        <v>E5_4_2_7_mRNA</v>
      </c>
      <c r="D369" t="str">
        <f t="shared" ref="D369:D432" si="80">CONCATENATE("E",B369)</f>
        <v>E5_4_2_7</v>
      </c>
      <c r="E369" t="str">
        <f t="shared" ref="E369:E432" si="81">CONCATENATE("E",B369,"_kcat : 13.7")</f>
        <v>E5_4_2_7_kcat : 13.7</v>
      </c>
      <c r="F369" t="str">
        <f t="shared" ref="F369:F432" si="82">CONCATENATE("E",B369,"_km : 1")</f>
        <v>E5_4_2_7_km : 1</v>
      </c>
      <c r="G369" t="str">
        <f t="shared" ref="G369:G432" si="83">CONCATENATE(C369," : ",C369)</f>
        <v>E5_4_2_7_mRNA : E5_4_2_7_mRNA</v>
      </c>
      <c r="H369" t="str">
        <f t="shared" ref="H369:H432" si="84">CONCATENATE(D369," : ",D369)</f>
        <v>E5_4_2_7 : E5_4_2_7</v>
      </c>
      <c r="I369" t="str">
        <f t="shared" ref="I369:I432" si="85">CONCATENATE(C369," : ","0")</f>
        <v>E5_4_2_7_mRNA : 0</v>
      </c>
      <c r="J369" t="str">
        <f t="shared" ref="J369:J432" si="86">CONCATENATE(D369," : ","0")</f>
        <v>E5_4_2_7 : 0</v>
      </c>
      <c r="K369" t="str">
        <f t="shared" ref="K369:K432" si="87">CONCATENATE("0.00292 - (0.0093 * ",C369,")")</f>
        <v>0.00292 - (0.0093 * E5_4_2_7_mRNA)</v>
      </c>
      <c r="L369" t="str">
        <f t="shared" ref="L369:L432" si="88">CONCATENATE("(0.278 * ",C369,")"," - (0.00000278 * ",D369,")")</f>
        <v>(0.278 * E5_4_2_7_mRNA) - (0.00000278 * E5_4_2_7)</v>
      </c>
      <c r="M369" t="str">
        <f t="shared" ref="M369:M432" si="89">CONCATENATE("mRNA",A369,": -&gt; ",C369," | ","0.00292"," - ","(","0.0093"," * ",C369,")")</f>
        <v>mRNA368: -&gt; E5_4_2_7_mRNA | 0.00292 - (0.0093 * E5_4_2_7_mRNA)</v>
      </c>
      <c r="N369" t="str">
        <f t="shared" ref="N369:N432" si="90">CONCATENATE("Peptide",A369,": ",C369," -&gt; ",D369," | ","(","0.278"," * ",C369,")"," - ","(","0.000000278"," * ",D369,")")</f>
        <v>Peptide368: E5_4_2_7_mRNA -&gt; E5_4_2_7 | (0.278 * E5_4_2_7_mRNA) - (0.000000278 * E5_4_2_7)</v>
      </c>
    </row>
    <row r="370" spans="1:14" x14ac:dyDescent="0.25">
      <c r="A370">
        <f t="shared" si="78"/>
        <v>369</v>
      </c>
      <c r="B370" s="5" t="s">
        <v>9607</v>
      </c>
      <c r="C370" t="str">
        <f t="shared" si="79"/>
        <v>E5_4_3_8_mRNA</v>
      </c>
      <c r="D370" t="str">
        <f t="shared" si="80"/>
        <v>E5_4_3_8</v>
      </c>
      <c r="E370" t="str">
        <f t="shared" si="81"/>
        <v>E5_4_3_8_kcat : 13.7</v>
      </c>
      <c r="F370" t="str">
        <f t="shared" si="82"/>
        <v>E5_4_3_8_km : 1</v>
      </c>
      <c r="G370" t="str">
        <f t="shared" si="83"/>
        <v>E5_4_3_8_mRNA : E5_4_3_8_mRNA</v>
      </c>
      <c r="H370" t="str">
        <f t="shared" si="84"/>
        <v>E5_4_3_8 : E5_4_3_8</v>
      </c>
      <c r="I370" t="str">
        <f t="shared" si="85"/>
        <v>E5_4_3_8_mRNA : 0</v>
      </c>
      <c r="J370" t="str">
        <f t="shared" si="86"/>
        <v>E5_4_3_8 : 0</v>
      </c>
      <c r="K370" t="str">
        <f t="shared" si="87"/>
        <v>0.00292 - (0.0093 * E5_4_3_8_mRNA)</v>
      </c>
      <c r="L370" t="str">
        <f t="shared" si="88"/>
        <v>(0.278 * E5_4_3_8_mRNA) - (0.00000278 * E5_4_3_8)</v>
      </c>
      <c r="M370" t="str">
        <f t="shared" si="89"/>
        <v>mRNA369: -&gt; E5_4_3_8_mRNA | 0.00292 - (0.0093 * E5_4_3_8_mRNA)</v>
      </c>
      <c r="N370" t="str">
        <f t="shared" si="90"/>
        <v>Peptide369: E5_4_3_8_mRNA -&gt; E5_4_3_8 | (0.278 * E5_4_3_8_mRNA) - (0.000000278 * E5_4_3_8)</v>
      </c>
    </row>
    <row r="371" spans="1:14" x14ac:dyDescent="0.25">
      <c r="A371">
        <f t="shared" si="78"/>
        <v>370</v>
      </c>
      <c r="B371" s="5" t="s">
        <v>9517</v>
      </c>
      <c r="C371" t="str">
        <f t="shared" si="79"/>
        <v>E5_4_99_2_mRNA</v>
      </c>
      <c r="D371" t="str">
        <f t="shared" si="80"/>
        <v>E5_4_99_2</v>
      </c>
      <c r="E371" t="str">
        <f t="shared" si="81"/>
        <v>E5_4_99_2_kcat : 13.7</v>
      </c>
      <c r="F371" t="str">
        <f t="shared" si="82"/>
        <v>E5_4_99_2_km : 1</v>
      </c>
      <c r="G371" t="str">
        <f t="shared" si="83"/>
        <v>E5_4_99_2_mRNA : E5_4_99_2_mRNA</v>
      </c>
      <c r="H371" t="str">
        <f t="shared" si="84"/>
        <v>E5_4_99_2 : E5_4_99_2</v>
      </c>
      <c r="I371" t="str">
        <f t="shared" si="85"/>
        <v>E5_4_99_2_mRNA : 0</v>
      </c>
      <c r="J371" t="str">
        <f t="shared" si="86"/>
        <v>E5_4_99_2 : 0</v>
      </c>
      <c r="K371" t="str">
        <f t="shared" si="87"/>
        <v>0.00292 - (0.0093 * E5_4_99_2_mRNA)</v>
      </c>
      <c r="L371" t="str">
        <f t="shared" si="88"/>
        <v>(0.278 * E5_4_99_2_mRNA) - (0.00000278 * E5_4_99_2)</v>
      </c>
      <c r="M371" t="str">
        <f t="shared" si="89"/>
        <v>mRNA370: -&gt; E5_4_99_2_mRNA | 0.00292 - (0.0093 * E5_4_99_2_mRNA)</v>
      </c>
      <c r="N371" t="str">
        <f t="shared" si="90"/>
        <v>Peptide370: E5_4_99_2_mRNA -&gt; E5_4_99_2 | (0.278 * E5_4_99_2_mRNA) - (0.000000278 * E5_4_99_2)</v>
      </c>
    </row>
    <row r="372" spans="1:14" x14ac:dyDescent="0.25">
      <c r="A372">
        <f t="shared" si="78"/>
        <v>371</v>
      </c>
      <c r="B372" s="5" t="s">
        <v>9602</v>
      </c>
      <c r="C372" t="str">
        <f t="shared" si="79"/>
        <v>E5_4_99_5_mRNA</v>
      </c>
      <c r="D372" t="str">
        <f t="shared" si="80"/>
        <v>E5_4_99_5</v>
      </c>
      <c r="E372" t="str">
        <f t="shared" si="81"/>
        <v>E5_4_99_5_kcat : 13.7</v>
      </c>
      <c r="F372" t="str">
        <f t="shared" si="82"/>
        <v>E5_4_99_5_km : 1</v>
      </c>
      <c r="G372" t="str">
        <f t="shared" si="83"/>
        <v>E5_4_99_5_mRNA : E5_4_99_5_mRNA</v>
      </c>
      <c r="H372" t="str">
        <f t="shared" si="84"/>
        <v>E5_4_99_5 : E5_4_99_5</v>
      </c>
      <c r="I372" t="str">
        <f t="shared" si="85"/>
        <v>E5_4_99_5_mRNA : 0</v>
      </c>
      <c r="J372" t="str">
        <f t="shared" si="86"/>
        <v>E5_4_99_5 : 0</v>
      </c>
      <c r="K372" t="str">
        <f t="shared" si="87"/>
        <v>0.00292 - (0.0093 * E5_4_99_5_mRNA)</v>
      </c>
      <c r="L372" t="str">
        <f t="shared" si="88"/>
        <v>(0.278 * E5_4_99_5_mRNA) - (0.00000278 * E5_4_99_5)</v>
      </c>
      <c r="M372" t="str">
        <f t="shared" si="89"/>
        <v>mRNA371: -&gt; E5_4_99_5_mRNA | 0.00292 - (0.0093 * E5_4_99_5_mRNA)</v>
      </c>
      <c r="N372" t="str">
        <f t="shared" si="90"/>
        <v>Peptide371: E5_4_99_5_mRNA -&gt; E5_4_99_5 | (0.278 * E5_4_99_5_mRNA) - (0.000000278 * E5_4_99_5)</v>
      </c>
    </row>
    <row r="373" spans="1:14" x14ac:dyDescent="0.25">
      <c r="A373">
        <f t="shared" si="78"/>
        <v>372</v>
      </c>
      <c r="B373" s="5" t="s">
        <v>9588</v>
      </c>
      <c r="C373" t="str">
        <f t="shared" si="79"/>
        <v>E5_4_99_61_mRNA</v>
      </c>
      <c r="D373" t="str">
        <f t="shared" si="80"/>
        <v>E5_4_99_61</v>
      </c>
      <c r="E373" t="str">
        <f t="shared" si="81"/>
        <v>E5_4_99_61_kcat : 13.7</v>
      </c>
      <c r="F373" t="str">
        <f t="shared" si="82"/>
        <v>E5_4_99_61_km : 1</v>
      </c>
      <c r="G373" t="str">
        <f t="shared" si="83"/>
        <v>E5_4_99_61_mRNA : E5_4_99_61_mRNA</v>
      </c>
      <c r="H373" t="str">
        <f t="shared" si="84"/>
        <v>E5_4_99_61 : E5_4_99_61</v>
      </c>
      <c r="I373" t="str">
        <f t="shared" si="85"/>
        <v>E5_4_99_61_mRNA : 0</v>
      </c>
      <c r="J373" t="str">
        <f t="shared" si="86"/>
        <v>E5_4_99_61 : 0</v>
      </c>
      <c r="K373" t="str">
        <f t="shared" si="87"/>
        <v>0.00292 - (0.0093 * E5_4_99_61_mRNA)</v>
      </c>
      <c r="L373" t="str">
        <f t="shared" si="88"/>
        <v>(0.278 * E5_4_99_61_mRNA) - (0.00000278 * E5_4_99_61)</v>
      </c>
      <c r="M373" t="str">
        <f t="shared" si="89"/>
        <v>mRNA372: -&gt; E5_4_99_61_mRNA | 0.00292 - (0.0093 * E5_4_99_61_mRNA)</v>
      </c>
      <c r="N373" t="str">
        <f t="shared" si="90"/>
        <v>Peptide372: E5_4_99_61_mRNA -&gt; E5_4_99_61 | (0.278 * E5_4_99_61_mRNA) - (0.000000278 * E5_4_99_61)</v>
      </c>
    </row>
    <row r="374" spans="1:14" x14ac:dyDescent="0.25">
      <c r="A374">
        <f t="shared" si="78"/>
        <v>373</v>
      </c>
      <c r="B374" s="5" t="s">
        <v>9448</v>
      </c>
      <c r="C374" t="str">
        <f t="shared" si="79"/>
        <v>E5_5_1_1_mRNA</v>
      </c>
      <c r="D374" t="str">
        <f t="shared" si="80"/>
        <v>E5_5_1_1</v>
      </c>
      <c r="E374" t="str">
        <f t="shared" si="81"/>
        <v>E5_5_1_1_kcat : 13.7</v>
      </c>
      <c r="F374" t="str">
        <f t="shared" si="82"/>
        <v>E5_5_1_1_km : 1</v>
      </c>
      <c r="G374" t="str">
        <f t="shared" si="83"/>
        <v>E5_5_1_1_mRNA : E5_5_1_1_mRNA</v>
      </c>
      <c r="H374" t="str">
        <f t="shared" si="84"/>
        <v>E5_5_1_1 : E5_5_1_1</v>
      </c>
      <c r="I374" t="str">
        <f t="shared" si="85"/>
        <v>E5_5_1_1_mRNA : 0</v>
      </c>
      <c r="J374" t="str">
        <f t="shared" si="86"/>
        <v>E5_5_1_1 : 0</v>
      </c>
      <c r="K374" t="str">
        <f t="shared" si="87"/>
        <v>0.00292 - (0.0093 * E5_5_1_1_mRNA)</v>
      </c>
      <c r="L374" t="str">
        <f t="shared" si="88"/>
        <v>(0.278 * E5_5_1_1_mRNA) - (0.00000278 * E5_5_1_1)</v>
      </c>
      <c r="M374" t="str">
        <f t="shared" si="89"/>
        <v>mRNA373: -&gt; E5_5_1_1_mRNA | 0.00292 - (0.0093 * E5_5_1_1_mRNA)</v>
      </c>
      <c r="N374" t="str">
        <f t="shared" si="90"/>
        <v>Peptide373: E5_5_1_1_mRNA -&gt; E5_5_1_1 | (0.278 * E5_5_1_1_mRNA) - (0.000000278 * E5_5_1_1)</v>
      </c>
    </row>
    <row r="375" spans="1:14" x14ac:dyDescent="0.25">
      <c r="A375">
        <f t="shared" si="78"/>
        <v>374</v>
      </c>
      <c r="B375" s="5" t="s">
        <v>9486</v>
      </c>
      <c r="C375" t="str">
        <f t="shared" si="79"/>
        <v>E6_1_1_1_mRNA</v>
      </c>
      <c r="D375" t="str">
        <f t="shared" si="80"/>
        <v>E6_1_1_1</v>
      </c>
      <c r="E375" t="str">
        <f t="shared" si="81"/>
        <v>E6_1_1_1_kcat : 13.7</v>
      </c>
      <c r="F375" t="str">
        <f t="shared" si="82"/>
        <v>E6_1_1_1_km : 1</v>
      </c>
      <c r="G375" t="str">
        <f t="shared" si="83"/>
        <v>E6_1_1_1_mRNA : E6_1_1_1_mRNA</v>
      </c>
      <c r="H375" t="str">
        <f t="shared" si="84"/>
        <v>E6_1_1_1 : E6_1_1_1</v>
      </c>
      <c r="I375" t="str">
        <f t="shared" si="85"/>
        <v>E6_1_1_1_mRNA : 0</v>
      </c>
      <c r="J375" t="str">
        <f t="shared" si="86"/>
        <v>E6_1_1_1 : 0</v>
      </c>
      <c r="K375" t="str">
        <f t="shared" si="87"/>
        <v>0.00292 - (0.0093 * E6_1_1_1_mRNA)</v>
      </c>
      <c r="L375" t="str">
        <f t="shared" si="88"/>
        <v>(0.278 * E6_1_1_1_mRNA) - (0.00000278 * E6_1_1_1)</v>
      </c>
      <c r="M375" t="str">
        <f t="shared" si="89"/>
        <v>mRNA374: -&gt; E6_1_1_1_mRNA | 0.00292 - (0.0093 * E6_1_1_1_mRNA)</v>
      </c>
      <c r="N375" t="str">
        <f t="shared" si="90"/>
        <v>Peptide374: E6_1_1_1_mRNA -&gt; E6_1_1_1 | (0.278 * E6_1_1_1_mRNA) - (0.000000278 * E6_1_1_1)</v>
      </c>
    </row>
    <row r="376" spans="1:14" x14ac:dyDescent="0.25">
      <c r="A376">
        <f t="shared" si="78"/>
        <v>375</v>
      </c>
      <c r="B376" s="5" t="s">
        <v>9709</v>
      </c>
      <c r="C376" t="str">
        <f t="shared" si="79"/>
        <v>E6_1_1_10_mRNA</v>
      </c>
      <c r="D376" t="str">
        <f t="shared" si="80"/>
        <v>E6_1_1_10</v>
      </c>
      <c r="E376" t="str">
        <f t="shared" si="81"/>
        <v>E6_1_1_10_kcat : 13.7</v>
      </c>
      <c r="F376" t="str">
        <f t="shared" si="82"/>
        <v>E6_1_1_10_km : 1</v>
      </c>
      <c r="G376" t="str">
        <f t="shared" si="83"/>
        <v>E6_1_1_10_mRNA : E6_1_1_10_mRNA</v>
      </c>
      <c r="H376" t="str">
        <f t="shared" si="84"/>
        <v>E6_1_1_10 : E6_1_1_10</v>
      </c>
      <c r="I376" t="str">
        <f t="shared" si="85"/>
        <v>E6_1_1_10_mRNA : 0</v>
      </c>
      <c r="J376" t="str">
        <f t="shared" si="86"/>
        <v>E6_1_1_10 : 0</v>
      </c>
      <c r="K376" t="str">
        <f t="shared" si="87"/>
        <v>0.00292 - (0.0093 * E6_1_1_10_mRNA)</v>
      </c>
      <c r="L376" t="str">
        <f t="shared" si="88"/>
        <v>(0.278 * E6_1_1_10_mRNA) - (0.00000278 * E6_1_1_10)</v>
      </c>
      <c r="M376" t="str">
        <f t="shared" si="89"/>
        <v>mRNA375: -&gt; E6_1_1_10_mRNA | 0.00292 - (0.0093 * E6_1_1_10_mRNA)</v>
      </c>
      <c r="N376" t="str">
        <f t="shared" si="90"/>
        <v>Peptide375: E6_1_1_10_mRNA -&gt; E6_1_1_10 | (0.278 * E6_1_1_10_mRNA) - (0.000000278 * E6_1_1_10)</v>
      </c>
    </row>
    <row r="377" spans="1:14" x14ac:dyDescent="0.25">
      <c r="A377">
        <f t="shared" si="78"/>
        <v>376</v>
      </c>
      <c r="B377" s="5" t="s">
        <v>9600</v>
      </c>
      <c r="C377" t="str">
        <f t="shared" si="79"/>
        <v>E6_1_1_11_mRNA</v>
      </c>
      <c r="D377" t="str">
        <f t="shared" si="80"/>
        <v>E6_1_1_11</v>
      </c>
      <c r="E377" t="str">
        <f t="shared" si="81"/>
        <v>E6_1_1_11_kcat : 13.7</v>
      </c>
      <c r="F377" t="str">
        <f t="shared" si="82"/>
        <v>E6_1_1_11_km : 1</v>
      </c>
      <c r="G377" t="str">
        <f t="shared" si="83"/>
        <v>E6_1_1_11_mRNA : E6_1_1_11_mRNA</v>
      </c>
      <c r="H377" t="str">
        <f t="shared" si="84"/>
        <v>E6_1_1_11 : E6_1_1_11</v>
      </c>
      <c r="I377" t="str">
        <f t="shared" si="85"/>
        <v>E6_1_1_11_mRNA : 0</v>
      </c>
      <c r="J377" t="str">
        <f t="shared" si="86"/>
        <v>E6_1_1_11 : 0</v>
      </c>
      <c r="K377" t="str">
        <f t="shared" si="87"/>
        <v>0.00292 - (0.0093 * E6_1_1_11_mRNA)</v>
      </c>
      <c r="L377" t="str">
        <f t="shared" si="88"/>
        <v>(0.278 * E6_1_1_11_mRNA) - (0.00000278 * E6_1_1_11)</v>
      </c>
      <c r="M377" t="str">
        <f t="shared" si="89"/>
        <v>mRNA376: -&gt; E6_1_1_11_mRNA | 0.00292 - (0.0093 * E6_1_1_11_mRNA)</v>
      </c>
      <c r="N377" t="str">
        <f t="shared" si="90"/>
        <v>Peptide376: E6_1_1_11_mRNA -&gt; E6_1_1_11 | (0.278 * E6_1_1_11_mRNA) - (0.000000278 * E6_1_1_11)</v>
      </c>
    </row>
    <row r="378" spans="1:14" x14ac:dyDescent="0.25">
      <c r="A378">
        <f t="shared" si="78"/>
        <v>377</v>
      </c>
      <c r="B378" s="5" t="s">
        <v>9696</v>
      </c>
      <c r="C378" t="str">
        <f t="shared" si="79"/>
        <v>E6_1_1_12_mRNA</v>
      </c>
      <c r="D378" t="str">
        <f t="shared" si="80"/>
        <v>E6_1_1_12</v>
      </c>
      <c r="E378" t="str">
        <f t="shared" si="81"/>
        <v>E6_1_1_12_kcat : 13.7</v>
      </c>
      <c r="F378" t="str">
        <f t="shared" si="82"/>
        <v>E6_1_1_12_km : 1</v>
      </c>
      <c r="G378" t="str">
        <f t="shared" si="83"/>
        <v>E6_1_1_12_mRNA : E6_1_1_12_mRNA</v>
      </c>
      <c r="H378" t="str">
        <f t="shared" si="84"/>
        <v>E6_1_1_12 : E6_1_1_12</v>
      </c>
      <c r="I378" t="str">
        <f t="shared" si="85"/>
        <v>E6_1_1_12_mRNA : 0</v>
      </c>
      <c r="J378" t="str">
        <f t="shared" si="86"/>
        <v>E6_1_1_12 : 0</v>
      </c>
      <c r="K378" t="str">
        <f t="shared" si="87"/>
        <v>0.00292 - (0.0093 * E6_1_1_12_mRNA)</v>
      </c>
      <c r="L378" t="str">
        <f t="shared" si="88"/>
        <v>(0.278 * E6_1_1_12_mRNA) - (0.00000278 * E6_1_1_12)</v>
      </c>
      <c r="M378" t="str">
        <f t="shared" si="89"/>
        <v>mRNA377: -&gt; E6_1_1_12_mRNA | 0.00292 - (0.0093 * E6_1_1_12_mRNA)</v>
      </c>
      <c r="N378" t="str">
        <f t="shared" si="90"/>
        <v>Peptide377: E6_1_1_12_mRNA -&gt; E6_1_1_12 | (0.278 * E6_1_1_12_mRNA) - (0.000000278 * E6_1_1_12)</v>
      </c>
    </row>
    <row r="379" spans="1:14" x14ac:dyDescent="0.25">
      <c r="A379">
        <f t="shared" si="78"/>
        <v>378</v>
      </c>
      <c r="B379" s="5" t="s">
        <v>9654</v>
      </c>
      <c r="C379" t="str">
        <f t="shared" si="79"/>
        <v>E6_1_1_14_mRNA</v>
      </c>
      <c r="D379" t="str">
        <f t="shared" si="80"/>
        <v>E6_1_1_14</v>
      </c>
      <c r="E379" t="str">
        <f t="shared" si="81"/>
        <v>E6_1_1_14_kcat : 13.7</v>
      </c>
      <c r="F379" t="str">
        <f t="shared" si="82"/>
        <v>E6_1_1_14_km : 1</v>
      </c>
      <c r="G379" t="str">
        <f t="shared" si="83"/>
        <v>E6_1_1_14_mRNA : E6_1_1_14_mRNA</v>
      </c>
      <c r="H379" t="str">
        <f t="shared" si="84"/>
        <v>E6_1_1_14 : E6_1_1_14</v>
      </c>
      <c r="I379" t="str">
        <f t="shared" si="85"/>
        <v>E6_1_1_14_mRNA : 0</v>
      </c>
      <c r="J379" t="str">
        <f t="shared" si="86"/>
        <v>E6_1_1_14 : 0</v>
      </c>
      <c r="K379" t="str">
        <f t="shared" si="87"/>
        <v>0.00292 - (0.0093 * E6_1_1_14_mRNA)</v>
      </c>
      <c r="L379" t="str">
        <f t="shared" si="88"/>
        <v>(0.278 * E6_1_1_14_mRNA) - (0.00000278 * E6_1_1_14)</v>
      </c>
      <c r="M379" t="str">
        <f t="shared" si="89"/>
        <v>mRNA378: -&gt; E6_1_1_14_mRNA | 0.00292 - (0.0093 * E6_1_1_14_mRNA)</v>
      </c>
      <c r="N379" t="str">
        <f t="shared" si="90"/>
        <v>Peptide378: E6_1_1_14_mRNA -&gt; E6_1_1_14 | (0.278 * E6_1_1_14_mRNA) - (0.000000278 * E6_1_1_14)</v>
      </c>
    </row>
    <row r="380" spans="1:14" x14ac:dyDescent="0.25">
      <c r="A380">
        <f t="shared" si="78"/>
        <v>379</v>
      </c>
      <c r="B380" s="5" t="s">
        <v>9749</v>
      </c>
      <c r="C380" t="str">
        <f t="shared" si="79"/>
        <v>E6_1_1_15_mRNA</v>
      </c>
      <c r="D380" t="str">
        <f t="shared" si="80"/>
        <v>E6_1_1_15</v>
      </c>
      <c r="E380" t="str">
        <f t="shared" si="81"/>
        <v>E6_1_1_15_kcat : 13.7</v>
      </c>
      <c r="F380" t="str">
        <f t="shared" si="82"/>
        <v>E6_1_1_15_km : 1</v>
      </c>
      <c r="G380" t="str">
        <f t="shared" si="83"/>
        <v>E6_1_1_15_mRNA : E6_1_1_15_mRNA</v>
      </c>
      <c r="H380" t="str">
        <f t="shared" si="84"/>
        <v>E6_1_1_15 : E6_1_1_15</v>
      </c>
      <c r="I380" t="str">
        <f t="shared" si="85"/>
        <v>E6_1_1_15_mRNA : 0</v>
      </c>
      <c r="J380" t="str">
        <f t="shared" si="86"/>
        <v>E6_1_1_15 : 0</v>
      </c>
      <c r="K380" t="str">
        <f t="shared" si="87"/>
        <v>0.00292 - (0.0093 * E6_1_1_15_mRNA)</v>
      </c>
      <c r="L380" t="str">
        <f t="shared" si="88"/>
        <v>(0.278 * E6_1_1_15_mRNA) - (0.00000278 * E6_1_1_15)</v>
      </c>
      <c r="M380" t="str">
        <f t="shared" si="89"/>
        <v>mRNA379: -&gt; E6_1_1_15_mRNA | 0.00292 - (0.0093 * E6_1_1_15_mRNA)</v>
      </c>
      <c r="N380" t="str">
        <f t="shared" si="90"/>
        <v>Peptide379: E6_1_1_15_mRNA -&gt; E6_1_1_15 | (0.278 * E6_1_1_15_mRNA) - (0.000000278 * E6_1_1_15)</v>
      </c>
    </row>
    <row r="381" spans="1:14" x14ac:dyDescent="0.25">
      <c r="A381">
        <f t="shared" si="78"/>
        <v>380</v>
      </c>
      <c r="B381" s="5" t="s">
        <v>9599</v>
      </c>
      <c r="C381" t="str">
        <f t="shared" si="79"/>
        <v>E6_1_1_16_mRNA</v>
      </c>
      <c r="D381" t="str">
        <f t="shared" si="80"/>
        <v>E6_1_1_16</v>
      </c>
      <c r="E381" t="str">
        <f t="shared" si="81"/>
        <v>E6_1_1_16_kcat : 13.7</v>
      </c>
      <c r="F381" t="str">
        <f t="shared" si="82"/>
        <v>E6_1_1_16_km : 1</v>
      </c>
      <c r="G381" t="str">
        <f t="shared" si="83"/>
        <v>E6_1_1_16_mRNA : E6_1_1_16_mRNA</v>
      </c>
      <c r="H381" t="str">
        <f t="shared" si="84"/>
        <v>E6_1_1_16 : E6_1_1_16</v>
      </c>
      <c r="I381" t="str">
        <f t="shared" si="85"/>
        <v>E6_1_1_16_mRNA : 0</v>
      </c>
      <c r="J381" t="str">
        <f t="shared" si="86"/>
        <v>E6_1_1_16 : 0</v>
      </c>
      <c r="K381" t="str">
        <f t="shared" si="87"/>
        <v>0.00292 - (0.0093 * E6_1_1_16_mRNA)</v>
      </c>
      <c r="L381" t="str">
        <f t="shared" si="88"/>
        <v>(0.278 * E6_1_1_16_mRNA) - (0.00000278 * E6_1_1_16)</v>
      </c>
      <c r="M381" t="str">
        <f t="shared" si="89"/>
        <v>mRNA380: -&gt; E6_1_1_16_mRNA | 0.00292 - (0.0093 * E6_1_1_16_mRNA)</v>
      </c>
      <c r="N381" t="str">
        <f t="shared" si="90"/>
        <v>Peptide380: E6_1_1_16_mRNA -&gt; E6_1_1_16 | (0.278 * E6_1_1_16_mRNA) - (0.000000278 * E6_1_1_16)</v>
      </c>
    </row>
    <row r="382" spans="1:14" x14ac:dyDescent="0.25">
      <c r="A382">
        <f t="shared" si="78"/>
        <v>381</v>
      </c>
      <c r="B382" s="5" t="s">
        <v>9506</v>
      </c>
      <c r="C382" t="str">
        <f t="shared" si="79"/>
        <v>E6_1_1_17_mRNA</v>
      </c>
      <c r="D382" t="str">
        <f t="shared" si="80"/>
        <v>E6_1_1_17</v>
      </c>
      <c r="E382" t="str">
        <f t="shared" si="81"/>
        <v>E6_1_1_17_kcat : 13.7</v>
      </c>
      <c r="F382" t="str">
        <f t="shared" si="82"/>
        <v>E6_1_1_17_km : 1</v>
      </c>
      <c r="G382" t="str">
        <f t="shared" si="83"/>
        <v>E6_1_1_17_mRNA : E6_1_1_17_mRNA</v>
      </c>
      <c r="H382" t="str">
        <f t="shared" si="84"/>
        <v>E6_1_1_17 : E6_1_1_17</v>
      </c>
      <c r="I382" t="str">
        <f t="shared" si="85"/>
        <v>E6_1_1_17_mRNA : 0</v>
      </c>
      <c r="J382" t="str">
        <f t="shared" si="86"/>
        <v>E6_1_1_17 : 0</v>
      </c>
      <c r="K382" t="str">
        <f t="shared" si="87"/>
        <v>0.00292 - (0.0093 * E6_1_1_17_mRNA)</v>
      </c>
      <c r="L382" t="str">
        <f t="shared" si="88"/>
        <v>(0.278 * E6_1_1_17_mRNA) - (0.00000278 * E6_1_1_17)</v>
      </c>
      <c r="M382" t="str">
        <f t="shared" si="89"/>
        <v>mRNA381: -&gt; E6_1_1_17_mRNA | 0.00292 - (0.0093 * E6_1_1_17_mRNA)</v>
      </c>
      <c r="N382" t="str">
        <f t="shared" si="90"/>
        <v>Peptide381: E6_1_1_17_mRNA -&gt; E6_1_1_17 | (0.278 * E6_1_1_17_mRNA) - (0.000000278 * E6_1_1_17)</v>
      </c>
    </row>
    <row r="383" spans="1:14" x14ac:dyDescent="0.25">
      <c r="A383">
        <f t="shared" si="78"/>
        <v>382</v>
      </c>
      <c r="B383" s="5" t="s">
        <v>9652</v>
      </c>
      <c r="C383" t="str">
        <f t="shared" si="79"/>
        <v>E6_1_1_18_mRNA</v>
      </c>
      <c r="D383" t="str">
        <f t="shared" si="80"/>
        <v>E6_1_1_18</v>
      </c>
      <c r="E383" t="str">
        <f t="shared" si="81"/>
        <v>E6_1_1_18_kcat : 13.7</v>
      </c>
      <c r="F383" t="str">
        <f t="shared" si="82"/>
        <v>E6_1_1_18_km : 1</v>
      </c>
      <c r="G383" t="str">
        <f t="shared" si="83"/>
        <v>E6_1_1_18_mRNA : E6_1_1_18_mRNA</v>
      </c>
      <c r="H383" t="str">
        <f t="shared" si="84"/>
        <v>E6_1_1_18 : E6_1_1_18</v>
      </c>
      <c r="I383" t="str">
        <f t="shared" si="85"/>
        <v>E6_1_1_18_mRNA : 0</v>
      </c>
      <c r="J383" t="str">
        <f t="shared" si="86"/>
        <v>E6_1_1_18 : 0</v>
      </c>
      <c r="K383" t="str">
        <f t="shared" si="87"/>
        <v>0.00292 - (0.0093 * E6_1_1_18_mRNA)</v>
      </c>
      <c r="L383" t="str">
        <f t="shared" si="88"/>
        <v>(0.278 * E6_1_1_18_mRNA) - (0.00000278 * E6_1_1_18)</v>
      </c>
      <c r="M383" t="str">
        <f t="shared" si="89"/>
        <v>mRNA382: -&gt; E6_1_1_18_mRNA | 0.00292 - (0.0093 * E6_1_1_18_mRNA)</v>
      </c>
      <c r="N383" t="str">
        <f t="shared" si="90"/>
        <v>Peptide382: E6_1_1_18_mRNA -&gt; E6_1_1_18 | (0.278 * E6_1_1_18_mRNA) - (0.000000278 * E6_1_1_18)</v>
      </c>
    </row>
    <row r="384" spans="1:14" x14ac:dyDescent="0.25">
      <c r="A384">
        <f t="shared" si="78"/>
        <v>383</v>
      </c>
      <c r="B384" s="5" t="s">
        <v>9677</v>
      </c>
      <c r="C384" t="str">
        <f t="shared" si="79"/>
        <v>E6_1_1_19_mRNA</v>
      </c>
      <c r="D384" t="str">
        <f t="shared" si="80"/>
        <v>E6_1_1_19</v>
      </c>
      <c r="E384" t="str">
        <f t="shared" si="81"/>
        <v>E6_1_1_19_kcat : 13.7</v>
      </c>
      <c r="F384" t="str">
        <f t="shared" si="82"/>
        <v>E6_1_1_19_km : 1</v>
      </c>
      <c r="G384" t="str">
        <f t="shared" si="83"/>
        <v>E6_1_1_19_mRNA : E6_1_1_19_mRNA</v>
      </c>
      <c r="H384" t="str">
        <f t="shared" si="84"/>
        <v>E6_1_1_19 : E6_1_1_19</v>
      </c>
      <c r="I384" t="str">
        <f t="shared" si="85"/>
        <v>E6_1_1_19_mRNA : 0</v>
      </c>
      <c r="J384" t="str">
        <f t="shared" si="86"/>
        <v>E6_1_1_19 : 0</v>
      </c>
      <c r="K384" t="str">
        <f t="shared" si="87"/>
        <v>0.00292 - (0.0093 * E6_1_1_19_mRNA)</v>
      </c>
      <c r="L384" t="str">
        <f t="shared" si="88"/>
        <v>(0.278 * E6_1_1_19_mRNA) - (0.00000278 * E6_1_1_19)</v>
      </c>
      <c r="M384" t="str">
        <f t="shared" si="89"/>
        <v>mRNA383: -&gt; E6_1_1_19_mRNA | 0.00292 - (0.0093 * E6_1_1_19_mRNA)</v>
      </c>
      <c r="N384" t="str">
        <f t="shared" si="90"/>
        <v>Peptide383: E6_1_1_19_mRNA -&gt; E6_1_1_19 | (0.278 * E6_1_1_19_mRNA) - (0.000000278 * E6_1_1_19)</v>
      </c>
    </row>
    <row r="385" spans="1:14" x14ac:dyDescent="0.25">
      <c r="A385">
        <f t="shared" si="78"/>
        <v>384</v>
      </c>
      <c r="B385" s="5" t="s">
        <v>9813</v>
      </c>
      <c r="C385" t="str">
        <f t="shared" si="79"/>
        <v>E6_1_1_20_mRNA</v>
      </c>
      <c r="D385" t="str">
        <f t="shared" si="80"/>
        <v>E6_1_1_20</v>
      </c>
      <c r="E385" t="str">
        <f t="shared" si="81"/>
        <v>E6_1_1_20_kcat : 13.7</v>
      </c>
      <c r="F385" t="str">
        <f t="shared" si="82"/>
        <v>E6_1_1_20_km : 1</v>
      </c>
      <c r="G385" t="str">
        <f t="shared" si="83"/>
        <v>E6_1_1_20_mRNA : E6_1_1_20_mRNA</v>
      </c>
      <c r="H385" t="str">
        <f t="shared" si="84"/>
        <v>E6_1_1_20 : E6_1_1_20</v>
      </c>
      <c r="I385" t="str">
        <f t="shared" si="85"/>
        <v>E6_1_1_20_mRNA : 0</v>
      </c>
      <c r="J385" t="str">
        <f t="shared" si="86"/>
        <v>E6_1_1_20 : 0</v>
      </c>
      <c r="K385" t="str">
        <f t="shared" si="87"/>
        <v>0.00292 - (0.0093 * E6_1_1_20_mRNA)</v>
      </c>
      <c r="L385" t="str">
        <f t="shared" si="88"/>
        <v>(0.278 * E6_1_1_20_mRNA) - (0.00000278 * E6_1_1_20)</v>
      </c>
      <c r="M385" t="str">
        <f t="shared" si="89"/>
        <v>mRNA384: -&gt; E6_1_1_20_mRNA | 0.00292 - (0.0093 * E6_1_1_20_mRNA)</v>
      </c>
      <c r="N385" t="str">
        <f t="shared" si="90"/>
        <v>Peptide384: E6_1_1_20_mRNA -&gt; E6_1_1_20 | (0.278 * E6_1_1_20_mRNA) - (0.000000278 * E6_1_1_20)</v>
      </c>
    </row>
    <row r="386" spans="1:14" x14ac:dyDescent="0.25">
      <c r="A386">
        <f t="shared" si="78"/>
        <v>385</v>
      </c>
      <c r="B386" s="5" t="s">
        <v>9695</v>
      </c>
      <c r="C386" t="str">
        <f t="shared" si="79"/>
        <v>E6_1_1_21_mRNA</v>
      </c>
      <c r="D386" t="str">
        <f t="shared" si="80"/>
        <v>E6_1_1_21</v>
      </c>
      <c r="E386" t="str">
        <f t="shared" si="81"/>
        <v>E6_1_1_21_kcat : 13.7</v>
      </c>
      <c r="F386" t="str">
        <f t="shared" si="82"/>
        <v>E6_1_1_21_km : 1</v>
      </c>
      <c r="G386" t="str">
        <f t="shared" si="83"/>
        <v>E6_1_1_21_mRNA : E6_1_1_21_mRNA</v>
      </c>
      <c r="H386" t="str">
        <f t="shared" si="84"/>
        <v>E6_1_1_21 : E6_1_1_21</v>
      </c>
      <c r="I386" t="str">
        <f t="shared" si="85"/>
        <v>E6_1_1_21_mRNA : 0</v>
      </c>
      <c r="J386" t="str">
        <f t="shared" si="86"/>
        <v>E6_1_1_21 : 0</v>
      </c>
      <c r="K386" t="str">
        <f t="shared" si="87"/>
        <v>0.00292 - (0.0093 * E6_1_1_21_mRNA)</v>
      </c>
      <c r="L386" t="str">
        <f t="shared" si="88"/>
        <v>(0.278 * E6_1_1_21_mRNA) - (0.00000278 * E6_1_1_21)</v>
      </c>
      <c r="M386" t="str">
        <f t="shared" si="89"/>
        <v>mRNA385: -&gt; E6_1_1_21_mRNA | 0.00292 - (0.0093 * E6_1_1_21_mRNA)</v>
      </c>
      <c r="N386" t="str">
        <f t="shared" si="90"/>
        <v>Peptide385: E6_1_1_21_mRNA -&gt; E6_1_1_21 | (0.278 * E6_1_1_21_mRNA) - (0.000000278 * E6_1_1_21)</v>
      </c>
    </row>
    <row r="387" spans="1:14" x14ac:dyDescent="0.25">
      <c r="A387">
        <f t="shared" si="78"/>
        <v>386</v>
      </c>
      <c r="B387" s="5" t="s">
        <v>9697</v>
      </c>
      <c r="C387" t="str">
        <f t="shared" si="79"/>
        <v>E6_1_1_22_mRNA</v>
      </c>
      <c r="D387" t="str">
        <f t="shared" si="80"/>
        <v>E6_1_1_22</v>
      </c>
      <c r="E387" t="str">
        <f t="shared" si="81"/>
        <v>E6_1_1_22_kcat : 13.7</v>
      </c>
      <c r="F387" t="str">
        <f t="shared" si="82"/>
        <v>E6_1_1_22_km : 1</v>
      </c>
      <c r="G387" t="str">
        <f t="shared" si="83"/>
        <v>E6_1_1_22_mRNA : E6_1_1_22_mRNA</v>
      </c>
      <c r="H387" t="str">
        <f t="shared" si="84"/>
        <v>E6_1_1_22 : E6_1_1_22</v>
      </c>
      <c r="I387" t="str">
        <f t="shared" si="85"/>
        <v>E6_1_1_22_mRNA : 0</v>
      </c>
      <c r="J387" t="str">
        <f t="shared" si="86"/>
        <v>E6_1_1_22 : 0</v>
      </c>
      <c r="K387" t="str">
        <f t="shared" si="87"/>
        <v>0.00292 - (0.0093 * E6_1_1_22_mRNA)</v>
      </c>
      <c r="L387" t="str">
        <f t="shared" si="88"/>
        <v>(0.278 * E6_1_1_22_mRNA) - (0.00000278 * E6_1_1_22)</v>
      </c>
      <c r="M387" t="str">
        <f t="shared" si="89"/>
        <v>mRNA386: -&gt; E6_1_1_22_mRNA | 0.00292 - (0.0093 * E6_1_1_22_mRNA)</v>
      </c>
      <c r="N387" t="str">
        <f t="shared" si="90"/>
        <v>Peptide386: E6_1_1_22_mRNA -&gt; E6_1_1_22 | (0.278 * E6_1_1_22_mRNA) - (0.000000278 * E6_1_1_22)</v>
      </c>
    </row>
    <row r="388" spans="1:14" x14ac:dyDescent="0.25">
      <c r="A388">
        <f t="shared" si="78"/>
        <v>387</v>
      </c>
      <c r="B388" s="5" t="s">
        <v>9680</v>
      </c>
      <c r="C388" t="str">
        <f t="shared" si="79"/>
        <v>E6_1_1_23_mRNA</v>
      </c>
      <c r="D388" t="str">
        <f t="shared" si="80"/>
        <v>E6_1_1_23</v>
      </c>
      <c r="E388" t="str">
        <f t="shared" si="81"/>
        <v>E6_1_1_23_kcat : 13.7</v>
      </c>
      <c r="F388" t="str">
        <f t="shared" si="82"/>
        <v>E6_1_1_23_km : 1</v>
      </c>
      <c r="G388" t="str">
        <f t="shared" si="83"/>
        <v>E6_1_1_23_mRNA : E6_1_1_23_mRNA</v>
      </c>
      <c r="H388" t="str">
        <f t="shared" si="84"/>
        <v>E6_1_1_23 : E6_1_1_23</v>
      </c>
      <c r="I388" t="str">
        <f t="shared" si="85"/>
        <v>E6_1_1_23_mRNA : 0</v>
      </c>
      <c r="J388" t="str">
        <f t="shared" si="86"/>
        <v>E6_1_1_23 : 0</v>
      </c>
      <c r="K388" t="str">
        <f t="shared" si="87"/>
        <v>0.00292 - (0.0093 * E6_1_1_23_mRNA)</v>
      </c>
      <c r="L388" t="str">
        <f t="shared" si="88"/>
        <v>(0.278 * E6_1_1_23_mRNA) - (0.00000278 * E6_1_1_23)</v>
      </c>
      <c r="M388" t="str">
        <f t="shared" si="89"/>
        <v>mRNA387: -&gt; E6_1_1_23_mRNA | 0.00292 - (0.0093 * E6_1_1_23_mRNA)</v>
      </c>
      <c r="N388" t="str">
        <f t="shared" si="90"/>
        <v>Peptide387: E6_1_1_23_mRNA -&gt; E6_1_1_23 | (0.278 * E6_1_1_23_mRNA) - (0.000000278 * E6_1_1_23)</v>
      </c>
    </row>
    <row r="389" spans="1:14" x14ac:dyDescent="0.25">
      <c r="A389">
        <f t="shared" si="78"/>
        <v>388</v>
      </c>
      <c r="B389" s="5" t="s">
        <v>9796</v>
      </c>
      <c r="C389" t="str">
        <f t="shared" si="79"/>
        <v>E6_1_1_3_mRNA</v>
      </c>
      <c r="D389" t="str">
        <f t="shared" si="80"/>
        <v>E6_1_1_3</v>
      </c>
      <c r="E389" t="str">
        <f t="shared" si="81"/>
        <v>E6_1_1_3_kcat : 13.7</v>
      </c>
      <c r="F389" t="str">
        <f t="shared" si="82"/>
        <v>E6_1_1_3_km : 1</v>
      </c>
      <c r="G389" t="str">
        <f t="shared" si="83"/>
        <v>E6_1_1_3_mRNA : E6_1_1_3_mRNA</v>
      </c>
      <c r="H389" t="str">
        <f t="shared" si="84"/>
        <v>E6_1_1_3 : E6_1_1_3</v>
      </c>
      <c r="I389" t="str">
        <f t="shared" si="85"/>
        <v>E6_1_1_3_mRNA : 0</v>
      </c>
      <c r="J389" t="str">
        <f t="shared" si="86"/>
        <v>E6_1_1_3 : 0</v>
      </c>
      <c r="K389" t="str">
        <f t="shared" si="87"/>
        <v>0.00292 - (0.0093 * E6_1_1_3_mRNA)</v>
      </c>
      <c r="L389" t="str">
        <f t="shared" si="88"/>
        <v>(0.278 * E6_1_1_3_mRNA) - (0.00000278 * E6_1_1_3)</v>
      </c>
      <c r="M389" t="str">
        <f t="shared" si="89"/>
        <v>mRNA388: -&gt; E6_1_1_3_mRNA | 0.00292 - (0.0093 * E6_1_1_3_mRNA)</v>
      </c>
      <c r="N389" t="str">
        <f t="shared" si="90"/>
        <v>Peptide388: E6_1_1_3_mRNA -&gt; E6_1_1_3 | (0.278 * E6_1_1_3_mRNA) - (0.000000278 * E6_1_1_3)</v>
      </c>
    </row>
    <row r="390" spans="1:14" x14ac:dyDescent="0.25">
      <c r="A390">
        <f t="shared" si="78"/>
        <v>389</v>
      </c>
      <c r="B390" s="5" t="s">
        <v>9809</v>
      </c>
      <c r="C390" t="str">
        <f t="shared" si="79"/>
        <v>E6_1_1_4_mRNA</v>
      </c>
      <c r="D390" t="str">
        <f t="shared" si="80"/>
        <v>E6_1_1_4</v>
      </c>
      <c r="E390" t="str">
        <f t="shared" si="81"/>
        <v>E6_1_1_4_kcat : 13.7</v>
      </c>
      <c r="F390" t="str">
        <f t="shared" si="82"/>
        <v>E6_1_1_4_km : 1</v>
      </c>
      <c r="G390" t="str">
        <f t="shared" si="83"/>
        <v>E6_1_1_4_mRNA : E6_1_1_4_mRNA</v>
      </c>
      <c r="H390" t="str">
        <f t="shared" si="84"/>
        <v>E6_1_1_4 : E6_1_1_4</v>
      </c>
      <c r="I390" t="str">
        <f t="shared" si="85"/>
        <v>E6_1_1_4_mRNA : 0</v>
      </c>
      <c r="J390" t="str">
        <f t="shared" si="86"/>
        <v>E6_1_1_4 : 0</v>
      </c>
      <c r="K390" t="str">
        <f t="shared" si="87"/>
        <v>0.00292 - (0.0093 * E6_1_1_4_mRNA)</v>
      </c>
      <c r="L390" t="str">
        <f t="shared" si="88"/>
        <v>(0.278 * E6_1_1_4_mRNA) - (0.00000278 * E6_1_1_4)</v>
      </c>
      <c r="M390" t="str">
        <f t="shared" si="89"/>
        <v>mRNA389: -&gt; E6_1_1_4_mRNA | 0.00292 - (0.0093 * E6_1_1_4_mRNA)</v>
      </c>
      <c r="N390" t="str">
        <f t="shared" si="90"/>
        <v>Peptide389: E6_1_1_4_mRNA -&gt; E6_1_1_4 | (0.278 * E6_1_1_4_mRNA) - (0.000000278 * E6_1_1_4)</v>
      </c>
    </row>
    <row r="391" spans="1:14" x14ac:dyDescent="0.25">
      <c r="A391">
        <f t="shared" si="78"/>
        <v>390</v>
      </c>
      <c r="B391" s="5" t="s">
        <v>9700</v>
      </c>
      <c r="C391" t="str">
        <f t="shared" si="79"/>
        <v>E6_1_1_5_mRNA</v>
      </c>
      <c r="D391" t="str">
        <f t="shared" si="80"/>
        <v>E6_1_1_5</v>
      </c>
      <c r="E391" t="str">
        <f t="shared" si="81"/>
        <v>E6_1_1_5_kcat : 13.7</v>
      </c>
      <c r="F391" t="str">
        <f t="shared" si="82"/>
        <v>E6_1_1_5_km : 1</v>
      </c>
      <c r="G391" t="str">
        <f t="shared" si="83"/>
        <v>E6_1_1_5_mRNA : E6_1_1_5_mRNA</v>
      </c>
      <c r="H391" t="str">
        <f t="shared" si="84"/>
        <v>E6_1_1_5 : E6_1_1_5</v>
      </c>
      <c r="I391" t="str">
        <f t="shared" si="85"/>
        <v>E6_1_1_5_mRNA : 0</v>
      </c>
      <c r="J391" t="str">
        <f t="shared" si="86"/>
        <v>E6_1_1_5 : 0</v>
      </c>
      <c r="K391" t="str">
        <f t="shared" si="87"/>
        <v>0.00292 - (0.0093 * E6_1_1_5_mRNA)</v>
      </c>
      <c r="L391" t="str">
        <f t="shared" si="88"/>
        <v>(0.278 * E6_1_1_5_mRNA) - (0.00000278 * E6_1_1_5)</v>
      </c>
      <c r="M391" t="str">
        <f t="shared" si="89"/>
        <v>mRNA390: -&gt; E6_1_1_5_mRNA | 0.00292 - (0.0093 * E6_1_1_5_mRNA)</v>
      </c>
      <c r="N391" t="str">
        <f t="shared" si="90"/>
        <v>Peptide390: E6_1_1_5_mRNA -&gt; E6_1_1_5 | (0.278 * E6_1_1_5_mRNA) - (0.000000278 * E6_1_1_5)</v>
      </c>
    </row>
    <row r="392" spans="1:14" x14ac:dyDescent="0.25">
      <c r="A392">
        <f t="shared" si="78"/>
        <v>391</v>
      </c>
      <c r="B392" s="5" t="s">
        <v>9518</v>
      </c>
      <c r="C392" t="str">
        <f t="shared" si="79"/>
        <v>E6_1_1_6_mRNA</v>
      </c>
      <c r="D392" t="str">
        <f t="shared" si="80"/>
        <v>E6_1_1_6</v>
      </c>
      <c r="E392" t="str">
        <f t="shared" si="81"/>
        <v>E6_1_1_6_kcat : 13.7</v>
      </c>
      <c r="F392" t="str">
        <f t="shared" si="82"/>
        <v>E6_1_1_6_km : 1</v>
      </c>
      <c r="G392" t="str">
        <f t="shared" si="83"/>
        <v>E6_1_1_6_mRNA : E6_1_1_6_mRNA</v>
      </c>
      <c r="H392" t="str">
        <f t="shared" si="84"/>
        <v>E6_1_1_6 : E6_1_1_6</v>
      </c>
      <c r="I392" t="str">
        <f t="shared" si="85"/>
        <v>E6_1_1_6_mRNA : 0</v>
      </c>
      <c r="J392" t="str">
        <f t="shared" si="86"/>
        <v>E6_1_1_6 : 0</v>
      </c>
      <c r="K392" t="str">
        <f t="shared" si="87"/>
        <v>0.00292 - (0.0093 * E6_1_1_6_mRNA)</v>
      </c>
      <c r="L392" t="str">
        <f t="shared" si="88"/>
        <v>(0.278 * E6_1_1_6_mRNA) - (0.00000278 * E6_1_1_6)</v>
      </c>
      <c r="M392" t="str">
        <f t="shared" si="89"/>
        <v>mRNA391: -&gt; E6_1_1_6_mRNA | 0.00292 - (0.0093 * E6_1_1_6_mRNA)</v>
      </c>
      <c r="N392" t="str">
        <f t="shared" si="90"/>
        <v>Peptide391: E6_1_1_6_mRNA -&gt; E6_1_1_6 | (0.278 * E6_1_1_6_mRNA) - (0.000000278 * E6_1_1_6)</v>
      </c>
    </row>
    <row r="393" spans="1:14" x14ac:dyDescent="0.25">
      <c r="A393">
        <f t="shared" si="78"/>
        <v>392</v>
      </c>
      <c r="B393" s="5" t="s">
        <v>9447</v>
      </c>
      <c r="C393" t="str">
        <f t="shared" si="79"/>
        <v>E6_1_1_7_mRNA</v>
      </c>
      <c r="D393" t="str">
        <f t="shared" si="80"/>
        <v>E6_1_1_7</v>
      </c>
      <c r="E393" t="str">
        <f t="shared" si="81"/>
        <v>E6_1_1_7_kcat : 13.7</v>
      </c>
      <c r="F393" t="str">
        <f t="shared" si="82"/>
        <v>E6_1_1_7_km : 1</v>
      </c>
      <c r="G393" t="str">
        <f t="shared" si="83"/>
        <v>E6_1_1_7_mRNA : E6_1_1_7_mRNA</v>
      </c>
      <c r="H393" t="str">
        <f t="shared" si="84"/>
        <v>E6_1_1_7 : E6_1_1_7</v>
      </c>
      <c r="I393" t="str">
        <f t="shared" si="85"/>
        <v>E6_1_1_7_mRNA : 0</v>
      </c>
      <c r="J393" t="str">
        <f t="shared" si="86"/>
        <v>E6_1_1_7 : 0</v>
      </c>
      <c r="K393" t="str">
        <f t="shared" si="87"/>
        <v>0.00292 - (0.0093 * E6_1_1_7_mRNA)</v>
      </c>
      <c r="L393" t="str">
        <f t="shared" si="88"/>
        <v>(0.278 * E6_1_1_7_mRNA) - (0.00000278 * E6_1_1_7)</v>
      </c>
      <c r="M393" t="str">
        <f t="shared" si="89"/>
        <v>mRNA392: -&gt; E6_1_1_7_mRNA | 0.00292 - (0.0093 * E6_1_1_7_mRNA)</v>
      </c>
      <c r="N393" t="str">
        <f t="shared" si="90"/>
        <v>Peptide392: E6_1_1_7_mRNA -&gt; E6_1_1_7 | (0.278 * E6_1_1_7_mRNA) - (0.000000278 * E6_1_1_7)</v>
      </c>
    </row>
    <row r="394" spans="1:14" x14ac:dyDescent="0.25">
      <c r="A394">
        <f t="shared" si="78"/>
        <v>393</v>
      </c>
      <c r="B394" s="5" t="s">
        <v>9636</v>
      </c>
      <c r="C394" t="str">
        <f t="shared" si="79"/>
        <v>E6_1_1_9_mRNA</v>
      </c>
      <c r="D394" t="str">
        <f t="shared" si="80"/>
        <v>E6_1_1_9</v>
      </c>
      <c r="E394" t="str">
        <f t="shared" si="81"/>
        <v>E6_1_1_9_kcat : 13.7</v>
      </c>
      <c r="F394" t="str">
        <f t="shared" si="82"/>
        <v>E6_1_1_9_km : 1</v>
      </c>
      <c r="G394" t="str">
        <f t="shared" si="83"/>
        <v>E6_1_1_9_mRNA : E6_1_1_9_mRNA</v>
      </c>
      <c r="H394" t="str">
        <f t="shared" si="84"/>
        <v>E6_1_1_9 : E6_1_1_9</v>
      </c>
      <c r="I394" t="str">
        <f t="shared" si="85"/>
        <v>E6_1_1_9_mRNA : 0</v>
      </c>
      <c r="J394" t="str">
        <f t="shared" si="86"/>
        <v>E6_1_1_9 : 0</v>
      </c>
      <c r="K394" t="str">
        <f t="shared" si="87"/>
        <v>0.00292 - (0.0093 * E6_1_1_9_mRNA)</v>
      </c>
      <c r="L394" t="str">
        <f t="shared" si="88"/>
        <v>(0.278 * E6_1_1_9_mRNA) - (0.00000278 * E6_1_1_9)</v>
      </c>
      <c r="M394" t="str">
        <f t="shared" si="89"/>
        <v>mRNA393: -&gt; E6_1_1_9_mRNA | 0.00292 - (0.0093 * E6_1_1_9_mRNA)</v>
      </c>
      <c r="N394" t="str">
        <f t="shared" si="90"/>
        <v>Peptide393: E6_1_1_9_mRNA -&gt; E6_1_1_9 | (0.278 * E6_1_1_9_mRNA) - (0.000000278 * E6_1_1_9)</v>
      </c>
    </row>
    <row r="395" spans="1:14" x14ac:dyDescent="0.25">
      <c r="A395">
        <f t="shared" si="78"/>
        <v>394</v>
      </c>
      <c r="B395" s="5" t="s">
        <v>9664</v>
      </c>
      <c r="C395" t="str">
        <f t="shared" si="79"/>
        <v>E6_2_1_1_mRNA</v>
      </c>
      <c r="D395" t="str">
        <f t="shared" si="80"/>
        <v>E6_2_1_1</v>
      </c>
      <c r="E395" t="str">
        <f t="shared" si="81"/>
        <v>E6_2_1_1_kcat : 13.7</v>
      </c>
      <c r="F395" t="str">
        <f t="shared" si="82"/>
        <v>E6_2_1_1_km : 1</v>
      </c>
      <c r="G395" t="str">
        <f t="shared" si="83"/>
        <v>E6_2_1_1_mRNA : E6_2_1_1_mRNA</v>
      </c>
      <c r="H395" t="str">
        <f t="shared" si="84"/>
        <v>E6_2_1_1 : E6_2_1_1</v>
      </c>
      <c r="I395" t="str">
        <f t="shared" si="85"/>
        <v>E6_2_1_1_mRNA : 0</v>
      </c>
      <c r="J395" t="str">
        <f t="shared" si="86"/>
        <v>E6_2_1_1 : 0</v>
      </c>
      <c r="K395" t="str">
        <f t="shared" si="87"/>
        <v>0.00292 - (0.0093 * E6_2_1_1_mRNA)</v>
      </c>
      <c r="L395" t="str">
        <f t="shared" si="88"/>
        <v>(0.278 * E6_2_1_1_mRNA) - (0.00000278 * E6_2_1_1)</v>
      </c>
      <c r="M395" t="str">
        <f t="shared" si="89"/>
        <v>mRNA394: -&gt; E6_2_1_1_mRNA | 0.00292 - (0.0093 * E6_2_1_1_mRNA)</v>
      </c>
      <c r="N395" t="str">
        <f t="shared" si="90"/>
        <v>Peptide394: E6_2_1_1_mRNA -&gt; E6_2_1_1 | (0.278 * E6_2_1_1_mRNA) - (0.000000278 * E6_2_1_1)</v>
      </c>
    </row>
    <row r="396" spans="1:14" x14ac:dyDescent="0.25">
      <c r="A396">
        <f t="shared" si="78"/>
        <v>395</v>
      </c>
      <c r="B396" s="5" t="s">
        <v>9693</v>
      </c>
      <c r="C396" t="str">
        <f t="shared" si="79"/>
        <v>E6_2_1_16_mRNA</v>
      </c>
      <c r="D396" t="str">
        <f t="shared" si="80"/>
        <v>E6_2_1_16</v>
      </c>
      <c r="E396" t="str">
        <f t="shared" si="81"/>
        <v>E6_2_1_16_kcat : 13.7</v>
      </c>
      <c r="F396" t="str">
        <f t="shared" si="82"/>
        <v>E6_2_1_16_km : 1</v>
      </c>
      <c r="G396" t="str">
        <f t="shared" si="83"/>
        <v>E6_2_1_16_mRNA : E6_2_1_16_mRNA</v>
      </c>
      <c r="H396" t="str">
        <f t="shared" si="84"/>
        <v>E6_2_1_16 : E6_2_1_16</v>
      </c>
      <c r="I396" t="str">
        <f t="shared" si="85"/>
        <v>E6_2_1_16_mRNA : 0</v>
      </c>
      <c r="J396" t="str">
        <f t="shared" si="86"/>
        <v>E6_2_1_16 : 0</v>
      </c>
      <c r="K396" t="str">
        <f t="shared" si="87"/>
        <v>0.00292 - (0.0093 * E6_2_1_16_mRNA)</v>
      </c>
      <c r="L396" t="str">
        <f t="shared" si="88"/>
        <v>(0.278 * E6_2_1_16_mRNA) - (0.00000278 * E6_2_1_16)</v>
      </c>
      <c r="M396" t="str">
        <f t="shared" si="89"/>
        <v>mRNA395: -&gt; E6_2_1_16_mRNA | 0.00292 - (0.0093 * E6_2_1_16_mRNA)</v>
      </c>
      <c r="N396" t="str">
        <f t="shared" si="90"/>
        <v>Peptide395: E6_2_1_16_mRNA -&gt; E6_2_1_16 | (0.278 * E6_2_1_16_mRNA) - (0.000000278 * E6_2_1_16)</v>
      </c>
    </row>
    <row r="397" spans="1:14" x14ac:dyDescent="0.25">
      <c r="A397">
        <f t="shared" si="78"/>
        <v>396</v>
      </c>
      <c r="B397" s="5" t="s">
        <v>9571</v>
      </c>
      <c r="C397" t="str">
        <f t="shared" si="79"/>
        <v>E6_2_1_26_mRNA</v>
      </c>
      <c r="D397" t="str">
        <f t="shared" si="80"/>
        <v>E6_2_1_26</v>
      </c>
      <c r="E397" t="str">
        <f t="shared" si="81"/>
        <v>E6_2_1_26_kcat : 13.7</v>
      </c>
      <c r="F397" t="str">
        <f t="shared" si="82"/>
        <v>E6_2_1_26_km : 1</v>
      </c>
      <c r="G397" t="str">
        <f t="shared" si="83"/>
        <v>E6_2_1_26_mRNA : E6_2_1_26_mRNA</v>
      </c>
      <c r="H397" t="str">
        <f t="shared" si="84"/>
        <v>E6_2_1_26 : E6_2_1_26</v>
      </c>
      <c r="I397" t="str">
        <f t="shared" si="85"/>
        <v>E6_2_1_26_mRNA : 0</v>
      </c>
      <c r="J397" t="str">
        <f t="shared" si="86"/>
        <v>E6_2_1_26 : 0</v>
      </c>
      <c r="K397" t="str">
        <f t="shared" si="87"/>
        <v>0.00292 - (0.0093 * E6_2_1_26_mRNA)</v>
      </c>
      <c r="L397" t="str">
        <f t="shared" si="88"/>
        <v>(0.278 * E6_2_1_26_mRNA) - (0.00000278 * E6_2_1_26)</v>
      </c>
      <c r="M397" t="str">
        <f t="shared" si="89"/>
        <v>mRNA396: -&gt; E6_2_1_26_mRNA | 0.00292 - (0.0093 * E6_2_1_26_mRNA)</v>
      </c>
      <c r="N397" t="str">
        <f t="shared" si="90"/>
        <v>Peptide396: E6_2_1_26_mRNA -&gt; E6_2_1_26 | (0.278 * E6_2_1_26_mRNA) - (0.000000278 * E6_2_1_26)</v>
      </c>
    </row>
    <row r="398" spans="1:14" x14ac:dyDescent="0.25">
      <c r="A398">
        <f t="shared" si="78"/>
        <v>397</v>
      </c>
      <c r="B398" s="5" t="s">
        <v>9507</v>
      </c>
      <c r="C398" t="str">
        <f t="shared" si="79"/>
        <v>E6_2_1_3_mRNA</v>
      </c>
      <c r="D398" t="str">
        <f t="shared" si="80"/>
        <v>E6_2_1_3</v>
      </c>
      <c r="E398" t="str">
        <f t="shared" si="81"/>
        <v>E6_2_1_3_kcat : 13.7</v>
      </c>
      <c r="F398" t="str">
        <f t="shared" si="82"/>
        <v>E6_2_1_3_km : 1</v>
      </c>
      <c r="G398" t="str">
        <f t="shared" si="83"/>
        <v>E6_2_1_3_mRNA : E6_2_1_3_mRNA</v>
      </c>
      <c r="H398" t="str">
        <f t="shared" si="84"/>
        <v>E6_2_1_3 : E6_2_1_3</v>
      </c>
      <c r="I398" t="str">
        <f t="shared" si="85"/>
        <v>E6_2_1_3_mRNA : 0</v>
      </c>
      <c r="J398" t="str">
        <f t="shared" si="86"/>
        <v>E6_2_1_3 : 0</v>
      </c>
      <c r="K398" t="str">
        <f t="shared" si="87"/>
        <v>0.00292 - (0.0093 * E6_2_1_3_mRNA)</v>
      </c>
      <c r="L398" t="str">
        <f t="shared" si="88"/>
        <v>(0.278 * E6_2_1_3_mRNA) - (0.00000278 * E6_2_1_3)</v>
      </c>
      <c r="M398" t="str">
        <f t="shared" si="89"/>
        <v>mRNA397: -&gt; E6_2_1_3_mRNA | 0.00292 - (0.0093 * E6_2_1_3_mRNA)</v>
      </c>
      <c r="N398" t="str">
        <f t="shared" si="90"/>
        <v>Peptide397: E6_2_1_3_mRNA -&gt; E6_2_1_3 | (0.278 * E6_2_1_3_mRNA) - (0.000000278 * E6_2_1_3)</v>
      </c>
    </row>
    <row r="399" spans="1:14" x14ac:dyDescent="0.25">
      <c r="A399">
        <f t="shared" si="78"/>
        <v>398</v>
      </c>
      <c r="B399" s="5" t="s">
        <v>9579</v>
      </c>
      <c r="C399" t="str">
        <f t="shared" si="79"/>
        <v>E6_2_1_30_mRNA</v>
      </c>
      <c r="D399" t="str">
        <f t="shared" si="80"/>
        <v>E6_2_1_30</v>
      </c>
      <c r="E399" t="str">
        <f t="shared" si="81"/>
        <v>E6_2_1_30_kcat : 13.7</v>
      </c>
      <c r="F399" t="str">
        <f t="shared" si="82"/>
        <v>E6_2_1_30_km : 1</v>
      </c>
      <c r="G399" t="str">
        <f t="shared" si="83"/>
        <v>E6_2_1_30_mRNA : E6_2_1_30_mRNA</v>
      </c>
      <c r="H399" t="str">
        <f t="shared" si="84"/>
        <v>E6_2_1_30 : E6_2_1_30</v>
      </c>
      <c r="I399" t="str">
        <f t="shared" si="85"/>
        <v>E6_2_1_30_mRNA : 0</v>
      </c>
      <c r="J399" t="str">
        <f t="shared" si="86"/>
        <v>E6_2_1_30 : 0</v>
      </c>
      <c r="K399" t="str">
        <f t="shared" si="87"/>
        <v>0.00292 - (0.0093 * E6_2_1_30_mRNA)</v>
      </c>
      <c r="L399" t="str">
        <f t="shared" si="88"/>
        <v>(0.278 * E6_2_1_30_mRNA) - (0.00000278 * E6_2_1_30)</v>
      </c>
      <c r="M399" t="str">
        <f t="shared" si="89"/>
        <v>mRNA398: -&gt; E6_2_1_30_mRNA | 0.00292 - (0.0093 * E6_2_1_30_mRNA)</v>
      </c>
      <c r="N399" t="str">
        <f t="shared" si="90"/>
        <v>Peptide398: E6_2_1_30_mRNA -&gt; E6_2_1_30 | (0.278 * E6_2_1_30_mRNA) - (0.000000278 * E6_2_1_30)</v>
      </c>
    </row>
    <row r="400" spans="1:14" x14ac:dyDescent="0.25">
      <c r="A400">
        <f t="shared" si="78"/>
        <v>399</v>
      </c>
      <c r="B400" s="5" t="s">
        <v>9655</v>
      </c>
      <c r="C400" t="str">
        <f t="shared" si="79"/>
        <v>E6_2_1_5_mRNA</v>
      </c>
      <c r="D400" t="str">
        <f t="shared" si="80"/>
        <v>E6_2_1_5</v>
      </c>
      <c r="E400" t="str">
        <f t="shared" si="81"/>
        <v>E6_2_1_5_kcat : 13.7</v>
      </c>
      <c r="F400" t="str">
        <f t="shared" si="82"/>
        <v>E6_2_1_5_km : 1</v>
      </c>
      <c r="G400" t="str">
        <f t="shared" si="83"/>
        <v>E6_2_1_5_mRNA : E6_2_1_5_mRNA</v>
      </c>
      <c r="H400" t="str">
        <f t="shared" si="84"/>
        <v>E6_2_1_5 : E6_2_1_5</v>
      </c>
      <c r="I400" t="str">
        <f t="shared" si="85"/>
        <v>E6_2_1_5_mRNA : 0</v>
      </c>
      <c r="J400" t="str">
        <f t="shared" si="86"/>
        <v>E6_2_1_5 : 0</v>
      </c>
      <c r="K400" t="str">
        <f t="shared" si="87"/>
        <v>0.00292 - (0.0093 * E6_2_1_5_mRNA)</v>
      </c>
      <c r="L400" t="str">
        <f t="shared" si="88"/>
        <v>(0.278 * E6_2_1_5_mRNA) - (0.00000278 * E6_2_1_5)</v>
      </c>
      <c r="M400" t="str">
        <f t="shared" si="89"/>
        <v>mRNA399: -&gt; E6_2_1_5_mRNA | 0.00292 - (0.0093 * E6_2_1_5_mRNA)</v>
      </c>
      <c r="N400" t="str">
        <f t="shared" si="90"/>
        <v>Peptide399: E6_2_1_5_mRNA -&gt; E6_2_1_5 | (0.278 * E6_2_1_5_mRNA) - (0.000000278 * E6_2_1_5)</v>
      </c>
    </row>
    <row r="401" spans="1:14" x14ac:dyDescent="0.25">
      <c r="A401">
        <f t="shared" si="78"/>
        <v>400</v>
      </c>
      <c r="B401" s="5" t="s">
        <v>9556</v>
      </c>
      <c r="C401" t="str">
        <f t="shared" si="79"/>
        <v>E6_3_1_10_mRNA</v>
      </c>
      <c r="D401" t="str">
        <f t="shared" si="80"/>
        <v>E6_3_1_10</v>
      </c>
      <c r="E401" t="str">
        <f t="shared" si="81"/>
        <v>E6_3_1_10_kcat : 13.7</v>
      </c>
      <c r="F401" t="str">
        <f t="shared" si="82"/>
        <v>E6_3_1_10_km : 1</v>
      </c>
      <c r="G401" t="str">
        <f t="shared" si="83"/>
        <v>E6_3_1_10_mRNA : E6_3_1_10_mRNA</v>
      </c>
      <c r="H401" t="str">
        <f t="shared" si="84"/>
        <v>E6_3_1_10 : E6_3_1_10</v>
      </c>
      <c r="I401" t="str">
        <f t="shared" si="85"/>
        <v>E6_3_1_10_mRNA : 0</v>
      </c>
      <c r="J401" t="str">
        <f t="shared" si="86"/>
        <v>E6_3_1_10 : 0</v>
      </c>
      <c r="K401" t="str">
        <f t="shared" si="87"/>
        <v>0.00292 - (0.0093 * E6_3_1_10_mRNA)</v>
      </c>
      <c r="L401" t="str">
        <f t="shared" si="88"/>
        <v>(0.278 * E6_3_1_10_mRNA) - (0.00000278 * E6_3_1_10)</v>
      </c>
      <c r="M401" t="str">
        <f t="shared" si="89"/>
        <v>mRNA400: -&gt; E6_3_1_10_mRNA | 0.00292 - (0.0093 * E6_3_1_10_mRNA)</v>
      </c>
      <c r="N401" t="str">
        <f t="shared" si="90"/>
        <v>Peptide400: E6_3_1_10_mRNA -&gt; E6_3_1_10 | (0.278 * E6_3_1_10_mRNA) - (0.000000278 * E6_3_1_10)</v>
      </c>
    </row>
    <row r="402" spans="1:14" x14ac:dyDescent="0.25">
      <c r="A402">
        <f t="shared" si="78"/>
        <v>401</v>
      </c>
      <c r="B402" s="5" t="s">
        <v>9498</v>
      </c>
      <c r="C402" t="str">
        <f t="shared" si="79"/>
        <v>E6_3_1_2_mRNA</v>
      </c>
      <c r="D402" t="str">
        <f t="shared" si="80"/>
        <v>E6_3_1_2</v>
      </c>
      <c r="E402" t="str">
        <f t="shared" si="81"/>
        <v>E6_3_1_2_kcat : 13.7</v>
      </c>
      <c r="F402" t="str">
        <f t="shared" si="82"/>
        <v>E6_3_1_2_km : 1</v>
      </c>
      <c r="G402" t="str">
        <f t="shared" si="83"/>
        <v>E6_3_1_2_mRNA : E6_3_1_2_mRNA</v>
      </c>
      <c r="H402" t="str">
        <f t="shared" si="84"/>
        <v>E6_3_1_2 : E6_3_1_2</v>
      </c>
      <c r="I402" t="str">
        <f t="shared" si="85"/>
        <v>E6_3_1_2_mRNA : 0</v>
      </c>
      <c r="J402" t="str">
        <f t="shared" si="86"/>
        <v>E6_3_1_2 : 0</v>
      </c>
      <c r="K402" t="str">
        <f t="shared" si="87"/>
        <v>0.00292 - (0.0093 * E6_3_1_2_mRNA)</v>
      </c>
      <c r="L402" t="str">
        <f t="shared" si="88"/>
        <v>(0.278 * E6_3_1_2_mRNA) - (0.00000278 * E6_3_1_2)</v>
      </c>
      <c r="M402" t="str">
        <f t="shared" si="89"/>
        <v>mRNA401: -&gt; E6_3_1_2_mRNA | 0.00292 - (0.0093 * E6_3_1_2_mRNA)</v>
      </c>
      <c r="N402" t="str">
        <f t="shared" si="90"/>
        <v>Peptide401: E6_3_1_2_mRNA -&gt; E6_3_1_2 | (0.278 * E6_3_1_2_mRNA) - (0.000000278 * E6_3_1_2)</v>
      </c>
    </row>
    <row r="403" spans="1:14" x14ac:dyDescent="0.25">
      <c r="A403">
        <f t="shared" si="78"/>
        <v>402</v>
      </c>
      <c r="B403" s="5" t="s">
        <v>9407</v>
      </c>
      <c r="C403" t="str">
        <f t="shared" si="79"/>
        <v>E6_3_1_5_mRNA</v>
      </c>
      <c r="D403" t="str">
        <f t="shared" si="80"/>
        <v>E6_3_1_5</v>
      </c>
      <c r="E403" t="str">
        <f t="shared" si="81"/>
        <v>E6_3_1_5_kcat : 13.7</v>
      </c>
      <c r="F403" t="str">
        <f t="shared" si="82"/>
        <v>E6_3_1_5_km : 1</v>
      </c>
      <c r="G403" t="str">
        <f t="shared" si="83"/>
        <v>E6_3_1_5_mRNA : E6_3_1_5_mRNA</v>
      </c>
      <c r="H403" t="str">
        <f t="shared" si="84"/>
        <v>E6_3_1_5 : E6_3_1_5</v>
      </c>
      <c r="I403" t="str">
        <f t="shared" si="85"/>
        <v>E6_3_1_5_mRNA : 0</v>
      </c>
      <c r="J403" t="str">
        <f t="shared" si="86"/>
        <v>E6_3_1_5 : 0</v>
      </c>
      <c r="K403" t="str">
        <f t="shared" si="87"/>
        <v>0.00292 - (0.0093 * E6_3_1_5_mRNA)</v>
      </c>
      <c r="L403" t="str">
        <f t="shared" si="88"/>
        <v>(0.278 * E6_3_1_5_mRNA) - (0.00000278 * E6_3_1_5)</v>
      </c>
      <c r="M403" t="str">
        <f t="shared" si="89"/>
        <v>mRNA402: -&gt; E6_3_1_5_mRNA | 0.00292 - (0.0093 * E6_3_1_5_mRNA)</v>
      </c>
      <c r="N403" t="str">
        <f t="shared" si="90"/>
        <v>Peptide402: E6_3_1_5_mRNA -&gt; E6_3_1_5 | (0.278 * E6_3_1_5_mRNA) - (0.000000278 * E6_3_1_5)</v>
      </c>
    </row>
    <row r="404" spans="1:14" x14ac:dyDescent="0.25">
      <c r="A404">
        <f t="shared" si="78"/>
        <v>403</v>
      </c>
      <c r="B404" s="5" t="s">
        <v>9428</v>
      </c>
      <c r="C404" t="str">
        <f t="shared" si="79"/>
        <v>E6_3_2_1_mRNA</v>
      </c>
      <c r="D404" t="str">
        <f t="shared" si="80"/>
        <v>E6_3_2_1</v>
      </c>
      <c r="E404" t="str">
        <f t="shared" si="81"/>
        <v>E6_3_2_1_kcat : 13.7</v>
      </c>
      <c r="F404" t="str">
        <f t="shared" si="82"/>
        <v>E6_3_2_1_km : 1</v>
      </c>
      <c r="G404" t="str">
        <f t="shared" si="83"/>
        <v>E6_3_2_1_mRNA : E6_3_2_1_mRNA</v>
      </c>
      <c r="H404" t="str">
        <f t="shared" si="84"/>
        <v>E6_3_2_1 : E6_3_2_1</v>
      </c>
      <c r="I404" t="str">
        <f t="shared" si="85"/>
        <v>E6_3_2_1_mRNA : 0</v>
      </c>
      <c r="J404" t="str">
        <f t="shared" si="86"/>
        <v>E6_3_2_1 : 0</v>
      </c>
      <c r="K404" t="str">
        <f t="shared" si="87"/>
        <v>0.00292 - (0.0093 * E6_3_2_1_mRNA)</v>
      </c>
      <c r="L404" t="str">
        <f t="shared" si="88"/>
        <v>(0.278 * E6_3_2_1_mRNA) - (0.00000278 * E6_3_2_1)</v>
      </c>
      <c r="M404" t="str">
        <f t="shared" si="89"/>
        <v>mRNA403: -&gt; E6_3_2_1_mRNA | 0.00292 - (0.0093 * E6_3_2_1_mRNA)</v>
      </c>
      <c r="N404" t="str">
        <f t="shared" si="90"/>
        <v>Peptide403: E6_3_2_1_mRNA -&gt; E6_3_2_1 | (0.278 * E6_3_2_1_mRNA) - (0.000000278 * E6_3_2_1)</v>
      </c>
    </row>
    <row r="405" spans="1:14" x14ac:dyDescent="0.25">
      <c r="A405">
        <f t="shared" si="78"/>
        <v>404</v>
      </c>
      <c r="B405" s="5" t="s">
        <v>9624</v>
      </c>
      <c r="C405" t="str">
        <f t="shared" si="79"/>
        <v>E6_3_2_10_mRNA</v>
      </c>
      <c r="D405" t="str">
        <f t="shared" si="80"/>
        <v>E6_3_2_10</v>
      </c>
      <c r="E405" t="str">
        <f t="shared" si="81"/>
        <v>E6_3_2_10_kcat : 13.7</v>
      </c>
      <c r="F405" t="str">
        <f t="shared" si="82"/>
        <v>E6_3_2_10_km : 1</v>
      </c>
      <c r="G405" t="str">
        <f t="shared" si="83"/>
        <v>E6_3_2_10_mRNA : E6_3_2_10_mRNA</v>
      </c>
      <c r="H405" t="str">
        <f t="shared" si="84"/>
        <v>E6_3_2_10 : E6_3_2_10</v>
      </c>
      <c r="I405" t="str">
        <f t="shared" si="85"/>
        <v>E6_3_2_10_mRNA : 0</v>
      </c>
      <c r="J405" t="str">
        <f t="shared" si="86"/>
        <v>E6_3_2_10 : 0</v>
      </c>
      <c r="K405" t="str">
        <f t="shared" si="87"/>
        <v>0.00292 - (0.0093 * E6_3_2_10_mRNA)</v>
      </c>
      <c r="L405" t="str">
        <f t="shared" si="88"/>
        <v>(0.278 * E6_3_2_10_mRNA) - (0.00000278 * E6_3_2_10)</v>
      </c>
      <c r="M405" t="str">
        <f t="shared" si="89"/>
        <v>mRNA404: -&gt; E6_3_2_10_mRNA | 0.00292 - (0.0093 * E6_3_2_10_mRNA)</v>
      </c>
      <c r="N405" t="str">
        <f t="shared" si="90"/>
        <v>Peptide404: E6_3_2_10_mRNA -&gt; E6_3_2_10 | (0.278 * E6_3_2_10_mRNA) - (0.000000278 * E6_3_2_10)</v>
      </c>
    </row>
    <row r="406" spans="1:14" x14ac:dyDescent="0.25">
      <c r="A406">
        <f t="shared" si="78"/>
        <v>405</v>
      </c>
      <c r="B406" s="5" t="s">
        <v>9497</v>
      </c>
      <c r="C406" t="str">
        <f t="shared" si="79"/>
        <v>E6_3_2_12_mRNA</v>
      </c>
      <c r="D406" t="str">
        <f t="shared" si="80"/>
        <v>E6_3_2_12</v>
      </c>
      <c r="E406" t="str">
        <f t="shared" si="81"/>
        <v>E6_3_2_12_kcat : 13.7</v>
      </c>
      <c r="F406" t="str">
        <f t="shared" si="82"/>
        <v>E6_3_2_12_km : 1</v>
      </c>
      <c r="G406" t="str">
        <f t="shared" si="83"/>
        <v>E6_3_2_12_mRNA : E6_3_2_12_mRNA</v>
      </c>
      <c r="H406" t="str">
        <f t="shared" si="84"/>
        <v>E6_3_2_12 : E6_3_2_12</v>
      </c>
      <c r="I406" t="str">
        <f t="shared" si="85"/>
        <v>E6_3_2_12_mRNA : 0</v>
      </c>
      <c r="J406" t="str">
        <f t="shared" si="86"/>
        <v>E6_3_2_12 : 0</v>
      </c>
      <c r="K406" t="str">
        <f t="shared" si="87"/>
        <v>0.00292 - (0.0093 * E6_3_2_12_mRNA)</v>
      </c>
      <c r="L406" t="str">
        <f t="shared" si="88"/>
        <v>(0.278 * E6_3_2_12_mRNA) - (0.00000278 * E6_3_2_12)</v>
      </c>
      <c r="M406" t="str">
        <f t="shared" si="89"/>
        <v>mRNA405: -&gt; E6_3_2_12_mRNA | 0.00292 - (0.0093 * E6_3_2_12_mRNA)</v>
      </c>
      <c r="N406" t="str">
        <f t="shared" si="90"/>
        <v>Peptide405: E6_3_2_12_mRNA -&gt; E6_3_2_12 | (0.278 * E6_3_2_12_mRNA) - (0.000000278 * E6_3_2_12)</v>
      </c>
    </row>
    <row r="407" spans="1:14" x14ac:dyDescent="0.25">
      <c r="A407">
        <f t="shared" si="78"/>
        <v>406</v>
      </c>
      <c r="B407" s="5" t="s">
        <v>9733</v>
      </c>
      <c r="C407" t="str">
        <f t="shared" si="79"/>
        <v>E6_3_2_4_mRNA</v>
      </c>
      <c r="D407" t="str">
        <f t="shared" si="80"/>
        <v>E6_3_2_4</v>
      </c>
      <c r="E407" t="str">
        <f t="shared" si="81"/>
        <v>E6_3_2_4_kcat : 13.7</v>
      </c>
      <c r="F407" t="str">
        <f t="shared" si="82"/>
        <v>E6_3_2_4_km : 1</v>
      </c>
      <c r="G407" t="str">
        <f t="shared" si="83"/>
        <v>E6_3_2_4_mRNA : E6_3_2_4_mRNA</v>
      </c>
      <c r="H407" t="str">
        <f t="shared" si="84"/>
        <v>E6_3_2_4 : E6_3_2_4</v>
      </c>
      <c r="I407" t="str">
        <f t="shared" si="85"/>
        <v>E6_3_2_4_mRNA : 0</v>
      </c>
      <c r="J407" t="str">
        <f t="shared" si="86"/>
        <v>E6_3_2_4 : 0</v>
      </c>
      <c r="K407" t="str">
        <f t="shared" si="87"/>
        <v>0.00292 - (0.0093 * E6_3_2_4_mRNA)</v>
      </c>
      <c r="L407" t="str">
        <f t="shared" si="88"/>
        <v>(0.278 * E6_3_2_4_mRNA) - (0.00000278 * E6_3_2_4)</v>
      </c>
      <c r="M407" t="str">
        <f t="shared" si="89"/>
        <v>mRNA406: -&gt; E6_3_2_4_mRNA | 0.00292 - (0.0093 * E6_3_2_4_mRNA)</v>
      </c>
      <c r="N407" t="str">
        <f t="shared" si="90"/>
        <v>Peptide406: E6_3_2_4_mRNA -&gt; E6_3_2_4 | (0.278 * E6_3_2_4_mRNA) - (0.000000278 * E6_3_2_4)</v>
      </c>
    </row>
    <row r="408" spans="1:14" x14ac:dyDescent="0.25">
      <c r="A408">
        <f t="shared" si="78"/>
        <v>407</v>
      </c>
      <c r="B408" s="5" t="s">
        <v>9470</v>
      </c>
      <c r="C408" t="str">
        <f t="shared" si="79"/>
        <v>E6_3_2_6_mRNA</v>
      </c>
      <c r="D408" t="str">
        <f t="shared" si="80"/>
        <v>E6_3_2_6</v>
      </c>
      <c r="E408" t="str">
        <f t="shared" si="81"/>
        <v>E6_3_2_6_kcat : 13.7</v>
      </c>
      <c r="F408" t="str">
        <f t="shared" si="82"/>
        <v>E6_3_2_6_km : 1</v>
      </c>
      <c r="G408" t="str">
        <f t="shared" si="83"/>
        <v>E6_3_2_6_mRNA : E6_3_2_6_mRNA</v>
      </c>
      <c r="H408" t="str">
        <f t="shared" si="84"/>
        <v>E6_3_2_6 : E6_3_2_6</v>
      </c>
      <c r="I408" t="str">
        <f t="shared" si="85"/>
        <v>E6_3_2_6_mRNA : 0</v>
      </c>
      <c r="J408" t="str">
        <f t="shared" si="86"/>
        <v>E6_3_2_6 : 0</v>
      </c>
      <c r="K408" t="str">
        <f t="shared" si="87"/>
        <v>0.00292 - (0.0093 * E6_3_2_6_mRNA)</v>
      </c>
      <c r="L408" t="str">
        <f t="shared" si="88"/>
        <v>(0.278 * E6_3_2_6_mRNA) - (0.00000278 * E6_3_2_6)</v>
      </c>
      <c r="M408" t="str">
        <f t="shared" si="89"/>
        <v>mRNA407: -&gt; E6_3_2_6_mRNA | 0.00292 - (0.0093 * E6_3_2_6_mRNA)</v>
      </c>
      <c r="N408" t="str">
        <f t="shared" si="90"/>
        <v>Peptide407: E6_3_2_6_mRNA -&gt; E6_3_2_6 | (0.278 * E6_3_2_6_mRNA) - (0.000000278 * E6_3_2_6)</v>
      </c>
    </row>
    <row r="409" spans="1:14" x14ac:dyDescent="0.25">
      <c r="A409">
        <f t="shared" si="78"/>
        <v>408</v>
      </c>
      <c r="B409" s="5" t="s">
        <v>9628</v>
      </c>
      <c r="C409" t="str">
        <f t="shared" si="79"/>
        <v>E6_3_2_8_mRNA</v>
      </c>
      <c r="D409" t="str">
        <f t="shared" si="80"/>
        <v>E6_3_2_8</v>
      </c>
      <c r="E409" t="str">
        <f t="shared" si="81"/>
        <v>E6_3_2_8_kcat : 13.7</v>
      </c>
      <c r="F409" t="str">
        <f t="shared" si="82"/>
        <v>E6_3_2_8_km : 1</v>
      </c>
      <c r="G409" t="str">
        <f t="shared" si="83"/>
        <v>E6_3_2_8_mRNA : E6_3_2_8_mRNA</v>
      </c>
      <c r="H409" t="str">
        <f t="shared" si="84"/>
        <v>E6_3_2_8 : E6_3_2_8</v>
      </c>
      <c r="I409" t="str">
        <f t="shared" si="85"/>
        <v>E6_3_2_8_mRNA : 0</v>
      </c>
      <c r="J409" t="str">
        <f t="shared" si="86"/>
        <v>E6_3_2_8 : 0</v>
      </c>
      <c r="K409" t="str">
        <f t="shared" si="87"/>
        <v>0.00292 - (0.0093 * E6_3_2_8_mRNA)</v>
      </c>
      <c r="L409" t="str">
        <f t="shared" si="88"/>
        <v>(0.278 * E6_3_2_8_mRNA) - (0.00000278 * E6_3_2_8)</v>
      </c>
      <c r="M409" t="str">
        <f t="shared" si="89"/>
        <v>mRNA408: -&gt; E6_3_2_8_mRNA | 0.00292 - (0.0093 * E6_3_2_8_mRNA)</v>
      </c>
      <c r="N409" t="str">
        <f t="shared" si="90"/>
        <v>Peptide408: E6_3_2_8_mRNA -&gt; E6_3_2_8 | (0.278 * E6_3_2_8_mRNA) - (0.000000278 * E6_3_2_8)</v>
      </c>
    </row>
    <row r="410" spans="1:14" x14ac:dyDescent="0.25">
      <c r="A410">
        <f t="shared" si="78"/>
        <v>409</v>
      </c>
      <c r="B410" s="5" t="s">
        <v>9626</v>
      </c>
      <c r="C410" t="str">
        <f t="shared" si="79"/>
        <v>E6_3_2_9_mRNA</v>
      </c>
      <c r="D410" t="str">
        <f t="shared" si="80"/>
        <v>E6_3_2_9</v>
      </c>
      <c r="E410" t="str">
        <f t="shared" si="81"/>
        <v>E6_3_2_9_kcat : 13.7</v>
      </c>
      <c r="F410" t="str">
        <f t="shared" si="82"/>
        <v>E6_3_2_9_km : 1</v>
      </c>
      <c r="G410" t="str">
        <f t="shared" si="83"/>
        <v>E6_3_2_9_mRNA : E6_3_2_9_mRNA</v>
      </c>
      <c r="H410" t="str">
        <f t="shared" si="84"/>
        <v>E6_3_2_9 : E6_3_2_9</v>
      </c>
      <c r="I410" t="str">
        <f t="shared" si="85"/>
        <v>E6_3_2_9_mRNA : 0</v>
      </c>
      <c r="J410" t="str">
        <f t="shared" si="86"/>
        <v>E6_3_2_9 : 0</v>
      </c>
      <c r="K410" t="str">
        <f t="shared" si="87"/>
        <v>0.00292 - (0.0093 * E6_3_2_9_mRNA)</v>
      </c>
      <c r="L410" t="str">
        <f t="shared" si="88"/>
        <v>(0.278 * E6_3_2_9_mRNA) - (0.00000278 * E6_3_2_9)</v>
      </c>
      <c r="M410" t="str">
        <f t="shared" si="89"/>
        <v>mRNA409: -&gt; E6_3_2_9_mRNA | 0.00292 - (0.0093 * E6_3_2_9_mRNA)</v>
      </c>
      <c r="N410" t="str">
        <f t="shared" si="90"/>
        <v>Peptide409: E6_3_2_9_mRNA -&gt; E6_3_2_9 | (0.278 * E6_3_2_9_mRNA) - (0.000000278 * E6_3_2_9)</v>
      </c>
    </row>
    <row r="411" spans="1:14" x14ac:dyDescent="0.25">
      <c r="A411">
        <f t="shared" si="78"/>
        <v>410</v>
      </c>
      <c r="B411" s="5" t="s">
        <v>9396</v>
      </c>
      <c r="C411" t="str">
        <f t="shared" si="79"/>
        <v>E6_3_3_1_mRNA</v>
      </c>
      <c r="D411" t="str">
        <f t="shared" si="80"/>
        <v>E6_3_3_1</v>
      </c>
      <c r="E411" t="str">
        <f t="shared" si="81"/>
        <v>E6_3_3_1_kcat : 13.7</v>
      </c>
      <c r="F411" t="str">
        <f t="shared" si="82"/>
        <v>E6_3_3_1_km : 1</v>
      </c>
      <c r="G411" t="str">
        <f t="shared" si="83"/>
        <v>E6_3_3_1_mRNA : E6_3_3_1_mRNA</v>
      </c>
      <c r="H411" t="str">
        <f t="shared" si="84"/>
        <v>E6_3_3_1 : E6_3_3_1</v>
      </c>
      <c r="I411" t="str">
        <f t="shared" si="85"/>
        <v>E6_3_3_1_mRNA : 0</v>
      </c>
      <c r="J411" t="str">
        <f t="shared" si="86"/>
        <v>E6_3_3_1 : 0</v>
      </c>
      <c r="K411" t="str">
        <f t="shared" si="87"/>
        <v>0.00292 - (0.0093 * E6_3_3_1_mRNA)</v>
      </c>
      <c r="L411" t="str">
        <f t="shared" si="88"/>
        <v>(0.278 * E6_3_3_1_mRNA) - (0.00000278 * E6_3_3_1)</v>
      </c>
      <c r="M411" t="str">
        <f t="shared" si="89"/>
        <v>mRNA410: -&gt; E6_3_3_1_mRNA | 0.00292 - (0.0093 * E6_3_3_1_mRNA)</v>
      </c>
      <c r="N411" t="str">
        <f t="shared" si="90"/>
        <v>Peptide410: E6_3_3_1_mRNA -&gt; E6_3_3_1 | (0.278 * E6_3_3_1_mRNA) - (0.000000278 * E6_3_3_1)</v>
      </c>
    </row>
    <row r="412" spans="1:14" x14ac:dyDescent="0.25">
      <c r="A412">
        <f t="shared" si="78"/>
        <v>411</v>
      </c>
      <c r="B412" s="5" t="s">
        <v>9480</v>
      </c>
      <c r="C412" t="str">
        <f t="shared" si="79"/>
        <v>E6_3_3_2_mRNA</v>
      </c>
      <c r="D412" t="str">
        <f t="shared" si="80"/>
        <v>E6_3_3_2</v>
      </c>
      <c r="E412" t="str">
        <f t="shared" si="81"/>
        <v>E6_3_3_2_kcat : 13.7</v>
      </c>
      <c r="F412" t="str">
        <f t="shared" si="82"/>
        <v>E6_3_3_2_km : 1</v>
      </c>
      <c r="G412" t="str">
        <f t="shared" si="83"/>
        <v>E6_3_3_2_mRNA : E6_3_3_2_mRNA</v>
      </c>
      <c r="H412" t="str">
        <f t="shared" si="84"/>
        <v>E6_3_3_2 : E6_3_3_2</v>
      </c>
      <c r="I412" t="str">
        <f t="shared" si="85"/>
        <v>E6_3_3_2_mRNA : 0</v>
      </c>
      <c r="J412" t="str">
        <f t="shared" si="86"/>
        <v>E6_3_3_2 : 0</v>
      </c>
      <c r="K412" t="str">
        <f t="shared" si="87"/>
        <v>0.00292 - (0.0093 * E6_3_3_2_mRNA)</v>
      </c>
      <c r="L412" t="str">
        <f t="shared" si="88"/>
        <v>(0.278 * E6_3_3_2_mRNA) - (0.00000278 * E6_3_3_2)</v>
      </c>
      <c r="M412" t="str">
        <f t="shared" si="89"/>
        <v>mRNA411: -&gt; E6_3_3_2_mRNA | 0.00292 - (0.0093 * E6_3_3_2_mRNA)</v>
      </c>
      <c r="N412" t="str">
        <f t="shared" si="90"/>
        <v>Peptide411: E6_3_3_2_mRNA -&gt; E6_3_3_2 | (0.278 * E6_3_3_2_mRNA) - (0.000000278 * E6_3_3_2)</v>
      </c>
    </row>
    <row r="413" spans="1:14" x14ac:dyDescent="0.25">
      <c r="A413">
        <f t="shared" si="78"/>
        <v>412</v>
      </c>
      <c r="B413" s="5" t="s">
        <v>9665</v>
      </c>
      <c r="C413" t="str">
        <f t="shared" si="79"/>
        <v>E6_3_4_13_mRNA</v>
      </c>
      <c r="D413" t="str">
        <f t="shared" si="80"/>
        <v>E6_3_4_13</v>
      </c>
      <c r="E413" t="str">
        <f t="shared" si="81"/>
        <v>E6_3_4_13_kcat : 13.7</v>
      </c>
      <c r="F413" t="str">
        <f t="shared" si="82"/>
        <v>E6_3_4_13_km : 1</v>
      </c>
      <c r="G413" t="str">
        <f t="shared" si="83"/>
        <v>E6_3_4_13_mRNA : E6_3_4_13_mRNA</v>
      </c>
      <c r="H413" t="str">
        <f t="shared" si="84"/>
        <v>E6_3_4_13 : E6_3_4_13</v>
      </c>
      <c r="I413" t="str">
        <f t="shared" si="85"/>
        <v>E6_3_4_13_mRNA : 0</v>
      </c>
      <c r="J413" t="str">
        <f t="shared" si="86"/>
        <v>E6_3_4_13 : 0</v>
      </c>
      <c r="K413" t="str">
        <f t="shared" si="87"/>
        <v>0.00292 - (0.0093 * E6_3_4_13_mRNA)</v>
      </c>
      <c r="L413" t="str">
        <f t="shared" si="88"/>
        <v>(0.278 * E6_3_4_13_mRNA) - (0.00000278 * E6_3_4_13)</v>
      </c>
      <c r="M413" t="str">
        <f t="shared" si="89"/>
        <v>mRNA412: -&gt; E6_3_4_13_mRNA | 0.00292 - (0.0093 * E6_3_4_13_mRNA)</v>
      </c>
      <c r="N413" t="str">
        <f t="shared" si="90"/>
        <v>Peptide412: E6_3_4_13_mRNA -&gt; E6_3_4_13 | (0.278 * E6_3_4_13_mRNA) - (0.000000278 * E6_3_4_13)</v>
      </c>
    </row>
    <row r="414" spans="1:14" x14ac:dyDescent="0.25">
      <c r="A414">
        <f t="shared" si="78"/>
        <v>413</v>
      </c>
      <c r="B414" s="5" t="s">
        <v>9527</v>
      </c>
      <c r="C414" t="str">
        <f t="shared" si="79"/>
        <v>E6_3_4_14_mRNA</v>
      </c>
      <c r="D414" t="str">
        <f t="shared" si="80"/>
        <v>E6_3_4_14</v>
      </c>
      <c r="E414" t="str">
        <f t="shared" si="81"/>
        <v>E6_3_4_14_kcat : 13.7</v>
      </c>
      <c r="F414" t="str">
        <f t="shared" si="82"/>
        <v>E6_3_4_14_km : 1</v>
      </c>
      <c r="G414" t="str">
        <f t="shared" si="83"/>
        <v>E6_3_4_14_mRNA : E6_3_4_14_mRNA</v>
      </c>
      <c r="H414" t="str">
        <f t="shared" si="84"/>
        <v>E6_3_4_14 : E6_3_4_14</v>
      </c>
      <c r="I414" t="str">
        <f t="shared" si="85"/>
        <v>E6_3_4_14_mRNA : 0</v>
      </c>
      <c r="J414" t="str">
        <f t="shared" si="86"/>
        <v>E6_3_4_14 : 0</v>
      </c>
      <c r="K414" t="str">
        <f t="shared" si="87"/>
        <v>0.00292 - (0.0093 * E6_3_4_14_mRNA)</v>
      </c>
      <c r="L414" t="str">
        <f t="shared" si="88"/>
        <v>(0.278 * E6_3_4_14_mRNA) - (0.00000278 * E6_3_4_14)</v>
      </c>
      <c r="M414" t="str">
        <f t="shared" si="89"/>
        <v>mRNA413: -&gt; E6_3_4_14_mRNA | 0.00292 - (0.0093 * E6_3_4_14_mRNA)</v>
      </c>
      <c r="N414" t="str">
        <f t="shared" si="90"/>
        <v>Peptide413: E6_3_4_14_mRNA -&gt; E6_3_4_14 | (0.278 * E6_3_4_14_mRNA) - (0.000000278 * E6_3_4_14)</v>
      </c>
    </row>
    <row r="415" spans="1:14" x14ac:dyDescent="0.25">
      <c r="A415">
        <f t="shared" si="78"/>
        <v>414</v>
      </c>
      <c r="B415" s="5" t="s">
        <v>9484</v>
      </c>
      <c r="C415" t="str">
        <f t="shared" si="79"/>
        <v>E6_3_4_2_mRNA</v>
      </c>
      <c r="D415" t="str">
        <f t="shared" si="80"/>
        <v>E6_3_4_2</v>
      </c>
      <c r="E415" t="str">
        <f t="shared" si="81"/>
        <v>E6_3_4_2_kcat : 13.7</v>
      </c>
      <c r="F415" t="str">
        <f t="shared" si="82"/>
        <v>E6_3_4_2_km : 1</v>
      </c>
      <c r="G415" t="str">
        <f t="shared" si="83"/>
        <v>E6_3_4_2_mRNA : E6_3_4_2_mRNA</v>
      </c>
      <c r="H415" t="str">
        <f t="shared" si="84"/>
        <v>E6_3_4_2 : E6_3_4_2</v>
      </c>
      <c r="I415" t="str">
        <f t="shared" si="85"/>
        <v>E6_3_4_2_mRNA : 0</v>
      </c>
      <c r="J415" t="str">
        <f t="shared" si="86"/>
        <v>E6_3_4_2 : 0</v>
      </c>
      <c r="K415" t="str">
        <f t="shared" si="87"/>
        <v>0.00292 - (0.0093 * E6_3_4_2_mRNA)</v>
      </c>
      <c r="L415" t="str">
        <f t="shared" si="88"/>
        <v>(0.278 * E6_3_4_2_mRNA) - (0.00000278 * E6_3_4_2)</v>
      </c>
      <c r="M415" t="str">
        <f t="shared" si="89"/>
        <v>mRNA414: -&gt; E6_3_4_2_mRNA | 0.00292 - (0.0093 * E6_3_4_2_mRNA)</v>
      </c>
      <c r="N415" t="str">
        <f t="shared" si="90"/>
        <v>Peptide414: E6_3_4_2_mRNA -&gt; E6_3_4_2 | (0.278 * E6_3_4_2_mRNA) - (0.000000278 * E6_3_4_2)</v>
      </c>
    </row>
    <row r="416" spans="1:14" x14ac:dyDescent="0.25">
      <c r="A416">
        <f t="shared" si="78"/>
        <v>415</v>
      </c>
      <c r="B416" s="5" t="s">
        <v>9618</v>
      </c>
      <c r="C416" t="str">
        <f t="shared" si="79"/>
        <v>E6_3_4_21_mRNA</v>
      </c>
      <c r="D416" t="str">
        <f t="shared" si="80"/>
        <v>E6_3_4_21</v>
      </c>
      <c r="E416" t="str">
        <f t="shared" si="81"/>
        <v>E6_3_4_21_kcat : 13.7</v>
      </c>
      <c r="F416" t="str">
        <f t="shared" si="82"/>
        <v>E6_3_4_21_km : 1</v>
      </c>
      <c r="G416" t="str">
        <f t="shared" si="83"/>
        <v>E6_3_4_21_mRNA : E6_3_4_21_mRNA</v>
      </c>
      <c r="H416" t="str">
        <f t="shared" si="84"/>
        <v>E6_3_4_21 : E6_3_4_21</v>
      </c>
      <c r="I416" t="str">
        <f t="shared" si="85"/>
        <v>E6_3_4_21_mRNA : 0</v>
      </c>
      <c r="J416" t="str">
        <f t="shared" si="86"/>
        <v>E6_3_4_21 : 0</v>
      </c>
      <c r="K416" t="str">
        <f t="shared" si="87"/>
        <v>0.00292 - (0.0093 * E6_3_4_21_mRNA)</v>
      </c>
      <c r="L416" t="str">
        <f t="shared" si="88"/>
        <v>(0.278 * E6_3_4_21_mRNA) - (0.00000278 * E6_3_4_21)</v>
      </c>
      <c r="M416" t="str">
        <f t="shared" si="89"/>
        <v>mRNA415: -&gt; E6_3_4_21_mRNA | 0.00292 - (0.0093 * E6_3_4_21_mRNA)</v>
      </c>
      <c r="N416" t="str">
        <f t="shared" si="90"/>
        <v>Peptide415: E6_3_4_21_mRNA -&gt; E6_3_4_21 | (0.278 * E6_3_4_21_mRNA) - (0.000000278 * E6_3_4_21)</v>
      </c>
    </row>
    <row r="417" spans="1:14" x14ac:dyDescent="0.25">
      <c r="A417">
        <f t="shared" si="78"/>
        <v>416</v>
      </c>
      <c r="B417" s="5" t="s">
        <v>9425</v>
      </c>
      <c r="C417" t="str">
        <f t="shared" si="79"/>
        <v>E6_3_4_3_mRNA</v>
      </c>
      <c r="D417" t="str">
        <f t="shared" si="80"/>
        <v>E6_3_4_3</v>
      </c>
      <c r="E417" t="str">
        <f t="shared" si="81"/>
        <v>E6_3_4_3_kcat : 13.7</v>
      </c>
      <c r="F417" t="str">
        <f t="shared" si="82"/>
        <v>E6_3_4_3_km : 1</v>
      </c>
      <c r="G417" t="str">
        <f t="shared" si="83"/>
        <v>E6_3_4_3_mRNA : E6_3_4_3_mRNA</v>
      </c>
      <c r="H417" t="str">
        <f t="shared" si="84"/>
        <v>E6_3_4_3 : E6_3_4_3</v>
      </c>
      <c r="I417" t="str">
        <f t="shared" si="85"/>
        <v>E6_3_4_3_mRNA : 0</v>
      </c>
      <c r="J417" t="str">
        <f t="shared" si="86"/>
        <v>E6_3_4_3 : 0</v>
      </c>
      <c r="K417" t="str">
        <f t="shared" si="87"/>
        <v>0.00292 - (0.0093 * E6_3_4_3_mRNA)</v>
      </c>
      <c r="L417" t="str">
        <f t="shared" si="88"/>
        <v>(0.278 * E6_3_4_3_mRNA) - (0.00000278 * E6_3_4_3)</v>
      </c>
      <c r="M417" t="str">
        <f t="shared" si="89"/>
        <v>mRNA416: -&gt; E6_3_4_3_mRNA | 0.00292 - (0.0093 * E6_3_4_3_mRNA)</v>
      </c>
      <c r="N417" t="str">
        <f t="shared" si="90"/>
        <v>Peptide416: E6_3_4_3_mRNA -&gt; E6_3_4_3 | (0.278 * E6_3_4_3_mRNA) - (0.000000278 * E6_3_4_3)</v>
      </c>
    </row>
    <row r="418" spans="1:14" x14ac:dyDescent="0.25">
      <c r="A418">
        <f t="shared" si="78"/>
        <v>417</v>
      </c>
      <c r="B418" s="5" t="s">
        <v>9766</v>
      </c>
      <c r="C418" t="str">
        <f t="shared" si="79"/>
        <v>E6_3_4_4_mRNA</v>
      </c>
      <c r="D418" t="str">
        <f t="shared" si="80"/>
        <v>E6_3_4_4</v>
      </c>
      <c r="E418" t="str">
        <f t="shared" si="81"/>
        <v>E6_3_4_4_kcat : 13.7</v>
      </c>
      <c r="F418" t="str">
        <f t="shared" si="82"/>
        <v>E6_3_4_4_km : 1</v>
      </c>
      <c r="G418" t="str">
        <f t="shared" si="83"/>
        <v>E6_3_4_4_mRNA : E6_3_4_4_mRNA</v>
      </c>
      <c r="H418" t="str">
        <f t="shared" si="84"/>
        <v>E6_3_4_4 : E6_3_4_4</v>
      </c>
      <c r="I418" t="str">
        <f t="shared" si="85"/>
        <v>E6_3_4_4_mRNA : 0</v>
      </c>
      <c r="J418" t="str">
        <f t="shared" si="86"/>
        <v>E6_3_4_4 : 0</v>
      </c>
      <c r="K418" t="str">
        <f t="shared" si="87"/>
        <v>0.00292 - (0.0093 * E6_3_4_4_mRNA)</v>
      </c>
      <c r="L418" t="str">
        <f t="shared" si="88"/>
        <v>(0.278 * E6_3_4_4_mRNA) - (0.00000278 * E6_3_4_4)</v>
      </c>
      <c r="M418" t="str">
        <f t="shared" si="89"/>
        <v>mRNA417: -&gt; E6_3_4_4_mRNA | 0.00292 - (0.0093 * E6_3_4_4_mRNA)</v>
      </c>
      <c r="N418" t="str">
        <f t="shared" si="90"/>
        <v>Peptide417: E6_3_4_4_mRNA -&gt; E6_3_4_4 | (0.278 * E6_3_4_4_mRNA) - (0.000000278 * E6_3_4_4)</v>
      </c>
    </row>
    <row r="419" spans="1:14" x14ac:dyDescent="0.25">
      <c r="A419">
        <f t="shared" si="78"/>
        <v>418</v>
      </c>
      <c r="B419" s="5" t="s">
        <v>9421</v>
      </c>
      <c r="C419" t="str">
        <f t="shared" si="79"/>
        <v>E6_3_4_5_mRNA</v>
      </c>
      <c r="D419" t="str">
        <f t="shared" si="80"/>
        <v>E6_3_4_5</v>
      </c>
      <c r="E419" t="str">
        <f t="shared" si="81"/>
        <v>E6_3_4_5_kcat : 13.7</v>
      </c>
      <c r="F419" t="str">
        <f t="shared" si="82"/>
        <v>E6_3_4_5_km : 1</v>
      </c>
      <c r="G419" t="str">
        <f t="shared" si="83"/>
        <v>E6_3_4_5_mRNA : E6_3_4_5_mRNA</v>
      </c>
      <c r="H419" t="str">
        <f t="shared" si="84"/>
        <v>E6_3_4_5 : E6_3_4_5</v>
      </c>
      <c r="I419" t="str">
        <f t="shared" si="85"/>
        <v>E6_3_4_5_mRNA : 0</v>
      </c>
      <c r="J419" t="str">
        <f t="shared" si="86"/>
        <v>E6_3_4_5 : 0</v>
      </c>
      <c r="K419" t="str">
        <f t="shared" si="87"/>
        <v>0.00292 - (0.0093 * E6_3_4_5_mRNA)</v>
      </c>
      <c r="L419" t="str">
        <f t="shared" si="88"/>
        <v>(0.278 * E6_3_4_5_mRNA) - (0.00000278 * E6_3_4_5)</v>
      </c>
      <c r="M419" t="str">
        <f t="shared" si="89"/>
        <v>mRNA418: -&gt; E6_3_4_5_mRNA | 0.00292 - (0.0093 * E6_3_4_5_mRNA)</v>
      </c>
      <c r="N419" t="str">
        <f t="shared" si="90"/>
        <v>Peptide418: E6_3_4_5_mRNA -&gt; E6_3_4_5 | (0.278 * E6_3_4_5_mRNA) - (0.000000278 * E6_3_4_5)</v>
      </c>
    </row>
    <row r="420" spans="1:14" x14ac:dyDescent="0.25">
      <c r="A420">
        <f t="shared" si="78"/>
        <v>419</v>
      </c>
      <c r="B420" s="5" t="s">
        <v>9415</v>
      </c>
      <c r="C420" t="str">
        <f t="shared" si="79"/>
        <v>E6_3_4_9_mRNA</v>
      </c>
      <c r="D420" t="str">
        <f t="shared" si="80"/>
        <v>E6_3_4_9</v>
      </c>
      <c r="E420" t="str">
        <f t="shared" si="81"/>
        <v>E6_3_4_9_kcat : 13.7</v>
      </c>
      <c r="F420" t="str">
        <f t="shared" si="82"/>
        <v>E6_3_4_9_km : 1</v>
      </c>
      <c r="G420" t="str">
        <f t="shared" si="83"/>
        <v>E6_3_4_9_mRNA : E6_3_4_9_mRNA</v>
      </c>
      <c r="H420" t="str">
        <f t="shared" si="84"/>
        <v>E6_3_4_9 : E6_3_4_9</v>
      </c>
      <c r="I420" t="str">
        <f t="shared" si="85"/>
        <v>E6_3_4_9_mRNA : 0</v>
      </c>
      <c r="J420" t="str">
        <f t="shared" si="86"/>
        <v>E6_3_4_9 : 0</v>
      </c>
      <c r="K420" t="str">
        <f t="shared" si="87"/>
        <v>0.00292 - (0.0093 * E6_3_4_9_mRNA)</v>
      </c>
      <c r="L420" t="str">
        <f t="shared" si="88"/>
        <v>(0.278 * E6_3_4_9_mRNA) - (0.00000278 * E6_3_4_9)</v>
      </c>
      <c r="M420" t="str">
        <f t="shared" si="89"/>
        <v>mRNA419: -&gt; E6_3_4_9_mRNA | 0.00292 - (0.0093 * E6_3_4_9_mRNA)</v>
      </c>
      <c r="N420" t="str">
        <f t="shared" si="90"/>
        <v>Peptide419: E6_3_4_9_mRNA -&gt; E6_3_4_9 | (0.278 * E6_3_4_9_mRNA) - (0.000000278 * E6_3_4_9)</v>
      </c>
    </row>
    <row r="421" spans="1:14" x14ac:dyDescent="0.25">
      <c r="A421">
        <f t="shared" si="78"/>
        <v>420</v>
      </c>
      <c r="B421" s="5" t="s">
        <v>9738</v>
      </c>
      <c r="C421" t="str">
        <f t="shared" si="79"/>
        <v>E6_3_5_2_mRNA</v>
      </c>
      <c r="D421" t="str">
        <f t="shared" si="80"/>
        <v>E6_3_5_2</v>
      </c>
      <c r="E421" t="str">
        <f t="shared" si="81"/>
        <v>E6_3_5_2_kcat : 13.7</v>
      </c>
      <c r="F421" t="str">
        <f t="shared" si="82"/>
        <v>E6_3_5_2_km : 1</v>
      </c>
      <c r="G421" t="str">
        <f t="shared" si="83"/>
        <v>E6_3_5_2_mRNA : E6_3_5_2_mRNA</v>
      </c>
      <c r="H421" t="str">
        <f t="shared" si="84"/>
        <v>E6_3_5_2 : E6_3_5_2</v>
      </c>
      <c r="I421" t="str">
        <f t="shared" si="85"/>
        <v>E6_3_5_2_mRNA : 0</v>
      </c>
      <c r="J421" t="str">
        <f t="shared" si="86"/>
        <v>E6_3_5_2 : 0</v>
      </c>
      <c r="K421" t="str">
        <f t="shared" si="87"/>
        <v>0.00292 - (0.0093 * E6_3_5_2_mRNA)</v>
      </c>
      <c r="L421" t="str">
        <f t="shared" si="88"/>
        <v>(0.278 * E6_3_5_2_mRNA) - (0.00000278 * E6_3_5_2)</v>
      </c>
      <c r="M421" t="str">
        <f t="shared" si="89"/>
        <v>mRNA420: -&gt; E6_3_5_2_mRNA | 0.00292 - (0.0093 * E6_3_5_2_mRNA)</v>
      </c>
      <c r="N421" t="str">
        <f t="shared" si="90"/>
        <v>Peptide420: E6_3_5_2_mRNA -&gt; E6_3_5_2 | (0.278 * E6_3_5_2_mRNA) - (0.000000278 * E6_3_5_2)</v>
      </c>
    </row>
    <row r="422" spans="1:14" x14ac:dyDescent="0.25">
      <c r="A422">
        <f t="shared" si="78"/>
        <v>421</v>
      </c>
      <c r="B422" s="5" t="s">
        <v>9469</v>
      </c>
      <c r="C422" t="str">
        <f t="shared" si="79"/>
        <v>E6_3_5_3_mRNA</v>
      </c>
      <c r="D422" t="str">
        <f t="shared" si="80"/>
        <v>E6_3_5_3</v>
      </c>
      <c r="E422" t="str">
        <f t="shared" si="81"/>
        <v>E6_3_5_3_kcat : 13.7</v>
      </c>
      <c r="F422" t="str">
        <f t="shared" si="82"/>
        <v>E6_3_5_3_km : 1</v>
      </c>
      <c r="G422" t="str">
        <f t="shared" si="83"/>
        <v>E6_3_5_3_mRNA : E6_3_5_3_mRNA</v>
      </c>
      <c r="H422" t="str">
        <f t="shared" si="84"/>
        <v>E6_3_5_3 : E6_3_5_3</v>
      </c>
      <c r="I422" t="str">
        <f t="shared" si="85"/>
        <v>E6_3_5_3_mRNA : 0</v>
      </c>
      <c r="J422" t="str">
        <f t="shared" si="86"/>
        <v>E6_3_5_3 : 0</v>
      </c>
      <c r="K422" t="str">
        <f t="shared" si="87"/>
        <v>0.00292 - (0.0093 * E6_3_5_3_mRNA)</v>
      </c>
      <c r="L422" t="str">
        <f t="shared" si="88"/>
        <v>(0.278 * E6_3_5_3_mRNA) - (0.00000278 * E6_3_5_3)</v>
      </c>
      <c r="M422" t="str">
        <f t="shared" si="89"/>
        <v>mRNA421: -&gt; E6_3_5_3_mRNA | 0.00292 - (0.0093 * E6_3_5_3_mRNA)</v>
      </c>
      <c r="N422" t="str">
        <f t="shared" si="90"/>
        <v>Peptide421: E6_3_5_3_mRNA -&gt; E6_3_5_3 | (0.278 * E6_3_5_3_mRNA) - (0.000000278 * E6_3_5_3)</v>
      </c>
    </row>
    <row r="423" spans="1:14" x14ac:dyDescent="0.25">
      <c r="A423">
        <f t="shared" si="78"/>
        <v>422</v>
      </c>
      <c r="B423" s="5" t="s">
        <v>9424</v>
      </c>
      <c r="C423" t="str">
        <f t="shared" si="79"/>
        <v>E6_3_5_5_mRNA</v>
      </c>
      <c r="D423" t="str">
        <f t="shared" si="80"/>
        <v>E6_3_5_5</v>
      </c>
      <c r="E423" t="str">
        <f t="shared" si="81"/>
        <v>E6_3_5_5_kcat : 13.7</v>
      </c>
      <c r="F423" t="str">
        <f t="shared" si="82"/>
        <v>E6_3_5_5_km : 1</v>
      </c>
      <c r="G423" t="str">
        <f t="shared" si="83"/>
        <v>E6_3_5_5_mRNA : E6_3_5_5_mRNA</v>
      </c>
      <c r="H423" t="str">
        <f t="shared" si="84"/>
        <v>E6_3_5_5 : E6_3_5_5</v>
      </c>
      <c r="I423" t="str">
        <f t="shared" si="85"/>
        <v>E6_3_5_5_mRNA : 0</v>
      </c>
      <c r="J423" t="str">
        <f t="shared" si="86"/>
        <v>E6_3_5_5 : 0</v>
      </c>
      <c r="K423" t="str">
        <f t="shared" si="87"/>
        <v>0.00292 - (0.0093 * E6_3_5_5_mRNA)</v>
      </c>
      <c r="L423" t="str">
        <f t="shared" si="88"/>
        <v>(0.278 * E6_3_5_5_mRNA) - (0.00000278 * E6_3_5_5)</v>
      </c>
      <c r="M423" t="str">
        <f t="shared" si="89"/>
        <v>mRNA422: -&gt; E6_3_5_5_mRNA | 0.00292 - (0.0093 * E6_3_5_5_mRNA)</v>
      </c>
      <c r="N423" t="str">
        <f t="shared" si="90"/>
        <v>Peptide422: E6_3_5_5_mRNA -&gt; E6_3_5_5 | (0.278 * E6_3_5_5_mRNA) - (0.000000278 * E6_3_5_5)</v>
      </c>
    </row>
    <row r="424" spans="1:14" x14ac:dyDescent="0.25">
      <c r="A424">
        <f t="shared" si="78"/>
        <v>423</v>
      </c>
      <c r="B424" s="5" t="s">
        <v>9397</v>
      </c>
      <c r="C424" t="str">
        <f t="shared" si="79"/>
        <v>E6_3_5_6_mRNA</v>
      </c>
      <c r="D424" t="str">
        <f t="shared" si="80"/>
        <v>E6_3_5_6</v>
      </c>
      <c r="E424" t="str">
        <f t="shared" si="81"/>
        <v>E6_3_5_6_kcat : 13.7</v>
      </c>
      <c r="F424" t="str">
        <f t="shared" si="82"/>
        <v>E6_3_5_6_km : 1</v>
      </c>
      <c r="G424" t="str">
        <f t="shared" si="83"/>
        <v>E6_3_5_6_mRNA : E6_3_5_6_mRNA</v>
      </c>
      <c r="H424" t="str">
        <f t="shared" si="84"/>
        <v>E6_3_5_6 : E6_3_5_6</v>
      </c>
      <c r="I424" t="str">
        <f t="shared" si="85"/>
        <v>E6_3_5_6_mRNA : 0</v>
      </c>
      <c r="J424" t="str">
        <f t="shared" si="86"/>
        <v>E6_3_5_6 : 0</v>
      </c>
      <c r="K424" t="str">
        <f t="shared" si="87"/>
        <v>0.00292 - (0.0093 * E6_3_5_6_mRNA)</v>
      </c>
      <c r="L424" t="str">
        <f t="shared" si="88"/>
        <v>(0.278 * E6_3_5_6_mRNA) - (0.00000278 * E6_3_5_6)</v>
      </c>
      <c r="M424" t="str">
        <f t="shared" si="89"/>
        <v>mRNA423: -&gt; E6_3_5_6_mRNA | 0.00292 - (0.0093 * E6_3_5_6_mRNA)</v>
      </c>
      <c r="N424" t="str">
        <f t="shared" si="90"/>
        <v>Peptide423: E6_3_5_6_mRNA -&gt; E6_3_5_6 | (0.278 * E6_3_5_6_mRNA) - (0.000000278 * E6_3_5_6)</v>
      </c>
    </row>
    <row r="425" spans="1:14" x14ac:dyDescent="0.25">
      <c r="A425">
        <f t="shared" si="78"/>
        <v>424</v>
      </c>
      <c r="B425" s="5" t="s">
        <v>9431</v>
      </c>
      <c r="C425" t="str">
        <f t="shared" si="79"/>
        <v>E6_4_1_2_mRNA</v>
      </c>
      <c r="D425" t="str">
        <f t="shared" si="80"/>
        <v>E6_4_1_2</v>
      </c>
      <c r="E425" t="str">
        <f t="shared" si="81"/>
        <v>E6_4_1_2_kcat : 13.7</v>
      </c>
      <c r="F425" t="str">
        <f t="shared" si="82"/>
        <v>E6_4_1_2_km : 1</v>
      </c>
      <c r="G425" t="str">
        <f t="shared" si="83"/>
        <v>E6_4_1_2_mRNA : E6_4_1_2_mRNA</v>
      </c>
      <c r="H425" t="str">
        <f t="shared" si="84"/>
        <v>E6_4_1_2 : E6_4_1_2</v>
      </c>
      <c r="I425" t="str">
        <f t="shared" si="85"/>
        <v>E6_4_1_2_mRNA : 0</v>
      </c>
      <c r="J425" t="str">
        <f t="shared" si="86"/>
        <v>E6_4_1_2 : 0</v>
      </c>
      <c r="K425" t="str">
        <f t="shared" si="87"/>
        <v>0.00292 - (0.0093 * E6_4_1_2_mRNA)</v>
      </c>
      <c r="L425" t="str">
        <f t="shared" si="88"/>
        <v>(0.278 * E6_4_1_2_mRNA) - (0.00000278 * E6_4_1_2)</v>
      </c>
      <c r="M425" t="str">
        <f t="shared" si="89"/>
        <v>mRNA424: -&gt; E6_4_1_2_mRNA | 0.00292 - (0.0093 * E6_4_1_2_mRNA)</v>
      </c>
      <c r="N425" t="str">
        <f t="shared" si="90"/>
        <v>Peptide424: E6_4_1_2_mRNA -&gt; E6_4_1_2 | (0.278 * E6_4_1_2_mRNA) - (0.000000278 * E6_4_1_2)</v>
      </c>
    </row>
    <row r="426" spans="1:14" x14ac:dyDescent="0.25">
      <c r="A426">
        <f t="shared" si="78"/>
        <v>425</v>
      </c>
      <c r="B426" s="5" t="s">
        <v>9739</v>
      </c>
      <c r="C426" t="str">
        <f t="shared" si="79"/>
        <v>E6_4_1_4_mRNA</v>
      </c>
      <c r="D426" t="str">
        <f t="shared" si="80"/>
        <v>E6_4_1_4</v>
      </c>
      <c r="E426" t="str">
        <f t="shared" si="81"/>
        <v>E6_4_1_4_kcat : 13.7</v>
      </c>
      <c r="F426" t="str">
        <f t="shared" si="82"/>
        <v>E6_4_1_4_km : 1</v>
      </c>
      <c r="G426" t="str">
        <f t="shared" si="83"/>
        <v>E6_4_1_4_mRNA : E6_4_1_4_mRNA</v>
      </c>
      <c r="H426" t="str">
        <f t="shared" si="84"/>
        <v>E6_4_1_4 : E6_4_1_4</v>
      </c>
      <c r="I426" t="str">
        <f t="shared" si="85"/>
        <v>E6_4_1_4_mRNA : 0</v>
      </c>
      <c r="J426" t="str">
        <f t="shared" si="86"/>
        <v>E6_4_1_4 : 0</v>
      </c>
      <c r="K426" t="str">
        <f t="shared" si="87"/>
        <v>0.00292 - (0.0093 * E6_4_1_4_mRNA)</v>
      </c>
      <c r="L426" t="str">
        <f t="shared" si="88"/>
        <v>(0.278 * E6_4_1_4_mRNA) - (0.00000278 * E6_4_1_4)</v>
      </c>
      <c r="M426" t="str">
        <f t="shared" si="89"/>
        <v>mRNA425: -&gt; E6_4_1_4_mRNA | 0.00292 - (0.0093 * E6_4_1_4_mRNA)</v>
      </c>
      <c r="N426" t="str">
        <f t="shared" si="90"/>
        <v>Peptide425: E6_4_1_4_mRNA -&gt; E6_4_1_4 | (0.278 * E6_4_1_4_mRNA) - (0.000000278 * E6_4_1_4)</v>
      </c>
    </row>
    <row r="427" spans="1:14" x14ac:dyDescent="0.25">
      <c r="A427">
        <f t="shared" si="78"/>
        <v>426</v>
      </c>
      <c r="B427" s="5" t="s">
        <v>9717</v>
      </c>
      <c r="C427" t="str">
        <f t="shared" si="79"/>
        <v>E6_5_1_2_mRNA</v>
      </c>
      <c r="D427" t="str">
        <f t="shared" si="80"/>
        <v>E6_5_1_2</v>
      </c>
      <c r="E427" t="str">
        <f t="shared" si="81"/>
        <v>E6_5_1_2_kcat : 13.7</v>
      </c>
      <c r="F427" t="str">
        <f t="shared" si="82"/>
        <v>E6_5_1_2_km : 1</v>
      </c>
      <c r="G427" t="str">
        <f t="shared" si="83"/>
        <v>E6_5_1_2_mRNA : E6_5_1_2_mRNA</v>
      </c>
      <c r="H427" t="str">
        <f t="shared" si="84"/>
        <v>E6_5_1_2 : E6_5_1_2</v>
      </c>
      <c r="I427" t="str">
        <f t="shared" si="85"/>
        <v>E6_5_1_2_mRNA : 0</v>
      </c>
      <c r="J427" t="str">
        <f t="shared" si="86"/>
        <v>E6_5_1_2 : 0</v>
      </c>
      <c r="K427" t="str">
        <f t="shared" si="87"/>
        <v>0.00292 - (0.0093 * E6_5_1_2_mRNA)</v>
      </c>
      <c r="L427" t="str">
        <f t="shared" si="88"/>
        <v>(0.278 * E6_5_1_2_mRNA) - (0.00000278 * E6_5_1_2)</v>
      </c>
      <c r="M427" t="str">
        <f t="shared" si="89"/>
        <v>mRNA426: -&gt; E6_5_1_2_mRNA | 0.00292 - (0.0093 * E6_5_1_2_mRNA)</v>
      </c>
      <c r="N427" t="str">
        <f t="shared" si="90"/>
        <v>Peptide426: E6_5_1_2_mRNA -&gt; E6_5_1_2 | (0.278 * E6_5_1_2_mRNA) - (0.000000278 * E6_5_1_2)</v>
      </c>
    </row>
    <row r="428" spans="1:14" x14ac:dyDescent="0.25">
      <c r="A428">
        <f t="shared" si="78"/>
        <v>427</v>
      </c>
      <c r="B428" s="5" t="s">
        <v>9535</v>
      </c>
      <c r="C428" t="str">
        <f t="shared" si="79"/>
        <v>E6_6_1_1_mRNA</v>
      </c>
      <c r="D428" t="str">
        <f t="shared" si="80"/>
        <v>E6_6_1_1</v>
      </c>
      <c r="E428" t="str">
        <f t="shared" si="81"/>
        <v>E6_6_1_1_kcat : 13.7</v>
      </c>
      <c r="F428" t="str">
        <f t="shared" si="82"/>
        <v>E6_6_1_1_km : 1</v>
      </c>
      <c r="G428" t="str">
        <f t="shared" si="83"/>
        <v>E6_6_1_1_mRNA : E6_6_1_1_mRNA</v>
      </c>
      <c r="H428" t="str">
        <f t="shared" si="84"/>
        <v>E6_6_1_1 : E6_6_1_1</v>
      </c>
      <c r="I428" t="str">
        <f t="shared" si="85"/>
        <v>E6_6_1_1_mRNA : 0</v>
      </c>
      <c r="J428" t="str">
        <f t="shared" si="86"/>
        <v>E6_6_1_1 : 0</v>
      </c>
      <c r="K428" t="str">
        <f t="shared" si="87"/>
        <v>0.00292 - (0.0093 * E6_6_1_1_mRNA)</v>
      </c>
      <c r="L428" t="str">
        <f t="shared" si="88"/>
        <v>(0.278 * E6_6_1_1_mRNA) - (0.00000278 * E6_6_1_1)</v>
      </c>
      <c r="M428" t="str">
        <f t="shared" si="89"/>
        <v>mRNA427: -&gt; E6_6_1_1_mRNA | 0.00292 - (0.0093 * E6_6_1_1_mRNA)</v>
      </c>
      <c r="N428" t="str">
        <f t="shared" si="90"/>
        <v>Peptide427: E6_6_1_1_mRNA -&gt; E6_6_1_1 | (0.278 * E6_6_1_1_mRNA) - (0.000000278 * E6_6_1_1)</v>
      </c>
    </row>
    <row r="429" spans="1:14" x14ac:dyDescent="0.25">
      <c r="A429">
        <f t="shared" si="78"/>
        <v>428</v>
      </c>
      <c r="B429" s="5" t="s">
        <v>9410</v>
      </c>
      <c r="C429" t="str">
        <f t="shared" si="79"/>
        <v>E7_1_1_1_mRNA</v>
      </c>
      <c r="D429" t="str">
        <f t="shared" si="80"/>
        <v>E7_1_1_1</v>
      </c>
      <c r="E429" t="str">
        <f t="shared" si="81"/>
        <v>E7_1_1_1_kcat : 13.7</v>
      </c>
      <c r="F429" t="str">
        <f t="shared" si="82"/>
        <v>E7_1_1_1_km : 1</v>
      </c>
      <c r="G429" t="str">
        <f t="shared" si="83"/>
        <v>E7_1_1_1_mRNA : E7_1_1_1_mRNA</v>
      </c>
      <c r="H429" t="str">
        <f t="shared" si="84"/>
        <v>E7_1_1_1 : E7_1_1_1</v>
      </c>
      <c r="I429" t="str">
        <f t="shared" si="85"/>
        <v>E7_1_1_1_mRNA : 0</v>
      </c>
      <c r="J429" t="str">
        <f t="shared" si="86"/>
        <v>E7_1_1_1 : 0</v>
      </c>
      <c r="K429" t="str">
        <f t="shared" si="87"/>
        <v>0.00292 - (0.0093 * E7_1_1_1_mRNA)</v>
      </c>
      <c r="L429" t="str">
        <f t="shared" si="88"/>
        <v>(0.278 * E7_1_1_1_mRNA) - (0.00000278 * E7_1_1_1)</v>
      </c>
      <c r="M429" t="str">
        <f t="shared" si="89"/>
        <v>mRNA428: -&gt; E7_1_1_1_mRNA | 0.00292 - (0.0093 * E7_1_1_1_mRNA)</v>
      </c>
      <c r="N429" t="str">
        <f t="shared" si="90"/>
        <v>Peptide428: E7_1_1_1_mRNA -&gt; E7_1_1_1 | (0.278 * E7_1_1_1_mRNA) - (0.000000278 * E7_1_1_1)</v>
      </c>
    </row>
    <row r="430" spans="1:14" x14ac:dyDescent="0.25">
      <c r="A430">
        <f t="shared" si="78"/>
        <v>429</v>
      </c>
      <c r="B430" s="5" t="s">
        <v>9690</v>
      </c>
      <c r="C430" t="str">
        <f t="shared" si="79"/>
        <v>E7_1_1_2_mRNA</v>
      </c>
      <c r="D430" t="str">
        <f t="shared" si="80"/>
        <v>E7_1_1_2</v>
      </c>
      <c r="E430" t="str">
        <f t="shared" si="81"/>
        <v>E7_1_1_2_kcat : 13.7</v>
      </c>
      <c r="F430" t="str">
        <f t="shared" si="82"/>
        <v>E7_1_1_2_km : 1</v>
      </c>
      <c r="G430" t="str">
        <f t="shared" si="83"/>
        <v>E7_1_1_2_mRNA : E7_1_1_2_mRNA</v>
      </c>
      <c r="H430" t="str">
        <f t="shared" si="84"/>
        <v>E7_1_1_2 : E7_1_1_2</v>
      </c>
      <c r="I430" t="str">
        <f t="shared" si="85"/>
        <v>E7_1_1_2_mRNA : 0</v>
      </c>
      <c r="J430" t="str">
        <f t="shared" si="86"/>
        <v>E7_1_1_2 : 0</v>
      </c>
      <c r="K430" t="str">
        <f t="shared" si="87"/>
        <v>0.00292 - (0.0093 * E7_1_1_2_mRNA)</v>
      </c>
      <c r="L430" t="str">
        <f t="shared" si="88"/>
        <v>(0.278 * E7_1_1_2_mRNA) - (0.00000278 * E7_1_1_2)</v>
      </c>
      <c r="M430" t="str">
        <f t="shared" si="89"/>
        <v>mRNA429: -&gt; E7_1_1_2_mRNA | 0.00292 - (0.0093 * E7_1_1_2_mRNA)</v>
      </c>
      <c r="N430" t="str">
        <f t="shared" si="90"/>
        <v>Peptide429: E7_1_1_2_mRNA -&gt; E7_1_1_2 | (0.278 * E7_1_1_2_mRNA) - (0.000000278 * E7_1_1_2)</v>
      </c>
    </row>
    <row r="431" spans="1:14" x14ac:dyDescent="0.25">
      <c r="A431">
        <f t="shared" si="78"/>
        <v>430</v>
      </c>
      <c r="B431" s="5" t="s">
        <v>9797</v>
      </c>
      <c r="C431" t="str">
        <f t="shared" si="79"/>
        <v>E7_1_1_8_mRNA</v>
      </c>
      <c r="D431" t="str">
        <f t="shared" si="80"/>
        <v>E7_1_1_8</v>
      </c>
      <c r="E431" t="str">
        <f t="shared" si="81"/>
        <v>E7_1_1_8_kcat : 13.7</v>
      </c>
      <c r="F431" t="str">
        <f t="shared" si="82"/>
        <v>E7_1_1_8_km : 1</v>
      </c>
      <c r="G431" t="str">
        <f t="shared" si="83"/>
        <v>E7_1_1_8_mRNA : E7_1_1_8_mRNA</v>
      </c>
      <c r="H431" t="str">
        <f t="shared" si="84"/>
        <v>E7_1_1_8 : E7_1_1_8</v>
      </c>
      <c r="I431" t="str">
        <f t="shared" si="85"/>
        <v>E7_1_1_8_mRNA : 0</v>
      </c>
      <c r="J431" t="str">
        <f t="shared" si="86"/>
        <v>E7_1_1_8 : 0</v>
      </c>
      <c r="K431" t="str">
        <f t="shared" si="87"/>
        <v>0.00292 - (0.0093 * E7_1_1_8_mRNA)</v>
      </c>
      <c r="L431" t="str">
        <f t="shared" si="88"/>
        <v>(0.278 * E7_1_1_8_mRNA) - (0.00000278 * E7_1_1_8)</v>
      </c>
      <c r="M431" t="str">
        <f t="shared" si="89"/>
        <v>mRNA430: -&gt; E7_1_1_8_mRNA | 0.00292 - (0.0093 * E7_1_1_8_mRNA)</v>
      </c>
      <c r="N431" t="str">
        <f t="shared" si="90"/>
        <v>Peptide430: E7_1_1_8_mRNA -&gt; E7_1_1_8 | (0.278 * E7_1_1_8_mRNA) - (0.000000278 * E7_1_1_8)</v>
      </c>
    </row>
    <row r="432" spans="1:14" x14ac:dyDescent="0.25">
      <c r="A432">
        <f t="shared" ref="A432" si="91">ROW()-1</f>
        <v>431</v>
      </c>
      <c r="B432" s="5" t="s">
        <v>9525</v>
      </c>
      <c r="C432" t="str">
        <f t="shared" si="79"/>
        <v>E7_1_1_9_mRNA</v>
      </c>
      <c r="D432" t="str">
        <f t="shared" si="80"/>
        <v>E7_1_1_9</v>
      </c>
      <c r="E432" t="str">
        <f t="shared" si="81"/>
        <v>E7_1_1_9_kcat : 13.7</v>
      </c>
      <c r="F432" t="str">
        <f t="shared" si="82"/>
        <v>E7_1_1_9_km : 1</v>
      </c>
      <c r="G432" t="str">
        <f t="shared" si="83"/>
        <v>E7_1_1_9_mRNA : E7_1_1_9_mRNA</v>
      </c>
      <c r="H432" t="str">
        <f t="shared" si="84"/>
        <v>E7_1_1_9 : E7_1_1_9</v>
      </c>
      <c r="I432" t="str">
        <f t="shared" si="85"/>
        <v>E7_1_1_9_mRNA : 0</v>
      </c>
      <c r="J432" t="str">
        <f t="shared" si="86"/>
        <v>E7_1_1_9 : 0</v>
      </c>
      <c r="K432" t="str">
        <f t="shared" si="87"/>
        <v>0.00292 - (0.0093 * E7_1_1_9_mRNA)</v>
      </c>
      <c r="L432" t="str">
        <f t="shared" si="88"/>
        <v>(0.278 * E7_1_1_9_mRNA) - (0.00000278 * E7_1_1_9)</v>
      </c>
      <c r="M432" t="str">
        <f t="shared" si="89"/>
        <v>mRNA431: -&gt; E7_1_1_9_mRNA | 0.00292 - (0.0093 * E7_1_1_9_mRNA)</v>
      </c>
      <c r="N432" t="str">
        <f t="shared" si="90"/>
        <v>Peptide431: E7_1_1_9_mRNA -&gt; E7_1_1_9 | (0.278 * E7_1_1_9_mRNA) - (0.000000278 * E7_1_1_9)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E4AD-5165-4D93-8F6B-CB6C7660A8FB}">
  <dimension ref="A1:K1624"/>
  <sheetViews>
    <sheetView tabSelected="1" workbookViewId="0">
      <selection activeCell="L2" sqref="L2"/>
    </sheetView>
  </sheetViews>
  <sheetFormatPr defaultRowHeight="45" customHeight="1" x14ac:dyDescent="0.25"/>
  <cols>
    <col min="1" max="1" width="12.140625" customWidth="1"/>
    <col min="2" max="2" width="12.85546875" customWidth="1"/>
    <col min="3" max="3" width="10.85546875" customWidth="1"/>
    <col min="5" max="5" width="12.140625" customWidth="1"/>
    <col min="6" max="6" width="17.42578125" style="11" customWidth="1"/>
    <col min="7" max="7" width="16.140625" style="11" customWidth="1"/>
    <col min="8" max="8" width="16.28515625" style="11" customWidth="1"/>
    <col min="9" max="9" width="15.7109375" style="11" customWidth="1"/>
    <col min="10" max="10" width="49.28515625" style="10" customWidth="1"/>
    <col min="11" max="11" width="60.28515625" customWidth="1"/>
  </cols>
  <sheetData>
    <row r="1" spans="1:11" ht="45" customHeight="1" x14ac:dyDescent="0.25">
      <c r="A1" s="13" t="s">
        <v>10</v>
      </c>
      <c r="B1" s="13" t="s">
        <v>12</v>
      </c>
      <c r="C1" s="13" t="s">
        <v>7330</v>
      </c>
      <c r="D1" s="13" t="s">
        <v>8647</v>
      </c>
      <c r="E1" s="13" t="s">
        <v>8646</v>
      </c>
      <c r="F1" s="14" t="s">
        <v>8650</v>
      </c>
      <c r="G1" s="14" t="s">
        <v>8649</v>
      </c>
      <c r="H1" s="14" t="s">
        <v>8653</v>
      </c>
      <c r="I1" s="14" t="s">
        <v>8648</v>
      </c>
      <c r="J1" s="13" t="s">
        <v>8651</v>
      </c>
      <c r="K1" s="13" t="s">
        <v>8652</v>
      </c>
    </row>
    <row r="2" spans="1:11" ht="45" customHeight="1" x14ac:dyDescent="0.25">
      <c r="A2" t="s">
        <v>20</v>
      </c>
      <c r="B2" t="s">
        <v>21</v>
      </c>
      <c r="C2" s="5" t="s">
        <v>9386</v>
      </c>
      <c r="D2">
        <f>ROW()-1</f>
        <v>1</v>
      </c>
      <c r="E2" t="str">
        <f>_xlfn.CONCAT("E", C2)</f>
        <v>E2_7_7_7</v>
      </c>
      <c r="F2" s="11" t="s">
        <v>13933</v>
      </c>
      <c r="G2" s="11" t="s">
        <v>14536</v>
      </c>
      <c r="H2" s="11" t="s">
        <v>8988</v>
      </c>
      <c r="I2" s="11" t="s">
        <v>9187</v>
      </c>
      <c r="J2" s="12" t="str">
        <f>CONCATENATE("(${Variables:",E2,"_kcat","} * ",E2," * ",G2,")","/(${Variables:",E2,"_km","} + (",E2," * ",G2,"))")</f>
        <v>(${Variables:E2_7_7_7_kcat} * E2_7_7_7 * C00039 * C00677)/(${Variables:E2_7_7_7_km} + (E2_7_7_7 * C00039 * C00677))</v>
      </c>
      <c r="K2" s="11" t="str">
        <f>CONCATENATE("r",D2,": ",F2," -&gt; ",H2," | ",J2)</f>
        <v>r1: C00039 + C00677 -&gt; C00013 + C00039 | (${Variables:E2_7_7_7_kcat} * E2_7_7_7 * C00039 * C00677)/(${Variables:E2_7_7_7_km} + (E2_7_7_7 * C00039 * C00677))</v>
      </c>
    </row>
    <row r="3" spans="1:11" ht="45" customHeight="1" x14ac:dyDescent="0.25">
      <c r="A3" t="s">
        <v>20</v>
      </c>
      <c r="B3" t="s">
        <v>21</v>
      </c>
      <c r="C3" s="5" t="s">
        <v>9386</v>
      </c>
      <c r="D3">
        <f t="shared" ref="D3:D66" si="0">ROW()-1</f>
        <v>2</v>
      </c>
      <c r="E3" t="str">
        <f t="shared" ref="E3:E66" si="1">_xlfn.CONCAT("E", C3)</f>
        <v>E2_7_7_7</v>
      </c>
      <c r="F3" s="11" t="s">
        <v>13934</v>
      </c>
      <c r="G3" s="11" t="s">
        <v>14537</v>
      </c>
      <c r="H3" s="11" t="s">
        <v>8988</v>
      </c>
      <c r="I3" s="11" t="s">
        <v>9187</v>
      </c>
      <c r="J3" s="12" t="str">
        <f t="shared" ref="J3:J66" si="2">CONCATENATE("(${Variables:",E3,"_kcat","} * ",E3," * ",G3,")","/(${Variables:",E3,"_km","} + (",E3," * ",G3,"))")</f>
        <v>(${Variables:E2_7_7_7_kcat} * E2_7_7_7 * C00039 * C00131)/(${Variables:E2_7_7_7_km} + (E2_7_7_7 * C00039 * C00131))</v>
      </c>
      <c r="K3" s="11" t="str">
        <f t="shared" ref="K3:K66" si="3">CONCATENATE("r",D3,": ",F3," -&gt; ",H3," | ",J3)</f>
        <v>r2: C00039 + C00131 -&gt; C00013 + C00039 | (${Variables:E2_7_7_7_kcat} * E2_7_7_7 * C00039 * C00131)/(${Variables:E2_7_7_7_km} + (E2_7_7_7 * C00039 * C00131))</v>
      </c>
    </row>
    <row r="4" spans="1:11" ht="45" customHeight="1" x14ac:dyDescent="0.25">
      <c r="A4" t="s">
        <v>20</v>
      </c>
      <c r="B4" t="s">
        <v>21</v>
      </c>
      <c r="C4" s="5" t="s">
        <v>9386</v>
      </c>
      <c r="D4">
        <f t="shared" si="0"/>
        <v>3</v>
      </c>
      <c r="E4" t="str">
        <f t="shared" si="1"/>
        <v>E2_7_7_7</v>
      </c>
      <c r="F4" s="11" t="s">
        <v>13935</v>
      </c>
      <c r="G4" s="11" t="s">
        <v>14538</v>
      </c>
      <c r="H4" s="11" t="s">
        <v>8988</v>
      </c>
      <c r="I4" s="11" t="s">
        <v>9187</v>
      </c>
      <c r="J4" s="12" t="str">
        <f t="shared" si="2"/>
        <v>(${Variables:E2_7_7_7_kcat} * E2_7_7_7 * C00039 * C00286)/(${Variables:E2_7_7_7_km} + (E2_7_7_7 * C00039 * C00286))</v>
      </c>
      <c r="K4" s="11" t="str">
        <f t="shared" si="3"/>
        <v>r3: C00039 + C00286 -&gt; C00013 + C00039 | (${Variables:E2_7_7_7_kcat} * E2_7_7_7 * C00039 * C00286)/(${Variables:E2_7_7_7_km} + (E2_7_7_7 * C00039 * C00286))</v>
      </c>
    </row>
    <row r="5" spans="1:11" ht="45" customHeight="1" x14ac:dyDescent="0.25">
      <c r="A5" t="s">
        <v>20</v>
      </c>
      <c r="B5" t="s">
        <v>21</v>
      </c>
      <c r="C5" s="5" t="s">
        <v>9386</v>
      </c>
      <c r="D5">
        <f t="shared" si="0"/>
        <v>4</v>
      </c>
      <c r="E5" t="str">
        <f t="shared" si="1"/>
        <v>E2_7_7_7</v>
      </c>
      <c r="F5" s="11" t="s">
        <v>13936</v>
      </c>
      <c r="G5" s="11" t="s">
        <v>14539</v>
      </c>
      <c r="H5" s="11" t="s">
        <v>8988</v>
      </c>
      <c r="I5" s="11" t="s">
        <v>9187</v>
      </c>
      <c r="J5" s="12" t="str">
        <f t="shared" si="2"/>
        <v>(${Variables:E2_7_7_7_kcat} * E2_7_7_7 * C00039 * C00458)/(${Variables:E2_7_7_7_km} + (E2_7_7_7 * C00039 * C00458))</v>
      </c>
      <c r="K5" s="11" t="str">
        <f t="shared" si="3"/>
        <v>r4: C00039 + C00458 -&gt; C00013 + C00039 | (${Variables:E2_7_7_7_kcat} * E2_7_7_7 * C00039 * C00458)/(${Variables:E2_7_7_7_km} + (E2_7_7_7 * C00039 * C00458))</v>
      </c>
    </row>
    <row r="6" spans="1:11" ht="45" customHeight="1" x14ac:dyDescent="0.25">
      <c r="A6" t="s">
        <v>20</v>
      </c>
      <c r="B6" t="s">
        <v>21</v>
      </c>
      <c r="C6" s="5" t="s">
        <v>9386</v>
      </c>
      <c r="D6">
        <f t="shared" si="0"/>
        <v>5</v>
      </c>
      <c r="E6" t="str">
        <f t="shared" si="1"/>
        <v>E2_7_7_7</v>
      </c>
      <c r="F6" s="11" t="s">
        <v>13937</v>
      </c>
      <c r="G6" s="11" t="s">
        <v>14540</v>
      </c>
      <c r="H6" s="11" t="s">
        <v>8988</v>
      </c>
      <c r="I6" s="11" t="s">
        <v>9187</v>
      </c>
      <c r="J6" s="12" t="str">
        <f t="shared" si="2"/>
        <v>(${Variables:E2_7_7_7_kcat} * E2_7_7_7 * C00039 * C00459)/(${Variables:E2_7_7_7_km} + (E2_7_7_7 * C00039 * C00459))</v>
      </c>
      <c r="K6" s="11" t="str">
        <f t="shared" si="3"/>
        <v>r5: C00039 + C00459 -&gt; C00013 + C00039 | (${Variables:E2_7_7_7_kcat} * E2_7_7_7 * C00039 * C00459)/(${Variables:E2_7_7_7_km} + (E2_7_7_7 * C00039 * C00459))</v>
      </c>
    </row>
    <row r="7" spans="1:11" ht="45" customHeight="1" x14ac:dyDescent="0.25">
      <c r="A7" t="s">
        <v>20</v>
      </c>
      <c r="B7" t="s">
        <v>21</v>
      </c>
      <c r="C7" s="5" t="s">
        <v>9386</v>
      </c>
      <c r="D7">
        <f t="shared" si="0"/>
        <v>6</v>
      </c>
      <c r="E7" t="str">
        <f t="shared" si="1"/>
        <v>E2_7_7_7</v>
      </c>
      <c r="F7" s="11" t="s">
        <v>8088</v>
      </c>
      <c r="G7" s="11" t="s">
        <v>8088</v>
      </c>
      <c r="H7" s="11" t="s">
        <v>8391</v>
      </c>
      <c r="I7" s="11" t="s">
        <v>8391</v>
      </c>
      <c r="J7" s="12" t="str">
        <f t="shared" si="2"/>
        <v>(${Variables:E2_7_7_7_kcat} * E2_7_7_7 * C11039)/(${Variables:E2_7_7_7_km} + (E2_7_7_7 * C11039))</v>
      </c>
      <c r="K7" s="11" t="str">
        <f t="shared" si="3"/>
        <v>r6: C11039 -&gt; C21031 | (${Variables:E2_7_7_7_kcat} * E2_7_7_7 * C11039)/(${Variables:E2_7_7_7_km} + (E2_7_7_7 * C11039))</v>
      </c>
    </row>
    <row r="8" spans="1:11" ht="45" customHeight="1" x14ac:dyDescent="0.25">
      <c r="A8" t="s">
        <v>23</v>
      </c>
      <c r="B8" t="s">
        <v>24</v>
      </c>
      <c r="C8" s="5" t="s">
        <v>9387</v>
      </c>
      <c r="D8">
        <f t="shared" si="0"/>
        <v>7</v>
      </c>
      <c r="E8" t="str">
        <f t="shared" si="1"/>
        <v>E4_2_1_11</v>
      </c>
      <c r="F8" s="11" t="s">
        <v>8089</v>
      </c>
      <c r="G8" s="11" t="s">
        <v>8089</v>
      </c>
      <c r="H8" s="11" t="s">
        <v>15139</v>
      </c>
      <c r="I8" s="11" t="s">
        <v>15760</v>
      </c>
      <c r="J8" s="12" t="str">
        <f t="shared" si="2"/>
        <v>(${Variables:E4_2_1_11_kcat} * E4_2_1_11 * C00631)/(${Variables:E4_2_1_11_km} + (E4_2_1_11 * C00631))</v>
      </c>
      <c r="K8" s="11" t="str">
        <f t="shared" si="3"/>
        <v>r7: C00631 -&gt; C00001 + C00074 | (${Variables:E4_2_1_11_kcat} * E4_2_1_11 * C00631)/(${Variables:E4_2_1_11_km} + (E4_2_1_11 * C00631))</v>
      </c>
    </row>
    <row r="9" spans="1:11" ht="45" customHeight="1" x14ac:dyDescent="0.25">
      <c r="A9" t="s">
        <v>23</v>
      </c>
      <c r="B9" t="s">
        <v>24</v>
      </c>
      <c r="C9" s="5" t="s">
        <v>9387</v>
      </c>
      <c r="D9">
        <f t="shared" si="0"/>
        <v>8</v>
      </c>
      <c r="E9" t="str">
        <f t="shared" si="1"/>
        <v>E4_2_1_11</v>
      </c>
      <c r="F9" s="11" t="s">
        <v>8090</v>
      </c>
      <c r="G9" s="11" t="s">
        <v>8090</v>
      </c>
      <c r="H9" s="11" t="s">
        <v>15140</v>
      </c>
      <c r="I9" s="11" t="s">
        <v>15761</v>
      </c>
      <c r="J9" s="12" t="str">
        <f t="shared" si="2"/>
        <v>(${Variables:E4_2_1_11_kcat} * E4_2_1_11 * C03356)/(${Variables:E4_2_1_11_km} + (E4_2_1_11 * C03356))</v>
      </c>
      <c r="K9" s="11" t="str">
        <f t="shared" si="3"/>
        <v>r8: C03356 -&gt; C00001 + C04309 | (${Variables:E4_2_1_11_kcat} * E4_2_1_11 * C03356)/(${Variables:E4_2_1_11_km} + (E4_2_1_11 * C03356))</v>
      </c>
    </row>
    <row r="10" spans="1:11" ht="45" customHeight="1" x14ac:dyDescent="0.25">
      <c r="A10" t="s">
        <v>26</v>
      </c>
      <c r="B10" t="s">
        <v>27</v>
      </c>
      <c r="C10" s="5" t="s">
        <v>9388</v>
      </c>
      <c r="D10">
        <f t="shared" si="0"/>
        <v>9</v>
      </c>
      <c r="E10" t="str">
        <f t="shared" si="1"/>
        <v>E2_7_1_40</v>
      </c>
      <c r="F10" s="11" t="s">
        <v>8656</v>
      </c>
      <c r="G10" s="11" t="s">
        <v>8822</v>
      </c>
      <c r="H10" s="11" t="s">
        <v>8989</v>
      </c>
      <c r="I10" s="11" t="s">
        <v>9188</v>
      </c>
      <c r="J10" s="12" t="str">
        <f t="shared" si="2"/>
        <v>(${Variables:E2_7_1_40_kcat} * E2_7_1_40 * C00002 * C00022)/(${Variables:E2_7_1_40_km} + (E2_7_1_40 * C00002 * C00022))</v>
      </c>
      <c r="K10" s="11" t="str">
        <f t="shared" si="3"/>
        <v>r9: C00002 + C00022 -&gt; C00008 + C00074 | (${Variables:E2_7_1_40_kcat} * E2_7_1_40 * C00002 * C00022)/(${Variables:E2_7_1_40_km} + (E2_7_1_40 * C00002 * C00022))</v>
      </c>
    </row>
    <row r="11" spans="1:11" ht="45" customHeight="1" x14ac:dyDescent="0.25">
      <c r="A11" t="s">
        <v>26</v>
      </c>
      <c r="B11" t="s">
        <v>27</v>
      </c>
      <c r="C11" s="5" t="s">
        <v>9388</v>
      </c>
      <c r="D11">
        <f t="shared" si="0"/>
        <v>10</v>
      </c>
      <c r="E11" t="str">
        <f t="shared" si="1"/>
        <v>E2_7_1_40</v>
      </c>
      <c r="F11" s="11" t="s">
        <v>13938</v>
      </c>
      <c r="G11" s="11" t="s">
        <v>14541</v>
      </c>
      <c r="H11" s="11" t="s">
        <v>8990</v>
      </c>
      <c r="I11" s="11" t="s">
        <v>9189</v>
      </c>
      <c r="J11" s="12" t="str">
        <f t="shared" si="2"/>
        <v>(${Variables:E2_7_1_40_kcat} * E2_7_1_40 * C00022 * C00044)/(${Variables:E2_7_1_40_km} + (E2_7_1_40 * C00022 * C00044))</v>
      </c>
      <c r="K11" s="11" t="str">
        <f t="shared" si="3"/>
        <v>r10: C00022 + C00044 -&gt; C00035 + C00074 | (${Variables:E2_7_1_40_kcat} * E2_7_1_40 * C00022 * C00044)/(${Variables:E2_7_1_40_km} + (E2_7_1_40 * C00022 * C00044))</v>
      </c>
    </row>
    <row r="12" spans="1:11" ht="45" customHeight="1" x14ac:dyDescent="0.25">
      <c r="A12" t="s">
        <v>26</v>
      </c>
      <c r="B12" t="s">
        <v>27</v>
      </c>
      <c r="C12" s="5" t="s">
        <v>9388</v>
      </c>
      <c r="D12">
        <f t="shared" si="0"/>
        <v>11</v>
      </c>
      <c r="E12" t="str">
        <f t="shared" si="1"/>
        <v>E2_7_1_40</v>
      </c>
      <c r="F12" s="11" t="s">
        <v>13939</v>
      </c>
      <c r="G12" s="11" t="s">
        <v>14542</v>
      </c>
      <c r="H12" s="11" t="s">
        <v>15141</v>
      </c>
      <c r="I12" s="11" t="s">
        <v>15762</v>
      </c>
      <c r="J12" s="12" t="str">
        <f t="shared" si="2"/>
        <v>(${Variables:E2_7_1_40_kcat} * E2_7_1_40 * C00022 * C00063)/(${Variables:E2_7_1_40_km} + (E2_7_1_40 * C00022 * C00063))</v>
      </c>
      <c r="K12" s="11" t="str">
        <f t="shared" si="3"/>
        <v>r11: C00022 + C00063 -&gt; C00074 + C00112 | (${Variables:E2_7_1_40_kcat} * E2_7_1_40 * C00022 * C00063)/(${Variables:E2_7_1_40_km} + (E2_7_1_40 * C00022 * C00063))</v>
      </c>
    </row>
    <row r="13" spans="1:11" ht="45" customHeight="1" x14ac:dyDescent="0.25">
      <c r="A13" t="s">
        <v>26</v>
      </c>
      <c r="B13" t="s">
        <v>27</v>
      </c>
      <c r="C13" s="5" t="s">
        <v>9388</v>
      </c>
      <c r="D13">
        <f t="shared" si="0"/>
        <v>12</v>
      </c>
      <c r="E13" t="str">
        <f t="shared" si="1"/>
        <v>E2_7_1_40</v>
      </c>
      <c r="F13" s="11" t="s">
        <v>13940</v>
      </c>
      <c r="G13" s="11" t="s">
        <v>14543</v>
      </c>
      <c r="H13" s="11" t="s">
        <v>8991</v>
      </c>
      <c r="I13" s="11" t="s">
        <v>9190</v>
      </c>
      <c r="J13" s="12" t="str">
        <f t="shared" si="2"/>
        <v>(${Variables:E2_7_1_40_kcat} * E2_7_1_40 * C00022 * C00075)/(${Variables:E2_7_1_40_km} + (E2_7_1_40 * C00022 * C00075))</v>
      </c>
      <c r="K13" s="11" t="str">
        <f t="shared" si="3"/>
        <v>r12: C00022 + C00075 -&gt; C00015 + C00074 | (${Variables:E2_7_1_40_kcat} * E2_7_1_40 * C00022 * C00075)/(${Variables:E2_7_1_40_km} + (E2_7_1_40 * C00022 * C00075))</v>
      </c>
    </row>
    <row r="14" spans="1:11" ht="45" customHeight="1" x14ac:dyDescent="0.25">
      <c r="A14" t="s">
        <v>26</v>
      </c>
      <c r="B14" t="s">
        <v>27</v>
      </c>
      <c r="C14" s="5" t="s">
        <v>9388</v>
      </c>
      <c r="D14">
        <f t="shared" si="0"/>
        <v>13</v>
      </c>
      <c r="E14" t="str">
        <f t="shared" si="1"/>
        <v>E2_7_1_40</v>
      </c>
      <c r="F14" s="11" t="s">
        <v>13941</v>
      </c>
      <c r="G14" s="11" t="s">
        <v>14544</v>
      </c>
      <c r="H14" s="11" t="s">
        <v>15142</v>
      </c>
      <c r="I14" s="11" t="s">
        <v>15763</v>
      </c>
      <c r="J14" s="12" t="str">
        <f t="shared" si="2"/>
        <v>(${Variables:E2_7_1_40_kcat} * E2_7_1_40 * C00022 * C00081)/(${Variables:E2_7_1_40_km} + (E2_7_1_40 * C00022 * C00081))</v>
      </c>
      <c r="K14" s="11" t="str">
        <f t="shared" si="3"/>
        <v>r13: C00022 + C00081 -&gt; C00074 + C00104 | (${Variables:E2_7_1_40_kcat} * E2_7_1_40 * C00022 * C00081)/(${Variables:E2_7_1_40_km} + (E2_7_1_40 * C00022 * C00081))</v>
      </c>
    </row>
    <row r="15" spans="1:11" ht="45" customHeight="1" x14ac:dyDescent="0.25">
      <c r="A15" t="s">
        <v>26</v>
      </c>
      <c r="B15" t="s">
        <v>27</v>
      </c>
      <c r="C15" s="5" t="s">
        <v>9388</v>
      </c>
      <c r="D15">
        <f t="shared" si="0"/>
        <v>14</v>
      </c>
      <c r="E15" t="str">
        <f t="shared" si="1"/>
        <v>E2_7_1_40</v>
      </c>
      <c r="F15" s="11" t="s">
        <v>13942</v>
      </c>
      <c r="G15" s="11" t="s">
        <v>14545</v>
      </c>
      <c r="H15" s="11" t="s">
        <v>15143</v>
      </c>
      <c r="I15" s="11" t="s">
        <v>15764</v>
      </c>
      <c r="J15" s="12" t="str">
        <f t="shared" si="2"/>
        <v>(${Variables:E2_7_1_40_kcat} * E2_7_1_40 * C00022 * C00131)/(${Variables:E2_7_1_40_km} + (E2_7_1_40 * C00022 * C00131))</v>
      </c>
      <c r="K15" s="11" t="str">
        <f t="shared" si="3"/>
        <v>r14: C00022 + C00131 -&gt; C00074 + C00206 | (${Variables:E2_7_1_40_kcat} * E2_7_1_40 * C00022 * C00131)/(${Variables:E2_7_1_40_km} + (E2_7_1_40 * C00022 * C00131))</v>
      </c>
    </row>
    <row r="16" spans="1:11" ht="45" customHeight="1" x14ac:dyDescent="0.25">
      <c r="A16" t="s">
        <v>26</v>
      </c>
      <c r="B16" t="s">
        <v>27</v>
      </c>
      <c r="C16" s="5" t="s">
        <v>9388</v>
      </c>
      <c r="D16">
        <f t="shared" si="0"/>
        <v>15</v>
      </c>
      <c r="E16" t="str">
        <f t="shared" si="1"/>
        <v>E2_7_1_40</v>
      </c>
      <c r="F16" s="11" t="s">
        <v>13943</v>
      </c>
      <c r="G16" s="11" t="s">
        <v>14546</v>
      </c>
      <c r="H16" s="11" t="s">
        <v>15144</v>
      </c>
      <c r="I16" s="11" t="s">
        <v>15765</v>
      </c>
      <c r="J16" s="12" t="str">
        <f t="shared" si="2"/>
        <v>(${Variables:E2_7_1_40_kcat} * E2_7_1_40 * C00022 * C00286)/(${Variables:E2_7_1_40_km} + (E2_7_1_40 * C00022 * C00286))</v>
      </c>
      <c r="K16" s="11" t="str">
        <f t="shared" si="3"/>
        <v>r15: C00022 + C00286 -&gt; C00074 + C00361 | (${Variables:E2_7_1_40_kcat} * E2_7_1_40 * C00022 * C00286)/(${Variables:E2_7_1_40_km} + (E2_7_1_40 * C00022 * C00286))</v>
      </c>
    </row>
    <row r="17" spans="1:11" ht="45" customHeight="1" x14ac:dyDescent="0.25">
      <c r="A17" t="s">
        <v>26</v>
      </c>
      <c r="B17" t="s">
        <v>27</v>
      </c>
      <c r="C17" s="5" t="s">
        <v>9388</v>
      </c>
      <c r="D17">
        <f t="shared" si="0"/>
        <v>16</v>
      </c>
      <c r="E17" t="str">
        <f t="shared" si="1"/>
        <v>E2_7_1_40</v>
      </c>
      <c r="F17" s="11" t="s">
        <v>13944</v>
      </c>
      <c r="G17" s="11" t="s">
        <v>14547</v>
      </c>
      <c r="H17" s="11" t="s">
        <v>15145</v>
      </c>
      <c r="I17" s="11" t="s">
        <v>15766</v>
      </c>
      <c r="J17" s="12" t="str">
        <f t="shared" si="2"/>
        <v>(${Variables:E2_7_1_40_kcat} * E2_7_1_40 * C00022 * C00201)/(${Variables:E2_7_1_40_km} + (E2_7_1_40 * C00022 * C00201))</v>
      </c>
      <c r="K17" s="11" t="str">
        <f t="shared" si="3"/>
        <v>r16: C00022 + C00201 -&gt; C00074 + C00454 | (${Variables:E2_7_1_40_kcat} * E2_7_1_40 * C00022 * C00201)/(${Variables:E2_7_1_40_km} + (E2_7_1_40 * C00022 * C00201))</v>
      </c>
    </row>
    <row r="18" spans="1:11" ht="45" customHeight="1" x14ac:dyDescent="0.25">
      <c r="A18" t="s">
        <v>39</v>
      </c>
      <c r="B18" t="s">
        <v>40</v>
      </c>
      <c r="C18" s="5" t="s">
        <v>9389</v>
      </c>
      <c r="D18">
        <f t="shared" si="0"/>
        <v>17</v>
      </c>
      <c r="E18" t="str">
        <f t="shared" si="1"/>
        <v>E2_2_1_7</v>
      </c>
      <c r="F18" s="11" t="s">
        <v>8657</v>
      </c>
      <c r="G18" s="11" t="s">
        <v>8823</v>
      </c>
      <c r="H18" s="11" t="s">
        <v>15146</v>
      </c>
      <c r="I18" s="11" t="s">
        <v>15767</v>
      </c>
      <c r="J18" s="12" t="str">
        <f t="shared" si="2"/>
        <v>(${Variables:E2_2_1_7_kcat} * E2_2_1_7 * C00022 * C00118)/(${Variables:E2_2_1_7_km} + (E2_2_1_7 * C00022 * C00118))</v>
      </c>
      <c r="K18" s="11" t="str">
        <f t="shared" si="3"/>
        <v>r17: C00022 + C00118 -&gt; C00011 + C11437 | (${Variables:E2_2_1_7_kcat} * E2_2_1_7 * C00022 * C00118)/(${Variables:E2_2_1_7_km} + (E2_2_1_7 * C00022 * C00118))</v>
      </c>
    </row>
    <row r="19" spans="1:11" ht="45" customHeight="1" x14ac:dyDescent="0.25">
      <c r="A19" t="s">
        <v>54</v>
      </c>
      <c r="B19" t="s">
        <v>55</v>
      </c>
      <c r="C19" s="5" t="s">
        <v>9390</v>
      </c>
      <c r="D19">
        <f t="shared" si="0"/>
        <v>18</v>
      </c>
      <c r="E19" t="str">
        <f t="shared" si="1"/>
        <v>E2_5_1_47</v>
      </c>
      <c r="F19" s="11" t="s">
        <v>13945</v>
      </c>
      <c r="G19" s="11" t="s">
        <v>14548</v>
      </c>
      <c r="H19" s="11" t="s">
        <v>15147</v>
      </c>
      <c r="I19" s="11" t="s">
        <v>15768</v>
      </c>
      <c r="J19" s="12" t="str">
        <f t="shared" si="2"/>
        <v>(${Variables:E2_5_1_47_kcat} * E2_5_1_47 * C00283 * C00979)/(${Variables:E2_5_1_47_km} + (E2_5_1_47 * C00283 * C00979))</v>
      </c>
      <c r="K19" s="11" t="str">
        <f t="shared" si="3"/>
        <v>r18: C00283 + C00979 -&gt; C00033 + C00097 | (${Variables:E2_5_1_47_kcat} * E2_5_1_47 * C00283 * C00979)/(${Variables:E2_5_1_47_km} + (E2_5_1_47 * C00283 * C00979))</v>
      </c>
    </row>
    <row r="20" spans="1:11" ht="45" customHeight="1" x14ac:dyDescent="0.25">
      <c r="A20" t="s">
        <v>54</v>
      </c>
      <c r="B20" t="s">
        <v>55</v>
      </c>
      <c r="C20" s="5" t="s">
        <v>9390</v>
      </c>
      <c r="D20">
        <f t="shared" si="0"/>
        <v>19</v>
      </c>
      <c r="E20" t="str">
        <f t="shared" si="1"/>
        <v>E2_5_1_47</v>
      </c>
      <c r="F20" s="11" t="s">
        <v>8658</v>
      </c>
      <c r="G20" s="11" t="s">
        <v>8824</v>
      </c>
      <c r="H20" s="11" t="s">
        <v>15148</v>
      </c>
      <c r="I20" s="11" t="s">
        <v>15769</v>
      </c>
      <c r="J20" s="12" t="str">
        <f t="shared" si="2"/>
        <v>(${Variables:E2_5_1_47_kcat} * E2_5_1_47 * C00979 * C01528)/(${Variables:E2_5_1_47_km} + (E2_5_1_47 * C00979 * C01528))</v>
      </c>
      <c r="K20" s="11" t="str">
        <f t="shared" si="3"/>
        <v>r19: C00979 + C01528 -&gt; C00033 + C05688 | (${Variables:E2_5_1_47_kcat} * E2_5_1_47 * C00979 * C01528)/(${Variables:E2_5_1_47_km} + (E2_5_1_47 * C00979 * C01528))</v>
      </c>
    </row>
    <row r="21" spans="1:11" ht="45" customHeight="1" x14ac:dyDescent="0.25">
      <c r="A21" t="s">
        <v>54</v>
      </c>
      <c r="B21" t="s">
        <v>55</v>
      </c>
      <c r="C21" s="5" t="s">
        <v>9390</v>
      </c>
      <c r="D21">
        <f t="shared" si="0"/>
        <v>20</v>
      </c>
      <c r="E21" t="str">
        <f t="shared" si="1"/>
        <v>E2_5_1_47</v>
      </c>
      <c r="F21" s="11" t="s">
        <v>13946</v>
      </c>
      <c r="G21" s="11" t="s">
        <v>14549</v>
      </c>
      <c r="H21" s="11" t="s">
        <v>15149</v>
      </c>
      <c r="I21" s="11" t="s">
        <v>15770</v>
      </c>
      <c r="J21" s="12" t="str">
        <f t="shared" si="2"/>
        <v>(${Variables:E2_5_1_47_kcat} * E2_5_1_47 * C00080 * C00320 * C00342 * C00979)/(${Variables:E2_5_1_47_km} + (E2_5_1_47 * C00080 * C00320 * C00342 * C00979))</v>
      </c>
      <c r="K21" s="11" t="str">
        <f t="shared" si="3"/>
        <v>r20: C00080 + C00320 + C00342 + C00979 -&gt; C00033 + C00094 + C00097 + C00343 | (${Variables:E2_5_1_47_kcat} * E2_5_1_47 * C00080 * C00320 * C00342 * C00979)/(${Variables:E2_5_1_47_km} + (E2_5_1_47 * C00080 * C00320 * C00342 * C00979))</v>
      </c>
    </row>
    <row r="22" spans="1:11" ht="45" customHeight="1" x14ac:dyDescent="0.25">
      <c r="A22" t="s">
        <v>54</v>
      </c>
      <c r="B22" t="s">
        <v>55</v>
      </c>
      <c r="C22" s="5" t="s">
        <v>9390</v>
      </c>
      <c r="D22">
        <f t="shared" si="0"/>
        <v>21</v>
      </c>
      <c r="E22" t="str">
        <f t="shared" si="1"/>
        <v>E2_5_1_47</v>
      </c>
      <c r="F22" s="11" t="s">
        <v>13947</v>
      </c>
      <c r="G22" s="11" t="s">
        <v>14550</v>
      </c>
      <c r="H22" s="11" t="s">
        <v>15150</v>
      </c>
      <c r="I22" s="11" t="s">
        <v>15771</v>
      </c>
      <c r="J22" s="12" t="str">
        <f t="shared" si="2"/>
        <v>(${Variables:E2_5_1_47_kcat} * E2_5_1_47 * C00283 * C01005)/(${Variables:E2_5_1_47_km} + (E2_5_1_47 * C00283 * C01005))</v>
      </c>
      <c r="K22" s="11" t="str">
        <f t="shared" si="3"/>
        <v>r21: C00283 + C01005 -&gt; C00009 + C00097 | (${Variables:E2_5_1_47_kcat} * E2_5_1_47 * C00283 * C01005)/(${Variables:E2_5_1_47_km} + (E2_5_1_47 * C00283 * C01005))</v>
      </c>
    </row>
    <row r="23" spans="1:11" ht="45" customHeight="1" x14ac:dyDescent="0.25">
      <c r="A23" t="s">
        <v>57</v>
      </c>
      <c r="B23" t="s">
        <v>58</v>
      </c>
      <c r="C23" s="5" t="s">
        <v>9391</v>
      </c>
      <c r="D23">
        <f t="shared" si="0"/>
        <v>22</v>
      </c>
      <c r="E23" t="str">
        <f t="shared" si="1"/>
        <v>E5_2_1_8</v>
      </c>
      <c r="F23" s="11" t="s">
        <v>8094</v>
      </c>
      <c r="G23" s="11" t="s">
        <v>8094</v>
      </c>
      <c r="H23" s="11" t="s">
        <v>8395</v>
      </c>
      <c r="I23" s="11" t="s">
        <v>8395</v>
      </c>
      <c r="J23" s="12" t="str">
        <f t="shared" si="2"/>
        <v>(${Variables:E5_2_1_8_kcat} * E5_2_1_8 * C03798)/(${Variables:E5_2_1_8_km} + (E5_2_1_8 * C03798))</v>
      </c>
      <c r="K23" s="11" t="str">
        <f t="shared" si="3"/>
        <v>r22: C03798 -&gt; C03633 | (${Variables:E5_2_1_8_kcat} * E5_2_1_8 * C03798)/(${Variables:E5_2_1_8_km} + (E5_2_1_8 * C03798))</v>
      </c>
    </row>
    <row r="24" spans="1:11" ht="45" customHeight="1" x14ac:dyDescent="0.25">
      <c r="A24" t="s">
        <v>63</v>
      </c>
      <c r="B24" t="s">
        <v>64</v>
      </c>
      <c r="C24" s="5" t="s">
        <v>9392</v>
      </c>
      <c r="D24">
        <f t="shared" si="0"/>
        <v>23</v>
      </c>
      <c r="E24" t="str">
        <f t="shared" si="1"/>
        <v>E3_1_3_5</v>
      </c>
      <c r="F24" s="11" t="s">
        <v>13948</v>
      </c>
      <c r="G24" s="11" t="s">
        <v>14551</v>
      </c>
      <c r="H24" s="11" t="s">
        <v>15151</v>
      </c>
      <c r="I24" s="11" t="s">
        <v>15772</v>
      </c>
      <c r="J24" s="12" t="str">
        <f t="shared" si="2"/>
        <v>(${Variables:E3_1_3_5_kcat} * E3_1_3_5 * C00001 * C02520)/(${Variables:E3_1_3_5_km} + (E3_1_3_5 * C00001 * C02520))</v>
      </c>
      <c r="K24" s="11" t="str">
        <f t="shared" si="3"/>
        <v>r23: C00001 + C02520 -&gt; C00009 + C00911 | (${Variables:E3_1_3_5_kcat} * E3_1_3_5 * C00001 * C02520)/(${Variables:E3_1_3_5_km} + (E3_1_3_5 * C00001 * C02520))</v>
      </c>
    </row>
    <row r="25" spans="1:11" ht="45" customHeight="1" x14ac:dyDescent="0.25">
      <c r="A25" t="s">
        <v>63</v>
      </c>
      <c r="B25" t="s">
        <v>64</v>
      </c>
      <c r="C25" s="5" t="s">
        <v>9392</v>
      </c>
      <c r="D25">
        <f t="shared" si="0"/>
        <v>24</v>
      </c>
      <c r="E25" t="str">
        <f t="shared" si="1"/>
        <v>E3_1_3_5</v>
      </c>
      <c r="F25" s="11" t="s">
        <v>13949</v>
      </c>
      <c r="G25" s="11" t="s">
        <v>14552</v>
      </c>
      <c r="H25" s="11" t="s">
        <v>14092</v>
      </c>
      <c r="I25" s="11" t="s">
        <v>14695</v>
      </c>
      <c r="J25" s="12" t="str">
        <f t="shared" si="2"/>
        <v>(${Variables:E3_1_3_5_kcat} * E3_1_3_5 * C00001 * C00020)/(${Variables:E3_1_3_5_km} + (E3_1_3_5 * C00001 * C00020))</v>
      </c>
      <c r="K25" s="11" t="str">
        <f t="shared" si="3"/>
        <v>r24: C00001 + C00020 -&gt; C00009 + C00212 | (${Variables:E3_1_3_5_kcat} * E3_1_3_5 * C00001 * C00020)/(${Variables:E3_1_3_5_km} + (E3_1_3_5 * C00001 * C00020))</v>
      </c>
    </row>
    <row r="26" spans="1:11" ht="45" customHeight="1" x14ac:dyDescent="0.25">
      <c r="A26" t="s">
        <v>63</v>
      </c>
      <c r="B26" t="s">
        <v>64</v>
      </c>
      <c r="C26" s="5" t="s">
        <v>9392</v>
      </c>
      <c r="D26">
        <f t="shared" si="0"/>
        <v>25</v>
      </c>
      <c r="E26" t="str">
        <f t="shared" si="1"/>
        <v>E3_1_3_5</v>
      </c>
      <c r="F26" s="11" t="s">
        <v>13950</v>
      </c>
      <c r="G26" s="11" t="s">
        <v>14553</v>
      </c>
      <c r="H26" s="11" t="s">
        <v>14013</v>
      </c>
      <c r="I26" s="11" t="s">
        <v>14616</v>
      </c>
      <c r="J26" s="12" t="str">
        <f t="shared" si="2"/>
        <v>(${Variables:E3_1_3_5_kcat} * E3_1_3_5 * C00001 * C00055)/(${Variables:E3_1_3_5_km} + (E3_1_3_5 * C00001 * C00055))</v>
      </c>
      <c r="K26" s="11" t="str">
        <f t="shared" si="3"/>
        <v>r25: C00001 + C00055 -&gt; C00009 + C00475 | (${Variables:E3_1_3_5_kcat} * E3_1_3_5 * C00001 * C00055)/(${Variables:E3_1_3_5_km} + (E3_1_3_5 * C00001 * C00055))</v>
      </c>
    </row>
    <row r="27" spans="1:11" ht="45" customHeight="1" x14ac:dyDescent="0.25">
      <c r="A27" t="s">
        <v>63</v>
      </c>
      <c r="B27" t="s">
        <v>64</v>
      </c>
      <c r="C27" s="5" t="s">
        <v>9392</v>
      </c>
      <c r="D27">
        <f t="shared" si="0"/>
        <v>26</v>
      </c>
      <c r="E27" t="str">
        <f t="shared" si="1"/>
        <v>E3_1_3_5</v>
      </c>
      <c r="F27" s="11" t="s">
        <v>13951</v>
      </c>
      <c r="G27" s="11" t="s">
        <v>14554</v>
      </c>
      <c r="H27" s="11" t="s">
        <v>14012</v>
      </c>
      <c r="I27" s="11" t="s">
        <v>14615</v>
      </c>
      <c r="J27" s="12" t="str">
        <f t="shared" si="2"/>
        <v>(${Variables:E3_1_3_5_kcat} * E3_1_3_5 * C00001 * C00105)/(${Variables:E3_1_3_5_km} + (E3_1_3_5 * C00001 * C00105))</v>
      </c>
      <c r="K27" s="11" t="str">
        <f t="shared" si="3"/>
        <v>r26: C00001 + C00105 -&gt; C00009 + C00299 | (${Variables:E3_1_3_5_kcat} * E3_1_3_5 * C00001 * C00105)/(${Variables:E3_1_3_5_km} + (E3_1_3_5 * C00001 * C00105))</v>
      </c>
    </row>
    <row r="28" spans="1:11" ht="45" customHeight="1" x14ac:dyDescent="0.25">
      <c r="A28" t="s">
        <v>63</v>
      </c>
      <c r="B28" t="s">
        <v>64</v>
      </c>
      <c r="C28" s="5" t="s">
        <v>9392</v>
      </c>
      <c r="D28">
        <f t="shared" si="0"/>
        <v>27</v>
      </c>
      <c r="E28" t="str">
        <f t="shared" si="1"/>
        <v>E3_1_3_5</v>
      </c>
      <c r="F28" s="11" t="s">
        <v>13952</v>
      </c>
      <c r="G28" s="11" t="s">
        <v>14555</v>
      </c>
      <c r="H28" s="11" t="s">
        <v>14093</v>
      </c>
      <c r="I28" s="11" t="s">
        <v>14696</v>
      </c>
      <c r="J28" s="12" t="str">
        <f t="shared" si="2"/>
        <v>(${Variables:E3_1_3_5_kcat} * E3_1_3_5 * C00001 * C00130)/(${Variables:E3_1_3_5_km} + (E3_1_3_5 * C00001 * C00130))</v>
      </c>
      <c r="K28" s="11" t="str">
        <f t="shared" si="3"/>
        <v>r27: C00001 + C00130 -&gt; C00009 + C00294 | (${Variables:E3_1_3_5_kcat} * E3_1_3_5 * C00001 * C00130)/(${Variables:E3_1_3_5_km} + (E3_1_3_5 * C00001 * C00130))</v>
      </c>
    </row>
    <row r="29" spans="1:11" ht="45" customHeight="1" x14ac:dyDescent="0.25">
      <c r="A29" t="s">
        <v>63</v>
      </c>
      <c r="B29" t="s">
        <v>64</v>
      </c>
      <c r="C29" s="5" t="s">
        <v>9392</v>
      </c>
      <c r="D29">
        <f t="shared" si="0"/>
        <v>28</v>
      </c>
      <c r="E29" t="str">
        <f t="shared" si="1"/>
        <v>E3_1_3_5</v>
      </c>
      <c r="F29" s="11" t="s">
        <v>13953</v>
      </c>
      <c r="G29" s="11" t="s">
        <v>14556</v>
      </c>
      <c r="H29" s="11" t="s">
        <v>14094</v>
      </c>
      <c r="I29" s="11" t="s">
        <v>14697</v>
      </c>
      <c r="J29" s="12" t="str">
        <f t="shared" si="2"/>
        <v>(${Variables:E3_1_3_5_kcat} * E3_1_3_5 * C00001 * C00144)/(${Variables:E3_1_3_5_km} + (E3_1_3_5 * C00001 * C00144))</v>
      </c>
      <c r="K29" s="11" t="str">
        <f t="shared" si="3"/>
        <v>r28: C00001 + C00144 -&gt; C00009 + C00387 | (${Variables:E3_1_3_5_kcat} * E3_1_3_5 * C00001 * C00144)/(${Variables:E3_1_3_5_km} + (E3_1_3_5 * C00001 * C00144))</v>
      </c>
    </row>
    <row r="30" spans="1:11" ht="45" customHeight="1" x14ac:dyDescent="0.25">
      <c r="A30" t="s">
        <v>63</v>
      </c>
      <c r="B30" t="s">
        <v>64</v>
      </c>
      <c r="C30" s="5" t="s">
        <v>9392</v>
      </c>
      <c r="D30">
        <f t="shared" si="0"/>
        <v>29</v>
      </c>
      <c r="E30" t="str">
        <f t="shared" si="1"/>
        <v>E3_1_3_5</v>
      </c>
      <c r="F30" s="11" t="s">
        <v>13954</v>
      </c>
      <c r="G30" s="11" t="s">
        <v>14557</v>
      </c>
      <c r="H30" s="11" t="s">
        <v>14100</v>
      </c>
      <c r="I30" s="11" t="s">
        <v>14703</v>
      </c>
      <c r="J30" s="12" t="str">
        <f t="shared" si="2"/>
        <v>(${Variables:E3_1_3_5_kcat} * E3_1_3_5 * C00001 * C00455)/(${Variables:E3_1_3_5_km} + (E3_1_3_5 * C00001 * C00455))</v>
      </c>
      <c r="K30" s="11" t="str">
        <f t="shared" si="3"/>
        <v>r29: C00001 + C00455 -&gt; C00009 + C03150 | (${Variables:E3_1_3_5_kcat} * E3_1_3_5 * C00001 * C00455)/(${Variables:E3_1_3_5_km} + (E3_1_3_5 * C00001 * C00455))</v>
      </c>
    </row>
    <row r="31" spans="1:11" ht="45" customHeight="1" x14ac:dyDescent="0.25">
      <c r="A31" t="s">
        <v>63</v>
      </c>
      <c r="B31" t="s">
        <v>64</v>
      </c>
      <c r="C31" s="5" t="s">
        <v>9392</v>
      </c>
      <c r="D31">
        <f t="shared" si="0"/>
        <v>30</v>
      </c>
      <c r="E31" t="str">
        <f t="shared" si="1"/>
        <v>E3_1_3_5</v>
      </c>
      <c r="F31" s="11" t="s">
        <v>13955</v>
      </c>
      <c r="G31" s="11" t="s">
        <v>14558</v>
      </c>
      <c r="H31" s="11" t="s">
        <v>14095</v>
      </c>
      <c r="I31" s="11" t="s">
        <v>14698</v>
      </c>
      <c r="J31" s="12" t="str">
        <f t="shared" si="2"/>
        <v>(${Variables:E3_1_3_5_kcat} * E3_1_3_5 * C00001 * C00655)/(${Variables:E3_1_3_5_km} + (E3_1_3_5 * C00001 * C00655))</v>
      </c>
      <c r="K31" s="11" t="str">
        <f t="shared" si="3"/>
        <v>r30: C00001 + C00655 -&gt; C00009 + C01762 | (${Variables:E3_1_3_5_kcat} * E3_1_3_5 * C00001 * C00655)/(${Variables:E3_1_3_5_km} + (E3_1_3_5 * C00001 * C00655))</v>
      </c>
    </row>
    <row r="32" spans="1:11" ht="45" customHeight="1" x14ac:dyDescent="0.25">
      <c r="A32" t="s">
        <v>63</v>
      </c>
      <c r="B32" t="s">
        <v>64</v>
      </c>
      <c r="C32" s="5" t="s">
        <v>9392</v>
      </c>
      <c r="D32">
        <f t="shared" si="0"/>
        <v>31</v>
      </c>
      <c r="E32" t="str">
        <f t="shared" si="1"/>
        <v>E3_1_3_5</v>
      </c>
      <c r="F32" s="11" t="s">
        <v>13956</v>
      </c>
      <c r="G32" s="11" t="s">
        <v>14559</v>
      </c>
      <c r="H32" s="11" t="s">
        <v>14101</v>
      </c>
      <c r="I32" s="11" t="s">
        <v>14704</v>
      </c>
      <c r="J32" s="12" t="str">
        <f t="shared" si="2"/>
        <v>(${Variables:E3_1_3_5_kcat} * E3_1_3_5 * C00001 * C01185)/(${Variables:E3_1_3_5_km} + (E3_1_3_5 * C00001 * C01185))</v>
      </c>
      <c r="K32" s="11" t="str">
        <f t="shared" si="3"/>
        <v>r31: C00001 + C01185 -&gt; C00009 + C05841 | (${Variables:E3_1_3_5_kcat} * E3_1_3_5 * C00001 * C01185)/(${Variables:E3_1_3_5_km} + (E3_1_3_5 * C00001 * C01185))</v>
      </c>
    </row>
    <row r="33" spans="1:11" ht="45" customHeight="1" x14ac:dyDescent="0.25">
      <c r="A33" t="s">
        <v>63</v>
      </c>
      <c r="B33" t="s">
        <v>64</v>
      </c>
      <c r="C33" s="5" t="s">
        <v>9392</v>
      </c>
      <c r="D33">
        <f t="shared" si="0"/>
        <v>32</v>
      </c>
      <c r="E33" t="str">
        <f t="shared" si="1"/>
        <v>E3_1_3_5</v>
      </c>
      <c r="F33" s="11" t="s">
        <v>13957</v>
      </c>
      <c r="G33" s="11" t="s">
        <v>14560</v>
      </c>
      <c r="H33" s="11" t="s">
        <v>14011</v>
      </c>
      <c r="I33" s="11" t="s">
        <v>14614</v>
      </c>
      <c r="J33" s="12" t="str">
        <f t="shared" si="2"/>
        <v>(${Variables:E3_1_3_5_kcat} * E3_1_3_5 * C00001 * C00364)/(${Variables:E3_1_3_5_km} + (E3_1_3_5 * C00001 * C00364))</v>
      </c>
      <c r="K33" s="11" t="str">
        <f t="shared" si="3"/>
        <v>r32: C00001 + C00364 -&gt; C00009 + C00214 | (${Variables:E3_1_3_5_kcat} * E3_1_3_5 * C00001 * C00364)/(${Variables:E3_1_3_5_km} + (E3_1_3_5 * C00001 * C00364))</v>
      </c>
    </row>
    <row r="34" spans="1:11" ht="45" customHeight="1" x14ac:dyDescent="0.25">
      <c r="A34" t="s">
        <v>63</v>
      </c>
      <c r="B34" t="s">
        <v>64</v>
      </c>
      <c r="C34" s="5" t="s">
        <v>9392</v>
      </c>
      <c r="D34">
        <f t="shared" si="0"/>
        <v>33</v>
      </c>
      <c r="E34" t="str">
        <f t="shared" si="1"/>
        <v>E3_1_3_5</v>
      </c>
      <c r="F34" s="11" t="s">
        <v>13958</v>
      </c>
      <c r="G34" s="11" t="s">
        <v>14561</v>
      </c>
      <c r="H34" s="11" t="s">
        <v>15152</v>
      </c>
      <c r="I34" s="11" t="s">
        <v>15773</v>
      </c>
      <c r="J34" s="12" t="str">
        <f t="shared" si="2"/>
        <v>(${Variables:E3_1_3_5_kcat} * E3_1_3_5 * C00001 * C00239)/(${Variables:E3_1_3_5_km} + (E3_1_3_5 * C00001 * C00239))</v>
      </c>
      <c r="K34" s="11" t="str">
        <f t="shared" si="3"/>
        <v>r33: C00001 + C00239 -&gt; C00009 + C00881 | (${Variables:E3_1_3_5_kcat} * E3_1_3_5 * C00001 * C00239)/(${Variables:E3_1_3_5_km} + (E3_1_3_5 * C00001 * C00239))</v>
      </c>
    </row>
    <row r="35" spans="1:11" ht="45" customHeight="1" x14ac:dyDescent="0.25">
      <c r="A35" t="s">
        <v>63</v>
      </c>
      <c r="B35" t="s">
        <v>64</v>
      </c>
      <c r="C35" s="5" t="s">
        <v>9392</v>
      </c>
      <c r="D35">
        <f t="shared" si="0"/>
        <v>34</v>
      </c>
      <c r="E35" t="str">
        <f t="shared" si="1"/>
        <v>E3_1_3_5</v>
      </c>
      <c r="F35" s="11" t="s">
        <v>13959</v>
      </c>
      <c r="G35" s="11" t="s">
        <v>14562</v>
      </c>
      <c r="H35" s="11" t="s">
        <v>14097</v>
      </c>
      <c r="I35" s="11" t="s">
        <v>14700</v>
      </c>
      <c r="J35" s="12" t="str">
        <f t="shared" si="2"/>
        <v>(${Variables:E3_1_3_5_kcat} * E3_1_3_5 * C00001 * C00362)/(${Variables:E3_1_3_5_km} + (E3_1_3_5 * C00001 * C00362))</v>
      </c>
      <c r="K35" s="11" t="str">
        <f t="shared" si="3"/>
        <v>r34: C00001 + C00362 -&gt; C00009 + C00330 | (${Variables:E3_1_3_5_kcat} * E3_1_3_5 * C00001 * C00362)/(${Variables:E3_1_3_5_km} + (E3_1_3_5 * C00001 * C00362))</v>
      </c>
    </row>
    <row r="36" spans="1:11" ht="45" customHeight="1" x14ac:dyDescent="0.25">
      <c r="A36" t="s">
        <v>63</v>
      </c>
      <c r="B36" t="s">
        <v>64</v>
      </c>
      <c r="C36" s="5" t="s">
        <v>9392</v>
      </c>
      <c r="D36">
        <f t="shared" si="0"/>
        <v>35</v>
      </c>
      <c r="E36" t="str">
        <f t="shared" si="1"/>
        <v>E3_1_3_5</v>
      </c>
      <c r="F36" s="11" t="s">
        <v>13960</v>
      </c>
      <c r="G36" s="11" t="s">
        <v>14563</v>
      </c>
      <c r="H36" s="11" t="s">
        <v>14098</v>
      </c>
      <c r="I36" s="11" t="s">
        <v>14701</v>
      </c>
      <c r="J36" s="12" t="str">
        <f t="shared" si="2"/>
        <v>(${Variables:E3_1_3_5_kcat} * E3_1_3_5 * C00001 * C00360)/(${Variables:E3_1_3_5_km} + (E3_1_3_5 * C00001 * C00360))</v>
      </c>
      <c r="K36" s="11" t="str">
        <f t="shared" si="3"/>
        <v>r35: C00001 + C00360 -&gt; C00009 + C00559 | (${Variables:E3_1_3_5_kcat} * E3_1_3_5 * C00001 * C00360)/(${Variables:E3_1_3_5_km} + (E3_1_3_5 * C00001 * C00360))</v>
      </c>
    </row>
    <row r="37" spans="1:11" ht="45" customHeight="1" x14ac:dyDescent="0.25">
      <c r="A37" t="s">
        <v>63</v>
      </c>
      <c r="B37" t="s">
        <v>64</v>
      </c>
      <c r="C37" s="5" t="s">
        <v>9392</v>
      </c>
      <c r="D37">
        <f t="shared" si="0"/>
        <v>36</v>
      </c>
      <c r="E37" t="str">
        <f t="shared" si="1"/>
        <v>E3_1_3_5</v>
      </c>
      <c r="F37" s="11" t="s">
        <v>13961</v>
      </c>
      <c r="G37" s="11" t="s">
        <v>14564</v>
      </c>
      <c r="H37" s="11" t="s">
        <v>14014</v>
      </c>
      <c r="I37" s="11" t="s">
        <v>14617</v>
      </c>
      <c r="J37" s="12" t="str">
        <f t="shared" si="2"/>
        <v>(${Variables:E3_1_3_5_kcat} * E3_1_3_5 * C00001 * C00365)/(${Variables:E3_1_3_5_km} + (E3_1_3_5 * C00001 * C00365))</v>
      </c>
      <c r="K37" s="11" t="str">
        <f t="shared" si="3"/>
        <v>r36: C00001 + C00365 -&gt; C00009 + C00526 | (${Variables:E3_1_3_5_kcat} * E3_1_3_5 * C00001 * C00365)/(${Variables:E3_1_3_5_km} + (E3_1_3_5 * C00001 * C00365))</v>
      </c>
    </row>
    <row r="38" spans="1:11" ht="45" customHeight="1" x14ac:dyDescent="0.25">
      <c r="A38" t="s">
        <v>63</v>
      </c>
      <c r="B38" t="s">
        <v>64</v>
      </c>
      <c r="C38" s="5" t="s">
        <v>9392</v>
      </c>
      <c r="D38">
        <f t="shared" si="0"/>
        <v>37</v>
      </c>
      <c r="E38" t="str">
        <f t="shared" si="1"/>
        <v>E3_1_3_5</v>
      </c>
      <c r="F38" s="11" t="s">
        <v>13962</v>
      </c>
      <c r="G38" s="11" t="s">
        <v>14565</v>
      </c>
      <c r="H38" s="11" t="s">
        <v>14099</v>
      </c>
      <c r="I38" s="11" t="s">
        <v>14702</v>
      </c>
      <c r="J38" s="12" t="str">
        <f t="shared" si="2"/>
        <v>(${Variables:E3_1_3_5_kcat} * E3_1_3_5 * C00001 * C06196)/(${Variables:E3_1_3_5_km} + (E3_1_3_5 * C00001 * C06196))</v>
      </c>
      <c r="K38" s="11" t="str">
        <f t="shared" si="3"/>
        <v>r37: C00001 + C06196 -&gt; C00009 + C05512 | (${Variables:E3_1_3_5_kcat} * E3_1_3_5 * C00001 * C06196)/(${Variables:E3_1_3_5_km} + (E3_1_3_5 * C00001 * C06196))</v>
      </c>
    </row>
    <row r="39" spans="1:11" ht="45" customHeight="1" x14ac:dyDescent="0.25">
      <c r="A39" t="s">
        <v>82</v>
      </c>
      <c r="B39" t="s">
        <v>83</v>
      </c>
      <c r="C39" s="5" t="s">
        <v>9393</v>
      </c>
      <c r="D39">
        <f t="shared" si="0"/>
        <v>38</v>
      </c>
      <c r="E39" t="str">
        <f t="shared" si="1"/>
        <v>E4_6_1_12</v>
      </c>
      <c r="F39" s="11" t="s">
        <v>8095</v>
      </c>
      <c r="G39" s="11" t="s">
        <v>8095</v>
      </c>
      <c r="H39" s="11" t="s">
        <v>15153</v>
      </c>
      <c r="I39" s="11" t="s">
        <v>15774</v>
      </c>
      <c r="J39" s="12" t="str">
        <f t="shared" si="2"/>
        <v>(${Variables:E4_6_1_12_kcat} * E4_6_1_12 * C11436)/(${Variables:E4_6_1_12_km} + (E4_6_1_12 * C11436))</v>
      </c>
      <c r="K39" s="11" t="str">
        <f t="shared" si="3"/>
        <v>r38: C11436 -&gt; C00055 + C11453 | (${Variables:E4_6_1_12_kcat} * E4_6_1_12 * C11436)/(${Variables:E4_6_1_12_km} + (E4_6_1_12 * C11436))</v>
      </c>
    </row>
    <row r="40" spans="1:11" ht="45" customHeight="1" x14ac:dyDescent="0.25">
      <c r="A40" t="s">
        <v>95</v>
      </c>
      <c r="B40" t="s">
        <v>96</v>
      </c>
      <c r="C40" s="5" t="s">
        <v>9386</v>
      </c>
      <c r="D40">
        <f t="shared" si="0"/>
        <v>39</v>
      </c>
      <c r="E40" t="str">
        <f t="shared" si="1"/>
        <v>E2_7_7_7</v>
      </c>
      <c r="F40" s="11" t="s">
        <v>13933</v>
      </c>
      <c r="G40" s="11" t="s">
        <v>14536</v>
      </c>
      <c r="H40" s="11" t="s">
        <v>8988</v>
      </c>
      <c r="I40" s="11" t="s">
        <v>9187</v>
      </c>
      <c r="J40" s="12" t="str">
        <f t="shared" si="2"/>
        <v>(${Variables:E2_7_7_7_kcat} * E2_7_7_7 * C00039 * C00677)/(${Variables:E2_7_7_7_km} + (E2_7_7_7 * C00039 * C00677))</v>
      </c>
      <c r="K40" s="11" t="str">
        <f t="shared" si="3"/>
        <v>r39: C00039 + C00677 -&gt; C00013 + C00039 | (${Variables:E2_7_7_7_kcat} * E2_7_7_7 * C00039 * C00677)/(${Variables:E2_7_7_7_km} + (E2_7_7_7 * C00039 * C00677))</v>
      </c>
    </row>
    <row r="41" spans="1:11" ht="45" customHeight="1" x14ac:dyDescent="0.25">
      <c r="A41" t="s">
        <v>95</v>
      </c>
      <c r="B41" t="s">
        <v>96</v>
      </c>
      <c r="C41" s="5" t="s">
        <v>9386</v>
      </c>
      <c r="D41">
        <f t="shared" si="0"/>
        <v>40</v>
      </c>
      <c r="E41" t="str">
        <f t="shared" si="1"/>
        <v>E2_7_7_7</v>
      </c>
      <c r="F41" s="11" t="s">
        <v>13934</v>
      </c>
      <c r="G41" s="11" t="s">
        <v>14537</v>
      </c>
      <c r="H41" s="11" t="s">
        <v>8988</v>
      </c>
      <c r="I41" s="11" t="s">
        <v>9187</v>
      </c>
      <c r="J41" s="12" t="str">
        <f t="shared" si="2"/>
        <v>(${Variables:E2_7_7_7_kcat} * E2_7_7_7 * C00039 * C00131)/(${Variables:E2_7_7_7_km} + (E2_7_7_7 * C00039 * C00131))</v>
      </c>
      <c r="K41" s="11" t="str">
        <f t="shared" si="3"/>
        <v>r40: C00039 + C00131 -&gt; C00013 + C00039 | (${Variables:E2_7_7_7_kcat} * E2_7_7_7 * C00039 * C00131)/(${Variables:E2_7_7_7_km} + (E2_7_7_7 * C00039 * C00131))</v>
      </c>
    </row>
    <row r="42" spans="1:11" ht="45" customHeight="1" x14ac:dyDescent="0.25">
      <c r="A42" t="s">
        <v>95</v>
      </c>
      <c r="B42" t="s">
        <v>96</v>
      </c>
      <c r="C42" s="5" t="s">
        <v>9386</v>
      </c>
      <c r="D42">
        <f t="shared" si="0"/>
        <v>41</v>
      </c>
      <c r="E42" t="str">
        <f t="shared" si="1"/>
        <v>E2_7_7_7</v>
      </c>
      <c r="F42" s="11" t="s">
        <v>13935</v>
      </c>
      <c r="G42" s="11" t="s">
        <v>14538</v>
      </c>
      <c r="H42" s="11" t="s">
        <v>8988</v>
      </c>
      <c r="I42" s="11" t="s">
        <v>9187</v>
      </c>
      <c r="J42" s="12" t="str">
        <f t="shared" si="2"/>
        <v>(${Variables:E2_7_7_7_kcat} * E2_7_7_7 * C00039 * C00286)/(${Variables:E2_7_7_7_km} + (E2_7_7_7 * C00039 * C00286))</v>
      </c>
      <c r="K42" s="11" t="str">
        <f t="shared" si="3"/>
        <v>r41: C00039 + C00286 -&gt; C00013 + C00039 | (${Variables:E2_7_7_7_kcat} * E2_7_7_7 * C00039 * C00286)/(${Variables:E2_7_7_7_km} + (E2_7_7_7 * C00039 * C00286))</v>
      </c>
    </row>
    <row r="43" spans="1:11" ht="45" customHeight="1" x14ac:dyDescent="0.25">
      <c r="A43" t="s">
        <v>95</v>
      </c>
      <c r="B43" t="s">
        <v>96</v>
      </c>
      <c r="C43" s="5" t="s">
        <v>9386</v>
      </c>
      <c r="D43">
        <f t="shared" si="0"/>
        <v>42</v>
      </c>
      <c r="E43" t="str">
        <f t="shared" si="1"/>
        <v>E2_7_7_7</v>
      </c>
      <c r="F43" s="11" t="s">
        <v>13936</v>
      </c>
      <c r="G43" s="11" t="s">
        <v>14539</v>
      </c>
      <c r="H43" s="11" t="s">
        <v>8988</v>
      </c>
      <c r="I43" s="11" t="s">
        <v>9187</v>
      </c>
      <c r="J43" s="12" t="str">
        <f t="shared" si="2"/>
        <v>(${Variables:E2_7_7_7_kcat} * E2_7_7_7 * C00039 * C00458)/(${Variables:E2_7_7_7_km} + (E2_7_7_7 * C00039 * C00458))</v>
      </c>
      <c r="K43" s="11" t="str">
        <f t="shared" si="3"/>
        <v>r42: C00039 + C00458 -&gt; C00013 + C00039 | (${Variables:E2_7_7_7_kcat} * E2_7_7_7 * C00039 * C00458)/(${Variables:E2_7_7_7_km} + (E2_7_7_7 * C00039 * C00458))</v>
      </c>
    </row>
    <row r="44" spans="1:11" ht="45" customHeight="1" x14ac:dyDescent="0.25">
      <c r="A44" t="s">
        <v>95</v>
      </c>
      <c r="B44" t="s">
        <v>96</v>
      </c>
      <c r="C44" s="5" t="s">
        <v>9386</v>
      </c>
      <c r="D44">
        <f t="shared" si="0"/>
        <v>43</v>
      </c>
      <c r="E44" t="str">
        <f t="shared" si="1"/>
        <v>E2_7_7_7</v>
      </c>
      <c r="F44" s="11" t="s">
        <v>13937</v>
      </c>
      <c r="G44" s="11" t="s">
        <v>14540</v>
      </c>
      <c r="H44" s="11" t="s">
        <v>8988</v>
      </c>
      <c r="I44" s="11" t="s">
        <v>9187</v>
      </c>
      <c r="J44" s="12" t="str">
        <f t="shared" si="2"/>
        <v>(${Variables:E2_7_7_7_kcat} * E2_7_7_7 * C00039 * C00459)/(${Variables:E2_7_7_7_km} + (E2_7_7_7 * C00039 * C00459))</v>
      </c>
      <c r="K44" s="11" t="str">
        <f t="shared" si="3"/>
        <v>r43: C00039 + C00459 -&gt; C00013 + C00039 | (${Variables:E2_7_7_7_kcat} * E2_7_7_7 * C00039 * C00459)/(${Variables:E2_7_7_7_km} + (E2_7_7_7 * C00039 * C00459))</v>
      </c>
    </row>
    <row r="45" spans="1:11" ht="45" customHeight="1" x14ac:dyDescent="0.25">
      <c r="A45" t="s">
        <v>95</v>
      </c>
      <c r="B45" t="s">
        <v>96</v>
      </c>
      <c r="C45" s="5" t="s">
        <v>9386</v>
      </c>
      <c r="D45">
        <f t="shared" si="0"/>
        <v>44</v>
      </c>
      <c r="E45" t="str">
        <f t="shared" si="1"/>
        <v>E2_7_7_7</v>
      </c>
      <c r="F45" s="11" t="s">
        <v>8088</v>
      </c>
      <c r="G45" s="11" t="s">
        <v>8088</v>
      </c>
      <c r="H45" s="11" t="s">
        <v>8391</v>
      </c>
      <c r="I45" s="11" t="s">
        <v>8391</v>
      </c>
      <c r="J45" s="12" t="str">
        <f t="shared" si="2"/>
        <v>(${Variables:E2_7_7_7_kcat} * E2_7_7_7 * C11039)/(${Variables:E2_7_7_7_km} + (E2_7_7_7 * C11039))</v>
      </c>
      <c r="K45" s="11" t="str">
        <f t="shared" si="3"/>
        <v>r44: C11039 -&gt; C21031 | (${Variables:E2_7_7_7_kcat} * E2_7_7_7 * C11039)/(${Variables:E2_7_7_7_km} + (E2_7_7_7 * C11039))</v>
      </c>
    </row>
    <row r="46" spans="1:11" ht="45" customHeight="1" x14ac:dyDescent="0.25">
      <c r="A46" t="s">
        <v>127</v>
      </c>
      <c r="B46" t="s">
        <v>128</v>
      </c>
      <c r="C46" s="5" t="s">
        <v>9394</v>
      </c>
      <c r="D46">
        <f t="shared" si="0"/>
        <v>45</v>
      </c>
      <c r="E46" t="str">
        <f t="shared" si="1"/>
        <v>E5_4_2_2</v>
      </c>
      <c r="F46" s="11" t="s">
        <v>8096</v>
      </c>
      <c r="G46" s="11" t="s">
        <v>8096</v>
      </c>
      <c r="H46" s="11" t="s">
        <v>8396</v>
      </c>
      <c r="I46" s="11" t="s">
        <v>8396</v>
      </c>
      <c r="J46" s="12" t="str">
        <f t="shared" si="2"/>
        <v>(${Variables:E5_4_2_2_kcat} * E5_4_2_2 * C00103)/(${Variables:E5_4_2_2_km} + (E5_4_2_2 * C00103))</v>
      </c>
      <c r="K46" s="11" t="str">
        <f t="shared" si="3"/>
        <v>r45: C00103 -&gt; C00092 | (${Variables:E5_4_2_2_kcat} * E5_4_2_2 * C00103)/(${Variables:E5_4_2_2_km} + (E5_4_2_2 * C00103))</v>
      </c>
    </row>
    <row r="47" spans="1:11" ht="45" customHeight="1" x14ac:dyDescent="0.25">
      <c r="A47" t="s">
        <v>127</v>
      </c>
      <c r="B47" t="s">
        <v>128</v>
      </c>
      <c r="C47" s="5" t="s">
        <v>9394</v>
      </c>
      <c r="D47">
        <f t="shared" si="0"/>
        <v>46</v>
      </c>
      <c r="E47" t="str">
        <f t="shared" si="1"/>
        <v>E5_4_2_2</v>
      </c>
      <c r="F47" s="11" t="s">
        <v>8096</v>
      </c>
      <c r="G47" s="11" t="s">
        <v>8096</v>
      </c>
      <c r="H47" s="11" t="s">
        <v>8369</v>
      </c>
      <c r="I47" s="11" t="s">
        <v>8369</v>
      </c>
      <c r="J47" s="12" t="str">
        <f t="shared" si="2"/>
        <v>(${Variables:E5_4_2_2_kcat} * E5_4_2_2 * C00103)/(${Variables:E5_4_2_2_km} + (E5_4_2_2 * C00103))</v>
      </c>
      <c r="K47" s="11" t="str">
        <f t="shared" si="3"/>
        <v>r46: C00103 -&gt; C00668 | (${Variables:E5_4_2_2_kcat} * E5_4_2_2 * C00103)/(${Variables:E5_4_2_2_km} + (E5_4_2_2 * C00103))</v>
      </c>
    </row>
    <row r="48" spans="1:11" ht="45" customHeight="1" x14ac:dyDescent="0.25">
      <c r="A48" t="s">
        <v>127</v>
      </c>
      <c r="B48" t="s">
        <v>128</v>
      </c>
      <c r="C48" s="5" t="s">
        <v>9394</v>
      </c>
      <c r="D48">
        <f t="shared" si="0"/>
        <v>47</v>
      </c>
      <c r="E48" t="str">
        <f t="shared" si="1"/>
        <v>E5_4_2_2</v>
      </c>
      <c r="F48" s="11" t="s">
        <v>8097</v>
      </c>
      <c r="G48" s="11" t="s">
        <v>8097</v>
      </c>
      <c r="H48" s="11" t="s">
        <v>8344</v>
      </c>
      <c r="I48" s="11" t="s">
        <v>8344</v>
      </c>
      <c r="J48" s="12" t="str">
        <f t="shared" si="2"/>
        <v>(${Variables:E5_4_2_2_kcat} * E5_4_2_2 * C00620)/(${Variables:E5_4_2_2_km} + (E5_4_2_2 * C00620))</v>
      </c>
      <c r="K48" s="11" t="str">
        <f t="shared" si="3"/>
        <v>r47: C00620 -&gt; C00117 | (${Variables:E5_4_2_2_kcat} * E5_4_2_2 * C00620)/(${Variables:E5_4_2_2_km} + (E5_4_2_2 * C00620))</v>
      </c>
    </row>
    <row r="49" spans="1:11" ht="45" customHeight="1" x14ac:dyDescent="0.25">
      <c r="A49" t="s">
        <v>127</v>
      </c>
      <c r="B49" t="s">
        <v>128</v>
      </c>
      <c r="C49" s="5" t="s">
        <v>9394</v>
      </c>
      <c r="D49">
        <f t="shared" si="0"/>
        <v>48</v>
      </c>
      <c r="E49" t="str">
        <f t="shared" si="1"/>
        <v>E5_4_2_2</v>
      </c>
      <c r="F49" s="11" t="s">
        <v>8098</v>
      </c>
      <c r="G49" s="11" t="s">
        <v>8098</v>
      </c>
      <c r="H49" s="11" t="s">
        <v>8397</v>
      </c>
      <c r="I49" s="11" t="s">
        <v>8397</v>
      </c>
      <c r="J49" s="12" t="str">
        <f t="shared" si="2"/>
        <v>(${Variables:E5_4_2_2_kcat} * E5_4_2_2 * C01171)/(${Variables:E5_4_2_2_km} + (E5_4_2_2 * C01171))</v>
      </c>
      <c r="K49" s="11" t="str">
        <f t="shared" si="3"/>
        <v>r48: C01171 -&gt; C03735 | (${Variables:E5_4_2_2_kcat} * E5_4_2_2 * C01171)/(${Variables:E5_4_2_2_km} + (E5_4_2_2 * C01171))</v>
      </c>
    </row>
    <row r="50" spans="1:11" ht="45" customHeight="1" x14ac:dyDescent="0.25">
      <c r="A50" t="s">
        <v>142</v>
      </c>
      <c r="B50" t="s">
        <v>143</v>
      </c>
      <c r="C50" s="5" t="s">
        <v>9395</v>
      </c>
      <c r="D50">
        <f t="shared" si="0"/>
        <v>49</v>
      </c>
      <c r="E50" t="str">
        <f t="shared" si="1"/>
        <v>E1_1_1_205</v>
      </c>
      <c r="F50" s="11" t="s">
        <v>13963</v>
      </c>
      <c r="G50" s="11" t="s">
        <v>14566</v>
      </c>
      <c r="H50" s="11" t="s">
        <v>15154</v>
      </c>
      <c r="I50" s="11" t="s">
        <v>15775</v>
      </c>
      <c r="J50" s="12" t="str">
        <f t="shared" si="2"/>
        <v>(${Variables:E1_1_1_205_kcat} * E1_1_1_205 * C00001 * C00003 * C00130)/(${Variables:E1_1_1_205_km} + (E1_1_1_205 * C00001 * C00003 * C00130))</v>
      </c>
      <c r="K50" s="11" t="str">
        <f t="shared" si="3"/>
        <v>r49: C00001 + C00003 + C00130 -&gt; C00004 + C00080 + C00655 | (${Variables:E1_1_1_205_kcat} * E1_1_1_205 * C00001 * C00003 * C00130)/(${Variables:E1_1_1_205_km} + (E1_1_1_205 * C00001 * C00003 * C00130))</v>
      </c>
    </row>
    <row r="51" spans="1:11" ht="45" customHeight="1" x14ac:dyDescent="0.25">
      <c r="A51" t="s">
        <v>142</v>
      </c>
      <c r="B51" t="s">
        <v>143</v>
      </c>
      <c r="C51" s="5" t="s">
        <v>9395</v>
      </c>
      <c r="D51">
        <f t="shared" si="0"/>
        <v>50</v>
      </c>
      <c r="E51" t="str">
        <f t="shared" si="1"/>
        <v>E1_1_1_205</v>
      </c>
      <c r="F51" s="11" t="s">
        <v>13964</v>
      </c>
      <c r="G51" s="11" t="s">
        <v>14567</v>
      </c>
      <c r="H51" s="11" t="s">
        <v>15155</v>
      </c>
      <c r="I51" s="11" t="s">
        <v>15776</v>
      </c>
      <c r="J51" s="12" t="str">
        <f t="shared" si="2"/>
        <v>(${Variables:E1_1_1_205_kcat} * E1_1_1_205 * C00001 * C00003 * C04646)/(${Variables:E1_1_1_205_km} + (E1_1_1_205 * C00001 * C00003 * C04646))</v>
      </c>
      <c r="K51" s="11" t="str">
        <f t="shared" si="3"/>
        <v>r50: C00001 + C00003 + C04646 -&gt; C00004 + C00080 + C16618 | (${Variables:E1_1_1_205_kcat} * E1_1_1_205 * C00001 * C00003 * C04646)/(${Variables:E1_1_1_205_km} + (E1_1_1_205 * C00001 * C00003 * C04646))</v>
      </c>
    </row>
    <row r="52" spans="1:11" ht="45" customHeight="1" x14ac:dyDescent="0.25">
      <c r="A52" t="s">
        <v>157</v>
      </c>
      <c r="B52" t="s">
        <v>158</v>
      </c>
      <c r="C52" s="5" t="s">
        <v>9396</v>
      </c>
      <c r="D52">
        <f t="shared" si="0"/>
        <v>51</v>
      </c>
      <c r="E52" t="str">
        <f t="shared" si="1"/>
        <v>E6_3_3_1</v>
      </c>
      <c r="F52" s="11" t="s">
        <v>8659</v>
      </c>
      <c r="G52" s="11" t="s">
        <v>8825</v>
      </c>
      <c r="H52" s="11" t="s">
        <v>8992</v>
      </c>
      <c r="I52" s="11" t="s">
        <v>9191</v>
      </c>
      <c r="J52" s="12" t="str">
        <f t="shared" si="2"/>
        <v>(${Variables:E6_3_3_1_kcat} * E6_3_3_1 * C00002 * C04640)/(${Variables:E6_3_3_1_km} + (E6_3_3_1 * C00002 * C04640))</v>
      </c>
      <c r="K52" s="11" t="str">
        <f t="shared" si="3"/>
        <v>r51: C00002 + C04640 -&gt; C00008 + C00009 + C03373 | (${Variables:E6_3_3_1_kcat} * E6_3_3_1 * C00002 * C04640)/(${Variables:E6_3_3_1_km} + (E6_3_3_1 * C00002 * C04640))</v>
      </c>
    </row>
    <row r="53" spans="1:11" ht="45" customHeight="1" x14ac:dyDescent="0.25">
      <c r="A53" t="s">
        <v>160</v>
      </c>
      <c r="B53" t="s">
        <v>161</v>
      </c>
      <c r="C53" s="5" t="s">
        <v>9397</v>
      </c>
      <c r="D53">
        <f t="shared" si="0"/>
        <v>52</v>
      </c>
      <c r="E53" t="str">
        <f t="shared" si="1"/>
        <v>E6_3_5_6</v>
      </c>
      <c r="F53" s="11" t="s">
        <v>13965</v>
      </c>
      <c r="G53" s="11" t="s">
        <v>14568</v>
      </c>
      <c r="H53" s="11" t="s">
        <v>15156</v>
      </c>
      <c r="I53" s="11" t="s">
        <v>15777</v>
      </c>
      <c r="J53" s="12" t="str">
        <f t="shared" si="2"/>
        <v>(${Variables:E6_3_5_6_kcat} * E6_3_5_6 * C00008 * C00009 * C00025 * C03402)/(${Variables:E6_3_5_6_km} + (E6_3_5_6 * C00008 * C00009 * C00025 * C03402))</v>
      </c>
      <c r="K53" s="11" t="str">
        <f t="shared" si="3"/>
        <v>r52: C00008 + C00009 + C00025 + C03402 -&gt; C00001 + C00002 + C00064 + C06113 | (${Variables:E6_3_5_6_kcat} * E6_3_5_6 * C00008 * C00009 * C00025 * C03402)/(${Variables:E6_3_5_6_km} + (E6_3_5_6 * C00008 * C00009 * C00025 * C03402))</v>
      </c>
    </row>
    <row r="54" spans="1:11" ht="45" customHeight="1" x14ac:dyDescent="0.25">
      <c r="A54" t="s">
        <v>176</v>
      </c>
      <c r="B54" t="s">
        <v>177</v>
      </c>
      <c r="C54" s="5" t="s">
        <v>9398</v>
      </c>
      <c r="D54">
        <f t="shared" si="0"/>
        <v>53</v>
      </c>
      <c r="E54" t="str">
        <f t="shared" si="1"/>
        <v>E2_5_1_78</v>
      </c>
      <c r="F54" s="11" t="s">
        <v>8660</v>
      </c>
      <c r="G54" s="11" t="s">
        <v>8826</v>
      </c>
      <c r="H54" s="11" t="s">
        <v>15157</v>
      </c>
      <c r="I54" s="11" t="s">
        <v>15778</v>
      </c>
      <c r="J54" s="12" t="str">
        <f t="shared" si="2"/>
        <v>(${Variables:E2_5_1_78_kcat} * E2_5_1_78 * C04732 * C15556)/(${Variables:E2_5_1_78_km} + (E2_5_1_78 * C04732 * C15556))</v>
      </c>
      <c r="K54" s="11" t="str">
        <f t="shared" si="3"/>
        <v>r53: C04732 + C15556 -&gt; C00001 + C00009 + C04332 | (${Variables:E2_5_1_78_kcat} * E2_5_1_78 * C04732 * C15556)/(${Variables:E2_5_1_78_km} + (E2_5_1_78 * C04732 * C15556))</v>
      </c>
    </row>
    <row r="55" spans="1:11" ht="45" customHeight="1" x14ac:dyDescent="0.25">
      <c r="A55" t="s">
        <v>189</v>
      </c>
      <c r="B55" t="s">
        <v>190</v>
      </c>
      <c r="C55" s="5" t="s">
        <v>9399</v>
      </c>
      <c r="D55">
        <f t="shared" si="0"/>
        <v>54</v>
      </c>
      <c r="E55" t="str">
        <f t="shared" si="1"/>
        <v>E3_1_3_15</v>
      </c>
      <c r="F55" s="11" t="s">
        <v>13966</v>
      </c>
      <c r="G55" s="11" t="s">
        <v>14569</v>
      </c>
      <c r="H55" s="11" t="s">
        <v>15158</v>
      </c>
      <c r="I55" s="11" t="s">
        <v>15779</v>
      </c>
      <c r="J55" s="12" t="str">
        <f t="shared" si="2"/>
        <v>(${Variables:E3_1_3_15_kcat} * E3_1_3_15 * C00001 * C01100)/(${Variables:E3_1_3_15_km} + (E3_1_3_15 * C00001 * C01100))</v>
      </c>
      <c r="K55" s="11" t="str">
        <f t="shared" si="3"/>
        <v>r54: C00001 + C01100 -&gt; C00009 + C00860 | (${Variables:E3_1_3_15_kcat} * E3_1_3_15 * C00001 * C01100)/(${Variables:E3_1_3_15_km} + (E3_1_3_15 * C00001 * C01100))</v>
      </c>
    </row>
    <row r="56" spans="1:11" ht="45" customHeight="1" x14ac:dyDescent="0.25">
      <c r="A56" t="s">
        <v>194</v>
      </c>
      <c r="B56" t="s">
        <v>195</v>
      </c>
      <c r="C56" s="5" t="s">
        <v>9400</v>
      </c>
      <c r="D56">
        <f t="shared" si="0"/>
        <v>55</v>
      </c>
      <c r="E56" t="str">
        <f t="shared" si="1"/>
        <v>E3_5_1_19</v>
      </c>
      <c r="F56" s="11" t="s">
        <v>13967</v>
      </c>
      <c r="G56" s="11" t="s">
        <v>14570</v>
      </c>
      <c r="H56" s="11" t="s">
        <v>15159</v>
      </c>
      <c r="I56" s="11" t="s">
        <v>15780</v>
      </c>
      <c r="J56" s="12" t="str">
        <f t="shared" si="2"/>
        <v>(${Variables:E3_5_1_19_kcat} * E3_5_1_19 * C00001 * C00153)/(${Variables:E3_5_1_19_km} + (E3_5_1_19 * C00001 * C00153))</v>
      </c>
      <c r="K56" s="11" t="str">
        <f t="shared" si="3"/>
        <v>r55: C00001 + C00153 -&gt; C00014 + C00253 | (${Variables:E3_5_1_19_kcat} * E3_5_1_19 * C00001 * C00153)/(${Variables:E3_5_1_19_km} + (E3_5_1_19 * C00001 * C00153))</v>
      </c>
    </row>
    <row r="57" spans="1:11" ht="45" customHeight="1" x14ac:dyDescent="0.25">
      <c r="A57" t="s">
        <v>194</v>
      </c>
      <c r="B57" t="s">
        <v>195</v>
      </c>
      <c r="C57" s="5" t="s">
        <v>9400</v>
      </c>
      <c r="D57">
        <f t="shared" si="0"/>
        <v>56</v>
      </c>
      <c r="E57" t="str">
        <f t="shared" si="1"/>
        <v>E3_5_1_19</v>
      </c>
      <c r="F57" s="11" t="s">
        <v>13968</v>
      </c>
      <c r="G57" s="11" t="s">
        <v>14571</v>
      </c>
      <c r="H57" s="11" t="s">
        <v>15160</v>
      </c>
      <c r="I57" s="11" t="s">
        <v>15781</v>
      </c>
      <c r="J57" s="12" t="str">
        <f t="shared" si="2"/>
        <v>(${Variables:E3_5_1_19_kcat} * E3_5_1_19 * C00001 * C00241)/(${Variables:E3_5_1_19_km} + (E3_5_1_19 * C00001 * C00241))</v>
      </c>
      <c r="K57" s="11" t="str">
        <f t="shared" si="3"/>
        <v>r56: C00001 + C00241 -&gt; C00014 + C00060 | (${Variables:E3_5_1_19_kcat} * E3_5_1_19 * C00001 * C00241)/(${Variables:E3_5_1_19_km} + (E3_5_1_19 * C00001 * C00241))</v>
      </c>
    </row>
    <row r="58" spans="1:11" ht="45" customHeight="1" x14ac:dyDescent="0.25">
      <c r="A58" t="s">
        <v>197</v>
      </c>
      <c r="B58" t="s">
        <v>198</v>
      </c>
      <c r="C58" s="5" t="s">
        <v>9401</v>
      </c>
      <c r="D58">
        <f t="shared" si="0"/>
        <v>57</v>
      </c>
      <c r="E58" t="str">
        <f t="shared" si="1"/>
        <v>E1_5_1_20</v>
      </c>
      <c r="F58" s="11" t="s">
        <v>13969</v>
      </c>
      <c r="G58" s="11" t="s">
        <v>14572</v>
      </c>
      <c r="H58" s="11" t="s">
        <v>15161</v>
      </c>
      <c r="I58" s="11" t="s">
        <v>15782</v>
      </c>
      <c r="J58" s="12" t="str">
        <f t="shared" si="2"/>
        <v>(${Variables:E1_5_1_20_kcat} * E1_5_1_20 * C00006 * C00440)/(${Variables:E1_5_1_20_km} + (E1_5_1_20 * C00006 * C00440))</v>
      </c>
      <c r="K58" s="11" t="str">
        <f t="shared" si="3"/>
        <v>r57: C00006 + C00440 -&gt; C00005 + C00080 + C00143 | (${Variables:E1_5_1_20_kcat} * E1_5_1_20 * C00006 * C00440)/(${Variables:E1_5_1_20_km} + (E1_5_1_20 * C00006 * C00440))</v>
      </c>
    </row>
    <row r="59" spans="1:11" ht="45" customHeight="1" x14ac:dyDescent="0.25">
      <c r="A59" t="s">
        <v>197</v>
      </c>
      <c r="B59" t="s">
        <v>198</v>
      </c>
      <c r="C59" s="5" t="s">
        <v>9401</v>
      </c>
      <c r="D59">
        <f t="shared" si="0"/>
        <v>58</v>
      </c>
      <c r="E59" t="str">
        <f t="shared" si="1"/>
        <v>E1_5_1_20</v>
      </c>
      <c r="F59" s="11" t="s">
        <v>13970</v>
      </c>
      <c r="G59" s="11" t="s">
        <v>14573</v>
      </c>
      <c r="H59" s="11" t="s">
        <v>15162</v>
      </c>
      <c r="I59" s="11" t="s">
        <v>15783</v>
      </c>
      <c r="J59" s="12" t="str">
        <f t="shared" si="2"/>
        <v>(${Variables:E1_5_1_20_kcat} * E1_5_1_20 * C00003 * C00440)/(${Variables:E1_5_1_20_km} + (E1_5_1_20 * C00003 * C00440))</v>
      </c>
      <c r="K59" s="11" t="str">
        <f t="shared" si="3"/>
        <v>r58: C00003 + C00440 -&gt; C00004 + C00080 + C00143 | (${Variables:E1_5_1_20_kcat} * E1_5_1_20 * C00003 * C00440)/(${Variables:E1_5_1_20_km} + (E1_5_1_20 * C00003 * C00440))</v>
      </c>
    </row>
    <row r="60" spans="1:11" ht="45" customHeight="1" x14ac:dyDescent="0.25">
      <c r="A60" t="s">
        <v>236</v>
      </c>
      <c r="B60" t="s">
        <v>237</v>
      </c>
      <c r="C60" s="5" t="s">
        <v>9402</v>
      </c>
      <c r="D60">
        <f t="shared" si="0"/>
        <v>59</v>
      </c>
      <c r="E60" t="str">
        <f t="shared" si="1"/>
        <v>E1_3_8_1</v>
      </c>
      <c r="F60" s="11" t="s">
        <v>13971</v>
      </c>
      <c r="G60" s="11" t="s">
        <v>14574</v>
      </c>
      <c r="H60" s="11" t="s">
        <v>15163</v>
      </c>
      <c r="I60" s="11" t="s">
        <v>15784</v>
      </c>
      <c r="J60" s="12" t="str">
        <f t="shared" si="2"/>
        <v>(${Variables:E1_3_8_1_kcat} * E1_3_8_1 * C04253 * C20675)/(${Variables:E1_3_8_1_km} + (E1_3_8_1 * C04253 * C20675))</v>
      </c>
      <c r="K60" s="11" t="str">
        <f t="shared" si="3"/>
        <v>r59: C04253 + C20675 -&gt; C04570 + C20676 | (${Variables:E1_3_8_1_kcat} * E1_3_8_1 * C04253 * C20675)/(${Variables:E1_3_8_1_km} + (E1_3_8_1 * C04253 * C20675))</v>
      </c>
    </row>
    <row r="61" spans="1:11" ht="45" customHeight="1" x14ac:dyDescent="0.25">
      <c r="A61" t="s">
        <v>236</v>
      </c>
      <c r="B61" t="s">
        <v>237</v>
      </c>
      <c r="C61" s="5" t="s">
        <v>9402</v>
      </c>
      <c r="D61">
        <f t="shared" si="0"/>
        <v>60</v>
      </c>
      <c r="E61" t="str">
        <f t="shared" si="1"/>
        <v>E1_3_8_1</v>
      </c>
      <c r="F61" s="11" t="s">
        <v>13972</v>
      </c>
      <c r="G61" s="11" t="s">
        <v>14575</v>
      </c>
      <c r="H61" s="11" t="s">
        <v>15164</v>
      </c>
      <c r="I61" s="11" t="s">
        <v>15785</v>
      </c>
      <c r="J61" s="12" t="str">
        <f t="shared" si="2"/>
        <v>(${Variables:E1_3_8_1_kcat} * E1_3_8_1 * C00016 * C00136)/(${Variables:E1_3_8_1_km} + (E1_3_8_1 * C00016 * C00136))</v>
      </c>
      <c r="K61" s="11" t="str">
        <f t="shared" si="3"/>
        <v>r60: C00016 + C00136 -&gt; C00877 + C01352 | (${Variables:E1_3_8_1_kcat} * E1_3_8_1 * C00016 * C00136)/(${Variables:E1_3_8_1_km} + (E1_3_8_1 * C00016 * C00136))</v>
      </c>
    </row>
    <row r="62" spans="1:11" ht="45" customHeight="1" x14ac:dyDescent="0.25">
      <c r="A62" t="s">
        <v>236</v>
      </c>
      <c r="B62" t="s">
        <v>237</v>
      </c>
      <c r="C62" s="5" t="s">
        <v>9402</v>
      </c>
      <c r="D62">
        <f t="shared" si="0"/>
        <v>61</v>
      </c>
      <c r="E62" t="str">
        <f t="shared" si="1"/>
        <v>E1_3_8_1</v>
      </c>
      <c r="F62" s="11" t="s">
        <v>13973</v>
      </c>
      <c r="G62" s="11" t="s">
        <v>14576</v>
      </c>
      <c r="H62" s="11" t="s">
        <v>15165</v>
      </c>
      <c r="I62" s="11" t="s">
        <v>15786</v>
      </c>
      <c r="J62" s="12" t="str">
        <f t="shared" si="2"/>
        <v>(${Variables:E1_3_8_1_kcat} * E1_3_8_1 * C00016 * C05270)/(${Variables:E1_3_8_1_km} + (E1_3_8_1 * C00016 * C05270))</v>
      </c>
      <c r="K62" s="11" t="str">
        <f t="shared" si="3"/>
        <v>r61: C00016 + C05270 -&gt; C01352 + C05271 | (${Variables:E1_3_8_1_kcat} * E1_3_8_1 * C00016 * C05270)/(${Variables:E1_3_8_1_km} + (E1_3_8_1 * C00016 * C05270))</v>
      </c>
    </row>
    <row r="63" spans="1:11" ht="45" customHeight="1" x14ac:dyDescent="0.25">
      <c r="A63" t="s">
        <v>236</v>
      </c>
      <c r="B63" t="s">
        <v>237</v>
      </c>
      <c r="C63" s="5" t="s">
        <v>9402</v>
      </c>
      <c r="D63">
        <f t="shared" si="0"/>
        <v>62</v>
      </c>
      <c r="E63" t="str">
        <f t="shared" si="1"/>
        <v>E1_3_8_1</v>
      </c>
      <c r="F63" s="11" t="s">
        <v>13974</v>
      </c>
      <c r="G63" s="11" t="s">
        <v>14577</v>
      </c>
      <c r="H63" s="11" t="s">
        <v>15166</v>
      </c>
      <c r="I63" s="11" t="s">
        <v>15787</v>
      </c>
      <c r="J63" s="12" t="str">
        <f t="shared" si="2"/>
        <v>(${Variables:E1_3_8_1_kcat} * E1_3_8_1 * C00028 * C00630)/(${Variables:E1_3_8_1_km} + (E1_3_8_1 * C00028 * C00630))</v>
      </c>
      <c r="K63" s="11" t="str">
        <f t="shared" si="3"/>
        <v>r62: C00028 + C00630 -&gt; C00030 + C03460 | (${Variables:E1_3_8_1_kcat} * E1_3_8_1 * C00028 * C00630)/(${Variables:E1_3_8_1_km} + (E1_3_8_1 * C00028 * C00630))</v>
      </c>
    </row>
    <row r="64" spans="1:11" ht="45" customHeight="1" x14ac:dyDescent="0.25">
      <c r="A64" t="s">
        <v>236</v>
      </c>
      <c r="B64" t="s">
        <v>237</v>
      </c>
      <c r="C64" s="5" t="s">
        <v>9402</v>
      </c>
      <c r="D64">
        <f t="shared" si="0"/>
        <v>63</v>
      </c>
      <c r="E64" t="str">
        <f t="shared" si="1"/>
        <v>E1_3_8_1</v>
      </c>
      <c r="F64" s="11" t="s">
        <v>13975</v>
      </c>
      <c r="G64" s="11" t="s">
        <v>14578</v>
      </c>
      <c r="H64" s="11" t="s">
        <v>15167</v>
      </c>
      <c r="I64" s="11" t="s">
        <v>15788</v>
      </c>
      <c r="J64" s="12" t="str">
        <f t="shared" si="2"/>
        <v>(${Variables:E1_3_8_1_kcat} * E1_3_8_1 * C00028 * C15980)/(${Variables:E1_3_8_1_km} + (E1_3_8_1 * C00028 * C15980))</v>
      </c>
      <c r="K64" s="11" t="str">
        <f t="shared" si="3"/>
        <v>r63: C00028 + C15980 -&gt; C00030 + C03345 | (${Variables:E1_3_8_1_kcat} * E1_3_8_1 * C00028 * C15980)/(${Variables:E1_3_8_1_km} + (E1_3_8_1 * C00028 * C15980))</v>
      </c>
    </row>
    <row r="65" spans="1:11" ht="45" customHeight="1" x14ac:dyDescent="0.25">
      <c r="A65" t="s">
        <v>236</v>
      </c>
      <c r="B65" t="s">
        <v>237</v>
      </c>
      <c r="C65" s="5" t="s">
        <v>9402</v>
      </c>
      <c r="D65">
        <f t="shared" si="0"/>
        <v>64</v>
      </c>
      <c r="E65" t="str">
        <f t="shared" si="1"/>
        <v>E1_3_8_1</v>
      </c>
      <c r="F65" s="11" t="s">
        <v>13976</v>
      </c>
      <c r="G65" s="11" t="s">
        <v>14579</v>
      </c>
      <c r="H65" s="11" t="s">
        <v>15168</v>
      </c>
      <c r="I65" s="11" t="s">
        <v>15789</v>
      </c>
      <c r="J65" s="12" t="str">
        <f t="shared" si="2"/>
        <v>(${Variables:E1_3_8_1_kcat} * E1_3_8_1 * C00100 * C04253)/(${Variables:E1_3_8_1_km} + (E1_3_8_1 * C00100 * C04253))</v>
      </c>
      <c r="K65" s="11" t="str">
        <f t="shared" si="3"/>
        <v>r64: C00100 + C04253 -&gt; C00894 + C04570 | (${Variables:E1_3_8_1_kcat} * E1_3_8_1 * C00100 * C04253)/(${Variables:E1_3_8_1_km} + (E1_3_8_1 * C00100 * C04253))</v>
      </c>
    </row>
    <row r="66" spans="1:11" ht="45" customHeight="1" x14ac:dyDescent="0.25">
      <c r="A66" t="s">
        <v>239</v>
      </c>
      <c r="B66" t="s">
        <v>240</v>
      </c>
      <c r="C66" s="5" t="s">
        <v>9403</v>
      </c>
      <c r="D66">
        <f t="shared" si="0"/>
        <v>65</v>
      </c>
      <c r="E66" t="str">
        <f t="shared" si="1"/>
        <v>E2_5_1_31</v>
      </c>
      <c r="F66" s="11" t="s">
        <v>13977</v>
      </c>
      <c r="G66" s="11" t="s">
        <v>14580</v>
      </c>
      <c r="H66" s="11" t="s">
        <v>15169</v>
      </c>
      <c r="I66" s="11" t="s">
        <v>15790</v>
      </c>
      <c r="J66" s="12" t="str">
        <f t="shared" si="2"/>
        <v>(${Variables:E2_5_1_31_kcat} * E2_5_1_31 * C00129 * C00448)/(${Variables:E2_5_1_31_km} + (E2_5_1_31 * C00129 * C00448))</v>
      </c>
      <c r="K66" s="11" t="str">
        <f t="shared" si="3"/>
        <v>r65: C00129 + C00448 -&gt; C00013 + C04574 | (${Variables:E2_5_1_31_kcat} * E2_5_1_31 * C00129 * C00448)/(${Variables:E2_5_1_31_km} + (E2_5_1_31 * C00129 * C00448))</v>
      </c>
    </row>
    <row r="67" spans="1:11" ht="45" customHeight="1" x14ac:dyDescent="0.25">
      <c r="A67" t="s">
        <v>242</v>
      </c>
      <c r="B67" t="s">
        <v>243</v>
      </c>
      <c r="C67" s="5" t="s">
        <v>9404</v>
      </c>
      <c r="D67">
        <f t="shared" ref="D67:D130" si="4">ROW()-1</f>
        <v>66</v>
      </c>
      <c r="E67" t="str">
        <f t="shared" ref="E67:E130" si="5">_xlfn.CONCAT("E", C67)</f>
        <v>E2_3_3_14</v>
      </c>
      <c r="F67" s="11" t="s">
        <v>13978</v>
      </c>
      <c r="G67" s="11" t="s">
        <v>14581</v>
      </c>
      <c r="H67" s="11" t="s">
        <v>15170</v>
      </c>
      <c r="I67" s="11" t="s">
        <v>15791</v>
      </c>
      <c r="J67" s="12" t="str">
        <f t="shared" ref="J67:J130" si="6">CONCATENATE("(${Variables:",E67,"_kcat","} * ",E67," * ",G67,")","/(${Variables:",E67,"_km","} + (",E67," * ",G67,"))")</f>
        <v>(${Variables:E2_3_3_14_kcat} * E2_3_3_14 * C00001 * C00024 * C00026)/(${Variables:E2_3_3_14_km} + (E2_3_3_14 * C00001 * C00024 * C00026))</v>
      </c>
      <c r="K67" s="11" t="str">
        <f t="shared" ref="K67:K130" si="7">CONCATENATE("r",D67,": ",F67," -&gt; ",H67," | ",J67)</f>
        <v>r66: C00001 + C00024 + C00026 -&gt; C00010 + C01251 | (${Variables:E2_3_3_14_kcat} * E2_3_3_14 * C00001 * C00024 * C00026)/(${Variables:E2_3_3_14_km} + (E2_3_3_14 * C00001 * C00024 * C00026))</v>
      </c>
    </row>
    <row r="68" spans="1:11" ht="45" customHeight="1" x14ac:dyDescent="0.25">
      <c r="A68" t="s">
        <v>249</v>
      </c>
      <c r="B68" t="s">
        <v>250</v>
      </c>
      <c r="C68" s="5" t="s">
        <v>9405</v>
      </c>
      <c r="D68">
        <f t="shared" si="4"/>
        <v>67</v>
      </c>
      <c r="E68" t="str">
        <f t="shared" si="5"/>
        <v>E4_2_1_36</v>
      </c>
      <c r="F68" s="11" t="s">
        <v>8101</v>
      </c>
      <c r="G68" s="11" t="s">
        <v>8101</v>
      </c>
      <c r="H68" s="11" t="s">
        <v>15171</v>
      </c>
      <c r="I68" s="11" t="s">
        <v>15792</v>
      </c>
      <c r="J68" s="12" t="str">
        <f t="shared" si="6"/>
        <v>(${Variables:E4_2_1_36_kcat} * E4_2_1_36 * C05662)/(${Variables:E4_2_1_36_km} + (E4_2_1_36 * C05662))</v>
      </c>
      <c r="K68" s="11" t="str">
        <f t="shared" si="7"/>
        <v>r67: C05662 -&gt; C00001 + C04002 | (${Variables:E4_2_1_36_kcat} * E4_2_1_36 * C05662)/(${Variables:E4_2_1_36_km} + (E4_2_1_36 * C05662))</v>
      </c>
    </row>
    <row r="69" spans="1:11" ht="45" customHeight="1" x14ac:dyDescent="0.25">
      <c r="A69" t="s">
        <v>252</v>
      </c>
      <c r="B69" t="s">
        <v>253</v>
      </c>
      <c r="C69" s="5" t="s">
        <v>9405</v>
      </c>
      <c r="D69">
        <f t="shared" si="4"/>
        <v>68</v>
      </c>
      <c r="E69" t="str">
        <f t="shared" si="5"/>
        <v>E4_2_1_36</v>
      </c>
      <c r="F69" s="11" t="s">
        <v>8101</v>
      </c>
      <c r="G69" s="11" t="s">
        <v>8101</v>
      </c>
      <c r="H69" s="11" t="s">
        <v>15171</v>
      </c>
      <c r="I69" s="11" t="s">
        <v>15792</v>
      </c>
      <c r="J69" s="12" t="str">
        <f t="shared" si="6"/>
        <v>(${Variables:E4_2_1_36_kcat} * E4_2_1_36 * C05662)/(${Variables:E4_2_1_36_km} + (E4_2_1_36 * C05662))</v>
      </c>
      <c r="K69" s="11" t="str">
        <f t="shared" si="7"/>
        <v>r68: C05662 -&gt; C00001 + C04002 | (${Variables:E4_2_1_36_kcat} * E4_2_1_36 * C05662)/(${Variables:E4_2_1_36_km} + (E4_2_1_36 * C05662))</v>
      </c>
    </row>
    <row r="70" spans="1:11" ht="45" customHeight="1" x14ac:dyDescent="0.25">
      <c r="A70" t="s">
        <v>270</v>
      </c>
      <c r="B70" t="s">
        <v>271</v>
      </c>
      <c r="C70" s="5" t="s">
        <v>9406</v>
      </c>
      <c r="D70">
        <f t="shared" si="4"/>
        <v>69</v>
      </c>
      <c r="E70" t="str">
        <f t="shared" si="5"/>
        <v>E2_4_1_18</v>
      </c>
      <c r="F70" s="11" t="s">
        <v>8102</v>
      </c>
      <c r="G70" s="11" t="s">
        <v>8102</v>
      </c>
      <c r="H70" s="11" t="s">
        <v>8399</v>
      </c>
      <c r="I70" s="11" t="s">
        <v>8399</v>
      </c>
      <c r="J70" s="12" t="str">
        <f t="shared" si="6"/>
        <v>(${Variables:E2_4_1_18_kcat} * E2_4_1_18 * C00718)/(${Variables:E2_4_1_18_km} + (E2_4_1_18 * C00718))</v>
      </c>
      <c r="K70" s="11" t="str">
        <f t="shared" si="7"/>
        <v>r69: C00718 -&gt; C00369 | (${Variables:E2_4_1_18_kcat} * E2_4_1_18 * C00718)/(${Variables:E2_4_1_18_km} + (E2_4_1_18 * C00718))</v>
      </c>
    </row>
    <row r="71" spans="1:11" ht="45" customHeight="1" x14ac:dyDescent="0.25">
      <c r="A71" t="s">
        <v>270</v>
      </c>
      <c r="B71" t="s">
        <v>271</v>
      </c>
      <c r="C71" s="5" t="s">
        <v>9406</v>
      </c>
      <c r="D71">
        <f t="shared" si="4"/>
        <v>70</v>
      </c>
      <c r="E71" t="str">
        <f t="shared" si="5"/>
        <v>E2_4_1_18</v>
      </c>
      <c r="F71" s="11" t="s">
        <v>12797</v>
      </c>
      <c r="G71" s="11" t="s">
        <v>12797</v>
      </c>
      <c r="H71" s="11" t="s">
        <v>12798</v>
      </c>
      <c r="I71" s="11" t="s">
        <v>12798</v>
      </c>
      <c r="J71" s="12" t="str">
        <f t="shared" si="6"/>
        <v>(${Variables:E2_4_1_18_kcat} * E2_4_1_18 * G10495)/(${Variables:E2_4_1_18_km} + (E2_4_1_18 * G10495))</v>
      </c>
      <c r="K71" s="11" t="str">
        <f t="shared" si="7"/>
        <v>r70: G10495 -&gt; G10545 | (${Variables:E2_4_1_18_kcat} * E2_4_1_18 * G10495)/(${Variables:E2_4_1_18_km} + (E2_4_1_18 * G10495))</v>
      </c>
    </row>
    <row r="72" spans="1:11" ht="45" customHeight="1" x14ac:dyDescent="0.25">
      <c r="A72" t="s">
        <v>276</v>
      </c>
      <c r="B72" t="s">
        <v>277</v>
      </c>
      <c r="C72" s="5" t="s">
        <v>9407</v>
      </c>
      <c r="D72">
        <f t="shared" si="4"/>
        <v>71</v>
      </c>
      <c r="E72" t="str">
        <f t="shared" si="5"/>
        <v>E6_3_1_5</v>
      </c>
      <c r="F72" s="11" t="s">
        <v>13979</v>
      </c>
      <c r="G72" s="11" t="s">
        <v>14582</v>
      </c>
      <c r="H72" s="11" t="s">
        <v>15172</v>
      </c>
      <c r="I72" s="11" t="s">
        <v>15793</v>
      </c>
      <c r="J72" s="12" t="str">
        <f t="shared" si="6"/>
        <v>(${Variables:E6_3_1_5_kcat} * E6_3_1_5 * C00002 * C00014 * C00857)/(${Variables:E6_3_1_5_km} + (E6_3_1_5 * C00002 * C00014 * C00857))</v>
      </c>
      <c r="K72" s="11" t="str">
        <f t="shared" si="7"/>
        <v>r71: C00002 + C00014 + C00857 -&gt; C00003 + C00013 + C00020 | (${Variables:E6_3_1_5_kcat} * E6_3_1_5 * C00002 * C00014 * C00857)/(${Variables:E6_3_1_5_km} + (E6_3_1_5 * C00002 * C00014 * C00857))</v>
      </c>
    </row>
    <row r="73" spans="1:11" ht="45" customHeight="1" x14ac:dyDescent="0.25">
      <c r="A73" t="s">
        <v>316</v>
      </c>
      <c r="B73" t="s">
        <v>317</v>
      </c>
      <c r="C73" s="5" t="s">
        <v>9408</v>
      </c>
      <c r="D73">
        <f t="shared" si="4"/>
        <v>72</v>
      </c>
      <c r="E73" t="str">
        <f t="shared" si="5"/>
        <v>E3_2_1_4</v>
      </c>
      <c r="F73" s="11" t="s">
        <v>13980</v>
      </c>
      <c r="G73" s="11" t="s">
        <v>14583</v>
      </c>
      <c r="H73" s="11" t="s">
        <v>15173</v>
      </c>
      <c r="I73" s="11" t="s">
        <v>15794</v>
      </c>
      <c r="J73" s="12" t="str">
        <f t="shared" si="6"/>
        <v>(${Variables:E3_2_1_4_kcat} * E3_2_1_4 * C00001 * G10481)/(${Variables:E3_2_1_4_km} + (E3_2_1_4 * C00001 * G10481))</v>
      </c>
      <c r="K73" s="11" t="str">
        <f t="shared" si="7"/>
        <v>r72: C00001 + G10481 -&gt; G00289 + G10481 | (${Variables:E3_2_1_4_kcat} * E3_2_1_4 * C00001 * G10481)/(${Variables:E3_2_1_4_km} + (E3_2_1_4 * C00001 * G10481))</v>
      </c>
    </row>
    <row r="74" spans="1:11" ht="45" customHeight="1" x14ac:dyDescent="0.25">
      <c r="A74" t="s">
        <v>316</v>
      </c>
      <c r="B74" t="s">
        <v>317</v>
      </c>
      <c r="C74" s="5" t="s">
        <v>9408</v>
      </c>
      <c r="D74">
        <f t="shared" si="4"/>
        <v>73</v>
      </c>
      <c r="E74" t="str">
        <f t="shared" si="5"/>
        <v>E3_2_1_4</v>
      </c>
      <c r="F74" s="11" t="s">
        <v>13981</v>
      </c>
      <c r="G74" s="11" t="s">
        <v>14584</v>
      </c>
      <c r="H74" s="11" t="s">
        <v>8993</v>
      </c>
      <c r="I74" s="11" t="s">
        <v>9192</v>
      </c>
      <c r="J74" s="12" t="str">
        <f t="shared" si="6"/>
        <v>(${Variables:E3_2_1_4_kcat} * E3_2_1_4 * C00001 * C00760)/(${Variables:E3_2_1_4_km} + (E3_2_1_4 * C00001 * C00760))</v>
      </c>
      <c r="K74" s="11" t="str">
        <f t="shared" si="7"/>
        <v>r73: C00001 + C00760 -&gt; C00760 + C01898 | (${Variables:E3_2_1_4_kcat} * E3_2_1_4 * C00001 * C00760)/(${Variables:E3_2_1_4_km} + (E3_2_1_4 * C00001 * C00760))</v>
      </c>
    </row>
    <row r="75" spans="1:11" ht="45" customHeight="1" x14ac:dyDescent="0.25">
      <c r="A75" t="s">
        <v>316</v>
      </c>
      <c r="B75" t="s">
        <v>317</v>
      </c>
      <c r="C75" s="5" t="s">
        <v>9408</v>
      </c>
      <c r="D75">
        <f t="shared" si="4"/>
        <v>74</v>
      </c>
      <c r="E75" t="str">
        <f t="shared" si="5"/>
        <v>E3_2_1_4</v>
      </c>
      <c r="F75" s="11" t="s">
        <v>8104</v>
      </c>
      <c r="G75" s="11" t="s">
        <v>8104</v>
      </c>
      <c r="H75" s="11" t="s">
        <v>8401</v>
      </c>
      <c r="I75" s="11" t="s">
        <v>8401</v>
      </c>
      <c r="J75" s="12" t="str">
        <f t="shared" si="6"/>
        <v>(${Variables:E3_2_1_4_kcat} * E3_2_1_4 * C01898)/(${Variables:E3_2_1_4_km} + (E3_2_1_4 * C01898))</v>
      </c>
      <c r="K75" s="11" t="str">
        <f t="shared" si="7"/>
        <v>r74: C01898 -&gt; C00185 | (${Variables:E3_2_1_4_kcat} * E3_2_1_4 * C01898)/(${Variables:E3_2_1_4_km} + (E3_2_1_4 * C01898))</v>
      </c>
    </row>
    <row r="76" spans="1:11" ht="45" customHeight="1" x14ac:dyDescent="0.25">
      <c r="A76" t="s">
        <v>319</v>
      </c>
      <c r="B76" t="s">
        <v>320</v>
      </c>
      <c r="C76" s="5" t="s">
        <v>9409</v>
      </c>
      <c r="D76">
        <f t="shared" si="4"/>
        <v>75</v>
      </c>
      <c r="E76" t="str">
        <f t="shared" si="5"/>
        <v>E4_2_3_3</v>
      </c>
      <c r="F76" s="11" t="s">
        <v>8105</v>
      </c>
      <c r="G76" s="11" t="s">
        <v>8105</v>
      </c>
      <c r="H76" s="11" t="s">
        <v>15174</v>
      </c>
      <c r="I76" s="11" t="s">
        <v>15795</v>
      </c>
      <c r="J76" s="12" t="str">
        <f t="shared" si="6"/>
        <v>(${Variables:E4_2_3_3_kcat} * E4_2_3_3 * C00111)/(${Variables:E4_2_3_3_km} + (E4_2_3_3 * C00111))</v>
      </c>
      <c r="K76" s="11" t="str">
        <f t="shared" si="7"/>
        <v>r75: C00111 -&gt; C00009 + C00546 | (${Variables:E4_2_3_3_kcat} * E4_2_3_3 * C00111)/(${Variables:E4_2_3_3_km} + (E4_2_3_3 * C00111))</v>
      </c>
    </row>
    <row r="77" spans="1:11" ht="45" customHeight="1" x14ac:dyDescent="0.25">
      <c r="A77" t="s">
        <v>334</v>
      </c>
      <c r="B77" t="s">
        <v>335</v>
      </c>
      <c r="C77" s="5" t="s">
        <v>9410</v>
      </c>
      <c r="D77">
        <f t="shared" si="4"/>
        <v>76</v>
      </c>
      <c r="E77" t="str">
        <f t="shared" si="5"/>
        <v>E7_1_1_1</v>
      </c>
      <c r="F77" s="11" t="s">
        <v>13982</v>
      </c>
      <c r="G77" s="11" t="s">
        <v>14585</v>
      </c>
      <c r="H77" s="11" t="s">
        <v>15175</v>
      </c>
      <c r="I77" s="11" t="s">
        <v>15796</v>
      </c>
      <c r="J77" s="12" t="str">
        <f t="shared" si="6"/>
        <v>(${Variables:E7_1_1_1_kcat} * E7_1_1_1 * C00003 * C00005 * C00080)/(${Variables:E7_1_1_1_km} + (E7_1_1_1 * C00003 * C00005 * C00080))</v>
      </c>
      <c r="K77" s="11" t="str">
        <f t="shared" si="7"/>
        <v>r76: C00003 + C00005 + C00080 -&gt; C00004 + C00006 + C00080 | (${Variables:E7_1_1_1_kcat} * E7_1_1_1 * C00003 * C00005 * C00080)/(${Variables:E7_1_1_1_km} + (E7_1_1_1 * C00003 * C00005 * C00080))</v>
      </c>
    </row>
    <row r="78" spans="1:11" ht="45" customHeight="1" x14ac:dyDescent="0.25">
      <c r="A78" t="s">
        <v>336</v>
      </c>
      <c r="B78" t="s">
        <v>337</v>
      </c>
      <c r="C78" s="5" t="s">
        <v>9410</v>
      </c>
      <c r="D78">
        <f t="shared" si="4"/>
        <v>77</v>
      </c>
      <c r="E78" t="str">
        <f t="shared" si="5"/>
        <v>E7_1_1_1</v>
      </c>
      <c r="F78" s="11" t="s">
        <v>13982</v>
      </c>
      <c r="G78" s="11" t="s">
        <v>14585</v>
      </c>
      <c r="H78" s="11" t="s">
        <v>15175</v>
      </c>
      <c r="I78" s="11" t="s">
        <v>15796</v>
      </c>
      <c r="J78" s="12" t="str">
        <f t="shared" si="6"/>
        <v>(${Variables:E7_1_1_1_kcat} * E7_1_1_1 * C00003 * C00005 * C00080)/(${Variables:E7_1_1_1_km} + (E7_1_1_1 * C00003 * C00005 * C00080))</v>
      </c>
      <c r="K78" s="11" t="str">
        <f t="shared" si="7"/>
        <v>r77: C00003 + C00005 + C00080 -&gt; C00004 + C00006 + C00080 | (${Variables:E7_1_1_1_kcat} * E7_1_1_1 * C00003 * C00005 * C00080)/(${Variables:E7_1_1_1_km} + (E7_1_1_1 * C00003 * C00005 * C00080))</v>
      </c>
    </row>
    <row r="79" spans="1:11" ht="45" customHeight="1" x14ac:dyDescent="0.25">
      <c r="A79" t="s">
        <v>339</v>
      </c>
      <c r="B79" t="s">
        <v>340</v>
      </c>
      <c r="C79" s="5" t="s">
        <v>9410</v>
      </c>
      <c r="D79">
        <f t="shared" si="4"/>
        <v>78</v>
      </c>
      <c r="E79" t="str">
        <f t="shared" si="5"/>
        <v>E7_1_1_1</v>
      </c>
      <c r="F79" s="11" t="s">
        <v>13982</v>
      </c>
      <c r="G79" s="11" t="s">
        <v>14585</v>
      </c>
      <c r="H79" s="11" t="s">
        <v>15175</v>
      </c>
      <c r="I79" s="11" t="s">
        <v>15796</v>
      </c>
      <c r="J79" s="12" t="str">
        <f t="shared" si="6"/>
        <v>(${Variables:E7_1_1_1_kcat} * E7_1_1_1 * C00003 * C00005 * C00080)/(${Variables:E7_1_1_1_km} + (E7_1_1_1 * C00003 * C00005 * C00080))</v>
      </c>
      <c r="K79" s="11" t="str">
        <f t="shared" si="7"/>
        <v>r78: C00003 + C00005 + C00080 -&gt; C00004 + C00006 + C00080 | (${Variables:E7_1_1_1_kcat} * E7_1_1_1 * C00003 * C00005 * C00080)/(${Variables:E7_1_1_1_km} + (E7_1_1_1 * C00003 * C00005 * C00080))</v>
      </c>
    </row>
    <row r="80" spans="1:11" ht="45" customHeight="1" x14ac:dyDescent="0.25">
      <c r="A80" t="s">
        <v>356</v>
      </c>
      <c r="B80" t="s">
        <v>357</v>
      </c>
      <c r="C80" s="5" t="s">
        <v>9411</v>
      </c>
      <c r="D80">
        <f t="shared" si="4"/>
        <v>79</v>
      </c>
      <c r="E80" t="str">
        <f t="shared" si="5"/>
        <v>E1_13_12_4</v>
      </c>
      <c r="F80" s="11" t="s">
        <v>13983</v>
      </c>
      <c r="G80" s="11" t="s">
        <v>14586</v>
      </c>
      <c r="H80" s="11" t="s">
        <v>15176</v>
      </c>
      <c r="I80" s="11" t="s">
        <v>15797</v>
      </c>
      <c r="J80" s="12" t="str">
        <f t="shared" si="6"/>
        <v>(${Variables:E1_13_12_4_kcat} * E1_13_12_4 * C00007 * C00186)/(${Variables:E1_13_12_4_km} + (E1_13_12_4 * C00007 * C00186))</v>
      </c>
      <c r="K80" s="11" t="str">
        <f t="shared" si="7"/>
        <v>r79: C00007 + C00186 -&gt; C00001 + C00011 + C00033 | (${Variables:E1_13_12_4_kcat} * E1_13_12_4 * C00007 * C00186)/(${Variables:E1_13_12_4_km} + (E1_13_12_4 * C00007 * C00186))</v>
      </c>
    </row>
    <row r="81" spans="1:11" ht="45" customHeight="1" x14ac:dyDescent="0.25">
      <c r="A81" t="s">
        <v>373</v>
      </c>
      <c r="B81" t="s">
        <v>374</v>
      </c>
      <c r="C81" s="5" t="s">
        <v>9412</v>
      </c>
      <c r="D81">
        <f t="shared" si="4"/>
        <v>80</v>
      </c>
      <c r="E81" t="str">
        <f t="shared" si="5"/>
        <v>E1_8_1_4</v>
      </c>
      <c r="F81" s="11" t="s">
        <v>13984</v>
      </c>
      <c r="G81" s="11" t="s">
        <v>14587</v>
      </c>
      <c r="H81" s="11" t="s">
        <v>15177</v>
      </c>
      <c r="I81" s="11" t="s">
        <v>15798</v>
      </c>
      <c r="J81" s="12" t="str">
        <f t="shared" si="6"/>
        <v>(${Variables:E1_8_1_4_kcat} * E1_8_1_4 * C00003 * C16832)/(${Variables:E1_8_1_4_km} + (E1_8_1_4 * C00003 * C16832))</v>
      </c>
      <c r="K81" s="11" t="str">
        <f t="shared" si="7"/>
        <v>r80: C00003 + C16832 -&gt; C00004 + C00080 + C16237 | (${Variables:E1_8_1_4_kcat} * E1_8_1_4 * C00003 * C16832)/(${Variables:E1_8_1_4_km} + (E1_8_1_4 * C00003 * C16832))</v>
      </c>
    </row>
    <row r="82" spans="1:11" ht="45" customHeight="1" x14ac:dyDescent="0.25">
      <c r="A82" t="s">
        <v>373</v>
      </c>
      <c r="B82" t="s">
        <v>374</v>
      </c>
      <c r="C82" s="5" t="s">
        <v>9412</v>
      </c>
      <c r="D82">
        <f t="shared" si="4"/>
        <v>81</v>
      </c>
      <c r="E82" t="str">
        <f t="shared" si="5"/>
        <v>E1_8_1_4</v>
      </c>
      <c r="F82" s="11" t="s">
        <v>13985</v>
      </c>
      <c r="G82" s="11" t="s">
        <v>14588</v>
      </c>
      <c r="H82" s="11" t="s">
        <v>15178</v>
      </c>
      <c r="I82" s="11" t="s">
        <v>15799</v>
      </c>
      <c r="J82" s="12" t="str">
        <f t="shared" si="6"/>
        <v>(${Variables:E1_8_1_4_kcat} * E1_8_1_4 * C00003 * C02972)/(${Variables:E1_8_1_4_km} + (E1_8_1_4 * C00003 * C02972))</v>
      </c>
      <c r="K82" s="11" t="str">
        <f t="shared" si="7"/>
        <v>r81: C00003 + C02972 -&gt; C00004 + C00080 + C02051 | (${Variables:E1_8_1_4_kcat} * E1_8_1_4 * C00003 * C02972)/(${Variables:E1_8_1_4_km} + (E1_8_1_4 * C00003 * C02972))</v>
      </c>
    </row>
    <row r="83" spans="1:11" ht="45" customHeight="1" x14ac:dyDescent="0.25">
      <c r="A83" t="s">
        <v>373</v>
      </c>
      <c r="B83" t="s">
        <v>374</v>
      </c>
      <c r="C83" s="5" t="s">
        <v>9412</v>
      </c>
      <c r="D83">
        <f t="shared" si="4"/>
        <v>82</v>
      </c>
      <c r="E83" t="str">
        <f t="shared" si="5"/>
        <v>E1_8_1_4</v>
      </c>
      <c r="F83" s="11" t="s">
        <v>13986</v>
      </c>
      <c r="G83" s="11" t="s">
        <v>14589</v>
      </c>
      <c r="H83" s="11" t="s">
        <v>15179</v>
      </c>
      <c r="I83" s="11" t="s">
        <v>15800</v>
      </c>
      <c r="J83" s="12" t="str">
        <f t="shared" si="6"/>
        <v>(${Variables:E1_8_1_4_kcat} * E1_8_1_4 * C00003 * C15973)/(${Variables:E1_8_1_4_km} + (E1_8_1_4 * C00003 * C15973))</v>
      </c>
      <c r="K83" s="11" t="str">
        <f t="shared" si="7"/>
        <v>r82: C00003 + C15973 -&gt; C00004 + C00080 + C15972 | (${Variables:E1_8_1_4_kcat} * E1_8_1_4 * C00003 * C15973)/(${Variables:E1_8_1_4_km} + (E1_8_1_4 * C00003 * C15973))</v>
      </c>
    </row>
    <row r="84" spans="1:11" ht="45" customHeight="1" x14ac:dyDescent="0.25">
      <c r="A84" t="s">
        <v>373</v>
      </c>
      <c r="B84" t="s">
        <v>374</v>
      </c>
      <c r="C84" s="5" t="s">
        <v>9412</v>
      </c>
      <c r="D84">
        <f t="shared" si="4"/>
        <v>83</v>
      </c>
      <c r="E84" t="str">
        <f t="shared" si="5"/>
        <v>E1_8_1_4</v>
      </c>
      <c r="F84" s="11" t="s">
        <v>13987</v>
      </c>
      <c r="G84" s="11" t="s">
        <v>14590</v>
      </c>
      <c r="H84" s="11" t="s">
        <v>15180</v>
      </c>
      <c r="I84" s="11" t="s">
        <v>15801</v>
      </c>
      <c r="J84" s="12" t="str">
        <f t="shared" si="6"/>
        <v>(${Variables:E1_8_1_4_kcat} * E1_8_1_4 * C00003 * C00579)/(${Variables:E1_8_1_4_km} + (E1_8_1_4 * C00003 * C00579))</v>
      </c>
      <c r="K84" s="11" t="str">
        <f t="shared" si="7"/>
        <v>r83: C00003 + C00579 -&gt; C00004 + C00080 + C00248 | (${Variables:E1_8_1_4_kcat} * E1_8_1_4 * C00003 * C00579)/(${Variables:E1_8_1_4_km} + (E1_8_1_4 * C00003 * C00579))</v>
      </c>
    </row>
    <row r="85" spans="1:11" ht="45" customHeight="1" x14ac:dyDescent="0.25">
      <c r="A85" t="s">
        <v>376</v>
      </c>
      <c r="B85" t="s">
        <v>377</v>
      </c>
      <c r="C85" s="5" t="s">
        <v>9413</v>
      </c>
      <c r="D85">
        <f t="shared" si="4"/>
        <v>84</v>
      </c>
      <c r="E85" t="str">
        <f t="shared" si="5"/>
        <v>E2_3_1_168</v>
      </c>
      <c r="F85" s="11" t="s">
        <v>8661</v>
      </c>
      <c r="G85" s="11" t="s">
        <v>8827</v>
      </c>
      <c r="H85" s="11" t="s">
        <v>8994</v>
      </c>
      <c r="I85" s="11" t="s">
        <v>9193</v>
      </c>
      <c r="J85" s="12" t="str">
        <f t="shared" si="6"/>
        <v>(${Variables:E2_3_1_168_kcat} * E2_3_1_168 * C00630 * C15973)/(${Variables:E2_3_1_168_km} + (E2_3_1_168 * C00630 * C15973))</v>
      </c>
      <c r="K85" s="11" t="str">
        <f t="shared" si="7"/>
        <v>r84: C00630 + C15973 -&gt; C00010 + C15977 | (${Variables:E2_3_1_168_kcat} * E2_3_1_168 * C00630 * C15973)/(${Variables:E2_3_1_168_km} + (E2_3_1_168 * C00630 * C15973))</v>
      </c>
    </row>
    <row r="86" spans="1:11" ht="45" customHeight="1" x14ac:dyDescent="0.25">
      <c r="A86" t="s">
        <v>376</v>
      </c>
      <c r="B86" t="s">
        <v>377</v>
      </c>
      <c r="C86" s="5" t="s">
        <v>9413</v>
      </c>
      <c r="D86">
        <f t="shared" si="4"/>
        <v>85</v>
      </c>
      <c r="E86" t="str">
        <f t="shared" si="5"/>
        <v>E2_3_1_168</v>
      </c>
      <c r="F86" s="11" t="s">
        <v>13988</v>
      </c>
      <c r="G86" s="11" t="s">
        <v>14591</v>
      </c>
      <c r="H86" s="11" t="s">
        <v>8995</v>
      </c>
      <c r="I86" s="11" t="s">
        <v>9194</v>
      </c>
      <c r="J86" s="12" t="str">
        <f t="shared" si="6"/>
        <v>(${Variables:E2_3_1_168_kcat} * E2_3_1_168 * C15973 * C15980)/(${Variables:E2_3_1_168_km} + (E2_3_1_168 * C15973 * C15980))</v>
      </c>
      <c r="K86" s="11" t="str">
        <f t="shared" si="7"/>
        <v>r85: C15973 + C15980 -&gt; C00010 + C15979 | (${Variables:E2_3_1_168_kcat} * E2_3_1_168 * C15973 * C15980)/(${Variables:E2_3_1_168_km} + (E2_3_1_168 * C15973 * C15980))</v>
      </c>
    </row>
    <row r="87" spans="1:11" ht="45" customHeight="1" x14ac:dyDescent="0.25">
      <c r="A87" t="s">
        <v>376</v>
      </c>
      <c r="B87" t="s">
        <v>377</v>
      </c>
      <c r="C87" s="5" t="s">
        <v>9413</v>
      </c>
      <c r="D87">
        <f t="shared" si="4"/>
        <v>86</v>
      </c>
      <c r="E87" t="str">
        <f t="shared" si="5"/>
        <v>E2_3_1_168</v>
      </c>
      <c r="F87" s="11" t="s">
        <v>8662</v>
      </c>
      <c r="G87" s="11" t="s">
        <v>8828</v>
      </c>
      <c r="H87" s="11" t="s">
        <v>8996</v>
      </c>
      <c r="I87" s="11" t="s">
        <v>9195</v>
      </c>
      <c r="J87" s="12" t="str">
        <f t="shared" si="6"/>
        <v>(${Variables:E2_3_1_168_kcat} * E2_3_1_168 * C02939 * C15973)/(${Variables:E2_3_1_168_km} + (E2_3_1_168 * C02939 * C15973))</v>
      </c>
      <c r="K87" s="11" t="str">
        <f t="shared" si="7"/>
        <v>r86: C02939 + C15973 -&gt; C00010 + C15975 | (${Variables:E2_3_1_168_kcat} * E2_3_1_168 * C02939 * C15973)/(${Variables:E2_3_1_168_km} + (E2_3_1_168 * C02939 * C15973))</v>
      </c>
    </row>
    <row r="88" spans="1:11" ht="45" customHeight="1" x14ac:dyDescent="0.25">
      <c r="A88" t="s">
        <v>376</v>
      </c>
      <c r="B88" t="s">
        <v>377</v>
      </c>
      <c r="C88" s="5" t="s">
        <v>9413</v>
      </c>
      <c r="D88">
        <f t="shared" si="4"/>
        <v>87</v>
      </c>
      <c r="E88" t="str">
        <f t="shared" si="5"/>
        <v>E2_3_1_168</v>
      </c>
      <c r="F88" s="11" t="s">
        <v>8663</v>
      </c>
      <c r="G88" s="11" t="s">
        <v>8829</v>
      </c>
      <c r="H88" s="11" t="s">
        <v>8997</v>
      </c>
      <c r="I88" s="11" t="s">
        <v>9196</v>
      </c>
      <c r="J88" s="12" t="str">
        <f t="shared" si="6"/>
        <v>(${Variables:E2_3_1_168_kcat} * E2_3_1_168 * C00100 * C15973)/(${Variables:E2_3_1_168_km} + (E2_3_1_168 * C00100 * C15973))</v>
      </c>
      <c r="K88" s="11" t="str">
        <f t="shared" si="7"/>
        <v>r87: C00100 + C15973 -&gt; C00010 + C21018 | (${Variables:E2_3_1_168_kcat} * E2_3_1_168 * C00100 * C15973)/(${Variables:E2_3_1_168_km} + (E2_3_1_168 * C00100 * C15973))</v>
      </c>
    </row>
    <row r="89" spans="1:11" ht="45" customHeight="1" x14ac:dyDescent="0.25">
      <c r="A89" t="s">
        <v>381</v>
      </c>
      <c r="B89" t="s">
        <v>382</v>
      </c>
      <c r="C89" s="5" t="s">
        <v>9414</v>
      </c>
      <c r="D89">
        <f t="shared" si="4"/>
        <v>88</v>
      </c>
      <c r="E89" t="str">
        <f t="shared" si="5"/>
        <v>E1_2_4_4</v>
      </c>
      <c r="F89" s="11" t="s">
        <v>8664</v>
      </c>
      <c r="G89" s="11" t="s">
        <v>8830</v>
      </c>
      <c r="H89" s="11" t="s">
        <v>15181</v>
      </c>
      <c r="I89" s="11" t="s">
        <v>15802</v>
      </c>
      <c r="J89" s="12" t="str">
        <f t="shared" si="6"/>
        <v>(${Variables:E1_2_4_4_kcat} * E1_2_4_4 * C00141 * C15972)/(${Variables:E1_2_4_4_km} + (E1_2_4_4 * C00141 * C15972))</v>
      </c>
      <c r="K89" s="11" t="str">
        <f t="shared" si="7"/>
        <v>r88: C00141 + C15972 -&gt; C00011 + C15977 | (${Variables:E1_2_4_4_kcat} * E1_2_4_4 * C00141 * C15972)/(${Variables:E1_2_4_4_km} + (E1_2_4_4 * C00141 * C15972))</v>
      </c>
    </row>
    <row r="90" spans="1:11" ht="45" customHeight="1" x14ac:dyDescent="0.25">
      <c r="A90" t="s">
        <v>381</v>
      </c>
      <c r="B90" t="s">
        <v>382</v>
      </c>
      <c r="C90" s="5" t="s">
        <v>9414</v>
      </c>
      <c r="D90">
        <f t="shared" si="4"/>
        <v>89</v>
      </c>
      <c r="E90" t="str">
        <f t="shared" si="5"/>
        <v>E1_2_4_4</v>
      </c>
      <c r="F90" s="11" t="s">
        <v>8665</v>
      </c>
      <c r="G90" s="11" t="s">
        <v>8831</v>
      </c>
      <c r="H90" s="11" t="s">
        <v>15182</v>
      </c>
      <c r="I90" s="11" t="s">
        <v>15803</v>
      </c>
      <c r="J90" s="12" t="str">
        <f t="shared" si="6"/>
        <v>(${Variables:E1_2_4_4_kcat} * E1_2_4_4 * C00233 * C15972)/(${Variables:E1_2_4_4_km} + (E1_2_4_4 * C00233 * C15972))</v>
      </c>
      <c r="K90" s="11" t="str">
        <f t="shared" si="7"/>
        <v>r89: C00233 + C15972 -&gt; C00011 + C15975 | (${Variables:E1_2_4_4_kcat} * E1_2_4_4 * C00233 * C15972)/(${Variables:E1_2_4_4_km} + (E1_2_4_4 * C00233 * C15972))</v>
      </c>
    </row>
    <row r="91" spans="1:11" ht="45" customHeight="1" x14ac:dyDescent="0.25">
      <c r="A91" t="s">
        <v>381</v>
      </c>
      <c r="B91" t="s">
        <v>382</v>
      </c>
      <c r="C91" s="5" t="s">
        <v>9414</v>
      </c>
      <c r="D91">
        <f t="shared" si="4"/>
        <v>90</v>
      </c>
      <c r="E91" t="str">
        <f t="shared" si="5"/>
        <v>E1_2_4_4</v>
      </c>
      <c r="F91" s="11" t="s">
        <v>8666</v>
      </c>
      <c r="G91" s="11" t="s">
        <v>8832</v>
      </c>
      <c r="H91" s="11" t="s">
        <v>15183</v>
      </c>
      <c r="I91" s="11" t="s">
        <v>15804</v>
      </c>
      <c r="J91" s="12" t="str">
        <f t="shared" si="6"/>
        <v>(${Variables:E1_2_4_4_kcat} * E1_2_4_4 * C00671 * C15972)/(${Variables:E1_2_4_4_km} + (E1_2_4_4 * C00671 * C15972))</v>
      </c>
      <c r="K91" s="11" t="str">
        <f t="shared" si="7"/>
        <v>r90: C00671 + C15972 -&gt; C00011 + C15979 | (${Variables:E1_2_4_4_kcat} * E1_2_4_4 * C00671 * C15972)/(${Variables:E1_2_4_4_km} + (E1_2_4_4 * C00671 * C15972))</v>
      </c>
    </row>
    <row r="92" spans="1:11" ht="45" customHeight="1" x14ac:dyDescent="0.25">
      <c r="A92" t="s">
        <v>381</v>
      </c>
      <c r="B92" t="s">
        <v>382</v>
      </c>
      <c r="C92" s="5" t="s">
        <v>9414</v>
      </c>
      <c r="D92">
        <f t="shared" si="4"/>
        <v>91</v>
      </c>
      <c r="E92" t="str">
        <f t="shared" si="5"/>
        <v>E1_2_4_4</v>
      </c>
      <c r="F92" s="11" t="s">
        <v>13989</v>
      </c>
      <c r="G92" s="11" t="s">
        <v>14592</v>
      </c>
      <c r="H92" s="11" t="s">
        <v>15184</v>
      </c>
      <c r="I92" s="11" t="s">
        <v>15805</v>
      </c>
      <c r="J92" s="12" t="str">
        <f t="shared" si="6"/>
        <v>(${Variables:E1_2_4_4_kcat} * E1_2_4_4 * C00068 * C00141)/(${Variables:E1_2_4_4_km} + (E1_2_4_4 * C00068 * C00141))</v>
      </c>
      <c r="K92" s="11" t="str">
        <f t="shared" si="7"/>
        <v>r91: C00068 + C00141 -&gt; C00011 + C15976 | (${Variables:E1_2_4_4_kcat} * E1_2_4_4 * C00068 * C00141)/(${Variables:E1_2_4_4_km} + (E1_2_4_4 * C00068 * C00141))</v>
      </c>
    </row>
    <row r="93" spans="1:11" ht="45" customHeight="1" x14ac:dyDescent="0.25">
      <c r="A93" t="s">
        <v>381</v>
      </c>
      <c r="B93" t="s">
        <v>382</v>
      </c>
      <c r="C93" s="5" t="s">
        <v>9414</v>
      </c>
      <c r="D93">
        <f t="shared" si="4"/>
        <v>92</v>
      </c>
      <c r="E93" t="str">
        <f t="shared" si="5"/>
        <v>E1_2_4_4</v>
      </c>
      <c r="F93" s="11" t="s">
        <v>13990</v>
      </c>
      <c r="G93" s="11" t="s">
        <v>14593</v>
      </c>
      <c r="H93" s="11" t="s">
        <v>15185</v>
      </c>
      <c r="I93" s="11" t="s">
        <v>15806</v>
      </c>
      <c r="J93" s="12" t="str">
        <f t="shared" si="6"/>
        <v>(${Variables:E1_2_4_4_kcat} * E1_2_4_4 * C15972 * C15976)/(${Variables:E1_2_4_4_km} + (E1_2_4_4 * C15972 * C15976))</v>
      </c>
      <c r="K93" s="11" t="str">
        <f t="shared" si="7"/>
        <v>r92: C15972 + C15976 -&gt; C00068 + C15977 | (${Variables:E1_2_4_4_kcat} * E1_2_4_4 * C15972 * C15976)/(${Variables:E1_2_4_4_km} + (E1_2_4_4 * C15972 * C15976))</v>
      </c>
    </row>
    <row r="94" spans="1:11" ht="45" customHeight="1" x14ac:dyDescent="0.25">
      <c r="A94" t="s">
        <v>381</v>
      </c>
      <c r="B94" t="s">
        <v>382</v>
      </c>
      <c r="C94" s="5" t="s">
        <v>9414</v>
      </c>
      <c r="D94">
        <f t="shared" si="4"/>
        <v>93</v>
      </c>
      <c r="E94" t="str">
        <f t="shared" si="5"/>
        <v>E1_2_4_4</v>
      </c>
      <c r="F94" s="11" t="s">
        <v>13991</v>
      </c>
      <c r="G94" s="11" t="s">
        <v>14594</v>
      </c>
      <c r="H94" s="11" t="s">
        <v>15186</v>
      </c>
      <c r="I94" s="11" t="s">
        <v>15807</v>
      </c>
      <c r="J94" s="12" t="str">
        <f t="shared" si="6"/>
        <v>(${Variables:E1_2_4_4_kcat} * E1_2_4_4 * C00068 * C00233)/(${Variables:E1_2_4_4_km} + (E1_2_4_4 * C00068 * C00233))</v>
      </c>
      <c r="K94" s="11" t="str">
        <f t="shared" si="7"/>
        <v>r93: C00068 + C00233 -&gt; C00011 + C15974 | (${Variables:E1_2_4_4_kcat} * E1_2_4_4 * C00068 * C00233)/(${Variables:E1_2_4_4_km} + (E1_2_4_4 * C00068 * C00233))</v>
      </c>
    </row>
    <row r="95" spans="1:11" ht="45" customHeight="1" x14ac:dyDescent="0.25">
      <c r="A95" t="s">
        <v>381</v>
      </c>
      <c r="B95" t="s">
        <v>382</v>
      </c>
      <c r="C95" s="5" t="s">
        <v>9414</v>
      </c>
      <c r="D95">
        <f t="shared" si="4"/>
        <v>94</v>
      </c>
      <c r="E95" t="str">
        <f t="shared" si="5"/>
        <v>E1_2_4_4</v>
      </c>
      <c r="F95" s="11" t="s">
        <v>13992</v>
      </c>
      <c r="G95" s="11" t="s">
        <v>14595</v>
      </c>
      <c r="H95" s="11" t="s">
        <v>15187</v>
      </c>
      <c r="I95" s="11" t="s">
        <v>15808</v>
      </c>
      <c r="J95" s="12" t="str">
        <f t="shared" si="6"/>
        <v>(${Variables:E1_2_4_4_kcat} * E1_2_4_4 * C15972 * C15974)/(${Variables:E1_2_4_4_km} + (E1_2_4_4 * C15972 * C15974))</v>
      </c>
      <c r="K95" s="11" t="str">
        <f t="shared" si="7"/>
        <v>r94: C15972 + C15974 -&gt; C00068 + C15975 | (${Variables:E1_2_4_4_kcat} * E1_2_4_4 * C15972 * C15974)/(${Variables:E1_2_4_4_km} + (E1_2_4_4 * C15972 * C15974))</v>
      </c>
    </row>
    <row r="96" spans="1:11" ht="45" customHeight="1" x14ac:dyDescent="0.25">
      <c r="A96" t="s">
        <v>381</v>
      </c>
      <c r="B96" t="s">
        <v>382</v>
      </c>
      <c r="C96" s="5" t="s">
        <v>9414</v>
      </c>
      <c r="D96">
        <f t="shared" si="4"/>
        <v>95</v>
      </c>
      <c r="E96" t="str">
        <f t="shared" si="5"/>
        <v>E1_2_4_4</v>
      </c>
      <c r="F96" s="11" t="s">
        <v>13993</v>
      </c>
      <c r="G96" s="11" t="s">
        <v>14596</v>
      </c>
      <c r="H96" s="11" t="s">
        <v>15188</v>
      </c>
      <c r="I96" s="11" t="s">
        <v>15809</v>
      </c>
      <c r="J96" s="12" t="str">
        <f t="shared" si="6"/>
        <v>(${Variables:E1_2_4_4_kcat} * E1_2_4_4 * C00068 * C00671)/(${Variables:E1_2_4_4_km} + (E1_2_4_4 * C00068 * C00671))</v>
      </c>
      <c r="K96" s="11" t="str">
        <f t="shared" si="7"/>
        <v>r95: C00068 + C00671 -&gt; C00011 + C15978 | (${Variables:E1_2_4_4_kcat} * E1_2_4_4 * C00068 * C00671)/(${Variables:E1_2_4_4_km} + (E1_2_4_4 * C00068 * C00671))</v>
      </c>
    </row>
    <row r="97" spans="1:11" ht="45" customHeight="1" x14ac:dyDescent="0.25">
      <c r="A97" t="s">
        <v>381</v>
      </c>
      <c r="B97" t="s">
        <v>382</v>
      </c>
      <c r="C97" s="5" t="s">
        <v>9414</v>
      </c>
      <c r="D97">
        <f t="shared" si="4"/>
        <v>96</v>
      </c>
      <c r="E97" t="str">
        <f t="shared" si="5"/>
        <v>E1_2_4_4</v>
      </c>
      <c r="F97" s="11" t="s">
        <v>13994</v>
      </c>
      <c r="G97" s="11" t="s">
        <v>14597</v>
      </c>
      <c r="H97" s="11" t="s">
        <v>15189</v>
      </c>
      <c r="I97" s="11" t="s">
        <v>15810</v>
      </c>
      <c r="J97" s="12" t="str">
        <f t="shared" si="6"/>
        <v>(${Variables:E1_2_4_4_kcat} * E1_2_4_4 * C15972 * C15978)/(${Variables:E1_2_4_4_km} + (E1_2_4_4 * C15972 * C15978))</v>
      </c>
      <c r="K97" s="11" t="str">
        <f t="shared" si="7"/>
        <v>r96: C15972 + C15978 -&gt; C00068 + C15979 | (${Variables:E1_2_4_4_kcat} * E1_2_4_4 * C15972 * C15978)/(${Variables:E1_2_4_4_km} + (E1_2_4_4 * C15972 * C15978))</v>
      </c>
    </row>
    <row r="98" spans="1:11" ht="45" customHeight="1" x14ac:dyDescent="0.25">
      <c r="A98" t="s">
        <v>381</v>
      </c>
      <c r="B98" t="s">
        <v>382</v>
      </c>
      <c r="C98" s="5" t="s">
        <v>9414</v>
      </c>
      <c r="D98">
        <f t="shared" si="4"/>
        <v>97</v>
      </c>
      <c r="E98" t="str">
        <f t="shared" si="5"/>
        <v>E1_2_4_4</v>
      </c>
      <c r="F98" s="11" t="s">
        <v>13995</v>
      </c>
      <c r="G98" s="11" t="s">
        <v>14598</v>
      </c>
      <c r="H98" s="11" t="s">
        <v>15190</v>
      </c>
      <c r="I98" s="11" t="s">
        <v>15811</v>
      </c>
      <c r="J98" s="12" t="str">
        <f t="shared" si="6"/>
        <v>(${Variables:E1_2_4_4_kcat} * E1_2_4_4 * C00068 * C00109)/(${Variables:E1_2_4_4_km} + (E1_2_4_4 * C00068 * C00109))</v>
      </c>
      <c r="K98" s="11" t="str">
        <f t="shared" si="7"/>
        <v>r97: C00068 + C00109 -&gt; C00011 + C21017 | (${Variables:E1_2_4_4_kcat} * E1_2_4_4 * C00068 * C00109)/(${Variables:E1_2_4_4_km} + (E1_2_4_4 * C00068 * C00109))</v>
      </c>
    </row>
    <row r="99" spans="1:11" ht="45" customHeight="1" x14ac:dyDescent="0.25">
      <c r="A99" t="s">
        <v>381</v>
      </c>
      <c r="B99" t="s">
        <v>382</v>
      </c>
      <c r="C99" s="5" t="s">
        <v>9414</v>
      </c>
      <c r="D99">
        <f t="shared" si="4"/>
        <v>98</v>
      </c>
      <c r="E99" t="str">
        <f t="shared" si="5"/>
        <v>E1_2_4_4</v>
      </c>
      <c r="F99" s="11" t="s">
        <v>13996</v>
      </c>
      <c r="G99" s="11" t="s">
        <v>14599</v>
      </c>
      <c r="H99" s="11" t="s">
        <v>15191</v>
      </c>
      <c r="I99" s="11" t="s">
        <v>15812</v>
      </c>
      <c r="J99" s="12" t="str">
        <f t="shared" si="6"/>
        <v>(${Variables:E1_2_4_4_kcat} * E1_2_4_4 * C15972 * C21017)/(${Variables:E1_2_4_4_km} + (E1_2_4_4 * C15972 * C21017))</v>
      </c>
      <c r="K99" s="11" t="str">
        <f t="shared" si="7"/>
        <v>r98: C15972 + C21017 -&gt; C00068 + C21018 | (${Variables:E1_2_4_4_kcat} * E1_2_4_4 * C15972 * C21017)/(${Variables:E1_2_4_4_km} + (E1_2_4_4 * C15972 * C21017))</v>
      </c>
    </row>
    <row r="100" spans="1:11" ht="45" customHeight="1" x14ac:dyDescent="0.25">
      <c r="A100" t="s">
        <v>384</v>
      </c>
      <c r="B100" t="s">
        <v>385</v>
      </c>
      <c r="C100" s="5" t="s">
        <v>9414</v>
      </c>
      <c r="D100">
        <f t="shared" si="4"/>
        <v>99</v>
      </c>
      <c r="E100" t="str">
        <f t="shared" si="5"/>
        <v>E1_2_4_4</v>
      </c>
      <c r="F100" s="11" t="s">
        <v>8664</v>
      </c>
      <c r="G100" s="11" t="s">
        <v>8830</v>
      </c>
      <c r="H100" s="11" t="s">
        <v>15181</v>
      </c>
      <c r="I100" s="11" t="s">
        <v>15802</v>
      </c>
      <c r="J100" s="12" t="str">
        <f t="shared" si="6"/>
        <v>(${Variables:E1_2_4_4_kcat} * E1_2_4_4 * C00141 * C15972)/(${Variables:E1_2_4_4_km} + (E1_2_4_4 * C00141 * C15972))</v>
      </c>
      <c r="K100" s="11" t="str">
        <f t="shared" si="7"/>
        <v>r99: C00141 + C15972 -&gt; C00011 + C15977 | (${Variables:E1_2_4_4_kcat} * E1_2_4_4 * C00141 * C15972)/(${Variables:E1_2_4_4_km} + (E1_2_4_4 * C00141 * C15972))</v>
      </c>
    </row>
    <row r="101" spans="1:11" ht="45" customHeight="1" x14ac:dyDescent="0.25">
      <c r="A101" t="s">
        <v>384</v>
      </c>
      <c r="B101" t="s">
        <v>385</v>
      </c>
      <c r="C101" s="5" t="s">
        <v>9414</v>
      </c>
      <c r="D101">
        <f t="shared" si="4"/>
        <v>100</v>
      </c>
      <c r="E101" t="str">
        <f t="shared" si="5"/>
        <v>E1_2_4_4</v>
      </c>
      <c r="F101" s="11" t="s">
        <v>8665</v>
      </c>
      <c r="G101" s="11" t="s">
        <v>8831</v>
      </c>
      <c r="H101" s="11" t="s">
        <v>15182</v>
      </c>
      <c r="I101" s="11" t="s">
        <v>15803</v>
      </c>
      <c r="J101" s="12" t="str">
        <f t="shared" si="6"/>
        <v>(${Variables:E1_2_4_4_kcat} * E1_2_4_4 * C00233 * C15972)/(${Variables:E1_2_4_4_km} + (E1_2_4_4 * C00233 * C15972))</v>
      </c>
      <c r="K101" s="11" t="str">
        <f t="shared" si="7"/>
        <v>r100: C00233 + C15972 -&gt; C00011 + C15975 | (${Variables:E1_2_4_4_kcat} * E1_2_4_4 * C00233 * C15972)/(${Variables:E1_2_4_4_km} + (E1_2_4_4 * C00233 * C15972))</v>
      </c>
    </row>
    <row r="102" spans="1:11" ht="45" customHeight="1" x14ac:dyDescent="0.25">
      <c r="A102" t="s">
        <v>384</v>
      </c>
      <c r="B102" t="s">
        <v>385</v>
      </c>
      <c r="C102" s="5" t="s">
        <v>9414</v>
      </c>
      <c r="D102">
        <f t="shared" si="4"/>
        <v>101</v>
      </c>
      <c r="E102" t="str">
        <f t="shared" si="5"/>
        <v>E1_2_4_4</v>
      </c>
      <c r="F102" s="11" t="s">
        <v>8666</v>
      </c>
      <c r="G102" s="11" t="s">
        <v>8832</v>
      </c>
      <c r="H102" s="11" t="s">
        <v>15183</v>
      </c>
      <c r="I102" s="11" t="s">
        <v>15804</v>
      </c>
      <c r="J102" s="12" t="str">
        <f t="shared" si="6"/>
        <v>(${Variables:E1_2_4_4_kcat} * E1_2_4_4 * C00671 * C15972)/(${Variables:E1_2_4_4_km} + (E1_2_4_4 * C00671 * C15972))</v>
      </c>
      <c r="K102" s="11" t="str">
        <f t="shared" si="7"/>
        <v>r101: C00671 + C15972 -&gt; C00011 + C15979 | (${Variables:E1_2_4_4_kcat} * E1_2_4_4 * C00671 * C15972)/(${Variables:E1_2_4_4_km} + (E1_2_4_4 * C00671 * C15972))</v>
      </c>
    </row>
    <row r="103" spans="1:11" ht="45" customHeight="1" x14ac:dyDescent="0.25">
      <c r="A103" t="s">
        <v>384</v>
      </c>
      <c r="B103" t="s">
        <v>385</v>
      </c>
      <c r="C103" s="5" t="s">
        <v>9414</v>
      </c>
      <c r="D103">
        <f t="shared" si="4"/>
        <v>102</v>
      </c>
      <c r="E103" t="str">
        <f t="shared" si="5"/>
        <v>E1_2_4_4</v>
      </c>
      <c r="F103" s="11" t="s">
        <v>13989</v>
      </c>
      <c r="G103" s="11" t="s">
        <v>14592</v>
      </c>
      <c r="H103" s="11" t="s">
        <v>15184</v>
      </c>
      <c r="I103" s="11" t="s">
        <v>15805</v>
      </c>
      <c r="J103" s="12" t="str">
        <f t="shared" si="6"/>
        <v>(${Variables:E1_2_4_4_kcat} * E1_2_4_4 * C00068 * C00141)/(${Variables:E1_2_4_4_km} + (E1_2_4_4 * C00068 * C00141))</v>
      </c>
      <c r="K103" s="11" t="str">
        <f t="shared" si="7"/>
        <v>r102: C00068 + C00141 -&gt; C00011 + C15976 | (${Variables:E1_2_4_4_kcat} * E1_2_4_4 * C00068 * C00141)/(${Variables:E1_2_4_4_km} + (E1_2_4_4 * C00068 * C00141))</v>
      </c>
    </row>
    <row r="104" spans="1:11" ht="45" customHeight="1" x14ac:dyDescent="0.25">
      <c r="A104" t="s">
        <v>384</v>
      </c>
      <c r="B104" t="s">
        <v>385</v>
      </c>
      <c r="C104" s="5" t="s">
        <v>9414</v>
      </c>
      <c r="D104">
        <f t="shared" si="4"/>
        <v>103</v>
      </c>
      <c r="E104" t="str">
        <f t="shared" si="5"/>
        <v>E1_2_4_4</v>
      </c>
      <c r="F104" s="11" t="s">
        <v>13990</v>
      </c>
      <c r="G104" s="11" t="s">
        <v>14593</v>
      </c>
      <c r="H104" s="11" t="s">
        <v>15185</v>
      </c>
      <c r="I104" s="11" t="s">
        <v>15806</v>
      </c>
      <c r="J104" s="12" t="str">
        <f t="shared" si="6"/>
        <v>(${Variables:E1_2_4_4_kcat} * E1_2_4_4 * C15972 * C15976)/(${Variables:E1_2_4_4_km} + (E1_2_4_4 * C15972 * C15976))</v>
      </c>
      <c r="K104" s="11" t="str">
        <f t="shared" si="7"/>
        <v>r103: C15972 + C15976 -&gt; C00068 + C15977 | (${Variables:E1_2_4_4_kcat} * E1_2_4_4 * C15972 * C15976)/(${Variables:E1_2_4_4_km} + (E1_2_4_4 * C15972 * C15976))</v>
      </c>
    </row>
    <row r="105" spans="1:11" ht="45" customHeight="1" x14ac:dyDescent="0.25">
      <c r="A105" t="s">
        <v>384</v>
      </c>
      <c r="B105" t="s">
        <v>385</v>
      </c>
      <c r="C105" s="5" t="s">
        <v>9414</v>
      </c>
      <c r="D105">
        <f t="shared" si="4"/>
        <v>104</v>
      </c>
      <c r="E105" t="str">
        <f t="shared" si="5"/>
        <v>E1_2_4_4</v>
      </c>
      <c r="F105" s="11" t="s">
        <v>13991</v>
      </c>
      <c r="G105" s="11" t="s">
        <v>14594</v>
      </c>
      <c r="H105" s="11" t="s">
        <v>15186</v>
      </c>
      <c r="I105" s="11" t="s">
        <v>15807</v>
      </c>
      <c r="J105" s="12" t="str">
        <f t="shared" si="6"/>
        <v>(${Variables:E1_2_4_4_kcat} * E1_2_4_4 * C00068 * C00233)/(${Variables:E1_2_4_4_km} + (E1_2_4_4 * C00068 * C00233))</v>
      </c>
      <c r="K105" s="11" t="str">
        <f t="shared" si="7"/>
        <v>r104: C00068 + C00233 -&gt; C00011 + C15974 | (${Variables:E1_2_4_4_kcat} * E1_2_4_4 * C00068 * C00233)/(${Variables:E1_2_4_4_km} + (E1_2_4_4 * C00068 * C00233))</v>
      </c>
    </row>
    <row r="106" spans="1:11" ht="45" customHeight="1" x14ac:dyDescent="0.25">
      <c r="A106" t="s">
        <v>384</v>
      </c>
      <c r="B106" t="s">
        <v>385</v>
      </c>
      <c r="C106" s="5" t="s">
        <v>9414</v>
      </c>
      <c r="D106">
        <f t="shared" si="4"/>
        <v>105</v>
      </c>
      <c r="E106" t="str">
        <f t="shared" si="5"/>
        <v>E1_2_4_4</v>
      </c>
      <c r="F106" s="11" t="s">
        <v>13992</v>
      </c>
      <c r="G106" s="11" t="s">
        <v>14595</v>
      </c>
      <c r="H106" s="11" t="s">
        <v>15187</v>
      </c>
      <c r="I106" s="11" t="s">
        <v>15808</v>
      </c>
      <c r="J106" s="12" t="str">
        <f t="shared" si="6"/>
        <v>(${Variables:E1_2_4_4_kcat} * E1_2_4_4 * C15972 * C15974)/(${Variables:E1_2_4_4_km} + (E1_2_4_4 * C15972 * C15974))</v>
      </c>
      <c r="K106" s="11" t="str">
        <f t="shared" si="7"/>
        <v>r105: C15972 + C15974 -&gt; C00068 + C15975 | (${Variables:E1_2_4_4_kcat} * E1_2_4_4 * C15972 * C15974)/(${Variables:E1_2_4_4_km} + (E1_2_4_4 * C15972 * C15974))</v>
      </c>
    </row>
    <row r="107" spans="1:11" ht="45" customHeight="1" x14ac:dyDescent="0.25">
      <c r="A107" t="s">
        <v>384</v>
      </c>
      <c r="B107" t="s">
        <v>385</v>
      </c>
      <c r="C107" s="5" t="s">
        <v>9414</v>
      </c>
      <c r="D107">
        <f t="shared" si="4"/>
        <v>106</v>
      </c>
      <c r="E107" t="str">
        <f t="shared" si="5"/>
        <v>E1_2_4_4</v>
      </c>
      <c r="F107" s="11" t="s">
        <v>13993</v>
      </c>
      <c r="G107" s="11" t="s">
        <v>14596</v>
      </c>
      <c r="H107" s="11" t="s">
        <v>15188</v>
      </c>
      <c r="I107" s="11" t="s">
        <v>15809</v>
      </c>
      <c r="J107" s="12" t="str">
        <f t="shared" si="6"/>
        <v>(${Variables:E1_2_4_4_kcat} * E1_2_4_4 * C00068 * C00671)/(${Variables:E1_2_4_4_km} + (E1_2_4_4 * C00068 * C00671))</v>
      </c>
      <c r="K107" s="11" t="str">
        <f t="shared" si="7"/>
        <v>r106: C00068 + C00671 -&gt; C00011 + C15978 | (${Variables:E1_2_4_4_kcat} * E1_2_4_4 * C00068 * C00671)/(${Variables:E1_2_4_4_km} + (E1_2_4_4 * C00068 * C00671))</v>
      </c>
    </row>
    <row r="108" spans="1:11" ht="45" customHeight="1" x14ac:dyDescent="0.25">
      <c r="A108" t="s">
        <v>384</v>
      </c>
      <c r="B108" t="s">
        <v>385</v>
      </c>
      <c r="C108" s="5" t="s">
        <v>9414</v>
      </c>
      <c r="D108">
        <f t="shared" si="4"/>
        <v>107</v>
      </c>
      <c r="E108" t="str">
        <f t="shared" si="5"/>
        <v>E1_2_4_4</v>
      </c>
      <c r="F108" s="11" t="s">
        <v>13994</v>
      </c>
      <c r="G108" s="11" t="s">
        <v>14597</v>
      </c>
      <c r="H108" s="11" t="s">
        <v>15189</v>
      </c>
      <c r="I108" s="11" t="s">
        <v>15810</v>
      </c>
      <c r="J108" s="12" t="str">
        <f t="shared" si="6"/>
        <v>(${Variables:E1_2_4_4_kcat} * E1_2_4_4 * C15972 * C15978)/(${Variables:E1_2_4_4_km} + (E1_2_4_4 * C15972 * C15978))</v>
      </c>
      <c r="K108" s="11" t="str">
        <f t="shared" si="7"/>
        <v>r107: C15972 + C15978 -&gt; C00068 + C15979 | (${Variables:E1_2_4_4_kcat} * E1_2_4_4 * C15972 * C15978)/(${Variables:E1_2_4_4_km} + (E1_2_4_4 * C15972 * C15978))</v>
      </c>
    </row>
    <row r="109" spans="1:11" ht="45" customHeight="1" x14ac:dyDescent="0.25">
      <c r="A109" t="s">
        <v>384</v>
      </c>
      <c r="B109" t="s">
        <v>385</v>
      </c>
      <c r="C109" s="5" t="s">
        <v>9414</v>
      </c>
      <c r="D109">
        <f t="shared" si="4"/>
        <v>108</v>
      </c>
      <c r="E109" t="str">
        <f t="shared" si="5"/>
        <v>E1_2_4_4</v>
      </c>
      <c r="F109" s="11" t="s">
        <v>13995</v>
      </c>
      <c r="G109" s="11" t="s">
        <v>14598</v>
      </c>
      <c r="H109" s="11" t="s">
        <v>15190</v>
      </c>
      <c r="I109" s="11" t="s">
        <v>15811</v>
      </c>
      <c r="J109" s="12" t="str">
        <f t="shared" si="6"/>
        <v>(${Variables:E1_2_4_4_kcat} * E1_2_4_4 * C00068 * C00109)/(${Variables:E1_2_4_4_km} + (E1_2_4_4 * C00068 * C00109))</v>
      </c>
      <c r="K109" s="11" t="str">
        <f t="shared" si="7"/>
        <v>r108: C00068 + C00109 -&gt; C00011 + C21017 | (${Variables:E1_2_4_4_kcat} * E1_2_4_4 * C00068 * C00109)/(${Variables:E1_2_4_4_km} + (E1_2_4_4 * C00068 * C00109))</v>
      </c>
    </row>
    <row r="110" spans="1:11" ht="45" customHeight="1" x14ac:dyDescent="0.25">
      <c r="A110" t="s">
        <v>384</v>
      </c>
      <c r="B110" t="s">
        <v>385</v>
      </c>
      <c r="C110" s="5" t="s">
        <v>9414</v>
      </c>
      <c r="D110">
        <f t="shared" si="4"/>
        <v>109</v>
      </c>
      <c r="E110" t="str">
        <f t="shared" si="5"/>
        <v>E1_2_4_4</v>
      </c>
      <c r="F110" s="11" t="s">
        <v>13996</v>
      </c>
      <c r="G110" s="11" t="s">
        <v>14599</v>
      </c>
      <c r="H110" s="11" t="s">
        <v>15191</v>
      </c>
      <c r="I110" s="11" t="s">
        <v>15812</v>
      </c>
      <c r="J110" s="12" t="str">
        <f t="shared" si="6"/>
        <v>(${Variables:E1_2_4_4_kcat} * E1_2_4_4 * C15972 * C21017)/(${Variables:E1_2_4_4_km} + (E1_2_4_4 * C15972 * C21017))</v>
      </c>
      <c r="K110" s="11" t="str">
        <f t="shared" si="7"/>
        <v>r109: C15972 + C21017 -&gt; C00068 + C21018 | (${Variables:E1_2_4_4_kcat} * E1_2_4_4 * C15972 * C21017)/(${Variables:E1_2_4_4_km} + (E1_2_4_4 * C15972 * C21017))</v>
      </c>
    </row>
    <row r="111" spans="1:11" ht="45" customHeight="1" x14ac:dyDescent="0.25">
      <c r="A111" t="s">
        <v>394</v>
      </c>
      <c r="B111" t="s">
        <v>395</v>
      </c>
      <c r="C111" s="5" t="s">
        <v>9415</v>
      </c>
      <c r="D111">
        <f t="shared" si="4"/>
        <v>110</v>
      </c>
      <c r="E111" t="str">
        <f t="shared" si="5"/>
        <v>E6_3_4_9</v>
      </c>
      <c r="F111" s="11" t="s">
        <v>8667</v>
      </c>
      <c r="G111" s="11" t="s">
        <v>8833</v>
      </c>
      <c r="H111" s="11" t="s">
        <v>15192</v>
      </c>
      <c r="I111" s="11" t="s">
        <v>15813</v>
      </c>
      <c r="J111" s="12" t="str">
        <f t="shared" si="6"/>
        <v>(${Variables:E6_3_4_9_kcat} * E6_3_4_9 * C00002 * C00120 * C04736)/(${Variables:E6_3_4_9_km} + (E6_3_4_9 * C00002 * C00120 * C04736))</v>
      </c>
      <c r="K111" s="11" t="str">
        <f t="shared" si="7"/>
        <v>r110: C00002 + C00120 + C04736 -&gt; C00013 + C00020 + C04682 | (${Variables:E6_3_4_9_kcat} * E6_3_4_9 * C00002 * C00120 * C04736)/(${Variables:E6_3_4_9_km} + (E6_3_4_9 * C00002 * C00120 * C04736))</v>
      </c>
    </row>
    <row r="112" spans="1:11" ht="45" customHeight="1" x14ac:dyDescent="0.25">
      <c r="A112" t="s">
        <v>394</v>
      </c>
      <c r="B112" t="s">
        <v>395</v>
      </c>
      <c r="C112" s="5" t="s">
        <v>9415</v>
      </c>
      <c r="D112">
        <f t="shared" si="4"/>
        <v>111</v>
      </c>
      <c r="E112" t="str">
        <f t="shared" si="5"/>
        <v>E6_3_4_9</v>
      </c>
      <c r="F112" s="11" t="s">
        <v>8668</v>
      </c>
      <c r="G112" s="11" t="s">
        <v>8834</v>
      </c>
      <c r="H112" s="11" t="s">
        <v>8998</v>
      </c>
      <c r="I112" s="11" t="s">
        <v>9197</v>
      </c>
      <c r="J112" s="12" t="str">
        <f t="shared" si="6"/>
        <v>(${Variables:E6_3_4_9_kcat} * E6_3_4_9 * C00002 * C00120)/(${Variables:E6_3_4_9_km} + (E6_3_4_9 * C00002 * C00120))</v>
      </c>
      <c r="K112" s="11" t="str">
        <f t="shared" si="7"/>
        <v>r111: C00002 + C00120 -&gt; C00013 + C05921 | (${Variables:E6_3_4_9_kcat} * E6_3_4_9 * C00002 * C00120)/(${Variables:E6_3_4_9_km} + (E6_3_4_9 * C00002 * C00120))</v>
      </c>
    </row>
    <row r="113" spans="1:11" ht="45" customHeight="1" x14ac:dyDescent="0.25">
      <c r="A113" t="s">
        <v>394</v>
      </c>
      <c r="B113" t="s">
        <v>395</v>
      </c>
      <c r="C113" s="5" t="s">
        <v>9415</v>
      </c>
      <c r="D113">
        <f t="shared" si="4"/>
        <v>112</v>
      </c>
      <c r="E113" t="str">
        <f t="shared" si="5"/>
        <v>E6_3_4_9</v>
      </c>
      <c r="F113" s="11" t="s">
        <v>8669</v>
      </c>
      <c r="G113" s="11" t="s">
        <v>8835</v>
      </c>
      <c r="H113" s="11" t="s">
        <v>8999</v>
      </c>
      <c r="I113" s="11" t="s">
        <v>9198</v>
      </c>
      <c r="J113" s="12" t="str">
        <f t="shared" si="6"/>
        <v>(${Variables:E6_3_4_9_kcat} * E6_3_4_9 * C05921 * C06249)/(${Variables:E6_3_4_9_km} + (E6_3_4_9 * C05921 * C06249))</v>
      </c>
      <c r="K113" s="11" t="str">
        <f t="shared" si="7"/>
        <v>r112: C05921 + C06249 -&gt; C00020 + C06250 | (${Variables:E6_3_4_9_kcat} * E6_3_4_9 * C05921 * C06249)/(${Variables:E6_3_4_9_km} + (E6_3_4_9 * C05921 * C06249))</v>
      </c>
    </row>
    <row r="114" spans="1:11" ht="45" customHeight="1" x14ac:dyDescent="0.25">
      <c r="A114" t="s">
        <v>397</v>
      </c>
      <c r="B114" t="s">
        <v>398</v>
      </c>
      <c r="C114" s="5" t="s">
        <v>9416</v>
      </c>
      <c r="D114">
        <f t="shared" si="4"/>
        <v>113</v>
      </c>
      <c r="E114" t="str">
        <f t="shared" si="5"/>
        <v>E2_7_7_24</v>
      </c>
      <c r="F114" s="11" t="s">
        <v>13997</v>
      </c>
      <c r="G114" s="11" t="s">
        <v>14600</v>
      </c>
      <c r="H114" s="11" t="s">
        <v>9000</v>
      </c>
      <c r="I114" s="11" t="s">
        <v>9199</v>
      </c>
      <c r="J114" s="12" t="str">
        <f t="shared" si="6"/>
        <v>(${Variables:E2_7_7_24_kcat} * E2_7_7_24 * C00103 * C00459)/(${Variables:E2_7_7_24_km} + (E2_7_7_24 * C00103 * C00459))</v>
      </c>
      <c r="K114" s="11" t="str">
        <f t="shared" si="7"/>
        <v>r113: C00103 + C00459 -&gt; C00013 + C00842 | (${Variables:E2_7_7_24_kcat} * E2_7_7_24 * C00103 * C00459)/(${Variables:E2_7_7_24_km} + (E2_7_7_24 * C00103 * C00459))</v>
      </c>
    </row>
    <row r="115" spans="1:11" ht="45" customHeight="1" x14ac:dyDescent="0.25">
      <c r="A115" t="s">
        <v>406</v>
      </c>
      <c r="B115" t="s">
        <v>407</v>
      </c>
      <c r="C115" s="5" t="s">
        <v>9417</v>
      </c>
      <c r="D115">
        <f t="shared" si="4"/>
        <v>114</v>
      </c>
      <c r="E115" t="str">
        <f t="shared" si="5"/>
        <v>E2_7_6_5</v>
      </c>
      <c r="F115" s="11" t="s">
        <v>8670</v>
      </c>
      <c r="G115" s="11" t="s">
        <v>8836</v>
      </c>
      <c r="H115" s="11" t="s">
        <v>9001</v>
      </c>
      <c r="I115" s="11" t="s">
        <v>9200</v>
      </c>
      <c r="J115" s="12" t="str">
        <f t="shared" si="6"/>
        <v>(${Variables:E2_7_6_5_kcat} * E2_7_6_5 * C00002 * C00044)/(${Variables:E2_7_6_5_km} + (E2_7_6_5 * C00002 * C00044))</v>
      </c>
      <c r="K115" s="11" t="str">
        <f t="shared" si="7"/>
        <v>r114: C00002 + C00044 -&gt; C00020 + C04494 | (${Variables:E2_7_6_5_kcat} * E2_7_6_5 * C00002 * C00044)/(${Variables:E2_7_6_5_km} + (E2_7_6_5 * C00002 * C00044))</v>
      </c>
    </row>
    <row r="116" spans="1:11" ht="45" customHeight="1" x14ac:dyDescent="0.25">
      <c r="A116" t="s">
        <v>424</v>
      </c>
      <c r="B116" t="s">
        <v>425</v>
      </c>
      <c r="C116" s="5" t="s">
        <v>9418</v>
      </c>
      <c r="D116">
        <f t="shared" si="4"/>
        <v>115</v>
      </c>
      <c r="E116" t="str">
        <f t="shared" si="5"/>
        <v>E4_2_1_17</v>
      </c>
      <c r="F116" s="11" t="s">
        <v>8116</v>
      </c>
      <c r="G116" s="11" t="s">
        <v>8116</v>
      </c>
      <c r="H116" s="11" t="s">
        <v>15193</v>
      </c>
      <c r="I116" s="11" t="s">
        <v>15814</v>
      </c>
      <c r="J116" s="12" t="str">
        <f t="shared" si="6"/>
        <v>(${Variables:E4_2_1_17_kcat} * E4_2_1_17 * C00640)/(${Variables:E4_2_1_17_km} + (E4_2_1_17 * C00640))</v>
      </c>
      <c r="K116" s="11" t="str">
        <f t="shared" si="7"/>
        <v>r115: C00640 -&gt; C00001 + C00658 | (${Variables:E4_2_1_17_kcat} * E4_2_1_17 * C00640)/(${Variables:E4_2_1_17_km} + (E4_2_1_17 * C00640))</v>
      </c>
    </row>
    <row r="117" spans="1:11" ht="45" customHeight="1" x14ac:dyDescent="0.25">
      <c r="A117" t="s">
        <v>424</v>
      </c>
      <c r="B117" t="s">
        <v>425</v>
      </c>
      <c r="C117" s="5" t="s">
        <v>9418</v>
      </c>
      <c r="D117">
        <f t="shared" si="4"/>
        <v>116</v>
      </c>
      <c r="E117" t="str">
        <f t="shared" si="5"/>
        <v>E4_2_1_17</v>
      </c>
      <c r="F117" s="11" t="s">
        <v>8117</v>
      </c>
      <c r="G117" s="11" t="s">
        <v>8117</v>
      </c>
      <c r="H117" s="11" t="s">
        <v>13999</v>
      </c>
      <c r="I117" s="11" t="s">
        <v>14602</v>
      </c>
      <c r="J117" s="12" t="str">
        <f t="shared" si="6"/>
        <v>(${Variables:E4_2_1_17_kcat} * E4_2_1_17 * C01144)/(${Variables:E4_2_1_17_km} + (E4_2_1_17 * C01144))</v>
      </c>
      <c r="K117" s="11" t="str">
        <f t="shared" si="7"/>
        <v>r116: C01144 -&gt; C00001 + C00877 | (${Variables:E4_2_1_17_kcat} * E4_2_1_17 * C01144)/(${Variables:E4_2_1_17_km} + (E4_2_1_17 * C01144))</v>
      </c>
    </row>
    <row r="118" spans="1:11" ht="45" customHeight="1" x14ac:dyDescent="0.25">
      <c r="A118" t="s">
        <v>424</v>
      </c>
      <c r="B118" t="s">
        <v>425</v>
      </c>
      <c r="C118" s="5" t="s">
        <v>9418</v>
      </c>
      <c r="D118">
        <f t="shared" si="4"/>
        <v>117</v>
      </c>
      <c r="E118" t="str">
        <f t="shared" si="5"/>
        <v>E4_2_1_17</v>
      </c>
      <c r="F118" s="11" t="s">
        <v>8118</v>
      </c>
      <c r="G118" s="11" t="s">
        <v>8118</v>
      </c>
      <c r="H118" s="11" t="s">
        <v>15194</v>
      </c>
      <c r="I118" s="11" t="s">
        <v>15815</v>
      </c>
      <c r="J118" s="12" t="str">
        <f t="shared" si="6"/>
        <v>(${Variables:E4_2_1_17_kcat} * E4_2_1_17 * C05668)/(${Variables:E4_2_1_17_km} + (E4_2_1_17 * C05668))</v>
      </c>
      <c r="K118" s="11" t="str">
        <f t="shared" si="7"/>
        <v>r117: C05668 -&gt; C00001 + C00894 | (${Variables:E4_2_1_17_kcat} * E4_2_1_17 * C05668)/(${Variables:E4_2_1_17_km} + (E4_2_1_17 * C05668))</v>
      </c>
    </row>
    <row r="119" spans="1:11" ht="45" customHeight="1" x14ac:dyDescent="0.25">
      <c r="A119" t="s">
        <v>424</v>
      </c>
      <c r="B119" t="s">
        <v>425</v>
      </c>
      <c r="C119" s="5" t="s">
        <v>9418</v>
      </c>
      <c r="D119">
        <f t="shared" si="4"/>
        <v>118</v>
      </c>
      <c r="E119" t="str">
        <f t="shared" si="5"/>
        <v>E4_2_1_17</v>
      </c>
      <c r="F119" s="11" t="s">
        <v>8119</v>
      </c>
      <c r="G119" s="11" t="s">
        <v>8119</v>
      </c>
      <c r="H119" s="11" t="s">
        <v>15195</v>
      </c>
      <c r="I119" s="11" t="s">
        <v>15816</v>
      </c>
      <c r="J119" s="12" t="str">
        <f t="shared" si="6"/>
        <v>(${Variables:E4_2_1_17_kcat} * E4_2_1_17 * C05262)/(${Variables:E4_2_1_17_km} + (E4_2_1_17 * C05262))</v>
      </c>
      <c r="K119" s="11" t="str">
        <f t="shared" si="7"/>
        <v>r118: C05262 -&gt; C00001 + C03221 | (${Variables:E4_2_1_17_kcat} * E4_2_1_17 * C05262)/(${Variables:E4_2_1_17_km} + (E4_2_1_17 * C05262))</v>
      </c>
    </row>
    <row r="120" spans="1:11" ht="45" customHeight="1" x14ac:dyDescent="0.25">
      <c r="A120" t="s">
        <v>424</v>
      </c>
      <c r="B120" t="s">
        <v>425</v>
      </c>
      <c r="C120" s="5" t="s">
        <v>9418</v>
      </c>
      <c r="D120">
        <f t="shared" si="4"/>
        <v>119</v>
      </c>
      <c r="E120" t="str">
        <f t="shared" si="5"/>
        <v>E4_2_1_17</v>
      </c>
      <c r="F120" s="11" t="s">
        <v>8120</v>
      </c>
      <c r="G120" s="11" t="s">
        <v>8120</v>
      </c>
      <c r="H120" s="11" t="s">
        <v>15196</v>
      </c>
      <c r="I120" s="11" t="s">
        <v>15817</v>
      </c>
      <c r="J120" s="12" t="str">
        <f t="shared" si="6"/>
        <v>(${Variables:E4_2_1_17_kcat} * E4_2_1_17 * C04405)/(${Variables:E4_2_1_17_km} + (E4_2_1_17 * C04405))</v>
      </c>
      <c r="K120" s="11" t="str">
        <f t="shared" si="7"/>
        <v>r119: C04405 -&gt; C00001 + C03345 | (${Variables:E4_2_1_17_kcat} * E4_2_1_17 * C04405)/(${Variables:E4_2_1_17_km} + (E4_2_1_17 * C04405))</v>
      </c>
    </row>
    <row r="121" spans="1:11" ht="45" customHeight="1" x14ac:dyDescent="0.25">
      <c r="A121" t="s">
        <v>424</v>
      </c>
      <c r="B121" t="s">
        <v>425</v>
      </c>
      <c r="C121" s="5" t="s">
        <v>9418</v>
      </c>
      <c r="D121">
        <f t="shared" si="4"/>
        <v>120</v>
      </c>
      <c r="E121" t="str">
        <f t="shared" si="5"/>
        <v>E4_2_1_17</v>
      </c>
      <c r="F121" s="11" t="s">
        <v>13998</v>
      </c>
      <c r="G121" s="11" t="s">
        <v>14601</v>
      </c>
      <c r="H121" s="11" t="s">
        <v>8410</v>
      </c>
      <c r="I121" s="11" t="s">
        <v>8410</v>
      </c>
      <c r="J121" s="12" t="str">
        <f t="shared" si="6"/>
        <v>(${Variables:E4_2_1_17_kcat} * E4_2_1_17 * C00001 * C03460)/(${Variables:E4_2_1_17_km} + (E4_2_1_17 * C00001 * C03460))</v>
      </c>
      <c r="K121" s="11" t="str">
        <f t="shared" si="7"/>
        <v>r120: C00001 + C03460 -&gt; C06000 | (${Variables:E4_2_1_17_kcat} * E4_2_1_17 * C00001 * C03460)/(${Variables:E4_2_1_17_km} + (E4_2_1_17 * C00001 * C03460))</v>
      </c>
    </row>
    <row r="122" spans="1:11" ht="45" customHeight="1" x14ac:dyDescent="0.25">
      <c r="A122" t="s">
        <v>424</v>
      </c>
      <c r="B122" t="s">
        <v>425</v>
      </c>
      <c r="C122" s="5" t="s">
        <v>9418</v>
      </c>
      <c r="D122">
        <f t="shared" si="4"/>
        <v>121</v>
      </c>
      <c r="E122" t="str">
        <f t="shared" si="5"/>
        <v>E4_2_1_17</v>
      </c>
      <c r="F122" s="11" t="s">
        <v>8121</v>
      </c>
      <c r="G122" s="11" t="s">
        <v>8121</v>
      </c>
      <c r="H122" s="11" t="s">
        <v>15197</v>
      </c>
      <c r="I122" s="11" t="s">
        <v>15818</v>
      </c>
      <c r="J122" s="12" t="str">
        <f t="shared" si="6"/>
        <v>(${Variables:E4_2_1_17_kcat} * E4_2_1_17 * C05258)/(${Variables:E4_2_1_17_km} + (E4_2_1_17 * C05258))</v>
      </c>
      <c r="K122" s="11" t="str">
        <f t="shared" si="7"/>
        <v>r121: C05258 -&gt; C00001 + C05272 | (${Variables:E4_2_1_17_kcat} * E4_2_1_17 * C05258)/(${Variables:E4_2_1_17_km} + (E4_2_1_17 * C05258))</v>
      </c>
    </row>
    <row r="123" spans="1:11" ht="45" customHeight="1" x14ac:dyDescent="0.25">
      <c r="A123" t="s">
        <v>424</v>
      </c>
      <c r="B123" t="s">
        <v>425</v>
      </c>
      <c r="C123" s="5" t="s">
        <v>9418</v>
      </c>
      <c r="D123">
        <f t="shared" si="4"/>
        <v>122</v>
      </c>
      <c r="E123" t="str">
        <f t="shared" si="5"/>
        <v>E4_2_1_17</v>
      </c>
      <c r="F123" s="11" t="s">
        <v>8122</v>
      </c>
      <c r="G123" s="11" t="s">
        <v>8122</v>
      </c>
      <c r="H123" s="11" t="s">
        <v>15198</v>
      </c>
      <c r="I123" s="11" t="s">
        <v>15819</v>
      </c>
      <c r="J123" s="12" t="str">
        <f t="shared" si="6"/>
        <v>(${Variables:E4_2_1_17_kcat} * E4_2_1_17 * C05260)/(${Variables:E4_2_1_17_km} + (E4_2_1_17 * C05260))</v>
      </c>
      <c r="K123" s="11" t="str">
        <f t="shared" si="7"/>
        <v>r122: C05260 -&gt; C00001 + C05273 | (${Variables:E4_2_1_17_kcat} * E4_2_1_17 * C05260)/(${Variables:E4_2_1_17_km} + (E4_2_1_17 * C05260))</v>
      </c>
    </row>
    <row r="124" spans="1:11" ht="45" customHeight="1" x14ac:dyDescent="0.25">
      <c r="A124" t="s">
        <v>424</v>
      </c>
      <c r="B124" t="s">
        <v>425</v>
      </c>
      <c r="C124" s="5" t="s">
        <v>9418</v>
      </c>
      <c r="D124">
        <f t="shared" si="4"/>
        <v>123</v>
      </c>
      <c r="E124" t="str">
        <f t="shared" si="5"/>
        <v>E4_2_1_17</v>
      </c>
      <c r="F124" s="11" t="s">
        <v>8123</v>
      </c>
      <c r="G124" s="11" t="s">
        <v>8123</v>
      </c>
      <c r="H124" s="11" t="s">
        <v>15199</v>
      </c>
      <c r="I124" s="11" t="s">
        <v>15820</v>
      </c>
      <c r="J124" s="12" t="str">
        <f t="shared" si="6"/>
        <v>(${Variables:E4_2_1_17_kcat} * E4_2_1_17 * C05264)/(${Variables:E4_2_1_17_km} + (E4_2_1_17 * C05264))</v>
      </c>
      <c r="K124" s="11" t="str">
        <f t="shared" si="7"/>
        <v>r123: C05264 -&gt; C00001 + C05275 | (${Variables:E4_2_1_17_kcat} * E4_2_1_17 * C05264)/(${Variables:E4_2_1_17_km} + (E4_2_1_17 * C05264))</v>
      </c>
    </row>
    <row r="125" spans="1:11" ht="45" customHeight="1" x14ac:dyDescent="0.25">
      <c r="A125" t="s">
        <v>424</v>
      </c>
      <c r="B125" t="s">
        <v>425</v>
      </c>
      <c r="C125" s="5" t="s">
        <v>9418</v>
      </c>
      <c r="D125">
        <f t="shared" si="4"/>
        <v>124</v>
      </c>
      <c r="E125" t="str">
        <f t="shared" si="5"/>
        <v>E4_2_1_17</v>
      </c>
      <c r="F125" s="11" t="s">
        <v>8124</v>
      </c>
      <c r="G125" s="11" t="s">
        <v>8124</v>
      </c>
      <c r="H125" s="11" t="s">
        <v>15200</v>
      </c>
      <c r="I125" s="11" t="s">
        <v>15821</v>
      </c>
      <c r="J125" s="12" t="str">
        <f t="shared" si="6"/>
        <v>(${Variables:E4_2_1_17_kcat} * E4_2_1_17 * C05266)/(${Variables:E4_2_1_17_km} + (E4_2_1_17 * C05266))</v>
      </c>
      <c r="K125" s="11" t="str">
        <f t="shared" si="7"/>
        <v>r124: C05266 -&gt; C00001 + C05276 | (${Variables:E4_2_1_17_kcat} * E4_2_1_17 * C05266)/(${Variables:E4_2_1_17_km} + (E4_2_1_17 * C05266))</v>
      </c>
    </row>
    <row r="126" spans="1:11" ht="45" customHeight="1" x14ac:dyDescent="0.25">
      <c r="A126" t="s">
        <v>424</v>
      </c>
      <c r="B126" t="s">
        <v>425</v>
      </c>
      <c r="C126" s="5" t="s">
        <v>9418</v>
      </c>
      <c r="D126">
        <f t="shared" si="4"/>
        <v>125</v>
      </c>
      <c r="E126" t="str">
        <f t="shared" si="5"/>
        <v>E4_2_1_17</v>
      </c>
      <c r="F126" s="11" t="s">
        <v>8125</v>
      </c>
      <c r="G126" s="11" t="s">
        <v>8125</v>
      </c>
      <c r="H126" s="11" t="s">
        <v>15201</v>
      </c>
      <c r="I126" s="11" t="s">
        <v>15822</v>
      </c>
      <c r="J126" s="12" t="str">
        <f t="shared" si="6"/>
        <v>(${Variables:E4_2_1_17_kcat} * E4_2_1_17 * C05268)/(${Variables:E4_2_1_17_km} + (E4_2_1_17 * C05268))</v>
      </c>
      <c r="K126" s="11" t="str">
        <f t="shared" si="7"/>
        <v>r125: C05268 -&gt; C00001 + C05271 | (${Variables:E4_2_1_17_kcat} * E4_2_1_17 * C05268)/(${Variables:E4_2_1_17_km} + (E4_2_1_17 * C05268))</v>
      </c>
    </row>
    <row r="127" spans="1:11" ht="45" customHeight="1" x14ac:dyDescent="0.25">
      <c r="A127" t="s">
        <v>424</v>
      </c>
      <c r="B127" t="s">
        <v>425</v>
      </c>
      <c r="C127" s="5" t="s">
        <v>9418</v>
      </c>
      <c r="D127">
        <f t="shared" si="4"/>
        <v>126</v>
      </c>
      <c r="E127" t="str">
        <f t="shared" si="5"/>
        <v>E4_2_1_17</v>
      </c>
      <c r="F127" s="11" t="s">
        <v>8126</v>
      </c>
      <c r="G127" s="11" t="s">
        <v>8126</v>
      </c>
      <c r="H127" s="11" t="s">
        <v>15202</v>
      </c>
      <c r="I127" s="11" t="s">
        <v>15823</v>
      </c>
      <c r="J127" s="12" t="str">
        <f t="shared" si="6"/>
        <v>(${Variables:E4_2_1_17_kcat} * E4_2_1_17 * C16329)/(${Variables:E4_2_1_17_km} + (E4_2_1_17 * C16329))</v>
      </c>
      <c r="K127" s="11" t="str">
        <f t="shared" si="7"/>
        <v>r126: C16329 -&gt; C00001 + C16328 | (${Variables:E4_2_1_17_kcat} * E4_2_1_17 * C16329)/(${Variables:E4_2_1_17_km} + (E4_2_1_17 * C16329))</v>
      </c>
    </row>
    <row r="128" spans="1:11" ht="45" customHeight="1" x14ac:dyDescent="0.25">
      <c r="A128" t="s">
        <v>424</v>
      </c>
      <c r="B128" t="s">
        <v>425</v>
      </c>
      <c r="C128" s="5" t="s">
        <v>9418</v>
      </c>
      <c r="D128">
        <f t="shared" si="4"/>
        <v>127</v>
      </c>
      <c r="E128" t="str">
        <f t="shared" si="5"/>
        <v>E4_2_1_17</v>
      </c>
      <c r="F128" s="11" t="s">
        <v>8127</v>
      </c>
      <c r="G128" s="11" t="s">
        <v>8127</v>
      </c>
      <c r="H128" s="11" t="s">
        <v>15203</v>
      </c>
      <c r="I128" s="11" t="s">
        <v>15824</v>
      </c>
      <c r="J128" s="12" t="str">
        <f t="shared" si="6"/>
        <v>(${Variables:E4_2_1_17_kcat} * E4_2_1_17 * C16333)/(${Variables:E4_2_1_17_km} + (E4_2_1_17 * C16333))</v>
      </c>
      <c r="K128" s="11" t="str">
        <f t="shared" si="7"/>
        <v>r127: C16333 -&gt; C00001 + C16332 | (${Variables:E4_2_1_17_kcat} * E4_2_1_17 * C16333)/(${Variables:E4_2_1_17_km} + (E4_2_1_17 * C16333))</v>
      </c>
    </row>
    <row r="129" spans="1:11" ht="45" customHeight="1" x14ac:dyDescent="0.25">
      <c r="A129" t="s">
        <v>424</v>
      </c>
      <c r="B129" t="s">
        <v>425</v>
      </c>
      <c r="C129" s="5" t="s">
        <v>9418</v>
      </c>
      <c r="D129">
        <f t="shared" si="4"/>
        <v>128</v>
      </c>
      <c r="E129" t="str">
        <f t="shared" si="5"/>
        <v>E4_2_1_17</v>
      </c>
      <c r="F129" s="11" t="s">
        <v>8128</v>
      </c>
      <c r="G129" s="11" t="s">
        <v>8128</v>
      </c>
      <c r="H129" s="11" t="s">
        <v>15204</v>
      </c>
      <c r="I129" s="11" t="s">
        <v>15825</v>
      </c>
      <c r="J129" s="12" t="str">
        <f t="shared" si="6"/>
        <v>(${Variables:E4_2_1_17_kcat} * E4_2_1_17 * C16337)/(${Variables:E4_2_1_17_km} + (E4_2_1_17 * C16337))</v>
      </c>
      <c r="K129" s="11" t="str">
        <f t="shared" si="7"/>
        <v>r128: C16337 -&gt; C00001 + C16336 | (${Variables:E4_2_1_17_kcat} * E4_2_1_17 * C16337)/(${Variables:E4_2_1_17_km} + (E4_2_1_17 * C16337))</v>
      </c>
    </row>
    <row r="130" spans="1:11" ht="45" customHeight="1" x14ac:dyDescent="0.25">
      <c r="A130" t="s">
        <v>424</v>
      </c>
      <c r="B130" t="s">
        <v>425</v>
      </c>
      <c r="C130" s="5" t="s">
        <v>9418</v>
      </c>
      <c r="D130">
        <f t="shared" si="4"/>
        <v>129</v>
      </c>
      <c r="E130" t="str">
        <f t="shared" si="5"/>
        <v>E4_2_1_17</v>
      </c>
      <c r="F130" s="11" t="s">
        <v>8116</v>
      </c>
      <c r="G130" s="11" t="s">
        <v>8116</v>
      </c>
      <c r="H130" s="11" t="s">
        <v>15205</v>
      </c>
      <c r="I130" s="11" t="s">
        <v>15826</v>
      </c>
      <c r="J130" s="12" t="str">
        <f t="shared" si="6"/>
        <v>(${Variables:E4_2_1_17_kcat} * E4_2_1_17 * C00640)/(${Variables:E4_2_1_17_km} + (E4_2_1_17 * C00640))</v>
      </c>
      <c r="K130" s="11" t="str">
        <f t="shared" si="7"/>
        <v>r129: C00640 -&gt; C00001 + C05067 | (${Variables:E4_2_1_17_kcat} * E4_2_1_17 * C00640)/(${Variables:E4_2_1_17_km} + (E4_2_1_17 * C00640))</v>
      </c>
    </row>
    <row r="131" spans="1:11" ht="45" customHeight="1" x14ac:dyDescent="0.25">
      <c r="A131" t="s">
        <v>424</v>
      </c>
      <c r="B131" t="s">
        <v>425</v>
      </c>
      <c r="C131" s="5" t="s">
        <v>9418</v>
      </c>
      <c r="D131">
        <f t="shared" ref="D131:D194" si="8">ROW()-1</f>
        <v>130</v>
      </c>
      <c r="E131" t="str">
        <f t="shared" ref="E131:E194" si="9">_xlfn.CONCAT("E", C131)</f>
        <v>E4_2_1_17</v>
      </c>
      <c r="F131" s="11" t="s">
        <v>8129</v>
      </c>
      <c r="G131" s="11" t="s">
        <v>8129</v>
      </c>
      <c r="H131" s="11" t="s">
        <v>15206</v>
      </c>
      <c r="I131" s="11" t="s">
        <v>15827</v>
      </c>
      <c r="J131" s="12" t="str">
        <f t="shared" ref="J131:J194" si="10">CONCATENATE("(${Variables:",E131,"_kcat","} * ",E131," * ",G131,")","/(${Variables:",E131,"_km","} + (",E131," * ",G131,"))")</f>
        <v>(${Variables:E4_2_1_17_kcat} * E4_2_1_17 * C01086)/(${Variables:E4_2_1_17_km} + (E4_2_1_17 * C01086))</v>
      </c>
      <c r="K131" s="11" t="str">
        <f t="shared" ref="K131:K194" si="11">CONCATENATE("r",D131,": ",F131," -&gt; ",H131," | ",J131)</f>
        <v>r130: C01086 -&gt; C00001 + C01122 | (${Variables:E4_2_1_17_kcat} * E4_2_1_17 * C01086)/(${Variables:E4_2_1_17_km} + (E4_2_1_17 * C01086))</v>
      </c>
    </row>
    <row r="132" spans="1:11" ht="45" customHeight="1" x14ac:dyDescent="0.25">
      <c r="A132" t="s">
        <v>424</v>
      </c>
      <c r="B132" t="s">
        <v>425</v>
      </c>
      <c r="C132" s="5" t="s">
        <v>9418</v>
      </c>
      <c r="D132">
        <f t="shared" si="8"/>
        <v>131</v>
      </c>
      <c r="E132" t="str">
        <f t="shared" si="9"/>
        <v>E4_2_1_17</v>
      </c>
      <c r="F132" s="11" t="s">
        <v>8130</v>
      </c>
      <c r="G132" s="11" t="s">
        <v>8130</v>
      </c>
      <c r="H132" s="11" t="s">
        <v>15207</v>
      </c>
      <c r="I132" s="11" t="s">
        <v>15828</v>
      </c>
      <c r="J132" s="12" t="str">
        <f t="shared" si="10"/>
        <v>(${Variables:E4_2_1_17_kcat} * E4_2_1_17 * C05998)/(${Variables:E4_2_1_17_km} + (E4_2_1_17 * C05998))</v>
      </c>
      <c r="K132" s="11" t="str">
        <f t="shared" si="11"/>
        <v>r131: C05998 -&gt; C00001 + C03069 | (${Variables:E4_2_1_17_kcat} * E4_2_1_17 * C05998)/(${Variables:E4_2_1_17_km} + (E4_2_1_17 * C05998))</v>
      </c>
    </row>
    <row r="133" spans="1:11" ht="45" customHeight="1" x14ac:dyDescent="0.25">
      <c r="A133" t="s">
        <v>424</v>
      </c>
      <c r="B133" t="s">
        <v>425</v>
      </c>
      <c r="C133" s="5" t="s">
        <v>9418</v>
      </c>
      <c r="D133">
        <f t="shared" si="8"/>
        <v>132</v>
      </c>
      <c r="E133" t="str">
        <f t="shared" si="9"/>
        <v>E4_2_1_17</v>
      </c>
      <c r="F133" s="11" t="s">
        <v>13999</v>
      </c>
      <c r="G133" s="11" t="s">
        <v>14602</v>
      </c>
      <c r="H133" s="11" t="s">
        <v>8411</v>
      </c>
      <c r="I133" s="11" t="s">
        <v>8411</v>
      </c>
      <c r="J133" s="12" t="str">
        <f t="shared" si="10"/>
        <v>(${Variables:E4_2_1_17_kcat} * E4_2_1_17 * C00001 * C00877)/(${Variables:E4_2_1_17_km} + (E4_2_1_17 * C00001 * C00877))</v>
      </c>
      <c r="K133" s="11" t="str">
        <f t="shared" si="11"/>
        <v>r132: C00001 + C00877 -&gt; C05116 | (${Variables:E4_2_1_17_kcat} * E4_2_1_17 * C00001 * C00877)/(${Variables:E4_2_1_17_km} + (E4_2_1_17 * C00001 * C00877))</v>
      </c>
    </row>
    <row r="134" spans="1:11" ht="45" customHeight="1" x14ac:dyDescent="0.25">
      <c r="A134" t="s">
        <v>424</v>
      </c>
      <c r="B134" t="s">
        <v>425</v>
      </c>
      <c r="C134" s="5" t="s">
        <v>9418</v>
      </c>
      <c r="D134">
        <f t="shared" si="8"/>
        <v>133</v>
      </c>
      <c r="E134" t="str">
        <f t="shared" si="9"/>
        <v>E4_2_1_17</v>
      </c>
      <c r="F134" s="11" t="s">
        <v>14000</v>
      </c>
      <c r="G134" s="11" t="s">
        <v>14603</v>
      </c>
      <c r="H134" s="11" t="s">
        <v>8412</v>
      </c>
      <c r="I134" s="11" t="s">
        <v>8412</v>
      </c>
      <c r="J134" s="12" t="str">
        <f t="shared" si="10"/>
        <v>(${Variables:E4_2_1_17_kcat} * E4_2_1_17 * C00001 * C11946)/(${Variables:E4_2_1_17_km} + (E4_2_1_17 * C00001 * C11946))</v>
      </c>
      <c r="K134" s="11" t="str">
        <f t="shared" si="11"/>
        <v>r133: C00001 + C11946 -&gt; C11947 | (${Variables:E4_2_1_17_kcat} * E4_2_1_17 * C00001 * C11946)/(${Variables:E4_2_1_17_km} + (E4_2_1_17 * C00001 * C11946))</v>
      </c>
    </row>
    <row r="135" spans="1:11" ht="45" customHeight="1" x14ac:dyDescent="0.25">
      <c r="A135" t="s">
        <v>424</v>
      </c>
      <c r="B135" t="s">
        <v>425</v>
      </c>
      <c r="C135" s="5" t="s">
        <v>9418</v>
      </c>
      <c r="D135">
        <f t="shared" si="8"/>
        <v>134</v>
      </c>
      <c r="E135" t="str">
        <f t="shared" si="9"/>
        <v>E4_2_1_17</v>
      </c>
      <c r="F135" s="11" t="s">
        <v>14001</v>
      </c>
      <c r="G135" s="11" t="s">
        <v>14604</v>
      </c>
      <c r="H135" s="11" t="s">
        <v>8412</v>
      </c>
      <c r="I135" s="11" t="s">
        <v>8412</v>
      </c>
      <c r="J135" s="12" t="str">
        <f t="shared" si="10"/>
        <v>(${Variables:E4_2_1_17_kcat} * E4_2_1_17 * C00001 * C11945)/(${Variables:E4_2_1_17_km} + (E4_2_1_17 * C00001 * C11945))</v>
      </c>
      <c r="K135" s="11" t="str">
        <f t="shared" si="11"/>
        <v>r134: C00001 + C11945 -&gt; C11947 | (${Variables:E4_2_1_17_kcat} * E4_2_1_17 * C00001 * C11945)/(${Variables:E4_2_1_17_km} + (E4_2_1_17 * C00001 * C11945))</v>
      </c>
    </row>
    <row r="136" spans="1:11" ht="45" customHeight="1" x14ac:dyDescent="0.25">
      <c r="A136" t="s">
        <v>424</v>
      </c>
      <c r="B136" t="s">
        <v>425</v>
      </c>
      <c r="C136" s="5" t="s">
        <v>9418</v>
      </c>
      <c r="D136">
        <f t="shared" si="8"/>
        <v>135</v>
      </c>
      <c r="E136" t="str">
        <f t="shared" si="9"/>
        <v>E4_2_1_17</v>
      </c>
      <c r="F136" s="11" t="s">
        <v>14002</v>
      </c>
      <c r="G136" s="11" t="s">
        <v>14605</v>
      </c>
      <c r="H136" s="11" t="s">
        <v>8413</v>
      </c>
      <c r="I136" s="11" t="s">
        <v>8413</v>
      </c>
      <c r="J136" s="12" t="str">
        <f t="shared" si="10"/>
        <v>(${Variables:E4_2_1_17_kcat} * E4_2_1_17 * C00001 * C14144)/(${Variables:E4_2_1_17_km} + (E4_2_1_17 * C00001 * C14144))</v>
      </c>
      <c r="K136" s="11" t="str">
        <f t="shared" si="11"/>
        <v>r135: C00001 + C14144 -&gt; C14145 | (${Variables:E4_2_1_17_kcat} * E4_2_1_17 * C00001 * C14144)/(${Variables:E4_2_1_17_km} + (E4_2_1_17 * C00001 * C14144))</v>
      </c>
    </row>
    <row r="137" spans="1:11" ht="45" customHeight="1" x14ac:dyDescent="0.25">
      <c r="A137" t="s">
        <v>424</v>
      </c>
      <c r="B137" t="s">
        <v>425</v>
      </c>
      <c r="C137" s="5" t="s">
        <v>9418</v>
      </c>
      <c r="D137">
        <f t="shared" si="8"/>
        <v>136</v>
      </c>
      <c r="E137" t="str">
        <f t="shared" si="9"/>
        <v>E4_2_1_17</v>
      </c>
      <c r="F137" s="11" t="s">
        <v>14003</v>
      </c>
      <c r="G137" s="11" t="s">
        <v>14606</v>
      </c>
      <c r="H137" s="11" t="s">
        <v>8414</v>
      </c>
      <c r="I137" s="11" t="s">
        <v>8414</v>
      </c>
      <c r="J137" s="12" t="str">
        <f t="shared" si="10"/>
        <v>(${Variables:E4_2_1_17_kcat} * E4_2_1_17 * C00001 * C16468)/(${Variables:E4_2_1_17_km} + (E4_2_1_17 * C00001 * C16468))</v>
      </c>
      <c r="K137" s="11" t="str">
        <f t="shared" si="11"/>
        <v>r136: C00001 + C16468 -&gt; C16469 | (${Variables:E4_2_1_17_kcat} * E4_2_1_17 * C00001 * C16468)/(${Variables:E4_2_1_17_km} + (E4_2_1_17 * C00001 * C16468))</v>
      </c>
    </row>
    <row r="138" spans="1:11" ht="45" customHeight="1" x14ac:dyDescent="0.25">
      <c r="A138" t="s">
        <v>427</v>
      </c>
      <c r="B138" t="s">
        <v>428</v>
      </c>
      <c r="C138" s="5" t="s">
        <v>9419</v>
      </c>
      <c r="D138">
        <f t="shared" si="8"/>
        <v>137</v>
      </c>
      <c r="E138" t="str">
        <f t="shared" si="9"/>
        <v>E1_2_4_2</v>
      </c>
      <c r="F138" s="11" t="s">
        <v>8671</v>
      </c>
      <c r="G138" s="11" t="s">
        <v>8837</v>
      </c>
      <c r="H138" s="11" t="s">
        <v>15208</v>
      </c>
      <c r="I138" s="11" t="s">
        <v>15829</v>
      </c>
      <c r="J138" s="12" t="str">
        <f t="shared" si="10"/>
        <v>(${Variables:E1_2_4_2_kcat} * E1_2_4_2 * C00026 * C15972)/(${Variables:E1_2_4_2_km} + (E1_2_4_2 * C00026 * C15972))</v>
      </c>
      <c r="K138" s="11" t="str">
        <f t="shared" si="11"/>
        <v>r137: C00026 + C15972 -&gt; C00011 + C16254 | (${Variables:E1_2_4_2_kcat} * E1_2_4_2 * C00026 * C15972)/(${Variables:E1_2_4_2_km} + (E1_2_4_2 * C00026 * C15972))</v>
      </c>
    </row>
    <row r="139" spans="1:11" ht="45" customHeight="1" x14ac:dyDescent="0.25">
      <c r="A139" t="s">
        <v>427</v>
      </c>
      <c r="B139" t="s">
        <v>428</v>
      </c>
      <c r="C139" s="5" t="s">
        <v>9419</v>
      </c>
      <c r="D139">
        <f t="shared" si="8"/>
        <v>138</v>
      </c>
      <c r="E139" t="str">
        <f t="shared" si="9"/>
        <v>E1_2_4_2</v>
      </c>
      <c r="F139" s="11" t="s">
        <v>8672</v>
      </c>
      <c r="G139" s="11" t="s">
        <v>8838</v>
      </c>
      <c r="H139" s="11" t="s">
        <v>15209</v>
      </c>
      <c r="I139" s="11" t="s">
        <v>15830</v>
      </c>
      <c r="J139" s="12" t="str">
        <f t="shared" si="10"/>
        <v>(${Variables:E1_2_4_2_kcat} * E1_2_4_2 * C00026 * C00068)/(${Variables:E1_2_4_2_km} + (E1_2_4_2 * C00026 * C00068))</v>
      </c>
      <c r="K139" s="11" t="str">
        <f t="shared" si="11"/>
        <v>r138: C00026 + C00068 -&gt; C00011 + C05381 | (${Variables:E1_2_4_2_kcat} * E1_2_4_2 * C00026 * C00068)/(${Variables:E1_2_4_2_km} + (E1_2_4_2 * C00026 * C00068))</v>
      </c>
    </row>
    <row r="140" spans="1:11" ht="45" customHeight="1" x14ac:dyDescent="0.25">
      <c r="A140" t="s">
        <v>427</v>
      </c>
      <c r="B140" t="s">
        <v>428</v>
      </c>
      <c r="C140" s="5" t="s">
        <v>9419</v>
      </c>
      <c r="D140">
        <f t="shared" si="8"/>
        <v>139</v>
      </c>
      <c r="E140" t="str">
        <f t="shared" si="9"/>
        <v>E1_2_4_2</v>
      </c>
      <c r="F140" s="11" t="s">
        <v>8673</v>
      </c>
      <c r="G140" s="11" t="s">
        <v>8839</v>
      </c>
      <c r="H140" s="11" t="s">
        <v>15210</v>
      </c>
      <c r="I140" s="11" t="s">
        <v>15831</v>
      </c>
      <c r="J140" s="12" t="str">
        <f t="shared" si="10"/>
        <v>(${Variables:E1_2_4_2_kcat} * E1_2_4_2 * C05381 * C15972)/(${Variables:E1_2_4_2_km} + (E1_2_4_2 * C05381 * C15972))</v>
      </c>
      <c r="K140" s="11" t="str">
        <f t="shared" si="11"/>
        <v>r139: C05381 + C15972 -&gt; C00068 + C16254 | (${Variables:E1_2_4_2_kcat} * E1_2_4_2 * C05381 * C15972)/(${Variables:E1_2_4_2_km} + (E1_2_4_2 * C05381 * C15972))</v>
      </c>
    </row>
    <row r="141" spans="1:11" ht="45" customHeight="1" x14ac:dyDescent="0.25">
      <c r="A141" t="s">
        <v>430</v>
      </c>
      <c r="B141" t="s">
        <v>431</v>
      </c>
      <c r="C141" s="5" t="s">
        <v>9420</v>
      </c>
      <c r="D141">
        <f t="shared" si="8"/>
        <v>140</v>
      </c>
      <c r="E141" t="str">
        <f t="shared" si="9"/>
        <v>E2_3_1_61</v>
      </c>
      <c r="F141" s="11" t="s">
        <v>8674</v>
      </c>
      <c r="G141" s="11" t="s">
        <v>8840</v>
      </c>
      <c r="H141" s="11" t="s">
        <v>9002</v>
      </c>
      <c r="I141" s="11" t="s">
        <v>9201</v>
      </c>
      <c r="J141" s="12" t="str">
        <f t="shared" si="10"/>
        <v>(${Variables:E2_3_1_61_kcat} * E2_3_1_61 * C00091 * C15973)/(${Variables:E2_3_1_61_km} + (E2_3_1_61 * C00091 * C15973))</v>
      </c>
      <c r="K141" s="11" t="str">
        <f t="shared" si="11"/>
        <v>r140: C00091 + C15973 -&gt; C00010 + C16254 | (${Variables:E2_3_1_61_kcat} * E2_3_1_61 * C00091 * C15973)/(${Variables:E2_3_1_61_km} + (E2_3_1_61 * C00091 * C15973))</v>
      </c>
    </row>
    <row r="142" spans="1:11" ht="45" customHeight="1" x14ac:dyDescent="0.25">
      <c r="A142" t="s">
        <v>430</v>
      </c>
      <c r="B142" t="s">
        <v>431</v>
      </c>
      <c r="C142" s="5" t="s">
        <v>9420</v>
      </c>
      <c r="D142">
        <f t="shared" si="8"/>
        <v>141</v>
      </c>
      <c r="E142" t="str">
        <f t="shared" si="9"/>
        <v>E2_3_1_61</v>
      </c>
      <c r="F142" s="11" t="s">
        <v>8675</v>
      </c>
      <c r="G142" s="11" t="s">
        <v>8841</v>
      </c>
      <c r="H142" s="11" t="s">
        <v>9003</v>
      </c>
      <c r="I142" s="11" t="s">
        <v>9202</v>
      </c>
      <c r="J142" s="12" t="str">
        <f t="shared" si="10"/>
        <v>(${Variables:E2_3_1_61_kcat} * E2_3_1_61 * C00527 * C15973)/(${Variables:E2_3_1_61_km} + (E2_3_1_61 * C00527 * C15973))</v>
      </c>
      <c r="K142" s="11" t="str">
        <f t="shared" si="11"/>
        <v>r141: C00527 + C15973 -&gt; C00010 + C06157 | (${Variables:E2_3_1_61_kcat} * E2_3_1_61 * C00527 * C15973)/(${Variables:E2_3_1_61_km} + (E2_3_1_61 * C00527 * C15973))</v>
      </c>
    </row>
    <row r="143" spans="1:11" ht="45" customHeight="1" x14ac:dyDescent="0.25">
      <c r="A143" t="s">
        <v>433</v>
      </c>
      <c r="B143" t="s">
        <v>434</v>
      </c>
      <c r="C143" s="5" t="s">
        <v>9412</v>
      </c>
      <c r="D143">
        <f t="shared" si="8"/>
        <v>142</v>
      </c>
      <c r="E143" t="str">
        <f t="shared" si="9"/>
        <v>E1_8_1_4</v>
      </c>
      <c r="F143" s="11" t="s">
        <v>13984</v>
      </c>
      <c r="G143" s="11" t="s">
        <v>14587</v>
      </c>
      <c r="H143" s="11" t="s">
        <v>15177</v>
      </c>
      <c r="I143" s="11" t="s">
        <v>15798</v>
      </c>
      <c r="J143" s="12" t="str">
        <f t="shared" si="10"/>
        <v>(${Variables:E1_8_1_4_kcat} * E1_8_1_4 * C00003 * C16832)/(${Variables:E1_8_1_4_km} + (E1_8_1_4 * C00003 * C16832))</v>
      </c>
      <c r="K143" s="11" t="str">
        <f t="shared" si="11"/>
        <v>r142: C00003 + C16832 -&gt; C00004 + C00080 + C16237 | (${Variables:E1_8_1_4_kcat} * E1_8_1_4 * C00003 * C16832)/(${Variables:E1_8_1_4_km} + (E1_8_1_4 * C00003 * C16832))</v>
      </c>
    </row>
    <row r="144" spans="1:11" ht="45" customHeight="1" x14ac:dyDescent="0.25">
      <c r="A144" t="s">
        <v>433</v>
      </c>
      <c r="B144" t="s">
        <v>434</v>
      </c>
      <c r="C144" s="5" t="s">
        <v>9412</v>
      </c>
      <c r="D144">
        <f t="shared" si="8"/>
        <v>143</v>
      </c>
      <c r="E144" t="str">
        <f t="shared" si="9"/>
        <v>E1_8_1_4</v>
      </c>
      <c r="F144" s="11" t="s">
        <v>13985</v>
      </c>
      <c r="G144" s="11" t="s">
        <v>14588</v>
      </c>
      <c r="H144" s="11" t="s">
        <v>15178</v>
      </c>
      <c r="I144" s="11" t="s">
        <v>15799</v>
      </c>
      <c r="J144" s="12" t="str">
        <f t="shared" si="10"/>
        <v>(${Variables:E1_8_1_4_kcat} * E1_8_1_4 * C00003 * C02972)/(${Variables:E1_8_1_4_km} + (E1_8_1_4 * C00003 * C02972))</v>
      </c>
      <c r="K144" s="11" t="str">
        <f t="shared" si="11"/>
        <v>r143: C00003 + C02972 -&gt; C00004 + C00080 + C02051 | (${Variables:E1_8_1_4_kcat} * E1_8_1_4 * C00003 * C02972)/(${Variables:E1_8_1_4_km} + (E1_8_1_4 * C00003 * C02972))</v>
      </c>
    </row>
    <row r="145" spans="1:11" ht="45" customHeight="1" x14ac:dyDescent="0.25">
      <c r="A145" t="s">
        <v>433</v>
      </c>
      <c r="B145" t="s">
        <v>434</v>
      </c>
      <c r="C145" s="5" t="s">
        <v>9412</v>
      </c>
      <c r="D145">
        <f t="shared" si="8"/>
        <v>144</v>
      </c>
      <c r="E145" t="str">
        <f t="shared" si="9"/>
        <v>E1_8_1_4</v>
      </c>
      <c r="F145" s="11" t="s">
        <v>13986</v>
      </c>
      <c r="G145" s="11" t="s">
        <v>14589</v>
      </c>
      <c r="H145" s="11" t="s">
        <v>15179</v>
      </c>
      <c r="I145" s="11" t="s">
        <v>15800</v>
      </c>
      <c r="J145" s="12" t="str">
        <f t="shared" si="10"/>
        <v>(${Variables:E1_8_1_4_kcat} * E1_8_1_4 * C00003 * C15973)/(${Variables:E1_8_1_4_km} + (E1_8_1_4 * C00003 * C15973))</v>
      </c>
      <c r="K145" s="11" t="str">
        <f t="shared" si="11"/>
        <v>r144: C00003 + C15973 -&gt; C00004 + C00080 + C15972 | (${Variables:E1_8_1_4_kcat} * E1_8_1_4 * C00003 * C15973)/(${Variables:E1_8_1_4_km} + (E1_8_1_4 * C00003 * C15973))</v>
      </c>
    </row>
    <row r="146" spans="1:11" ht="45" customHeight="1" x14ac:dyDescent="0.25">
      <c r="A146" t="s">
        <v>433</v>
      </c>
      <c r="B146" t="s">
        <v>434</v>
      </c>
      <c r="C146" s="5" t="s">
        <v>9412</v>
      </c>
      <c r="D146">
        <f t="shared" si="8"/>
        <v>145</v>
      </c>
      <c r="E146" t="str">
        <f t="shared" si="9"/>
        <v>E1_8_1_4</v>
      </c>
      <c r="F146" s="11" t="s">
        <v>13987</v>
      </c>
      <c r="G146" s="11" t="s">
        <v>14590</v>
      </c>
      <c r="H146" s="11" t="s">
        <v>15180</v>
      </c>
      <c r="I146" s="11" t="s">
        <v>15801</v>
      </c>
      <c r="J146" s="12" t="str">
        <f t="shared" si="10"/>
        <v>(${Variables:E1_8_1_4_kcat} * E1_8_1_4 * C00003 * C00579)/(${Variables:E1_8_1_4_km} + (E1_8_1_4 * C00003 * C00579))</v>
      </c>
      <c r="K146" s="11" t="str">
        <f t="shared" si="11"/>
        <v>r145: C00003 + C00579 -&gt; C00004 + C00080 + C00248 | (${Variables:E1_8_1_4_kcat} * E1_8_1_4 * C00003 * C00579)/(${Variables:E1_8_1_4_km} + (E1_8_1_4 * C00003 * C00579))</v>
      </c>
    </row>
    <row r="147" spans="1:11" ht="45" customHeight="1" x14ac:dyDescent="0.25">
      <c r="A147" t="s">
        <v>441</v>
      </c>
      <c r="B147" t="s">
        <v>442</v>
      </c>
      <c r="C147" s="5" t="s">
        <v>9421</v>
      </c>
      <c r="D147">
        <f t="shared" si="8"/>
        <v>146</v>
      </c>
      <c r="E147" t="str">
        <f t="shared" si="9"/>
        <v>E6_3_4_5</v>
      </c>
      <c r="F147" s="11" t="s">
        <v>14004</v>
      </c>
      <c r="G147" s="11" t="s">
        <v>14607</v>
      </c>
      <c r="H147" s="11" t="s">
        <v>15211</v>
      </c>
      <c r="I147" s="11" t="s">
        <v>15832</v>
      </c>
      <c r="J147" s="12" t="str">
        <f t="shared" si="10"/>
        <v>(${Variables:E6_3_4_5_kcat} * E6_3_4_5 * C00002 * C00049 * C00327)/(${Variables:E6_3_4_5_km} + (E6_3_4_5 * C00002 * C00049 * C00327))</v>
      </c>
      <c r="K147" s="11" t="str">
        <f t="shared" si="11"/>
        <v>r146: C00002 + C00049 + C00327 -&gt; C00013 + C00020 + C03406 | (${Variables:E6_3_4_5_kcat} * E6_3_4_5 * C00002 * C00049 * C00327)/(${Variables:E6_3_4_5_km} + (E6_3_4_5 * C00002 * C00049 * C00327))</v>
      </c>
    </row>
    <row r="148" spans="1:11" ht="45" customHeight="1" x14ac:dyDescent="0.25">
      <c r="A148" t="s">
        <v>444</v>
      </c>
      <c r="B148" t="s">
        <v>445</v>
      </c>
      <c r="C148" s="5" t="s">
        <v>9422</v>
      </c>
      <c r="D148">
        <f t="shared" si="8"/>
        <v>147</v>
      </c>
      <c r="E148" t="str">
        <f t="shared" si="9"/>
        <v>E4_3_2_1</v>
      </c>
      <c r="F148" s="11" t="s">
        <v>8136</v>
      </c>
      <c r="G148" s="11" t="s">
        <v>8136</v>
      </c>
      <c r="H148" s="11" t="s">
        <v>15212</v>
      </c>
      <c r="I148" s="11" t="s">
        <v>15833</v>
      </c>
      <c r="J148" s="12" t="str">
        <f t="shared" si="10"/>
        <v>(${Variables:E4_3_2_1_kcat} * E4_3_2_1 * C03406)/(${Variables:E4_3_2_1_km} + (E4_3_2_1 * C03406))</v>
      </c>
      <c r="K148" s="11" t="str">
        <f t="shared" si="11"/>
        <v>r147: C03406 -&gt; C00062 + C00122 | (${Variables:E4_3_2_1_kcat} * E4_3_2_1 * C03406)/(${Variables:E4_3_2_1_km} + (E4_3_2_1 * C03406))</v>
      </c>
    </row>
    <row r="149" spans="1:11" ht="45" customHeight="1" x14ac:dyDescent="0.25">
      <c r="A149" t="s">
        <v>447</v>
      </c>
      <c r="B149" t="s">
        <v>448</v>
      </c>
      <c r="C149" s="5" t="s">
        <v>9423</v>
      </c>
      <c r="D149">
        <f t="shared" si="8"/>
        <v>148</v>
      </c>
      <c r="E149" t="str">
        <f t="shared" si="9"/>
        <v>E2_3_1_1</v>
      </c>
      <c r="F149" s="11" t="s">
        <v>8676</v>
      </c>
      <c r="G149" s="11" t="s">
        <v>8842</v>
      </c>
      <c r="H149" s="11" t="s">
        <v>9004</v>
      </c>
      <c r="I149" s="11" t="s">
        <v>9203</v>
      </c>
      <c r="J149" s="12" t="str">
        <f t="shared" si="10"/>
        <v>(${Variables:E2_3_1_1_kcat} * E2_3_1_1 * C00024 * C00025)/(${Variables:E2_3_1_1_km} + (E2_3_1_1 * C00024 * C00025))</v>
      </c>
      <c r="K149" s="11" t="str">
        <f t="shared" si="11"/>
        <v>r148: C00024 + C00025 -&gt; C00010 + C00624 | (${Variables:E2_3_1_1_kcat} * E2_3_1_1 * C00024 * C00025)/(${Variables:E2_3_1_1_km} + (E2_3_1_1 * C00024 * C00025))</v>
      </c>
    </row>
    <row r="150" spans="1:11" ht="45" customHeight="1" x14ac:dyDescent="0.25">
      <c r="A150" t="s">
        <v>454</v>
      </c>
      <c r="B150" t="s">
        <v>455</v>
      </c>
      <c r="C150" s="5" t="s">
        <v>9424</v>
      </c>
      <c r="D150">
        <f t="shared" si="8"/>
        <v>149</v>
      </c>
      <c r="E150" t="str">
        <f t="shared" si="9"/>
        <v>E6_3_5_5</v>
      </c>
      <c r="F150" s="11" t="s">
        <v>14005</v>
      </c>
      <c r="G150" s="11" t="s">
        <v>14608</v>
      </c>
      <c r="H150" s="11" t="s">
        <v>15213</v>
      </c>
      <c r="I150" s="11" t="s">
        <v>15834</v>
      </c>
      <c r="J150" s="12" t="str">
        <f t="shared" si="10"/>
        <v>(${Variables:E6_3_5_5_kcat} * E6_3_5_5 * C00001 * C00064)/(${Variables:E6_3_5_5_km} + (E6_3_5_5 * C00001 * C00064))</v>
      </c>
      <c r="K150" s="11" t="str">
        <f t="shared" si="11"/>
        <v>r149: C00001 + C00064 -&gt; C00014 + C00025 | (${Variables:E6_3_5_5_kcat} * E6_3_5_5 * C00001 * C00064)/(${Variables:E6_3_5_5_km} + (E6_3_5_5 * C00001 * C00064))</v>
      </c>
    </row>
    <row r="151" spans="1:11" ht="45" customHeight="1" x14ac:dyDescent="0.25">
      <c r="A151" t="s">
        <v>454</v>
      </c>
      <c r="B151" t="s">
        <v>455</v>
      </c>
      <c r="C151" s="5" t="s">
        <v>9424</v>
      </c>
      <c r="D151">
        <f t="shared" si="8"/>
        <v>150</v>
      </c>
      <c r="E151" t="str">
        <f t="shared" si="9"/>
        <v>E6_3_5_5</v>
      </c>
      <c r="F151" s="11" t="s">
        <v>14006</v>
      </c>
      <c r="G151" s="11" t="s">
        <v>14609</v>
      </c>
      <c r="H151" s="11" t="s">
        <v>9005</v>
      </c>
      <c r="I151" s="11" t="s">
        <v>9204</v>
      </c>
      <c r="J151" s="12" t="str">
        <f t="shared" si="10"/>
        <v>(${Variables:E6_3_5_5_kcat} * E6_3_5_5 * C00001 * C00002 * C00064 * C00288)/(${Variables:E6_3_5_5_km} + (E6_3_5_5 * C00001 * C00002 * C00064 * C00288))</v>
      </c>
      <c r="K151" s="11" t="str">
        <f t="shared" si="11"/>
        <v>r150: C00001 + C00002 + C00064 + C00288 -&gt; C00008 + C00009 + C00025 + C00169 | (${Variables:E6_3_5_5_kcat} * E6_3_5_5 * C00001 * C00002 * C00064 * C00288)/(${Variables:E6_3_5_5_km} + (E6_3_5_5 * C00001 * C00002 * C00064 * C00288))</v>
      </c>
    </row>
    <row r="152" spans="1:11" ht="45" customHeight="1" x14ac:dyDescent="0.25">
      <c r="A152" t="s">
        <v>454</v>
      </c>
      <c r="B152" t="s">
        <v>455</v>
      </c>
      <c r="C152" s="5" t="s">
        <v>9424</v>
      </c>
      <c r="D152">
        <f t="shared" si="8"/>
        <v>151</v>
      </c>
      <c r="E152" t="str">
        <f t="shared" si="9"/>
        <v>E6_3_5_5</v>
      </c>
      <c r="F152" s="11" t="s">
        <v>8677</v>
      </c>
      <c r="G152" s="11" t="s">
        <v>8843</v>
      </c>
      <c r="H152" s="11" t="s">
        <v>9006</v>
      </c>
      <c r="I152" s="11" t="s">
        <v>9205</v>
      </c>
      <c r="J152" s="12" t="str">
        <f t="shared" si="10"/>
        <v>(${Variables:E6_3_5_5_kcat} * E6_3_5_5 * C00002 * C01563)/(${Variables:E6_3_5_5_km} + (E6_3_5_5 * C00002 * C01563))</v>
      </c>
      <c r="K152" s="11" t="str">
        <f t="shared" si="11"/>
        <v>r151: C00002 + C01563 -&gt; C00008 + C00169 | (${Variables:E6_3_5_5_kcat} * E6_3_5_5 * C00002 * C01563)/(${Variables:E6_3_5_5_km} + (E6_3_5_5 * C00002 * C01563))</v>
      </c>
    </row>
    <row r="153" spans="1:11" ht="45" customHeight="1" x14ac:dyDescent="0.25">
      <c r="A153" t="s">
        <v>454</v>
      </c>
      <c r="B153" t="s">
        <v>455</v>
      </c>
      <c r="C153" s="5" t="s">
        <v>9424</v>
      </c>
      <c r="D153">
        <f t="shared" si="8"/>
        <v>152</v>
      </c>
      <c r="E153" t="str">
        <f t="shared" si="9"/>
        <v>E6_3_5_5</v>
      </c>
      <c r="F153" s="11" t="s">
        <v>8678</v>
      </c>
      <c r="G153" s="11" t="s">
        <v>8844</v>
      </c>
      <c r="H153" s="11" t="s">
        <v>9007</v>
      </c>
      <c r="I153" s="11" t="s">
        <v>9206</v>
      </c>
      <c r="J153" s="12" t="str">
        <f t="shared" si="10"/>
        <v>(${Variables:E6_3_5_5_kcat} * E6_3_5_5 * C00002 * C00288)/(${Variables:E6_3_5_5_km} + (E6_3_5_5 * C00002 * C00288))</v>
      </c>
      <c r="K153" s="11" t="str">
        <f t="shared" si="11"/>
        <v>r152: C00002 + C00288 -&gt; C00008 + C20969 | (${Variables:E6_3_5_5_kcat} * E6_3_5_5 * C00002 * C00288)/(${Variables:E6_3_5_5_km} + (E6_3_5_5 * C00002 * C00288))</v>
      </c>
    </row>
    <row r="154" spans="1:11" ht="45" customHeight="1" x14ac:dyDescent="0.25">
      <c r="A154" t="s">
        <v>454</v>
      </c>
      <c r="B154" t="s">
        <v>455</v>
      </c>
      <c r="C154" s="5" t="s">
        <v>9424</v>
      </c>
      <c r="D154">
        <f t="shared" si="8"/>
        <v>153</v>
      </c>
      <c r="E154" t="str">
        <f t="shared" si="9"/>
        <v>E6_3_5_5</v>
      </c>
      <c r="F154" s="11" t="s">
        <v>8679</v>
      </c>
      <c r="G154" s="11" t="s">
        <v>8845</v>
      </c>
      <c r="H154" s="11" t="s">
        <v>15214</v>
      </c>
      <c r="I154" s="11" t="s">
        <v>15835</v>
      </c>
      <c r="J154" s="12" t="str">
        <f t="shared" si="10"/>
        <v>(${Variables:E6_3_5_5_kcat} * E6_3_5_5 * C00014 * C20969)/(${Variables:E6_3_5_5_km} + (E6_3_5_5 * C00014 * C20969))</v>
      </c>
      <c r="K154" s="11" t="str">
        <f t="shared" si="11"/>
        <v>r153: C00014 + C20969 -&gt; C00009 + C01563 | (${Variables:E6_3_5_5_kcat} * E6_3_5_5 * C00014 * C20969)/(${Variables:E6_3_5_5_km} + (E6_3_5_5 * C00014 * C20969))</v>
      </c>
    </row>
    <row r="155" spans="1:11" ht="45" customHeight="1" x14ac:dyDescent="0.25">
      <c r="A155" t="s">
        <v>454</v>
      </c>
      <c r="B155" t="s">
        <v>455</v>
      </c>
      <c r="C155" s="5" t="s">
        <v>9424</v>
      </c>
      <c r="D155">
        <f t="shared" si="8"/>
        <v>154</v>
      </c>
      <c r="E155" t="str">
        <f t="shared" si="9"/>
        <v>E6_3_5_5</v>
      </c>
      <c r="F155" s="11" t="s">
        <v>14007</v>
      </c>
      <c r="G155" s="11" t="s">
        <v>14610</v>
      </c>
      <c r="H155" s="11" t="s">
        <v>9008</v>
      </c>
      <c r="I155" s="11" t="s">
        <v>9207</v>
      </c>
      <c r="J155" s="12" t="str">
        <f t="shared" si="10"/>
        <v>(${Variables:E6_3_5_5_kcat} * E6_3_5_5 * C00002 * C00014 * C00288)/(${Variables:E6_3_5_5_km} + (E6_3_5_5 * C00002 * C00014 * C00288))</v>
      </c>
      <c r="K155" s="11" t="str">
        <f t="shared" si="11"/>
        <v>r154: C00002 + C00014 + C00288 -&gt; C00008 + C00009 + C00169 | (${Variables:E6_3_5_5_kcat} * E6_3_5_5 * C00002 * C00014 * C00288)/(${Variables:E6_3_5_5_km} + (E6_3_5_5 * C00002 * C00014 * C00288))</v>
      </c>
    </row>
    <row r="156" spans="1:11" ht="45" customHeight="1" x14ac:dyDescent="0.25">
      <c r="A156" t="s">
        <v>457</v>
      </c>
      <c r="B156" t="s">
        <v>458</v>
      </c>
      <c r="C156" s="5" t="s">
        <v>9425</v>
      </c>
      <c r="D156">
        <f t="shared" si="8"/>
        <v>155</v>
      </c>
      <c r="E156" t="str">
        <f t="shared" si="9"/>
        <v>E6_3_4_3</v>
      </c>
      <c r="F156" s="11" t="s">
        <v>14008</v>
      </c>
      <c r="G156" s="11" t="s">
        <v>14611</v>
      </c>
      <c r="H156" s="11" t="s">
        <v>9009</v>
      </c>
      <c r="I156" s="11" t="s">
        <v>9208</v>
      </c>
      <c r="J156" s="12" t="str">
        <f t="shared" si="10"/>
        <v>(${Variables:E6_3_4_3_kcat} * E6_3_4_3 * C00002 * C00058 * C00101)/(${Variables:E6_3_4_3_km} + (E6_3_4_3 * C00002 * C00058 * C00101))</v>
      </c>
      <c r="K156" s="11" t="str">
        <f t="shared" si="11"/>
        <v>r155: C00002 + C00058 + C00101 -&gt; C00008 + C00009 + C00234 | (${Variables:E6_3_4_3_kcat} * E6_3_4_3 * C00002 * C00058 * C00101)/(${Variables:E6_3_4_3_km} + (E6_3_4_3 * C00002 * C00058 * C00101))</v>
      </c>
    </row>
    <row r="157" spans="1:11" ht="45" customHeight="1" x14ac:dyDescent="0.25">
      <c r="A157" t="s">
        <v>460</v>
      </c>
      <c r="B157" t="s">
        <v>461</v>
      </c>
      <c r="C157" s="5" t="s">
        <v>9426</v>
      </c>
      <c r="D157">
        <f t="shared" si="8"/>
        <v>156</v>
      </c>
      <c r="E157" t="str">
        <f t="shared" si="9"/>
        <v>E4_3_1_19</v>
      </c>
      <c r="F157" s="11" t="s">
        <v>8141</v>
      </c>
      <c r="G157" s="11" t="s">
        <v>8141</v>
      </c>
      <c r="H157" s="11" t="s">
        <v>15215</v>
      </c>
      <c r="I157" s="11" t="s">
        <v>15836</v>
      </c>
      <c r="J157" s="12" t="str">
        <f t="shared" si="10"/>
        <v>(${Variables:E4_3_1_19_kcat} * E4_3_1_19 * C00188)/(${Variables:E4_3_1_19_km} + (E4_3_1_19 * C00188))</v>
      </c>
      <c r="K157" s="11" t="str">
        <f t="shared" si="11"/>
        <v>r156: C00188 -&gt; C00014 + C00109 | (${Variables:E4_3_1_19_kcat} * E4_3_1_19 * C00188)/(${Variables:E4_3_1_19_km} + (E4_3_1_19 * C00188))</v>
      </c>
    </row>
    <row r="158" spans="1:11" ht="45" customHeight="1" x14ac:dyDescent="0.25">
      <c r="A158" t="s">
        <v>460</v>
      </c>
      <c r="B158" t="s">
        <v>461</v>
      </c>
      <c r="C158" s="5" t="s">
        <v>9426</v>
      </c>
      <c r="D158">
        <f t="shared" si="8"/>
        <v>157</v>
      </c>
      <c r="E158" t="str">
        <f t="shared" si="9"/>
        <v>E4_3_1_19</v>
      </c>
      <c r="F158" s="11" t="s">
        <v>14009</v>
      </c>
      <c r="G158" s="11" t="s">
        <v>14612</v>
      </c>
      <c r="H158" s="11" t="s">
        <v>15215</v>
      </c>
      <c r="I158" s="11" t="s">
        <v>15836</v>
      </c>
      <c r="J158" s="12" t="str">
        <f t="shared" si="10"/>
        <v>(${Variables:E4_3_1_19_kcat} * E4_3_1_19 * C00001 * C20905)/(${Variables:E4_3_1_19_km} + (E4_3_1_19 * C00001 * C20905))</v>
      </c>
      <c r="K158" s="11" t="str">
        <f t="shared" si="11"/>
        <v>r157: C00001 + C20905 -&gt; C00014 + C00109 | (${Variables:E4_3_1_19_kcat} * E4_3_1_19 * C00001 * C20905)/(${Variables:E4_3_1_19_km} + (E4_3_1_19 * C00001 * C20905))</v>
      </c>
    </row>
    <row r="159" spans="1:11" ht="45" customHeight="1" x14ac:dyDescent="0.25">
      <c r="A159" t="s">
        <v>460</v>
      </c>
      <c r="B159" t="s">
        <v>461</v>
      </c>
      <c r="C159" s="5" t="s">
        <v>9426</v>
      </c>
      <c r="D159">
        <f t="shared" si="8"/>
        <v>158</v>
      </c>
      <c r="E159" t="str">
        <f t="shared" si="9"/>
        <v>E4_3_1_19</v>
      </c>
      <c r="F159" s="11" t="s">
        <v>8142</v>
      </c>
      <c r="G159" s="11" t="s">
        <v>8142</v>
      </c>
      <c r="H159" s="11" t="s">
        <v>8423</v>
      </c>
      <c r="I159" s="11" t="s">
        <v>8423</v>
      </c>
      <c r="J159" s="12" t="str">
        <f t="shared" si="10"/>
        <v>(${Variables:E4_3_1_19_kcat} * E4_3_1_19 * C17234)/(${Variables:E4_3_1_19_km} + (E4_3_1_19 * C17234))</v>
      </c>
      <c r="K159" s="11" t="str">
        <f t="shared" si="11"/>
        <v>r158: C17234 -&gt; C20905 | (${Variables:E4_3_1_19_kcat} * E4_3_1_19 * C17234)/(${Variables:E4_3_1_19_km} + (E4_3_1_19 * C17234))</v>
      </c>
    </row>
    <row r="160" spans="1:11" ht="45" customHeight="1" x14ac:dyDescent="0.25">
      <c r="A160" t="s">
        <v>460</v>
      </c>
      <c r="B160" t="s">
        <v>461</v>
      </c>
      <c r="C160" s="5" t="s">
        <v>9426</v>
      </c>
      <c r="D160">
        <f t="shared" si="8"/>
        <v>159</v>
      </c>
      <c r="E160" t="str">
        <f t="shared" si="9"/>
        <v>E4_3_1_19</v>
      </c>
      <c r="F160" s="11" t="s">
        <v>8143</v>
      </c>
      <c r="G160" s="11" t="s">
        <v>8143</v>
      </c>
      <c r="H160" s="11" t="s">
        <v>15216</v>
      </c>
      <c r="I160" s="11" t="s">
        <v>15837</v>
      </c>
      <c r="J160" s="12" t="str">
        <f t="shared" si="10"/>
        <v>(${Variables:E4_3_1_19_kcat} * E4_3_1_19 * C00065)/(${Variables:E4_3_1_19_km} + (E4_3_1_19 * C00065))</v>
      </c>
      <c r="K160" s="11" t="str">
        <f t="shared" si="11"/>
        <v>r159: C00065 -&gt; C00014 + C00022 | (${Variables:E4_3_1_19_kcat} * E4_3_1_19 * C00065)/(${Variables:E4_3_1_19_km} + (E4_3_1_19 * C00065))</v>
      </c>
    </row>
    <row r="161" spans="1:11" ht="45" customHeight="1" x14ac:dyDescent="0.25">
      <c r="A161" t="s">
        <v>460</v>
      </c>
      <c r="B161" t="s">
        <v>461</v>
      </c>
      <c r="C161" s="5" t="s">
        <v>9426</v>
      </c>
      <c r="D161">
        <f t="shared" si="8"/>
        <v>160</v>
      </c>
      <c r="E161" t="str">
        <f t="shared" si="9"/>
        <v>E4_3_1_19</v>
      </c>
      <c r="F161" s="11" t="s">
        <v>8144</v>
      </c>
      <c r="G161" s="11" t="s">
        <v>8144</v>
      </c>
      <c r="H161" s="11" t="s">
        <v>15217</v>
      </c>
      <c r="I161" s="11" t="s">
        <v>15838</v>
      </c>
      <c r="J161" s="12" t="str">
        <f t="shared" si="10"/>
        <v>(${Variables:E4_3_1_19_kcat} * E4_3_1_19 * C05167)/(${Variables:E4_3_1_19_km} + (E4_3_1_19 * C05167))</v>
      </c>
      <c r="K161" s="11" t="str">
        <f t="shared" si="11"/>
        <v>r160: C05167 -&gt; C00014 + C00161 | (${Variables:E4_3_1_19_kcat} * E4_3_1_19 * C05167)/(${Variables:E4_3_1_19_km} + (E4_3_1_19 * C05167))</v>
      </c>
    </row>
    <row r="162" spans="1:11" ht="45" customHeight="1" x14ac:dyDescent="0.25">
      <c r="A162" t="s">
        <v>594</v>
      </c>
      <c r="B162" t="s">
        <v>595</v>
      </c>
      <c r="C162" s="5" t="s">
        <v>9427</v>
      </c>
      <c r="D162">
        <f t="shared" si="8"/>
        <v>161</v>
      </c>
      <c r="E162" t="str">
        <f t="shared" si="9"/>
        <v>E2_7_7_18</v>
      </c>
      <c r="F162" s="11" t="s">
        <v>8680</v>
      </c>
      <c r="G162" s="11" t="s">
        <v>8846</v>
      </c>
      <c r="H162" s="11" t="s">
        <v>9010</v>
      </c>
      <c r="I162" s="11" t="s">
        <v>9209</v>
      </c>
      <c r="J162" s="12" t="str">
        <f t="shared" si="10"/>
        <v>(${Variables:E2_7_7_18_kcat} * E2_7_7_18 * C00002 * C01185)/(${Variables:E2_7_7_18_km} + (E2_7_7_18 * C00002 * C01185))</v>
      </c>
      <c r="K162" s="11" t="str">
        <f t="shared" si="11"/>
        <v>r161: C00002 + C01185 -&gt; C00013 + C00857 | (${Variables:E2_7_7_18_kcat} * E2_7_7_18 * C00002 * C01185)/(${Variables:E2_7_7_18_km} + (E2_7_7_18 * C00002 * C01185))</v>
      </c>
    </row>
    <row r="163" spans="1:11" ht="45" customHeight="1" x14ac:dyDescent="0.25">
      <c r="A163" t="s">
        <v>594</v>
      </c>
      <c r="B163" t="s">
        <v>595</v>
      </c>
      <c r="C163" s="5" t="s">
        <v>9427</v>
      </c>
      <c r="D163">
        <f t="shared" si="8"/>
        <v>162</v>
      </c>
      <c r="E163" t="str">
        <f t="shared" si="9"/>
        <v>E2_7_7_18</v>
      </c>
      <c r="F163" s="11" t="s">
        <v>8681</v>
      </c>
      <c r="G163" s="11" t="s">
        <v>8847</v>
      </c>
      <c r="H163" s="11" t="s">
        <v>15218</v>
      </c>
      <c r="I163" s="11" t="s">
        <v>15839</v>
      </c>
      <c r="J163" s="12" t="str">
        <f t="shared" si="10"/>
        <v>(${Variables:E2_7_7_18_kcat} * E2_7_7_18 * C00002 * C00455)/(${Variables:E2_7_7_18_km} + (E2_7_7_18 * C00002 * C00455))</v>
      </c>
      <c r="K163" s="11" t="str">
        <f t="shared" si="11"/>
        <v>r162: C00002 + C00455 -&gt; C00003 + C00013 | (${Variables:E2_7_7_18_kcat} * E2_7_7_18 * C00002 * C00455)/(${Variables:E2_7_7_18_km} + (E2_7_7_18 * C00002 * C00455))</v>
      </c>
    </row>
    <row r="164" spans="1:11" ht="45" customHeight="1" x14ac:dyDescent="0.25">
      <c r="A164" t="s">
        <v>608</v>
      </c>
      <c r="B164" t="s">
        <v>609</v>
      </c>
      <c r="C164" s="5" t="s">
        <v>9428</v>
      </c>
      <c r="D164">
        <f t="shared" si="8"/>
        <v>163</v>
      </c>
      <c r="E164" t="str">
        <f t="shared" si="9"/>
        <v>E6_3_2_1</v>
      </c>
      <c r="F164" s="11" t="s">
        <v>14010</v>
      </c>
      <c r="G164" s="11" t="s">
        <v>14613</v>
      </c>
      <c r="H164" s="11" t="s">
        <v>15219</v>
      </c>
      <c r="I164" s="11" t="s">
        <v>15840</v>
      </c>
      <c r="J164" s="12" t="str">
        <f t="shared" si="10"/>
        <v>(${Variables:E6_3_2_1_kcat} * E6_3_2_1 * C00002 * C00099 * C00522)/(${Variables:E6_3_2_1_km} + (E6_3_2_1 * C00002 * C00099 * C00522))</v>
      </c>
      <c r="K164" s="11" t="str">
        <f t="shared" si="11"/>
        <v>r163: C00002 + C00099 + C00522 -&gt; C00013 + C00020 + C00864 | (${Variables:E6_3_2_1_kcat} * E6_3_2_1 * C00002 * C00099 * C00522)/(${Variables:E6_3_2_1_km} + (E6_3_2_1 * C00002 * C00099 * C00522))</v>
      </c>
    </row>
    <row r="165" spans="1:11" ht="45" customHeight="1" x14ac:dyDescent="0.25">
      <c r="A165" t="s">
        <v>613</v>
      </c>
      <c r="B165" t="s">
        <v>614</v>
      </c>
      <c r="C165" s="5" t="s">
        <v>9429</v>
      </c>
      <c r="D165">
        <f t="shared" si="8"/>
        <v>164</v>
      </c>
      <c r="E165" t="str">
        <f t="shared" si="9"/>
        <v>E4_1_2_13</v>
      </c>
      <c r="F165" s="11" t="s">
        <v>8147</v>
      </c>
      <c r="G165" s="11" t="s">
        <v>8147</v>
      </c>
      <c r="H165" s="11" t="s">
        <v>9011</v>
      </c>
      <c r="I165" s="11" t="s">
        <v>9210</v>
      </c>
      <c r="J165" s="12" t="str">
        <f t="shared" si="10"/>
        <v>(${Variables:E4_1_2_13_kcat} * E4_1_2_13 * C00354)/(${Variables:E4_1_2_13_km} + (E4_1_2_13 * C00354))</v>
      </c>
      <c r="K165" s="11" t="str">
        <f t="shared" si="11"/>
        <v>r164: C00354 -&gt; C00111 + C00118 | (${Variables:E4_1_2_13_kcat} * E4_1_2_13 * C00354)/(${Variables:E4_1_2_13_km} + (E4_1_2_13 * C00354))</v>
      </c>
    </row>
    <row r="166" spans="1:11" ht="45" customHeight="1" x14ac:dyDescent="0.25">
      <c r="A166" t="s">
        <v>613</v>
      </c>
      <c r="B166" t="s">
        <v>614</v>
      </c>
      <c r="C166" s="5" t="s">
        <v>9429</v>
      </c>
      <c r="D166">
        <f t="shared" si="8"/>
        <v>165</v>
      </c>
      <c r="E166" t="str">
        <f t="shared" si="9"/>
        <v>E4_1_2_13</v>
      </c>
      <c r="F166" s="11" t="s">
        <v>8148</v>
      </c>
      <c r="G166" s="11" t="s">
        <v>8148</v>
      </c>
      <c r="H166" s="11" t="s">
        <v>9011</v>
      </c>
      <c r="I166" s="11" t="s">
        <v>9210</v>
      </c>
      <c r="J166" s="12" t="str">
        <f t="shared" si="10"/>
        <v>(${Variables:E4_1_2_13_kcat} * E4_1_2_13 * C05378)/(${Variables:E4_1_2_13_km} + (E4_1_2_13 * C05378))</v>
      </c>
      <c r="K166" s="11" t="str">
        <f t="shared" si="11"/>
        <v>r165: C05378 -&gt; C00111 + C00118 | (${Variables:E4_1_2_13_kcat} * E4_1_2_13 * C05378)/(${Variables:E4_1_2_13_km} + (E4_1_2_13 * C05378))</v>
      </c>
    </row>
    <row r="167" spans="1:11" ht="45" customHeight="1" x14ac:dyDescent="0.25">
      <c r="A167" t="s">
        <v>613</v>
      </c>
      <c r="B167" t="s">
        <v>614</v>
      </c>
      <c r="C167" s="5" t="s">
        <v>9429</v>
      </c>
      <c r="D167">
        <f t="shared" si="8"/>
        <v>166</v>
      </c>
      <c r="E167" t="str">
        <f t="shared" si="9"/>
        <v>E4_1_2_13</v>
      </c>
      <c r="F167" s="11" t="s">
        <v>8149</v>
      </c>
      <c r="G167" s="11" t="s">
        <v>8149</v>
      </c>
      <c r="H167" s="11" t="s">
        <v>9012</v>
      </c>
      <c r="I167" s="11" t="s">
        <v>9211</v>
      </c>
      <c r="J167" s="12" t="str">
        <f t="shared" si="10"/>
        <v>(${Variables:E4_1_2_13_kcat} * E4_1_2_13 * C00447)/(${Variables:E4_1_2_13_km} + (E4_1_2_13 * C00447))</v>
      </c>
      <c r="K167" s="11" t="str">
        <f t="shared" si="11"/>
        <v>r166: C00447 -&gt; C00111 + C00279 | (${Variables:E4_1_2_13_kcat} * E4_1_2_13 * C00447)/(${Variables:E4_1_2_13_km} + (E4_1_2_13 * C00447))</v>
      </c>
    </row>
    <row r="168" spans="1:11" ht="45" customHeight="1" x14ac:dyDescent="0.25">
      <c r="A168" t="s">
        <v>613</v>
      </c>
      <c r="B168" t="s">
        <v>614</v>
      </c>
      <c r="C168" s="5" t="s">
        <v>9429</v>
      </c>
      <c r="D168">
        <f t="shared" si="8"/>
        <v>167</v>
      </c>
      <c r="E168" t="str">
        <f t="shared" si="9"/>
        <v>E4_1_2_13</v>
      </c>
      <c r="F168" s="11" t="s">
        <v>8150</v>
      </c>
      <c r="G168" s="11" t="s">
        <v>8150</v>
      </c>
      <c r="H168" s="11" t="s">
        <v>9013</v>
      </c>
      <c r="I168" s="11" t="s">
        <v>9212</v>
      </c>
      <c r="J168" s="12" t="str">
        <f t="shared" si="10"/>
        <v>(${Variables:E4_1_2_13_kcat} * E4_1_2_13 * C01094)/(${Variables:E4_1_2_13_km} + (E4_1_2_13 * C01094))</v>
      </c>
      <c r="K168" s="11" t="str">
        <f t="shared" si="11"/>
        <v>r167: C01094 -&gt; C00111 + C00577 | (${Variables:E4_1_2_13_kcat} * E4_1_2_13 * C01094)/(${Variables:E4_1_2_13_km} + (E4_1_2_13 * C01094))</v>
      </c>
    </row>
    <row r="169" spans="1:11" ht="45" customHeight="1" x14ac:dyDescent="0.25">
      <c r="A169" t="s">
        <v>619</v>
      </c>
      <c r="B169" t="s">
        <v>620</v>
      </c>
      <c r="C169" s="5" t="s">
        <v>9430</v>
      </c>
      <c r="D169">
        <f t="shared" si="8"/>
        <v>168</v>
      </c>
      <c r="E169" t="str">
        <f t="shared" si="9"/>
        <v>E2_4_2_2</v>
      </c>
      <c r="F169" s="11" t="s">
        <v>14011</v>
      </c>
      <c r="G169" s="11" t="s">
        <v>14614</v>
      </c>
      <c r="H169" s="11" t="s">
        <v>9014</v>
      </c>
      <c r="I169" s="11" t="s">
        <v>9213</v>
      </c>
      <c r="J169" s="12" t="str">
        <f t="shared" si="10"/>
        <v>(${Variables:E2_4_2_2_kcat} * E2_4_2_2 * C00009 * C00214)/(${Variables:E2_4_2_2_km} + (E2_4_2_2 * C00009 * C00214))</v>
      </c>
      <c r="K169" s="11" t="str">
        <f t="shared" si="11"/>
        <v>r168: C00009 + C00214 -&gt; C00178 + C00672 | (${Variables:E2_4_2_2_kcat} * E2_4_2_2 * C00009 * C00214)/(${Variables:E2_4_2_2_km} + (E2_4_2_2 * C00009 * C00214))</v>
      </c>
    </row>
    <row r="170" spans="1:11" ht="45" customHeight="1" x14ac:dyDescent="0.25">
      <c r="A170" t="s">
        <v>619</v>
      </c>
      <c r="B170" t="s">
        <v>620</v>
      </c>
      <c r="C170" s="5" t="s">
        <v>9430</v>
      </c>
      <c r="D170">
        <f t="shared" si="8"/>
        <v>169</v>
      </c>
      <c r="E170" t="str">
        <f t="shared" si="9"/>
        <v>E2_4_2_2</v>
      </c>
      <c r="F170" s="11" t="s">
        <v>14012</v>
      </c>
      <c r="G170" s="11" t="s">
        <v>14615</v>
      </c>
      <c r="H170" s="11" t="s">
        <v>9015</v>
      </c>
      <c r="I170" s="11" t="s">
        <v>9214</v>
      </c>
      <c r="J170" s="12" t="str">
        <f t="shared" si="10"/>
        <v>(${Variables:E2_4_2_2_kcat} * E2_4_2_2 * C00009 * C00299)/(${Variables:E2_4_2_2_km} + (E2_4_2_2 * C00009 * C00299))</v>
      </c>
      <c r="K170" s="11" t="str">
        <f t="shared" si="11"/>
        <v>r169: C00009 + C00299 -&gt; C00106 + C00620 | (${Variables:E2_4_2_2_kcat} * E2_4_2_2 * C00009 * C00299)/(${Variables:E2_4_2_2_km} + (E2_4_2_2 * C00009 * C00299))</v>
      </c>
    </row>
    <row r="171" spans="1:11" ht="45" customHeight="1" x14ac:dyDescent="0.25">
      <c r="A171" t="s">
        <v>619</v>
      </c>
      <c r="B171" t="s">
        <v>620</v>
      </c>
      <c r="C171" s="5" t="s">
        <v>9430</v>
      </c>
      <c r="D171">
        <f t="shared" si="8"/>
        <v>170</v>
      </c>
      <c r="E171" t="str">
        <f t="shared" si="9"/>
        <v>E2_4_2_2</v>
      </c>
      <c r="F171" s="11" t="s">
        <v>14013</v>
      </c>
      <c r="G171" s="11" t="s">
        <v>14616</v>
      </c>
      <c r="H171" s="11" t="s">
        <v>9016</v>
      </c>
      <c r="I171" s="11" t="s">
        <v>9215</v>
      </c>
      <c r="J171" s="12" t="str">
        <f t="shared" si="10"/>
        <v>(${Variables:E2_4_2_2_kcat} * E2_4_2_2 * C00009 * C00475)/(${Variables:E2_4_2_2_km} + (E2_4_2_2 * C00009 * C00475))</v>
      </c>
      <c r="K171" s="11" t="str">
        <f t="shared" si="11"/>
        <v>r170: C00009 + C00475 -&gt; C00380 + C00620 | (${Variables:E2_4_2_2_kcat} * E2_4_2_2 * C00009 * C00475)/(${Variables:E2_4_2_2_km} + (E2_4_2_2 * C00009 * C00475))</v>
      </c>
    </row>
    <row r="172" spans="1:11" ht="45" customHeight="1" x14ac:dyDescent="0.25">
      <c r="A172" t="s">
        <v>619</v>
      </c>
      <c r="B172" t="s">
        <v>620</v>
      </c>
      <c r="C172" s="5" t="s">
        <v>9430</v>
      </c>
      <c r="D172">
        <f t="shared" si="8"/>
        <v>171</v>
      </c>
      <c r="E172" t="str">
        <f t="shared" si="9"/>
        <v>E2_4_2_2</v>
      </c>
      <c r="F172" s="11" t="s">
        <v>14014</v>
      </c>
      <c r="G172" s="11" t="s">
        <v>14617</v>
      </c>
      <c r="H172" s="11" t="s">
        <v>9017</v>
      </c>
      <c r="I172" s="11" t="s">
        <v>9216</v>
      </c>
      <c r="J172" s="12" t="str">
        <f t="shared" si="10"/>
        <v>(${Variables:E2_4_2_2_kcat} * E2_4_2_2 * C00009 * C00526)/(${Variables:E2_4_2_2_km} + (E2_4_2_2 * C00009 * C00526))</v>
      </c>
      <c r="K172" s="11" t="str">
        <f t="shared" si="11"/>
        <v>r171: C00009 + C00526 -&gt; C00106 + C00672 | (${Variables:E2_4_2_2_kcat} * E2_4_2_2 * C00009 * C00526)/(${Variables:E2_4_2_2_km} + (E2_4_2_2 * C00009 * C00526))</v>
      </c>
    </row>
    <row r="173" spans="1:11" ht="45" customHeight="1" x14ac:dyDescent="0.25">
      <c r="A173" t="s">
        <v>619</v>
      </c>
      <c r="B173" t="s">
        <v>620</v>
      </c>
      <c r="C173" s="5" t="s">
        <v>9430</v>
      </c>
      <c r="D173">
        <f t="shared" si="8"/>
        <v>172</v>
      </c>
      <c r="E173" t="str">
        <f t="shared" si="9"/>
        <v>E2_4_2_2</v>
      </c>
      <c r="F173" s="11" t="s">
        <v>14015</v>
      </c>
      <c r="G173" s="11" t="s">
        <v>14618</v>
      </c>
      <c r="H173" s="11" t="s">
        <v>15220</v>
      </c>
      <c r="I173" s="11" t="s">
        <v>15841</v>
      </c>
      <c r="J173" s="12" t="str">
        <f t="shared" si="10"/>
        <v>(${Variables:E2_4_2_2_kcat} * E2_4_2_2 * C00009 * C03169)/(${Variables:E2_4_2_2_km} + (E2_4_2_2 * C00009 * C03169))</v>
      </c>
      <c r="K173" s="11" t="str">
        <f t="shared" si="11"/>
        <v>r172: C00009 + C03169 -&gt; C00080 + C00396 + C00620 | (${Variables:E2_4_2_2_kcat} * E2_4_2_2 * C00009 * C03169)/(${Variables:E2_4_2_2_km} + (E2_4_2_2 * C00009 * C03169))</v>
      </c>
    </row>
    <row r="174" spans="1:11" ht="45" customHeight="1" x14ac:dyDescent="0.25">
      <c r="A174" t="s">
        <v>628</v>
      </c>
      <c r="B174" t="s">
        <v>629</v>
      </c>
      <c r="C174" s="5" t="s">
        <v>9431</v>
      </c>
      <c r="D174">
        <f t="shared" si="8"/>
        <v>173</v>
      </c>
      <c r="E174" t="str">
        <f t="shared" si="9"/>
        <v>E6_4_1_2</v>
      </c>
      <c r="F174" s="11" t="s">
        <v>8682</v>
      </c>
      <c r="G174" s="11" t="s">
        <v>8848</v>
      </c>
      <c r="H174" s="11" t="s">
        <v>9018</v>
      </c>
      <c r="I174" s="11" t="s">
        <v>9217</v>
      </c>
      <c r="J174" s="12" t="str">
        <f t="shared" si="10"/>
        <v>(${Variables:E6_4_1_2_kcat} * E6_4_1_2 * C00002 * C00024 * C00288)/(${Variables:E6_4_1_2_km} + (E6_4_1_2 * C00002 * C00024 * C00288))</v>
      </c>
      <c r="K174" s="11" t="str">
        <f t="shared" si="11"/>
        <v>r173: C00002 + C00024 + C00288 -&gt; C00008 + C00009 + C00083 | (${Variables:E6_4_1_2_kcat} * E6_4_1_2 * C00002 * C00024 * C00288)/(${Variables:E6_4_1_2_km} + (E6_4_1_2 * C00002 * C00024 * C00288))</v>
      </c>
    </row>
    <row r="175" spans="1:11" ht="45" customHeight="1" x14ac:dyDescent="0.25">
      <c r="A175" t="s">
        <v>631</v>
      </c>
      <c r="B175" t="s">
        <v>632</v>
      </c>
      <c r="C175" s="5" t="s">
        <v>9431</v>
      </c>
      <c r="D175">
        <f t="shared" si="8"/>
        <v>174</v>
      </c>
      <c r="E175" t="str">
        <f t="shared" si="9"/>
        <v>E6_4_1_2</v>
      </c>
      <c r="F175" s="11" t="s">
        <v>8682</v>
      </c>
      <c r="G175" s="11" t="s">
        <v>8848</v>
      </c>
      <c r="H175" s="11" t="s">
        <v>9018</v>
      </c>
      <c r="I175" s="11" t="s">
        <v>9217</v>
      </c>
      <c r="J175" s="12" t="str">
        <f t="shared" si="10"/>
        <v>(${Variables:E6_4_1_2_kcat} * E6_4_1_2 * C00002 * C00024 * C00288)/(${Variables:E6_4_1_2_km} + (E6_4_1_2 * C00002 * C00024 * C00288))</v>
      </c>
      <c r="K175" s="11" t="str">
        <f t="shared" si="11"/>
        <v>r174: C00002 + C00024 + C00288 -&gt; C00008 + C00009 + C00083 | (${Variables:E6_4_1_2_kcat} * E6_4_1_2 * C00002 * C00024 * C00288)/(${Variables:E6_4_1_2_km} + (E6_4_1_2 * C00002 * C00024 * C00288))</v>
      </c>
    </row>
    <row r="176" spans="1:11" ht="45" customHeight="1" x14ac:dyDescent="0.25">
      <c r="A176" t="s">
        <v>655</v>
      </c>
      <c r="B176" t="s">
        <v>656</v>
      </c>
      <c r="C176" s="5" t="s">
        <v>9432</v>
      </c>
      <c r="D176">
        <f t="shared" si="8"/>
        <v>175</v>
      </c>
      <c r="E176" t="str">
        <f t="shared" si="9"/>
        <v>E2_6_1_51</v>
      </c>
      <c r="F176" s="11" t="s">
        <v>14016</v>
      </c>
      <c r="G176" s="11" t="s">
        <v>14619</v>
      </c>
      <c r="H176" s="11" t="s">
        <v>15221</v>
      </c>
      <c r="I176" s="11" t="s">
        <v>15842</v>
      </c>
      <c r="J176" s="12" t="str">
        <f t="shared" si="10"/>
        <v>(${Variables:E2_6_1_51_kcat} * E2_6_1_51 * C00022 * C00065)/(${Variables:E2_6_1_51_km} + (E2_6_1_51 * C00022 * C00065))</v>
      </c>
      <c r="K176" s="11" t="str">
        <f t="shared" si="11"/>
        <v>r175: C00022 + C00065 -&gt; C00041 + C00168 | (${Variables:E2_6_1_51_kcat} * E2_6_1_51 * C00022 * C00065)/(${Variables:E2_6_1_51_km} + (E2_6_1_51 * C00022 * C00065))</v>
      </c>
    </row>
    <row r="177" spans="1:11" ht="45" customHeight="1" x14ac:dyDescent="0.25">
      <c r="A177" t="s">
        <v>658</v>
      </c>
      <c r="B177" t="s">
        <v>659</v>
      </c>
      <c r="C177" s="5" t="s">
        <v>9433</v>
      </c>
      <c r="D177">
        <f t="shared" si="8"/>
        <v>176</v>
      </c>
      <c r="E177" t="str">
        <f t="shared" si="9"/>
        <v>E3_6_1_27</v>
      </c>
      <c r="F177" s="11" t="s">
        <v>14017</v>
      </c>
      <c r="G177" s="11" t="s">
        <v>14620</v>
      </c>
      <c r="H177" s="11" t="s">
        <v>15222</v>
      </c>
      <c r="I177" s="11" t="s">
        <v>15843</v>
      </c>
      <c r="J177" s="12" t="str">
        <f t="shared" si="10"/>
        <v>(${Variables:E3_6_1_27_kcat} * E3_6_1_27 * C00001 * C04574)/(${Variables:E3_6_1_27_km} + (E3_6_1_27 * C00001 * C04574))</v>
      </c>
      <c r="K177" s="11" t="str">
        <f t="shared" si="11"/>
        <v>r176: C00001 + C04574 -&gt; C00009 + C17556 | (${Variables:E3_6_1_27_kcat} * E3_6_1_27 * C00001 * C04574)/(${Variables:E3_6_1_27_km} + (E3_6_1_27 * C00001 * C04574))</v>
      </c>
    </row>
    <row r="178" spans="1:11" ht="45" customHeight="1" x14ac:dyDescent="0.25">
      <c r="A178" t="s">
        <v>661</v>
      </c>
      <c r="B178" t="s">
        <v>662</v>
      </c>
      <c r="C178" s="5" t="s">
        <v>9434</v>
      </c>
      <c r="D178">
        <f t="shared" si="8"/>
        <v>177</v>
      </c>
      <c r="E178" t="str">
        <f t="shared" si="9"/>
        <v>E2_7_7_60</v>
      </c>
      <c r="F178" s="11" t="s">
        <v>14018</v>
      </c>
      <c r="G178" s="11" t="s">
        <v>14621</v>
      </c>
      <c r="H178" s="11" t="s">
        <v>15223</v>
      </c>
      <c r="I178" s="11" t="s">
        <v>15844</v>
      </c>
      <c r="J178" s="12" t="str">
        <f t="shared" si="10"/>
        <v>(${Variables:E2_7_7_60_kcat} * E2_7_7_60 * C00063 * C11434)/(${Variables:E2_7_7_60_km} + (E2_7_7_60 * C00063 * C11434))</v>
      </c>
      <c r="K178" s="11" t="str">
        <f t="shared" si="11"/>
        <v>r177: C00063 + C11434 -&gt; C00013 + C11435 | (${Variables:E2_7_7_60_kcat} * E2_7_7_60 * C00063 * C11434)/(${Variables:E2_7_7_60_km} + (E2_7_7_60 * C00063 * C11434))</v>
      </c>
    </row>
    <row r="179" spans="1:11" ht="45" customHeight="1" x14ac:dyDescent="0.25">
      <c r="A179" t="s">
        <v>664</v>
      </c>
      <c r="B179" t="s">
        <v>665</v>
      </c>
      <c r="C179" s="5" t="s">
        <v>9435</v>
      </c>
      <c r="D179">
        <f t="shared" si="8"/>
        <v>178</v>
      </c>
      <c r="E179" t="str">
        <f t="shared" si="9"/>
        <v>E2_7_1_148</v>
      </c>
      <c r="F179" s="11" t="s">
        <v>14019</v>
      </c>
      <c r="G179" s="11" t="s">
        <v>14622</v>
      </c>
      <c r="H179" s="11" t="s">
        <v>15224</v>
      </c>
      <c r="I179" s="11" t="s">
        <v>15845</v>
      </c>
      <c r="J179" s="12" t="str">
        <f t="shared" si="10"/>
        <v>(${Variables:E2_7_1_148_kcat} * E2_7_1_148 * C00002 * C11435)/(${Variables:E2_7_1_148_km} + (E2_7_1_148 * C00002 * C11435))</v>
      </c>
      <c r="K179" s="11" t="str">
        <f t="shared" si="11"/>
        <v>r178: C00002 + C11435 -&gt; C00008 + C11436 | (${Variables:E2_7_1_148_kcat} * E2_7_1_148 * C00002 * C11435)/(${Variables:E2_7_1_148_km} + (E2_7_1_148 * C00002 * C11435))</v>
      </c>
    </row>
    <row r="180" spans="1:11" ht="45" customHeight="1" x14ac:dyDescent="0.25">
      <c r="A180" t="s">
        <v>667</v>
      </c>
      <c r="B180" t="s">
        <v>668</v>
      </c>
      <c r="C180" s="5" t="s">
        <v>9436</v>
      </c>
      <c r="D180">
        <f t="shared" si="8"/>
        <v>179</v>
      </c>
      <c r="E180" t="str">
        <f t="shared" si="9"/>
        <v>E3_5_99_2</v>
      </c>
      <c r="F180" s="11" t="s">
        <v>14020</v>
      </c>
      <c r="G180" s="11" t="s">
        <v>14623</v>
      </c>
      <c r="H180" s="11" t="s">
        <v>15225</v>
      </c>
      <c r="I180" s="11" t="s">
        <v>15846</v>
      </c>
      <c r="J180" s="12" t="str">
        <f t="shared" si="10"/>
        <v>(${Variables:E3_5_99_2_kcat} * E3_5_99_2 * C00001 * C20267)/(${Variables:E3_5_99_2_km} + (E3_5_99_2 * C00001 * C20267))</v>
      </c>
      <c r="K180" s="11" t="str">
        <f t="shared" si="11"/>
        <v>r179: C00001 + C20267 -&gt; C00014 + C01279 | (${Variables:E3_5_99_2_kcat} * E3_5_99_2 * C00001 * C20267)/(${Variables:E3_5_99_2_km} + (E3_5_99_2 * C00001 * C20267))</v>
      </c>
    </row>
    <row r="181" spans="1:11" ht="45" customHeight="1" x14ac:dyDescent="0.25">
      <c r="A181" t="s">
        <v>667</v>
      </c>
      <c r="B181" t="s">
        <v>668</v>
      </c>
      <c r="C181" s="5" t="s">
        <v>9436</v>
      </c>
      <c r="D181">
        <f t="shared" si="8"/>
        <v>180</v>
      </c>
      <c r="E181" t="str">
        <f t="shared" si="9"/>
        <v>E3_5_99_2</v>
      </c>
      <c r="F181" s="11" t="s">
        <v>14021</v>
      </c>
      <c r="G181" s="11" t="s">
        <v>14624</v>
      </c>
      <c r="H181" s="11" t="s">
        <v>15226</v>
      </c>
      <c r="I181" s="11" t="s">
        <v>15847</v>
      </c>
      <c r="J181" s="12" t="str">
        <f t="shared" si="10"/>
        <v>(${Variables:E3_5_99_2_kcat} * E3_5_99_2 * C00001 * C00378)/(${Variables:E3_5_99_2_km} + (E3_5_99_2 * C00001 * C00378))</v>
      </c>
      <c r="K181" s="11" t="str">
        <f t="shared" si="11"/>
        <v>r180: C00001 + C00378 -&gt; C00080 + C01279 + C04294 | (${Variables:E3_5_99_2_kcat} * E3_5_99_2 * C00001 * C00378)/(${Variables:E3_5_99_2_km} + (E3_5_99_2 * C00001 * C00378))</v>
      </c>
    </row>
    <row r="182" spans="1:11" ht="45" customHeight="1" x14ac:dyDescent="0.25">
      <c r="A182" t="s">
        <v>676</v>
      </c>
      <c r="B182" t="s">
        <v>677</v>
      </c>
      <c r="C182" s="5" t="s">
        <v>9437</v>
      </c>
      <c r="D182">
        <f t="shared" si="8"/>
        <v>181</v>
      </c>
      <c r="E182" t="str">
        <f t="shared" si="9"/>
        <v>E3_4_15_6</v>
      </c>
      <c r="F182" s="11" t="s">
        <v>14022</v>
      </c>
      <c r="G182" s="11" t="s">
        <v>14625</v>
      </c>
      <c r="H182" s="11" t="s">
        <v>9019</v>
      </c>
      <c r="I182" s="11" t="s">
        <v>9218</v>
      </c>
      <c r="J182" s="12" t="str">
        <f t="shared" si="10"/>
        <v>(${Variables:E3_4_15_6_kcat} * E3_4_15_6 * C00001 * C19713)/(${Variables:E3_4_15_6_km} + (E3_4_15_6 * C00001 * C19713))</v>
      </c>
      <c r="K182" s="11" t="str">
        <f t="shared" si="11"/>
        <v>r181: C00001 + C19713 -&gt; C19709 + C19843 | (${Variables:E3_4_15_6_kcat} * E3_4_15_6 * C00001 * C19713)/(${Variables:E3_4_15_6_km} + (E3_4_15_6 * C00001 * C19713))</v>
      </c>
    </row>
    <row r="183" spans="1:11" ht="45" customHeight="1" x14ac:dyDescent="0.25">
      <c r="A183" t="s">
        <v>722</v>
      </c>
      <c r="B183" t="s">
        <v>723</v>
      </c>
      <c r="C183" s="5" t="s">
        <v>9438</v>
      </c>
      <c r="D183">
        <f t="shared" si="8"/>
        <v>182</v>
      </c>
      <c r="E183" t="str">
        <f t="shared" si="9"/>
        <v>E2_7_7_22</v>
      </c>
      <c r="F183" s="11" t="s">
        <v>8683</v>
      </c>
      <c r="G183" s="11" t="s">
        <v>8849</v>
      </c>
      <c r="H183" s="11" t="s">
        <v>9020</v>
      </c>
      <c r="I183" s="11" t="s">
        <v>9219</v>
      </c>
      <c r="J183" s="12" t="str">
        <f t="shared" si="10"/>
        <v>(${Variables:E2_7_7_22_kcat} * E2_7_7_22 * C00035 * C00636)/(${Variables:E2_7_7_22_km} + (E2_7_7_22 * C00035 * C00636))</v>
      </c>
      <c r="K183" s="11" t="str">
        <f t="shared" si="11"/>
        <v>r182: C00035 + C00636 -&gt; C00009 + C00096 | (${Variables:E2_7_7_22_kcat} * E2_7_7_22 * C00035 * C00636)/(${Variables:E2_7_7_22_km} + (E2_7_7_22 * C00035 * C00636))</v>
      </c>
    </row>
    <row r="184" spans="1:11" ht="45" customHeight="1" x14ac:dyDescent="0.25">
      <c r="A184" t="s">
        <v>725</v>
      </c>
      <c r="B184" t="s">
        <v>726</v>
      </c>
      <c r="C184" s="5" t="s">
        <v>9439</v>
      </c>
      <c r="D184">
        <f t="shared" si="8"/>
        <v>183</v>
      </c>
      <c r="E184" t="str">
        <f t="shared" si="9"/>
        <v>E2_7_6_3</v>
      </c>
      <c r="F184" s="11" t="s">
        <v>8684</v>
      </c>
      <c r="G184" s="11" t="s">
        <v>8850</v>
      </c>
      <c r="H184" s="11" t="s">
        <v>9021</v>
      </c>
      <c r="I184" s="11" t="s">
        <v>9220</v>
      </c>
      <c r="J184" s="12" t="str">
        <f t="shared" si="10"/>
        <v>(${Variables:E2_7_6_3_kcat} * E2_7_6_3 * C00002 * C01300)/(${Variables:E2_7_6_3_km} + (E2_7_6_3 * C00002 * C01300))</v>
      </c>
      <c r="K184" s="11" t="str">
        <f t="shared" si="11"/>
        <v>r183: C00002 + C01300 -&gt; C00020 + C04807 | (${Variables:E2_7_6_3_kcat} * E2_7_6_3 * C00002 * C01300)/(${Variables:E2_7_6_3_km} + (E2_7_6_3 * C00002 * C01300))</v>
      </c>
    </row>
    <row r="185" spans="1:11" ht="45" customHeight="1" x14ac:dyDescent="0.25">
      <c r="A185" t="s">
        <v>728</v>
      </c>
      <c r="B185" t="s">
        <v>729</v>
      </c>
      <c r="C185" s="5" t="s">
        <v>9440</v>
      </c>
      <c r="D185">
        <f t="shared" si="8"/>
        <v>184</v>
      </c>
      <c r="E185" t="str">
        <f t="shared" si="9"/>
        <v>E2_7_7_8</v>
      </c>
      <c r="F185" s="11" t="s">
        <v>14023</v>
      </c>
      <c r="G185" s="11" t="s">
        <v>14626</v>
      </c>
      <c r="H185" s="11" t="s">
        <v>9022</v>
      </c>
      <c r="I185" s="11" t="s">
        <v>9221</v>
      </c>
      <c r="J185" s="12" t="str">
        <f t="shared" si="10"/>
        <v>(${Variables:E2_7_7_8_kcat} * E2_7_7_8 * C00009 * C00046)/(${Variables:E2_7_7_8_km} + (E2_7_7_8 * C00009 * C00046))</v>
      </c>
      <c r="K185" s="11" t="str">
        <f t="shared" si="11"/>
        <v>r184: C00009 + C00046 -&gt; C00046 + C00454 | (${Variables:E2_7_7_8_kcat} * E2_7_7_8 * C00009 * C00046)/(${Variables:E2_7_7_8_km} + (E2_7_7_8 * C00009 * C00046))</v>
      </c>
    </row>
    <row r="186" spans="1:11" ht="45" customHeight="1" x14ac:dyDescent="0.25">
      <c r="A186" t="s">
        <v>728</v>
      </c>
      <c r="B186" t="s">
        <v>729</v>
      </c>
      <c r="C186" s="5" t="s">
        <v>9440</v>
      </c>
      <c r="D186">
        <f t="shared" si="8"/>
        <v>185</v>
      </c>
      <c r="E186" t="str">
        <f t="shared" si="9"/>
        <v>E2_7_7_8</v>
      </c>
      <c r="F186" s="11" t="s">
        <v>14023</v>
      </c>
      <c r="G186" s="11" t="s">
        <v>14626</v>
      </c>
      <c r="H186" s="11" t="s">
        <v>15227</v>
      </c>
      <c r="I186" s="11" t="s">
        <v>15848</v>
      </c>
      <c r="J186" s="12" t="str">
        <f t="shared" si="10"/>
        <v>(${Variables:E2_7_7_8_kcat} * E2_7_7_8 * C00009 * C00046)/(${Variables:E2_7_7_8_km} + (E2_7_7_8 * C00009 * C00046))</v>
      </c>
      <c r="K186" s="11" t="str">
        <f t="shared" si="11"/>
        <v>r185: C00009 + C00046 -&gt; C00008 + C00046 | (${Variables:E2_7_7_8_kcat} * E2_7_7_8 * C00009 * C00046)/(${Variables:E2_7_7_8_km} + (E2_7_7_8 * C00009 * C00046))</v>
      </c>
    </row>
    <row r="187" spans="1:11" ht="45" customHeight="1" x14ac:dyDescent="0.25">
      <c r="A187" t="s">
        <v>728</v>
      </c>
      <c r="B187" t="s">
        <v>729</v>
      </c>
      <c r="C187" s="5" t="s">
        <v>9440</v>
      </c>
      <c r="D187">
        <f t="shared" si="8"/>
        <v>186</v>
      </c>
      <c r="E187" t="str">
        <f t="shared" si="9"/>
        <v>E2_7_7_8</v>
      </c>
      <c r="F187" s="11" t="s">
        <v>14023</v>
      </c>
      <c r="G187" s="11" t="s">
        <v>14626</v>
      </c>
      <c r="H187" s="11" t="s">
        <v>15228</v>
      </c>
      <c r="I187" s="11" t="s">
        <v>15849</v>
      </c>
      <c r="J187" s="12" t="str">
        <f t="shared" si="10"/>
        <v>(${Variables:E2_7_7_8_kcat} * E2_7_7_8 * C00009 * C00046)/(${Variables:E2_7_7_8_km} + (E2_7_7_8 * C00009 * C00046))</v>
      </c>
      <c r="K187" s="11" t="str">
        <f t="shared" si="11"/>
        <v>r186: C00009 + C00046 -&gt; C00015 + C00046 | (${Variables:E2_7_7_8_kcat} * E2_7_7_8 * C00009 * C00046)/(${Variables:E2_7_7_8_km} + (E2_7_7_8 * C00009 * C00046))</v>
      </c>
    </row>
    <row r="188" spans="1:11" ht="45" customHeight="1" x14ac:dyDescent="0.25">
      <c r="A188" t="s">
        <v>728</v>
      </c>
      <c r="B188" t="s">
        <v>729</v>
      </c>
      <c r="C188" s="5" t="s">
        <v>9440</v>
      </c>
      <c r="D188">
        <f t="shared" si="8"/>
        <v>187</v>
      </c>
      <c r="E188" t="str">
        <f t="shared" si="9"/>
        <v>E2_7_7_8</v>
      </c>
      <c r="F188" s="11" t="s">
        <v>14023</v>
      </c>
      <c r="G188" s="11" t="s">
        <v>14626</v>
      </c>
      <c r="H188" s="11" t="s">
        <v>15229</v>
      </c>
      <c r="I188" s="11" t="s">
        <v>15850</v>
      </c>
      <c r="J188" s="12" t="str">
        <f t="shared" si="10"/>
        <v>(${Variables:E2_7_7_8_kcat} * E2_7_7_8 * C00009 * C00046)/(${Variables:E2_7_7_8_km} + (E2_7_7_8 * C00009 * C00046))</v>
      </c>
      <c r="K188" s="11" t="str">
        <f t="shared" si="11"/>
        <v>r187: C00009 + C00046 -&gt; C00035 + C00046 | (${Variables:E2_7_7_8_kcat} * E2_7_7_8 * C00009 * C00046)/(${Variables:E2_7_7_8_km} + (E2_7_7_8 * C00009 * C00046))</v>
      </c>
    </row>
    <row r="189" spans="1:11" ht="45" customHeight="1" x14ac:dyDescent="0.25">
      <c r="A189" t="s">
        <v>728</v>
      </c>
      <c r="B189" t="s">
        <v>729</v>
      </c>
      <c r="C189" s="5" t="s">
        <v>9440</v>
      </c>
      <c r="D189">
        <f t="shared" si="8"/>
        <v>188</v>
      </c>
      <c r="E189" t="str">
        <f t="shared" si="9"/>
        <v>E2_7_7_8</v>
      </c>
      <c r="F189" s="11" t="s">
        <v>14023</v>
      </c>
      <c r="G189" s="11" t="s">
        <v>14626</v>
      </c>
      <c r="H189" s="11" t="s">
        <v>9023</v>
      </c>
      <c r="I189" s="11" t="s">
        <v>9222</v>
      </c>
      <c r="J189" s="12" t="str">
        <f t="shared" si="10"/>
        <v>(${Variables:E2_7_7_8_kcat} * E2_7_7_8 * C00009 * C00046)/(${Variables:E2_7_7_8_km} + (E2_7_7_8 * C00009 * C00046))</v>
      </c>
      <c r="K189" s="11" t="str">
        <f t="shared" si="11"/>
        <v>r188: C00009 + C00046 -&gt; C00046 + C00112 | (${Variables:E2_7_7_8_kcat} * E2_7_7_8 * C00009 * C00046)/(${Variables:E2_7_7_8_km} + (E2_7_7_8 * C00009 * C00046))</v>
      </c>
    </row>
    <row r="190" spans="1:11" ht="45" customHeight="1" x14ac:dyDescent="0.25">
      <c r="A190" t="s">
        <v>747</v>
      </c>
      <c r="B190" t="s">
        <v>748</v>
      </c>
      <c r="C190" s="5" t="s">
        <v>9441</v>
      </c>
      <c r="D190">
        <f t="shared" si="8"/>
        <v>189</v>
      </c>
      <c r="E190" t="str">
        <f t="shared" si="9"/>
        <v>E4_1_1_23</v>
      </c>
      <c r="F190" s="11" t="s">
        <v>8154</v>
      </c>
      <c r="G190" s="11" t="s">
        <v>8154</v>
      </c>
      <c r="H190" s="11" t="s">
        <v>15230</v>
      </c>
      <c r="I190" s="11" t="s">
        <v>15851</v>
      </c>
      <c r="J190" s="12" t="str">
        <f t="shared" si="10"/>
        <v>(${Variables:E4_1_1_23_kcat} * E4_1_1_23 * C01103)/(${Variables:E4_1_1_23_km} + (E4_1_1_23 * C01103))</v>
      </c>
      <c r="K190" s="11" t="str">
        <f t="shared" si="11"/>
        <v>r189: C01103 -&gt; C00011 + C00105 | (${Variables:E4_1_1_23_kcat} * E4_1_1_23 * C01103)/(${Variables:E4_1_1_23_km} + (E4_1_1_23 * C01103))</v>
      </c>
    </row>
    <row r="191" spans="1:11" ht="45" customHeight="1" x14ac:dyDescent="0.25">
      <c r="A191" t="s">
        <v>750</v>
      </c>
      <c r="B191" t="s">
        <v>751</v>
      </c>
      <c r="C191" s="5" t="s">
        <v>9442</v>
      </c>
      <c r="D191">
        <f t="shared" si="8"/>
        <v>190</v>
      </c>
      <c r="E191" t="str">
        <f t="shared" si="9"/>
        <v>E2_4_2_10</v>
      </c>
      <c r="F191" s="11" t="s">
        <v>14024</v>
      </c>
      <c r="G191" s="11" t="s">
        <v>14627</v>
      </c>
      <c r="H191" s="11" t="s">
        <v>15231</v>
      </c>
      <c r="I191" s="11" t="s">
        <v>15852</v>
      </c>
      <c r="J191" s="12" t="str">
        <f t="shared" si="10"/>
        <v>(${Variables:E2_4_2_10_kcat} * E2_4_2_10 * C00013 * C01103)/(${Variables:E2_4_2_10_km} + (E2_4_2_10 * C00013 * C01103))</v>
      </c>
      <c r="K191" s="11" t="str">
        <f t="shared" si="11"/>
        <v>r190: C00013 + C01103 -&gt; C00119 + C00295 | (${Variables:E2_4_2_10_kcat} * E2_4_2_10 * C00013 * C01103)/(${Variables:E2_4_2_10_km} + (E2_4_2_10 * C00013 * C01103))</v>
      </c>
    </row>
    <row r="192" spans="1:11" ht="45" customHeight="1" x14ac:dyDescent="0.25">
      <c r="A192" t="s">
        <v>750</v>
      </c>
      <c r="B192" t="s">
        <v>751</v>
      </c>
      <c r="C192" s="5" t="s">
        <v>9442</v>
      </c>
      <c r="D192">
        <f t="shared" si="8"/>
        <v>191</v>
      </c>
      <c r="E192" t="str">
        <f t="shared" si="9"/>
        <v>E2_4_2_10</v>
      </c>
      <c r="F192" s="11" t="s">
        <v>14025</v>
      </c>
      <c r="G192" s="11" t="s">
        <v>14628</v>
      </c>
      <c r="H192" s="11" t="s">
        <v>15232</v>
      </c>
      <c r="I192" s="11" t="s">
        <v>15853</v>
      </c>
      <c r="J192" s="12" t="str">
        <f t="shared" si="10"/>
        <v>(${Variables:E2_4_2_10_kcat} * E2_4_2_10 * C00119 * C07649)/(${Variables:E2_4_2_10_km} + (E2_4_2_10 * C00119 * C07649))</v>
      </c>
      <c r="K192" s="11" t="str">
        <f t="shared" si="11"/>
        <v>r191: C00119 + C07649 -&gt; C00013 + C16634 | (${Variables:E2_4_2_10_kcat} * E2_4_2_10 * C00119 * C07649)/(${Variables:E2_4_2_10_km} + (E2_4_2_10 * C00119 * C07649))</v>
      </c>
    </row>
    <row r="193" spans="1:11" ht="45" customHeight="1" x14ac:dyDescent="0.25">
      <c r="A193" t="s">
        <v>755</v>
      </c>
      <c r="B193" t="s">
        <v>756</v>
      </c>
      <c r="C193" s="5" t="s">
        <v>9443</v>
      </c>
      <c r="D193">
        <f t="shared" si="8"/>
        <v>192</v>
      </c>
      <c r="E193" t="str">
        <f t="shared" si="9"/>
        <v>E1_1_1_94</v>
      </c>
      <c r="F193" s="11" t="s">
        <v>14026</v>
      </c>
      <c r="G193" s="11" t="s">
        <v>14629</v>
      </c>
      <c r="H193" s="11" t="s">
        <v>15233</v>
      </c>
      <c r="I193" s="11" t="s">
        <v>15854</v>
      </c>
      <c r="J193" s="12" t="str">
        <f t="shared" si="10"/>
        <v>(${Variables:E1_1_1_94_kcat} * E1_1_1_94 * C00003 * C00093)/(${Variables:E1_1_1_94_km} + (E1_1_1_94 * C00003 * C00093))</v>
      </c>
      <c r="K193" s="11" t="str">
        <f t="shared" si="11"/>
        <v>r192: C00003 + C00093 -&gt; C00004 + C00080 + C00111 | (${Variables:E1_1_1_94_kcat} * E1_1_1_94 * C00003 * C00093)/(${Variables:E1_1_1_94_km} + (E1_1_1_94 * C00003 * C00093))</v>
      </c>
    </row>
    <row r="194" spans="1:11" ht="45" customHeight="1" x14ac:dyDescent="0.25">
      <c r="A194" t="s">
        <v>755</v>
      </c>
      <c r="B194" t="s">
        <v>756</v>
      </c>
      <c r="C194" s="5" t="s">
        <v>9443</v>
      </c>
      <c r="D194">
        <f t="shared" si="8"/>
        <v>193</v>
      </c>
      <c r="E194" t="str">
        <f t="shared" si="9"/>
        <v>E1_1_1_94</v>
      </c>
      <c r="F194" s="11" t="s">
        <v>14027</v>
      </c>
      <c r="G194" s="11" t="s">
        <v>14630</v>
      </c>
      <c r="H194" s="11" t="s">
        <v>15234</v>
      </c>
      <c r="I194" s="11" t="s">
        <v>15855</v>
      </c>
      <c r="J194" s="12" t="str">
        <f t="shared" si="10"/>
        <v>(${Variables:E1_1_1_94_kcat} * E1_1_1_94 * C00006 * C00093)/(${Variables:E1_1_1_94_km} + (E1_1_1_94 * C00006 * C00093))</v>
      </c>
      <c r="K194" s="11" t="str">
        <f t="shared" si="11"/>
        <v>r193: C00006 + C00093 -&gt; C00005 + C00080 + C00111 | (${Variables:E1_1_1_94_kcat} * E1_1_1_94 * C00006 * C00093)/(${Variables:E1_1_1_94_km} + (E1_1_1_94 * C00006 * C00093))</v>
      </c>
    </row>
    <row r="195" spans="1:11" ht="45" customHeight="1" x14ac:dyDescent="0.25">
      <c r="A195" t="s">
        <v>760</v>
      </c>
      <c r="B195" t="s">
        <v>761</v>
      </c>
      <c r="C195" s="5" t="s">
        <v>9444</v>
      </c>
      <c r="D195">
        <f t="shared" ref="D195:D258" si="12">ROW()-1</f>
        <v>194</v>
      </c>
      <c r="E195" t="str">
        <f t="shared" ref="E195:E258" si="13">_xlfn.CONCAT("E", C195)</f>
        <v>E3_1_1_24</v>
      </c>
      <c r="F195" s="11" t="s">
        <v>14028</v>
      </c>
      <c r="G195" s="11" t="s">
        <v>14631</v>
      </c>
      <c r="H195" s="11" t="s">
        <v>8438</v>
      </c>
      <c r="I195" s="11" t="s">
        <v>8438</v>
      </c>
      <c r="J195" s="12" t="str">
        <f t="shared" ref="J195:J258" si="14">CONCATENATE("(${Variables:",E195,"_kcat","} * ",E195," * ",G195,")","/(${Variables:",E195,"_km","} + (",E195," * ",G195,"))")</f>
        <v>(${Variables:E3_1_1_24_kcat} * E3_1_1_24 * C00001 * C03586)/(${Variables:E3_1_1_24_km} + (E3_1_1_24 * C00001 * C03586))</v>
      </c>
      <c r="K195" s="11" t="str">
        <f t="shared" ref="K195:K258" si="15">CONCATENATE("r",D195,": ",F195," -&gt; ",H195," | ",J195)</f>
        <v>r194: C00001 + C03586 -&gt; C00846 | (${Variables:E3_1_1_24_kcat} * E3_1_1_24 * C00001 * C03586)/(${Variables:E3_1_1_24_km} + (E3_1_1_24 * C00001 * C03586))</v>
      </c>
    </row>
    <row r="196" spans="1:11" ht="45" customHeight="1" x14ac:dyDescent="0.25">
      <c r="A196" t="s">
        <v>768</v>
      </c>
      <c r="B196" t="s">
        <v>769</v>
      </c>
      <c r="C196" s="5" t="s">
        <v>9445</v>
      </c>
      <c r="D196">
        <f t="shared" si="12"/>
        <v>195</v>
      </c>
      <c r="E196" t="str">
        <f t="shared" si="13"/>
        <v>E2_8_1_7</v>
      </c>
      <c r="F196" s="11" t="s">
        <v>14029</v>
      </c>
      <c r="G196" s="11" t="s">
        <v>14632</v>
      </c>
      <c r="H196" s="11" t="s">
        <v>15235</v>
      </c>
      <c r="I196" s="11" t="s">
        <v>15856</v>
      </c>
      <c r="J196" s="12" t="str">
        <f t="shared" si="14"/>
        <v>(${Variables:E2_8_1_7_kcat} * E2_8_1_7 * C00097 * C15811)/(${Variables:E2_8_1_7_km} + (E2_8_1_7 * C00097 * C15811))</v>
      </c>
      <c r="K196" s="11" t="str">
        <f t="shared" si="15"/>
        <v>r195: C00097 + C15811 -&gt; C00041 + C15812 | (${Variables:E2_8_1_7_kcat} * E2_8_1_7 * C00097 * C15811)/(${Variables:E2_8_1_7_km} + (E2_8_1_7 * C00097 * C15811))</v>
      </c>
    </row>
    <row r="197" spans="1:11" ht="45" customHeight="1" x14ac:dyDescent="0.25">
      <c r="A197" t="s">
        <v>768</v>
      </c>
      <c r="B197" t="s">
        <v>769</v>
      </c>
      <c r="C197" s="5" t="s">
        <v>9445</v>
      </c>
      <c r="D197">
        <f t="shared" si="12"/>
        <v>196</v>
      </c>
      <c r="E197" t="str">
        <f t="shared" si="13"/>
        <v>E2_8_1_7</v>
      </c>
      <c r="F197" s="11" t="s">
        <v>8685</v>
      </c>
      <c r="G197" s="11" t="s">
        <v>8851</v>
      </c>
      <c r="H197" s="11" t="s">
        <v>9024</v>
      </c>
      <c r="I197" s="11" t="s">
        <v>9223</v>
      </c>
      <c r="J197" s="12" t="str">
        <f t="shared" si="14"/>
        <v>(${Variables:E2_8_1_7_kcat} * E2_8_1_7 * C00097 * C02743)/(${Variables:E2_8_1_7_km} + (E2_8_1_7 * C00097 * C02743))</v>
      </c>
      <c r="K197" s="11" t="str">
        <f t="shared" si="15"/>
        <v>r196: C00097 + C02743 -&gt; C00041 + C21440 | (${Variables:E2_8_1_7_kcat} * E2_8_1_7 * C00097 * C02743)/(${Variables:E2_8_1_7_km} + (E2_8_1_7 * C00097 * C02743))</v>
      </c>
    </row>
    <row r="198" spans="1:11" ht="45" customHeight="1" x14ac:dyDescent="0.25">
      <c r="A198" t="s">
        <v>768</v>
      </c>
      <c r="B198" t="s">
        <v>769</v>
      </c>
      <c r="C198" s="5" t="s">
        <v>9445</v>
      </c>
      <c r="D198">
        <f t="shared" si="12"/>
        <v>197</v>
      </c>
      <c r="E198" t="str">
        <f t="shared" si="13"/>
        <v>E2_8_1_7</v>
      </c>
      <c r="F198" s="11" t="s">
        <v>14030</v>
      </c>
      <c r="G198" s="11" t="s">
        <v>14633</v>
      </c>
      <c r="H198" s="11" t="s">
        <v>9025</v>
      </c>
      <c r="I198" s="11" t="s">
        <v>9224</v>
      </c>
      <c r="J198" s="12" t="str">
        <f t="shared" si="14"/>
        <v>(${Variables:E2_8_1_7_kcat} * E2_8_1_7 * C02743 * C15812)/(${Variables:E2_8_1_7_km} + (E2_8_1_7 * C02743 * C15812))</v>
      </c>
      <c r="K198" s="11" t="str">
        <f t="shared" si="15"/>
        <v>r197: C02743 + C15812 -&gt; C15811 + C21440 | (${Variables:E2_8_1_7_kcat} * E2_8_1_7 * C02743 * C15812)/(${Variables:E2_8_1_7_km} + (E2_8_1_7 * C02743 * C15812))</v>
      </c>
    </row>
    <row r="199" spans="1:11" ht="45" customHeight="1" x14ac:dyDescent="0.25">
      <c r="A199" t="s">
        <v>803</v>
      </c>
      <c r="B199" t="s">
        <v>804</v>
      </c>
      <c r="C199" s="5" t="s">
        <v>9446</v>
      </c>
      <c r="D199">
        <f t="shared" si="12"/>
        <v>198</v>
      </c>
      <c r="E199" t="str">
        <f t="shared" si="13"/>
        <v>E4_1_3_1</v>
      </c>
      <c r="F199" s="11" t="s">
        <v>8156</v>
      </c>
      <c r="G199" s="11" t="s">
        <v>8156</v>
      </c>
      <c r="H199" s="11" t="s">
        <v>9026</v>
      </c>
      <c r="I199" s="11" t="s">
        <v>9225</v>
      </c>
      <c r="J199" s="12" t="str">
        <f t="shared" si="14"/>
        <v>(${Variables:E4_1_3_1_kcat} * E4_1_3_1 * C00311)/(${Variables:E4_1_3_1_km} + (E4_1_3_1 * C00311))</v>
      </c>
      <c r="K199" s="11" t="str">
        <f t="shared" si="15"/>
        <v>r198: C00311 -&gt; C00042 + C00048 | (${Variables:E4_1_3_1_kcat} * E4_1_3_1 * C00311)/(${Variables:E4_1_3_1_km} + (E4_1_3_1 * C00311))</v>
      </c>
    </row>
    <row r="200" spans="1:11" ht="45" customHeight="1" x14ac:dyDescent="0.25">
      <c r="A200" t="s">
        <v>818</v>
      </c>
      <c r="B200" t="s">
        <v>819</v>
      </c>
      <c r="C200" s="5" t="s">
        <v>9447</v>
      </c>
      <c r="D200">
        <f t="shared" si="12"/>
        <v>199</v>
      </c>
      <c r="E200" t="str">
        <f t="shared" si="13"/>
        <v>E6_1_1_7</v>
      </c>
      <c r="F200" s="11" t="s">
        <v>8686</v>
      </c>
      <c r="G200" s="11" t="s">
        <v>8852</v>
      </c>
      <c r="H200" s="11" t="s">
        <v>15236</v>
      </c>
      <c r="I200" s="11" t="s">
        <v>15857</v>
      </c>
      <c r="J200" s="12" t="str">
        <f t="shared" si="14"/>
        <v>(${Variables:E6_1_1_7_kcat} * E6_1_1_7 * C00002 * C00041 * C01635)/(${Variables:E6_1_1_7_km} + (E6_1_1_7 * C00002 * C00041 * C01635))</v>
      </c>
      <c r="K200" s="11" t="str">
        <f t="shared" si="15"/>
        <v>r199: C00002 + C00041 + C01635 -&gt; C00013 + C00020 + C00886 | (${Variables:E6_1_1_7_kcat} * E6_1_1_7 * C00002 * C00041 * C01635)/(${Variables:E6_1_1_7_km} + (E6_1_1_7 * C00002 * C00041 * C01635))</v>
      </c>
    </row>
    <row r="201" spans="1:11" ht="45" customHeight="1" x14ac:dyDescent="0.25">
      <c r="A201" t="s">
        <v>838</v>
      </c>
      <c r="B201" t="s">
        <v>839</v>
      </c>
      <c r="C201" s="5" t="s">
        <v>9448</v>
      </c>
      <c r="D201">
        <f t="shared" si="12"/>
        <v>200</v>
      </c>
      <c r="E201" t="str">
        <f t="shared" si="13"/>
        <v>E5_5_1_1</v>
      </c>
      <c r="F201" s="11" t="s">
        <v>8158</v>
      </c>
      <c r="G201" s="11" t="s">
        <v>8158</v>
      </c>
      <c r="H201" s="11" t="s">
        <v>8159</v>
      </c>
      <c r="I201" s="11" t="s">
        <v>8159</v>
      </c>
      <c r="J201" s="12" t="str">
        <f t="shared" si="14"/>
        <v>(${Variables:E5_5_1_1_kcat} * E5_5_1_1 * C04105)/(${Variables:E5_5_1_1_km} + (E5_5_1_1 * C04105))</v>
      </c>
      <c r="K201" s="11" t="str">
        <f t="shared" si="15"/>
        <v>r200: C04105 -&gt; C02480 | (${Variables:E5_5_1_1_kcat} * E5_5_1_1 * C04105)/(${Variables:E5_5_1_1_km} + (E5_5_1_1 * C04105))</v>
      </c>
    </row>
    <row r="202" spans="1:11" ht="45" customHeight="1" x14ac:dyDescent="0.25">
      <c r="A202" t="s">
        <v>838</v>
      </c>
      <c r="B202" t="s">
        <v>839</v>
      </c>
      <c r="C202" s="5" t="s">
        <v>9448</v>
      </c>
      <c r="D202">
        <f t="shared" si="12"/>
        <v>201</v>
      </c>
      <c r="E202" t="str">
        <f t="shared" si="13"/>
        <v>E5_5_1_1</v>
      </c>
      <c r="F202" s="11" t="s">
        <v>8159</v>
      </c>
      <c r="G202" s="11" t="s">
        <v>8159</v>
      </c>
      <c r="H202" s="11" t="s">
        <v>8442</v>
      </c>
      <c r="I202" s="11" t="s">
        <v>8442</v>
      </c>
      <c r="J202" s="12" t="str">
        <f t="shared" si="14"/>
        <v>(${Variables:E5_5_1_1_kcat} * E5_5_1_1 * C02480)/(${Variables:E5_5_1_1_km} + (E5_5_1_1 * C02480))</v>
      </c>
      <c r="K202" s="11" t="str">
        <f t="shared" si="15"/>
        <v>r201: C02480 -&gt; C14610 | (${Variables:E5_5_1_1_kcat} * E5_5_1_1 * C02480)/(${Variables:E5_5_1_1_km} + (E5_5_1_1 * C02480))</v>
      </c>
    </row>
    <row r="203" spans="1:11" ht="45" customHeight="1" x14ac:dyDescent="0.25">
      <c r="A203" t="s">
        <v>838</v>
      </c>
      <c r="B203" t="s">
        <v>839</v>
      </c>
      <c r="C203" s="5" t="s">
        <v>9448</v>
      </c>
      <c r="D203">
        <f t="shared" si="12"/>
        <v>202</v>
      </c>
      <c r="E203" t="str">
        <f t="shared" si="13"/>
        <v>E5_5_1_1</v>
      </c>
      <c r="F203" s="11" t="s">
        <v>8160</v>
      </c>
      <c r="G203" s="11" t="s">
        <v>8160</v>
      </c>
      <c r="H203" s="11" t="s">
        <v>8163</v>
      </c>
      <c r="I203" s="11" t="s">
        <v>8163</v>
      </c>
      <c r="J203" s="12" t="str">
        <f t="shared" si="14"/>
        <v>(${Variables:E5_5_1_1_kcat} * E5_5_1_1 * C04559)/(${Variables:E5_5_1_1_km} + (E5_5_1_1 * C04559))</v>
      </c>
      <c r="K203" s="11" t="str">
        <f t="shared" si="15"/>
        <v>r202: C04559 -&gt; C04112 | (${Variables:E5_5_1_1_kcat} * E5_5_1_1 * C04559)/(${Variables:E5_5_1_1_km} + (E5_5_1_1 * C04559))</v>
      </c>
    </row>
    <row r="204" spans="1:11" ht="45" customHeight="1" x14ac:dyDescent="0.25">
      <c r="A204" t="s">
        <v>838</v>
      </c>
      <c r="B204" t="s">
        <v>839</v>
      </c>
      <c r="C204" s="5" t="s">
        <v>9448</v>
      </c>
      <c r="D204">
        <f t="shared" si="12"/>
        <v>203</v>
      </c>
      <c r="E204" t="str">
        <f t="shared" si="13"/>
        <v>E5_5_1_1</v>
      </c>
      <c r="F204" s="11" t="s">
        <v>8161</v>
      </c>
      <c r="G204" s="11" t="s">
        <v>8161</v>
      </c>
      <c r="H204" s="11" t="s">
        <v>15237</v>
      </c>
      <c r="I204" s="11" t="s">
        <v>15858</v>
      </c>
      <c r="J204" s="12" t="str">
        <f t="shared" si="14"/>
        <v>(${Variables:E5_5_1_1_kcat} * E5_5_1_1 * C03585)/(${Variables:E5_5_1_1_km} + (E5_5_1_1 * C03585))</v>
      </c>
      <c r="K204" s="11" t="str">
        <f t="shared" si="15"/>
        <v>r203: C03585 -&gt; C00011 + C01327 + C07090 | (${Variables:E5_5_1_1_kcat} * E5_5_1_1 * C03585)/(${Variables:E5_5_1_1_km} + (E5_5_1_1 * C03585))</v>
      </c>
    </row>
    <row r="205" spans="1:11" ht="45" customHeight="1" x14ac:dyDescent="0.25">
      <c r="A205" t="s">
        <v>838</v>
      </c>
      <c r="B205" t="s">
        <v>839</v>
      </c>
      <c r="C205" s="5" t="s">
        <v>9448</v>
      </c>
      <c r="D205">
        <f t="shared" si="12"/>
        <v>204</v>
      </c>
      <c r="E205" t="str">
        <f t="shared" si="13"/>
        <v>E5_5_1_1</v>
      </c>
      <c r="F205" s="11" t="s">
        <v>8162</v>
      </c>
      <c r="G205" s="11" t="s">
        <v>8162</v>
      </c>
      <c r="H205" s="11" t="s">
        <v>8443</v>
      </c>
      <c r="I205" s="11" t="s">
        <v>8443</v>
      </c>
      <c r="J205" s="12" t="str">
        <f t="shared" si="14"/>
        <v>(${Variables:E5_5_1_1_kcat} * E5_5_1_1 * C16474)/(${Variables:E5_5_1_1_km} + (E5_5_1_1 * C16474))</v>
      </c>
      <c r="K205" s="11" t="str">
        <f t="shared" si="15"/>
        <v>r204: C16474 -&gt; C16476 | (${Variables:E5_5_1_1_kcat} * E5_5_1_1 * C16474)/(${Variables:E5_5_1_1_km} + (E5_5_1_1 * C16474))</v>
      </c>
    </row>
    <row r="206" spans="1:11" ht="45" customHeight="1" x14ac:dyDescent="0.25">
      <c r="A206" t="s">
        <v>838</v>
      </c>
      <c r="B206" t="s">
        <v>839</v>
      </c>
      <c r="C206" s="5" t="s">
        <v>9448</v>
      </c>
      <c r="D206">
        <f t="shared" si="12"/>
        <v>205</v>
      </c>
      <c r="E206" t="str">
        <f t="shared" si="13"/>
        <v>E5_5_1_1</v>
      </c>
      <c r="F206" s="11" t="s">
        <v>8163</v>
      </c>
      <c r="G206" s="11" t="s">
        <v>8163</v>
      </c>
      <c r="H206" s="11" t="s">
        <v>8444</v>
      </c>
      <c r="I206" s="11" t="s">
        <v>8444</v>
      </c>
      <c r="J206" s="12" t="str">
        <f t="shared" si="14"/>
        <v>(${Variables:E5_5_1_1_kcat} * E5_5_1_1 * C04112)/(${Variables:E5_5_1_1_km} + (E5_5_1_1 * C04112))</v>
      </c>
      <c r="K206" s="11" t="str">
        <f t="shared" si="15"/>
        <v>r205: C04112 -&gt; C04558 | (${Variables:E5_5_1_1_kcat} * E5_5_1_1 * C04112)/(${Variables:E5_5_1_1_km} + (E5_5_1_1 * C04112))</v>
      </c>
    </row>
    <row r="207" spans="1:11" ht="45" customHeight="1" x14ac:dyDescent="0.25">
      <c r="A207" t="s">
        <v>871</v>
      </c>
      <c r="B207" t="s">
        <v>872</v>
      </c>
      <c r="C207" s="5" t="s">
        <v>9449</v>
      </c>
      <c r="D207">
        <f t="shared" si="12"/>
        <v>206</v>
      </c>
      <c r="E207" t="str">
        <f t="shared" si="13"/>
        <v>E4_2_1_59</v>
      </c>
      <c r="F207" s="11" t="s">
        <v>8164</v>
      </c>
      <c r="G207" s="11" t="s">
        <v>8164</v>
      </c>
      <c r="H207" s="11" t="s">
        <v>15238</v>
      </c>
      <c r="I207" s="11" t="s">
        <v>15859</v>
      </c>
      <c r="J207" s="12" t="str">
        <f t="shared" si="14"/>
        <v>(${Variables:E4_2_1_59_kcat} * E4_2_1_59 * C01271)/(${Variables:E4_2_1_59_km} + (E4_2_1_59 * C01271))</v>
      </c>
      <c r="K207" s="11" t="str">
        <f t="shared" si="15"/>
        <v>r206: C01271 -&gt; C00001 + C00693 | (${Variables:E4_2_1_59_kcat} * E4_2_1_59 * C01271)/(${Variables:E4_2_1_59_km} + (E4_2_1_59 * C01271))</v>
      </c>
    </row>
    <row r="208" spans="1:11" ht="45" customHeight="1" x14ac:dyDescent="0.25">
      <c r="A208" t="s">
        <v>871</v>
      </c>
      <c r="B208" t="s">
        <v>872</v>
      </c>
      <c r="C208" s="5" t="s">
        <v>9449</v>
      </c>
      <c r="D208">
        <f t="shared" si="12"/>
        <v>207</v>
      </c>
      <c r="E208" t="str">
        <f t="shared" si="13"/>
        <v>E4_2_1_59</v>
      </c>
      <c r="F208" s="11" t="s">
        <v>8165</v>
      </c>
      <c r="G208" s="11" t="s">
        <v>8165</v>
      </c>
      <c r="H208" s="11" t="s">
        <v>15239</v>
      </c>
      <c r="I208" s="11" t="s">
        <v>15860</v>
      </c>
      <c r="J208" s="12" t="str">
        <f t="shared" si="14"/>
        <v>(${Variables:E4_2_1_59_kcat} * E4_2_1_59 * C04618)/(${Variables:E4_2_1_59_km} + (E4_2_1_59 * C04618))</v>
      </c>
      <c r="K208" s="11" t="str">
        <f t="shared" si="15"/>
        <v>r207: C04618 -&gt; C00001 + C04246 | (${Variables:E4_2_1_59_kcat} * E4_2_1_59 * C04618)/(${Variables:E4_2_1_59_km} + (E4_2_1_59 * C04618))</v>
      </c>
    </row>
    <row r="209" spans="1:11" ht="45" customHeight="1" x14ac:dyDescent="0.25">
      <c r="A209" t="s">
        <v>871</v>
      </c>
      <c r="B209" t="s">
        <v>872</v>
      </c>
      <c r="C209" s="5" t="s">
        <v>9449</v>
      </c>
      <c r="D209">
        <f t="shared" si="12"/>
        <v>208</v>
      </c>
      <c r="E209" t="str">
        <f t="shared" si="13"/>
        <v>E4_2_1_59</v>
      </c>
      <c r="F209" s="11" t="s">
        <v>8166</v>
      </c>
      <c r="G209" s="11" t="s">
        <v>8166</v>
      </c>
      <c r="H209" s="11" t="s">
        <v>15240</v>
      </c>
      <c r="I209" s="11" t="s">
        <v>15861</v>
      </c>
      <c r="J209" s="12" t="str">
        <f t="shared" si="14"/>
        <v>(${Variables:E4_2_1_59_kcat} * E4_2_1_59 * C04619)/(${Variables:E4_2_1_59_km} + (E4_2_1_59 * C04619))</v>
      </c>
      <c r="K209" s="11" t="str">
        <f t="shared" si="15"/>
        <v>r208: C04619 -&gt; C00001 + C05754 | (${Variables:E4_2_1_59_kcat} * E4_2_1_59 * C04619)/(${Variables:E4_2_1_59_km} + (E4_2_1_59 * C04619))</v>
      </c>
    </row>
    <row r="210" spans="1:11" ht="45" customHeight="1" x14ac:dyDescent="0.25">
      <c r="A210" t="s">
        <v>871</v>
      </c>
      <c r="B210" t="s">
        <v>872</v>
      </c>
      <c r="C210" s="5" t="s">
        <v>9449</v>
      </c>
      <c r="D210">
        <f t="shared" si="12"/>
        <v>209</v>
      </c>
      <c r="E210" t="str">
        <f t="shared" si="13"/>
        <v>E4_2_1_59</v>
      </c>
      <c r="F210" s="11" t="s">
        <v>8167</v>
      </c>
      <c r="G210" s="11" t="s">
        <v>8167</v>
      </c>
      <c r="H210" s="11" t="s">
        <v>15241</v>
      </c>
      <c r="I210" s="11" t="s">
        <v>15862</v>
      </c>
      <c r="J210" s="12" t="str">
        <f t="shared" si="14"/>
        <v>(${Variables:E4_2_1_59_kcat} * E4_2_1_59 * C04620)/(${Variables:E4_2_1_59_km} + (E4_2_1_59 * C04620))</v>
      </c>
      <c r="K210" s="11" t="str">
        <f t="shared" si="15"/>
        <v>r209: C04620 -&gt; C00001 + C05751 | (${Variables:E4_2_1_59_kcat} * E4_2_1_59 * C04620)/(${Variables:E4_2_1_59_km} + (E4_2_1_59 * C04620))</v>
      </c>
    </row>
    <row r="211" spans="1:11" ht="45" customHeight="1" x14ac:dyDescent="0.25">
      <c r="A211" t="s">
        <v>871</v>
      </c>
      <c r="B211" t="s">
        <v>872</v>
      </c>
      <c r="C211" s="5" t="s">
        <v>9449</v>
      </c>
      <c r="D211">
        <f t="shared" si="12"/>
        <v>210</v>
      </c>
      <c r="E211" t="str">
        <f t="shared" si="13"/>
        <v>E4_2_1_59</v>
      </c>
      <c r="F211" s="11" t="s">
        <v>8168</v>
      </c>
      <c r="G211" s="11" t="s">
        <v>8168</v>
      </c>
      <c r="H211" s="11" t="s">
        <v>15242</v>
      </c>
      <c r="I211" s="11" t="s">
        <v>15863</v>
      </c>
      <c r="J211" s="12" t="str">
        <f t="shared" si="14"/>
        <v>(${Variables:E4_2_1_59_kcat} * E4_2_1_59 * C04633)/(${Variables:E4_2_1_59_km} + (E4_2_1_59 * C04633))</v>
      </c>
      <c r="K211" s="11" t="str">
        <f t="shared" si="15"/>
        <v>r210: C04633 -&gt; C00001 + C05763 | (${Variables:E4_2_1_59_kcat} * E4_2_1_59 * C04633)/(${Variables:E4_2_1_59_km} + (E4_2_1_59 * C04633))</v>
      </c>
    </row>
    <row r="212" spans="1:11" ht="45" customHeight="1" x14ac:dyDescent="0.25">
      <c r="A212" t="s">
        <v>871</v>
      </c>
      <c r="B212" t="s">
        <v>872</v>
      </c>
      <c r="C212" s="5" t="s">
        <v>9449</v>
      </c>
      <c r="D212">
        <f t="shared" si="12"/>
        <v>211</v>
      </c>
      <c r="E212" t="str">
        <f t="shared" si="13"/>
        <v>E4_2_1_59</v>
      </c>
      <c r="F212" s="11" t="s">
        <v>8169</v>
      </c>
      <c r="G212" s="11" t="s">
        <v>8169</v>
      </c>
      <c r="H212" s="11" t="s">
        <v>15243</v>
      </c>
      <c r="I212" s="11" t="s">
        <v>15864</v>
      </c>
      <c r="J212" s="12" t="str">
        <f t="shared" si="14"/>
        <v>(${Variables:E4_2_1_59_kcat} * E4_2_1_59 * C04688)/(${Variables:E4_2_1_59_km} + (E4_2_1_59 * C04688))</v>
      </c>
      <c r="K212" s="11" t="str">
        <f t="shared" si="15"/>
        <v>r211: C04688 -&gt; C00001 + C05760 | (${Variables:E4_2_1_59_kcat} * E4_2_1_59 * C04688)/(${Variables:E4_2_1_59_km} + (E4_2_1_59 * C04688))</v>
      </c>
    </row>
    <row r="213" spans="1:11" ht="45" customHeight="1" x14ac:dyDescent="0.25">
      <c r="A213" t="s">
        <v>871</v>
      </c>
      <c r="B213" t="s">
        <v>872</v>
      </c>
      <c r="C213" s="5" t="s">
        <v>9449</v>
      </c>
      <c r="D213">
        <f t="shared" si="12"/>
        <v>212</v>
      </c>
      <c r="E213" t="str">
        <f t="shared" si="13"/>
        <v>E4_2_1_59</v>
      </c>
      <c r="F213" s="11" t="s">
        <v>8170</v>
      </c>
      <c r="G213" s="11" t="s">
        <v>8170</v>
      </c>
      <c r="H213" s="11" t="s">
        <v>15244</v>
      </c>
      <c r="I213" s="11" t="s">
        <v>15865</v>
      </c>
      <c r="J213" s="12" t="str">
        <f t="shared" si="14"/>
        <v>(${Variables:E4_2_1_59_kcat} * E4_2_1_59 * C05747)/(${Variables:E4_2_1_59_km} + (E4_2_1_59 * C05747))</v>
      </c>
      <c r="K213" s="11" t="str">
        <f t="shared" si="15"/>
        <v>r212: C05747 -&gt; C00001 + C05748 | (${Variables:E4_2_1_59_kcat} * E4_2_1_59 * C05747)/(${Variables:E4_2_1_59_km} + (E4_2_1_59 * C05747))</v>
      </c>
    </row>
    <row r="214" spans="1:11" ht="45" customHeight="1" x14ac:dyDescent="0.25">
      <c r="A214" t="s">
        <v>871</v>
      </c>
      <c r="B214" t="s">
        <v>872</v>
      </c>
      <c r="C214" s="5" t="s">
        <v>9449</v>
      </c>
      <c r="D214">
        <f t="shared" si="12"/>
        <v>213</v>
      </c>
      <c r="E214" t="str">
        <f t="shared" si="13"/>
        <v>E4_2_1_59</v>
      </c>
      <c r="F214" s="11" t="s">
        <v>8171</v>
      </c>
      <c r="G214" s="11" t="s">
        <v>8171</v>
      </c>
      <c r="H214" s="11" t="s">
        <v>15245</v>
      </c>
      <c r="I214" s="11" t="s">
        <v>15866</v>
      </c>
      <c r="J214" s="12" t="str">
        <f t="shared" si="14"/>
        <v>(${Variables:E4_2_1_59_kcat} * E4_2_1_59 * C05757)/(${Variables:E4_2_1_59_km} + (E4_2_1_59 * C05757))</v>
      </c>
      <c r="K214" s="11" t="str">
        <f t="shared" si="15"/>
        <v>r213: C05757 -&gt; C00001 + C05758 | (${Variables:E4_2_1_59_kcat} * E4_2_1_59 * C05757)/(${Variables:E4_2_1_59_km} + (E4_2_1_59 * C05757))</v>
      </c>
    </row>
    <row r="215" spans="1:11" ht="45" customHeight="1" x14ac:dyDescent="0.25">
      <c r="A215" t="s">
        <v>871</v>
      </c>
      <c r="B215" t="s">
        <v>872</v>
      </c>
      <c r="C215" s="5" t="s">
        <v>9449</v>
      </c>
      <c r="D215">
        <f t="shared" si="12"/>
        <v>214</v>
      </c>
      <c r="E215" t="str">
        <f t="shared" si="13"/>
        <v>E4_2_1_59</v>
      </c>
      <c r="F215" s="11" t="s">
        <v>8172</v>
      </c>
      <c r="G215" s="11" t="s">
        <v>8172</v>
      </c>
      <c r="H215" s="11" t="s">
        <v>15246</v>
      </c>
      <c r="I215" s="11" t="s">
        <v>15867</v>
      </c>
      <c r="J215" s="12" t="str">
        <f t="shared" si="14"/>
        <v>(${Variables:E4_2_1_59_kcat} * E4_2_1_59 * C20373)/(${Variables:E4_2_1_59_km} + (E4_2_1_59 * C20373))</v>
      </c>
      <c r="K215" s="11" t="str">
        <f t="shared" si="15"/>
        <v>r214: C20373 -&gt; C00001 + C20374 | (${Variables:E4_2_1_59_kcat} * E4_2_1_59 * C20373)/(${Variables:E4_2_1_59_km} + (E4_2_1_59 * C20373))</v>
      </c>
    </row>
    <row r="216" spans="1:11" ht="45" customHeight="1" x14ac:dyDescent="0.25">
      <c r="A216" t="s">
        <v>871</v>
      </c>
      <c r="B216" t="s">
        <v>872</v>
      </c>
      <c r="C216" s="5" t="s">
        <v>9449</v>
      </c>
      <c r="D216">
        <f t="shared" si="12"/>
        <v>215</v>
      </c>
      <c r="E216" t="str">
        <f t="shared" si="13"/>
        <v>E4_2_1_59</v>
      </c>
      <c r="F216" s="11" t="s">
        <v>8173</v>
      </c>
      <c r="G216" s="11" t="s">
        <v>8173</v>
      </c>
      <c r="H216" s="11" t="s">
        <v>15247</v>
      </c>
      <c r="I216" s="11" t="s">
        <v>15868</v>
      </c>
      <c r="J216" s="12" t="str">
        <f t="shared" si="14"/>
        <v>(${Variables:E4_2_1_59_kcat} * E4_2_1_59 * C20377)/(${Variables:E4_2_1_59_km} + (E4_2_1_59 * C20377))</v>
      </c>
      <c r="K216" s="11" t="str">
        <f t="shared" si="15"/>
        <v>r215: C20377 -&gt; C00001 + C20378 | (${Variables:E4_2_1_59_kcat} * E4_2_1_59 * C20377)/(${Variables:E4_2_1_59_km} + (E4_2_1_59 * C20377))</v>
      </c>
    </row>
    <row r="217" spans="1:11" ht="45" customHeight="1" x14ac:dyDescent="0.25">
      <c r="A217" t="s">
        <v>876</v>
      </c>
      <c r="B217" t="s">
        <v>877</v>
      </c>
      <c r="C217" s="5" t="s">
        <v>9450</v>
      </c>
      <c r="D217">
        <f t="shared" si="12"/>
        <v>216</v>
      </c>
      <c r="E217" t="str">
        <f t="shared" si="13"/>
        <v>E2_7_7_6</v>
      </c>
      <c r="F217" s="11" t="s">
        <v>14031</v>
      </c>
      <c r="G217" s="11" t="s">
        <v>14634</v>
      </c>
      <c r="H217" s="11" t="s">
        <v>9027</v>
      </c>
      <c r="I217" s="11" t="s">
        <v>9226</v>
      </c>
      <c r="J217" s="12" t="str">
        <f t="shared" si="14"/>
        <v>(${Variables:E2_7_7_6_kcat} * E2_7_7_6 * C00046 * C00201)/(${Variables:E2_7_7_6_km} + (E2_7_7_6 * C00046 * C00201))</v>
      </c>
      <c r="K217" s="11" t="str">
        <f t="shared" si="15"/>
        <v>r216: C00046 + C00201 -&gt; C00013 + C00046 | (${Variables:E2_7_7_6_kcat} * E2_7_7_6 * C00046 * C00201)/(${Variables:E2_7_7_6_km} + (E2_7_7_6 * C00046 * C00201))</v>
      </c>
    </row>
    <row r="218" spans="1:11" ht="45" customHeight="1" x14ac:dyDescent="0.25">
      <c r="A218" t="s">
        <v>876</v>
      </c>
      <c r="B218" t="s">
        <v>877</v>
      </c>
      <c r="C218" s="5" t="s">
        <v>9450</v>
      </c>
      <c r="D218">
        <f t="shared" si="12"/>
        <v>217</v>
      </c>
      <c r="E218" t="str">
        <f t="shared" si="13"/>
        <v>E2_7_7_6</v>
      </c>
      <c r="F218" s="11" t="s">
        <v>8687</v>
      </c>
      <c r="G218" s="11" t="s">
        <v>8853</v>
      </c>
      <c r="H218" s="11" t="s">
        <v>9027</v>
      </c>
      <c r="I218" s="11" t="s">
        <v>9226</v>
      </c>
      <c r="J218" s="12" t="str">
        <f t="shared" si="14"/>
        <v>(${Variables:E2_7_7_6_kcat} * E2_7_7_6 * C00002 * C00046)/(${Variables:E2_7_7_6_km} + (E2_7_7_6 * C00002 * C00046))</v>
      </c>
      <c r="K218" s="11" t="str">
        <f t="shared" si="15"/>
        <v>r217: C00002 + C00046 -&gt; C00013 + C00046 | (${Variables:E2_7_7_6_kcat} * E2_7_7_6 * C00002 * C00046)/(${Variables:E2_7_7_6_km} + (E2_7_7_6 * C00002 * C00046))</v>
      </c>
    </row>
    <row r="219" spans="1:11" ht="45" customHeight="1" x14ac:dyDescent="0.25">
      <c r="A219" t="s">
        <v>876</v>
      </c>
      <c r="B219" t="s">
        <v>877</v>
      </c>
      <c r="C219" s="5" t="s">
        <v>9450</v>
      </c>
      <c r="D219">
        <f t="shared" si="12"/>
        <v>218</v>
      </c>
      <c r="E219" t="str">
        <f t="shared" si="13"/>
        <v>E2_7_7_6</v>
      </c>
      <c r="F219" s="11" t="s">
        <v>8688</v>
      </c>
      <c r="G219" s="11" t="s">
        <v>8854</v>
      </c>
      <c r="H219" s="11" t="s">
        <v>9027</v>
      </c>
      <c r="I219" s="11" t="s">
        <v>9226</v>
      </c>
      <c r="J219" s="12" t="str">
        <f t="shared" si="14"/>
        <v>(${Variables:E2_7_7_6_kcat} * E2_7_7_6 * C00044 * C00046)/(${Variables:E2_7_7_6_km} + (E2_7_7_6 * C00044 * C00046))</v>
      </c>
      <c r="K219" s="11" t="str">
        <f t="shared" si="15"/>
        <v>r218: C00044 + C00046 -&gt; C00013 + C00046 | (${Variables:E2_7_7_6_kcat} * E2_7_7_6 * C00044 * C00046)/(${Variables:E2_7_7_6_km} + (E2_7_7_6 * C00044 * C00046))</v>
      </c>
    </row>
    <row r="220" spans="1:11" ht="45" customHeight="1" x14ac:dyDescent="0.25">
      <c r="A220" t="s">
        <v>876</v>
      </c>
      <c r="B220" t="s">
        <v>877</v>
      </c>
      <c r="C220" s="5" t="s">
        <v>9450</v>
      </c>
      <c r="D220">
        <f t="shared" si="12"/>
        <v>219</v>
      </c>
      <c r="E220" t="str">
        <f t="shared" si="13"/>
        <v>E2_7_7_6</v>
      </c>
      <c r="F220" s="11" t="s">
        <v>14032</v>
      </c>
      <c r="G220" s="11" t="s">
        <v>14635</v>
      </c>
      <c r="H220" s="11" t="s">
        <v>9027</v>
      </c>
      <c r="I220" s="11" t="s">
        <v>9226</v>
      </c>
      <c r="J220" s="12" t="str">
        <f t="shared" si="14"/>
        <v>(${Variables:E2_7_7_6_kcat} * E2_7_7_6 * C00046 * C00063)/(${Variables:E2_7_7_6_km} + (E2_7_7_6 * C00046 * C00063))</v>
      </c>
      <c r="K220" s="11" t="str">
        <f t="shared" si="15"/>
        <v>r219: C00046 + C00063 -&gt; C00013 + C00046 | (${Variables:E2_7_7_6_kcat} * E2_7_7_6 * C00046 * C00063)/(${Variables:E2_7_7_6_km} + (E2_7_7_6 * C00046 * C00063))</v>
      </c>
    </row>
    <row r="221" spans="1:11" ht="45" customHeight="1" x14ac:dyDescent="0.25">
      <c r="A221" t="s">
        <v>876</v>
      </c>
      <c r="B221" t="s">
        <v>877</v>
      </c>
      <c r="C221" s="5" t="s">
        <v>9450</v>
      </c>
      <c r="D221">
        <f t="shared" si="12"/>
        <v>220</v>
      </c>
      <c r="E221" t="str">
        <f t="shared" si="13"/>
        <v>E2_7_7_6</v>
      </c>
      <c r="F221" s="11" t="s">
        <v>14033</v>
      </c>
      <c r="G221" s="11" t="s">
        <v>14636</v>
      </c>
      <c r="H221" s="11" t="s">
        <v>9027</v>
      </c>
      <c r="I221" s="11" t="s">
        <v>9226</v>
      </c>
      <c r="J221" s="12" t="str">
        <f t="shared" si="14"/>
        <v>(${Variables:E2_7_7_6_kcat} * E2_7_7_6 * C00046 * C00075)/(${Variables:E2_7_7_6_km} + (E2_7_7_6 * C00046 * C00075))</v>
      </c>
      <c r="K221" s="11" t="str">
        <f t="shared" si="15"/>
        <v>r220: C00046 + C00075 -&gt; C00013 + C00046 | (${Variables:E2_7_7_6_kcat} * E2_7_7_6 * C00046 * C00075)/(${Variables:E2_7_7_6_km} + (E2_7_7_6 * C00046 * C00075))</v>
      </c>
    </row>
    <row r="222" spans="1:11" ht="45" customHeight="1" x14ac:dyDescent="0.25">
      <c r="A222" t="s">
        <v>876</v>
      </c>
      <c r="B222" t="s">
        <v>877</v>
      </c>
      <c r="C222" s="5" t="s">
        <v>9450</v>
      </c>
      <c r="D222">
        <f t="shared" si="12"/>
        <v>221</v>
      </c>
      <c r="E222" t="str">
        <f t="shared" si="13"/>
        <v>E2_7_7_6</v>
      </c>
      <c r="F222" s="11" t="s">
        <v>8176</v>
      </c>
      <c r="G222" s="11" t="s">
        <v>8176</v>
      </c>
      <c r="H222" s="11" t="s">
        <v>15248</v>
      </c>
      <c r="I222" s="11" t="s">
        <v>15869</v>
      </c>
      <c r="J222" s="12" t="str">
        <f t="shared" si="14"/>
        <v>(${Variables:E2_7_7_6_kcat} * E2_7_7_6 * C00201)/(${Variables:E2_7_7_6_km} + (E2_7_7_6 * C00201))</v>
      </c>
      <c r="K222" s="11" t="str">
        <f t="shared" si="15"/>
        <v>r221: C00201 -&gt; C00013 + C20864 | (${Variables:E2_7_7_6_kcat} * E2_7_7_6 * C00201)/(${Variables:E2_7_7_6_km} + (E2_7_7_6 * C00201))</v>
      </c>
    </row>
    <row r="223" spans="1:11" ht="45" customHeight="1" x14ac:dyDescent="0.25">
      <c r="A223" t="s">
        <v>879</v>
      </c>
      <c r="B223" t="s">
        <v>880</v>
      </c>
      <c r="C223" s="5" t="s">
        <v>9450</v>
      </c>
      <c r="D223">
        <f t="shared" si="12"/>
        <v>222</v>
      </c>
      <c r="E223" t="str">
        <f t="shared" si="13"/>
        <v>E2_7_7_6</v>
      </c>
      <c r="F223" s="11" t="s">
        <v>14031</v>
      </c>
      <c r="G223" s="11" t="s">
        <v>14634</v>
      </c>
      <c r="H223" s="11" t="s">
        <v>9027</v>
      </c>
      <c r="I223" s="11" t="s">
        <v>9226</v>
      </c>
      <c r="J223" s="12" t="str">
        <f t="shared" si="14"/>
        <v>(${Variables:E2_7_7_6_kcat} * E2_7_7_6 * C00046 * C00201)/(${Variables:E2_7_7_6_km} + (E2_7_7_6 * C00046 * C00201))</v>
      </c>
      <c r="K223" s="11" t="str">
        <f t="shared" si="15"/>
        <v>r222: C00046 + C00201 -&gt; C00013 + C00046 | (${Variables:E2_7_7_6_kcat} * E2_7_7_6 * C00046 * C00201)/(${Variables:E2_7_7_6_km} + (E2_7_7_6 * C00046 * C00201))</v>
      </c>
    </row>
    <row r="224" spans="1:11" ht="45" customHeight="1" x14ac:dyDescent="0.25">
      <c r="A224" t="s">
        <v>879</v>
      </c>
      <c r="B224" t="s">
        <v>880</v>
      </c>
      <c r="C224" s="5" t="s">
        <v>9450</v>
      </c>
      <c r="D224">
        <f t="shared" si="12"/>
        <v>223</v>
      </c>
      <c r="E224" t="str">
        <f t="shared" si="13"/>
        <v>E2_7_7_6</v>
      </c>
      <c r="F224" s="11" t="s">
        <v>8687</v>
      </c>
      <c r="G224" s="11" t="s">
        <v>8853</v>
      </c>
      <c r="H224" s="11" t="s">
        <v>9027</v>
      </c>
      <c r="I224" s="11" t="s">
        <v>9226</v>
      </c>
      <c r="J224" s="12" t="str">
        <f t="shared" si="14"/>
        <v>(${Variables:E2_7_7_6_kcat} * E2_7_7_6 * C00002 * C00046)/(${Variables:E2_7_7_6_km} + (E2_7_7_6 * C00002 * C00046))</v>
      </c>
      <c r="K224" s="11" t="str">
        <f t="shared" si="15"/>
        <v>r223: C00002 + C00046 -&gt; C00013 + C00046 | (${Variables:E2_7_7_6_kcat} * E2_7_7_6 * C00002 * C00046)/(${Variables:E2_7_7_6_km} + (E2_7_7_6 * C00002 * C00046))</v>
      </c>
    </row>
    <row r="225" spans="1:11" ht="45" customHeight="1" x14ac:dyDescent="0.25">
      <c r="A225" t="s">
        <v>879</v>
      </c>
      <c r="B225" t="s">
        <v>880</v>
      </c>
      <c r="C225" s="5" t="s">
        <v>9450</v>
      </c>
      <c r="D225">
        <f t="shared" si="12"/>
        <v>224</v>
      </c>
      <c r="E225" t="str">
        <f t="shared" si="13"/>
        <v>E2_7_7_6</v>
      </c>
      <c r="F225" s="11" t="s">
        <v>8688</v>
      </c>
      <c r="G225" s="11" t="s">
        <v>8854</v>
      </c>
      <c r="H225" s="11" t="s">
        <v>9027</v>
      </c>
      <c r="I225" s="11" t="s">
        <v>9226</v>
      </c>
      <c r="J225" s="12" t="str">
        <f t="shared" si="14"/>
        <v>(${Variables:E2_7_7_6_kcat} * E2_7_7_6 * C00044 * C00046)/(${Variables:E2_7_7_6_km} + (E2_7_7_6 * C00044 * C00046))</v>
      </c>
      <c r="K225" s="11" t="str">
        <f t="shared" si="15"/>
        <v>r224: C00044 + C00046 -&gt; C00013 + C00046 | (${Variables:E2_7_7_6_kcat} * E2_7_7_6 * C00044 * C00046)/(${Variables:E2_7_7_6_km} + (E2_7_7_6 * C00044 * C00046))</v>
      </c>
    </row>
    <row r="226" spans="1:11" ht="45" customHeight="1" x14ac:dyDescent="0.25">
      <c r="A226" t="s">
        <v>879</v>
      </c>
      <c r="B226" t="s">
        <v>880</v>
      </c>
      <c r="C226" s="5" t="s">
        <v>9450</v>
      </c>
      <c r="D226">
        <f t="shared" si="12"/>
        <v>225</v>
      </c>
      <c r="E226" t="str">
        <f t="shared" si="13"/>
        <v>E2_7_7_6</v>
      </c>
      <c r="F226" s="11" t="s">
        <v>14032</v>
      </c>
      <c r="G226" s="11" t="s">
        <v>14635</v>
      </c>
      <c r="H226" s="11" t="s">
        <v>9027</v>
      </c>
      <c r="I226" s="11" t="s">
        <v>9226</v>
      </c>
      <c r="J226" s="12" t="str">
        <f t="shared" si="14"/>
        <v>(${Variables:E2_7_7_6_kcat} * E2_7_7_6 * C00046 * C00063)/(${Variables:E2_7_7_6_km} + (E2_7_7_6 * C00046 * C00063))</v>
      </c>
      <c r="K226" s="11" t="str">
        <f t="shared" si="15"/>
        <v>r225: C00046 + C00063 -&gt; C00013 + C00046 | (${Variables:E2_7_7_6_kcat} * E2_7_7_6 * C00046 * C00063)/(${Variables:E2_7_7_6_km} + (E2_7_7_6 * C00046 * C00063))</v>
      </c>
    </row>
    <row r="227" spans="1:11" ht="45" customHeight="1" x14ac:dyDescent="0.25">
      <c r="A227" t="s">
        <v>879</v>
      </c>
      <c r="B227" t="s">
        <v>880</v>
      </c>
      <c r="C227" s="5" t="s">
        <v>9450</v>
      </c>
      <c r="D227">
        <f t="shared" si="12"/>
        <v>226</v>
      </c>
      <c r="E227" t="str">
        <f t="shared" si="13"/>
        <v>E2_7_7_6</v>
      </c>
      <c r="F227" s="11" t="s">
        <v>14033</v>
      </c>
      <c r="G227" s="11" t="s">
        <v>14636</v>
      </c>
      <c r="H227" s="11" t="s">
        <v>9027</v>
      </c>
      <c r="I227" s="11" t="s">
        <v>9226</v>
      </c>
      <c r="J227" s="12" t="str">
        <f t="shared" si="14"/>
        <v>(${Variables:E2_7_7_6_kcat} * E2_7_7_6 * C00046 * C00075)/(${Variables:E2_7_7_6_km} + (E2_7_7_6 * C00046 * C00075))</v>
      </c>
      <c r="K227" s="11" t="str">
        <f t="shared" si="15"/>
        <v>r226: C00046 + C00075 -&gt; C00013 + C00046 | (${Variables:E2_7_7_6_kcat} * E2_7_7_6 * C00046 * C00075)/(${Variables:E2_7_7_6_km} + (E2_7_7_6 * C00046 * C00075))</v>
      </c>
    </row>
    <row r="228" spans="1:11" ht="45" customHeight="1" x14ac:dyDescent="0.25">
      <c r="A228" t="s">
        <v>879</v>
      </c>
      <c r="B228" t="s">
        <v>880</v>
      </c>
      <c r="C228" s="5" t="s">
        <v>9450</v>
      </c>
      <c r="D228">
        <f t="shared" si="12"/>
        <v>227</v>
      </c>
      <c r="E228" t="str">
        <f t="shared" si="13"/>
        <v>E2_7_7_6</v>
      </c>
      <c r="F228" s="11" t="s">
        <v>8176</v>
      </c>
      <c r="G228" s="11" t="s">
        <v>8176</v>
      </c>
      <c r="H228" s="11" t="s">
        <v>15248</v>
      </c>
      <c r="I228" s="11" t="s">
        <v>15869</v>
      </c>
      <c r="J228" s="12" t="str">
        <f t="shared" si="14"/>
        <v>(${Variables:E2_7_7_6_kcat} * E2_7_7_6 * C00201)/(${Variables:E2_7_7_6_km} + (E2_7_7_6 * C00201))</v>
      </c>
      <c r="K228" s="11" t="str">
        <f t="shared" si="15"/>
        <v>r227: C00201 -&gt; C00013 + C20864 | (${Variables:E2_7_7_6_kcat} * E2_7_7_6 * C00201)/(${Variables:E2_7_7_6_km} + (E2_7_7_6 * C00201))</v>
      </c>
    </row>
    <row r="229" spans="1:11" ht="45" customHeight="1" x14ac:dyDescent="0.25">
      <c r="A229" t="s">
        <v>901</v>
      </c>
      <c r="B229" t="s">
        <v>902</v>
      </c>
      <c r="C229" s="5" t="s">
        <v>9451</v>
      </c>
      <c r="D229">
        <f t="shared" si="12"/>
        <v>228</v>
      </c>
      <c r="E229" t="str">
        <f t="shared" si="13"/>
        <v>E3_1_2_20</v>
      </c>
      <c r="F229" s="11" t="s">
        <v>14034</v>
      </c>
      <c r="G229" s="11" t="s">
        <v>14637</v>
      </c>
      <c r="H229" s="11" t="s">
        <v>9028</v>
      </c>
      <c r="I229" s="11" t="s">
        <v>9227</v>
      </c>
      <c r="J229" s="12" t="str">
        <f t="shared" si="14"/>
        <v>(${Variables:E3_1_2_20_kcat} * E3_1_2_20 * C00001 * C00040)/(${Variables:E3_1_2_20_km} + (E3_1_2_20 * C00001 * C00040))</v>
      </c>
      <c r="K229" s="11" t="str">
        <f t="shared" si="15"/>
        <v>r228: C00001 + C00040 -&gt; C00010 + C00060 | (${Variables:E3_1_2_20_kcat} * E3_1_2_20 * C00001 * C00040)/(${Variables:E3_1_2_20_km} + (E3_1_2_20 * C00001 * C00040))</v>
      </c>
    </row>
    <row r="230" spans="1:11" ht="45" customHeight="1" x14ac:dyDescent="0.25">
      <c r="A230" t="s">
        <v>904</v>
      </c>
      <c r="B230" t="s">
        <v>905</v>
      </c>
      <c r="C230" s="5" t="s">
        <v>9452</v>
      </c>
      <c r="D230">
        <f t="shared" si="12"/>
        <v>229</v>
      </c>
      <c r="E230" t="str">
        <f t="shared" si="13"/>
        <v>E4_2_1_96</v>
      </c>
      <c r="F230" s="11" t="s">
        <v>8177</v>
      </c>
      <c r="G230" s="11" t="s">
        <v>8177</v>
      </c>
      <c r="H230" s="11" t="s">
        <v>15249</v>
      </c>
      <c r="I230" s="11" t="s">
        <v>15870</v>
      </c>
      <c r="J230" s="12" t="str">
        <f t="shared" si="14"/>
        <v>(${Variables:E4_2_1_96_kcat} * E4_2_1_96 * C15522)/(${Variables:E4_2_1_96_km} + (E4_2_1_96 * C15522))</v>
      </c>
      <c r="K230" s="11" t="str">
        <f t="shared" si="15"/>
        <v>r229: C15522 -&gt; C00001 + C00268 | (${Variables:E4_2_1_96_kcat} * E4_2_1_96 * C15522)/(${Variables:E4_2_1_96_km} + (E4_2_1_96 * C15522))</v>
      </c>
    </row>
    <row r="231" spans="1:11" ht="45" customHeight="1" x14ac:dyDescent="0.25">
      <c r="A231" t="s">
        <v>909</v>
      </c>
      <c r="B231" t="s">
        <v>910</v>
      </c>
      <c r="C231" s="5" t="s">
        <v>9453</v>
      </c>
      <c r="D231">
        <f t="shared" si="12"/>
        <v>230</v>
      </c>
      <c r="E231" t="str">
        <f t="shared" si="13"/>
        <v>E1_1_2_4</v>
      </c>
      <c r="F231" s="11" t="s">
        <v>14035</v>
      </c>
      <c r="G231" s="11" t="s">
        <v>14638</v>
      </c>
      <c r="H231" s="11" t="s">
        <v>15250</v>
      </c>
      <c r="I231" s="11" t="s">
        <v>15871</v>
      </c>
      <c r="J231" s="12" t="str">
        <f t="shared" si="14"/>
        <v>(${Variables:E1_1_2_4_kcat} * E1_1_2_4 * C00125 * C00256)/(${Variables:E1_1_2_4_km} + (E1_1_2_4 * C00125 * C00256))</v>
      </c>
      <c r="K231" s="11" t="str">
        <f t="shared" si="15"/>
        <v>r230: C00125 + C00256 -&gt; C00022 + C00080 + C00126 | (${Variables:E1_1_2_4_kcat} * E1_1_2_4 * C00125 * C00256)/(${Variables:E1_1_2_4_km} + (E1_1_2_4 * C00125 * C00256))</v>
      </c>
    </row>
    <row r="232" spans="1:11" ht="45" customHeight="1" x14ac:dyDescent="0.25">
      <c r="A232" t="s">
        <v>941</v>
      </c>
      <c r="B232" t="s">
        <v>942</v>
      </c>
      <c r="C232" s="5" t="s">
        <v>9454</v>
      </c>
      <c r="D232">
        <f t="shared" si="12"/>
        <v>231</v>
      </c>
      <c r="E232" t="str">
        <f t="shared" si="13"/>
        <v>E3_5_1_11</v>
      </c>
      <c r="F232" s="11" t="s">
        <v>14036</v>
      </c>
      <c r="G232" s="11" t="s">
        <v>14639</v>
      </c>
      <c r="H232" s="11" t="s">
        <v>9029</v>
      </c>
      <c r="I232" s="11" t="s">
        <v>9228</v>
      </c>
      <c r="J232" s="12" t="str">
        <f t="shared" si="14"/>
        <v>(${Variables:E3_5_1_11_kcat} * E3_5_1_11 * C00001 * C00395)/(${Variables:E3_5_1_11_km} + (E3_5_1_11 * C00001 * C00395))</v>
      </c>
      <c r="K232" s="11" t="str">
        <f t="shared" si="15"/>
        <v>r231: C00001 + C00395 -&gt; C00060 + C02954 | (${Variables:E3_5_1_11_kcat} * E3_5_1_11 * C00001 * C00395)/(${Variables:E3_5_1_11_km} + (E3_5_1_11 * C00001 * C00395))</v>
      </c>
    </row>
    <row r="233" spans="1:11" ht="45" customHeight="1" x14ac:dyDescent="0.25">
      <c r="A233" t="s">
        <v>941</v>
      </c>
      <c r="B233" t="s">
        <v>942</v>
      </c>
      <c r="C233" s="5" t="s">
        <v>9454</v>
      </c>
      <c r="D233">
        <f t="shared" si="12"/>
        <v>232</v>
      </c>
      <c r="E233" t="str">
        <f t="shared" si="13"/>
        <v>E3_5_1_11</v>
      </c>
      <c r="F233" s="11" t="s">
        <v>14037</v>
      </c>
      <c r="G233" s="11" t="s">
        <v>14640</v>
      </c>
      <c r="H233" s="11" t="s">
        <v>9030</v>
      </c>
      <c r="I233" s="11" t="s">
        <v>9229</v>
      </c>
      <c r="J233" s="12" t="str">
        <f t="shared" si="14"/>
        <v>(${Variables:E3_5_1_11_kcat} * E3_5_1_11 * C00001 * C05551)/(${Variables:E3_5_1_11_km} + (E3_5_1_11 * C00001 * C05551))</v>
      </c>
      <c r="K233" s="11" t="str">
        <f t="shared" si="15"/>
        <v>r232: C00001 + C05551 -&gt; C02954 + C07086 | (${Variables:E3_5_1_11_kcat} * E3_5_1_11 * C00001 * C05551)/(${Variables:E3_5_1_11_km} + (E3_5_1_11 * C00001 * C05551))</v>
      </c>
    </row>
    <row r="234" spans="1:11" ht="45" customHeight="1" x14ac:dyDescent="0.25">
      <c r="A234" t="s">
        <v>947</v>
      </c>
      <c r="B234" t="s">
        <v>948</v>
      </c>
      <c r="C234" s="5" t="s">
        <v>9455</v>
      </c>
      <c r="D234">
        <f t="shared" si="12"/>
        <v>233</v>
      </c>
      <c r="E234" t="str">
        <f t="shared" si="13"/>
        <v>E2_7_7_27</v>
      </c>
      <c r="F234" s="11" t="s">
        <v>8689</v>
      </c>
      <c r="G234" s="11" t="s">
        <v>8855</v>
      </c>
      <c r="H234" s="11" t="s">
        <v>9031</v>
      </c>
      <c r="I234" s="11" t="s">
        <v>9230</v>
      </c>
      <c r="J234" s="12" t="str">
        <f t="shared" si="14"/>
        <v>(${Variables:E2_7_7_27_kcat} * E2_7_7_27 * C00002 * C00103)/(${Variables:E2_7_7_27_km} + (E2_7_7_27 * C00002 * C00103))</v>
      </c>
      <c r="K234" s="11" t="str">
        <f t="shared" si="15"/>
        <v>r233: C00002 + C00103 -&gt; C00013 + C00498 | (${Variables:E2_7_7_27_kcat} * E2_7_7_27 * C00002 * C00103)/(${Variables:E2_7_7_27_km} + (E2_7_7_27 * C00002 * C00103))</v>
      </c>
    </row>
    <row r="235" spans="1:11" ht="45" customHeight="1" x14ac:dyDescent="0.25">
      <c r="A235" t="s">
        <v>957</v>
      </c>
      <c r="B235" t="s">
        <v>958</v>
      </c>
      <c r="C235" s="5" t="s">
        <v>9456</v>
      </c>
      <c r="D235">
        <f t="shared" si="12"/>
        <v>234</v>
      </c>
      <c r="E235" t="str">
        <f t="shared" si="13"/>
        <v>E2_4_1_21</v>
      </c>
      <c r="F235" s="11" t="s">
        <v>8690</v>
      </c>
      <c r="G235" s="11" t="s">
        <v>8856</v>
      </c>
      <c r="H235" s="11" t="s">
        <v>9032</v>
      </c>
      <c r="I235" s="11" t="s">
        <v>9231</v>
      </c>
      <c r="J235" s="12" t="str">
        <f t="shared" si="14"/>
        <v>(${Variables:E2_4_1_21_kcat} * E2_4_1_21 * C00498 * C00718)/(${Variables:E2_4_1_21_km} + (E2_4_1_21 * C00498 * C00718))</v>
      </c>
      <c r="K235" s="11" t="str">
        <f t="shared" si="15"/>
        <v>r234: C00498 + C00718 -&gt; C00008 + C00718 | (${Variables:E2_4_1_21_kcat} * E2_4_1_21 * C00498 * C00718)/(${Variables:E2_4_1_21_km} + (E2_4_1_21 * C00498 * C00718))</v>
      </c>
    </row>
    <row r="236" spans="1:11" ht="45" customHeight="1" x14ac:dyDescent="0.25">
      <c r="A236" t="s">
        <v>957</v>
      </c>
      <c r="B236" t="s">
        <v>958</v>
      </c>
      <c r="C236" s="5" t="s">
        <v>9456</v>
      </c>
      <c r="D236">
        <f t="shared" si="12"/>
        <v>235</v>
      </c>
      <c r="E236" t="str">
        <f t="shared" si="13"/>
        <v>E2_4_1_21</v>
      </c>
      <c r="F236" s="11" t="s">
        <v>14038</v>
      </c>
      <c r="G236" s="11" t="s">
        <v>14641</v>
      </c>
      <c r="H236" s="11" t="s">
        <v>15251</v>
      </c>
      <c r="I236" s="11" t="s">
        <v>15872</v>
      </c>
      <c r="J236" s="12" t="str">
        <f t="shared" si="14"/>
        <v>(${Variables:E2_4_1_21_kcat} * E2_4_1_21 * G10495 * G11109)/(${Variables:E2_4_1_21_km} + (E2_4_1_21 * G10495 * G11109))</v>
      </c>
      <c r="K236" s="11" t="str">
        <f t="shared" si="15"/>
        <v>r235: G10495 + G11109 -&gt; G10495 + G11113 | (${Variables:E2_4_1_21_kcat} * E2_4_1_21 * G10495 * G11109)/(${Variables:E2_4_1_21_km} + (E2_4_1_21 * G10495 * G11109))</v>
      </c>
    </row>
    <row r="237" spans="1:11" ht="45" customHeight="1" x14ac:dyDescent="0.25">
      <c r="A237" t="s">
        <v>966</v>
      </c>
      <c r="B237" t="s">
        <v>967</v>
      </c>
      <c r="C237" s="5" t="s">
        <v>9457</v>
      </c>
      <c r="D237">
        <f t="shared" si="12"/>
        <v>236</v>
      </c>
      <c r="E237" t="str">
        <f t="shared" si="13"/>
        <v>E1_17_7_4</v>
      </c>
      <c r="F237" s="11" t="s">
        <v>14039</v>
      </c>
      <c r="G237" s="11" t="s">
        <v>14642</v>
      </c>
      <c r="H237" s="11" t="s">
        <v>15252</v>
      </c>
      <c r="I237" s="11" t="s">
        <v>15873</v>
      </c>
      <c r="J237" s="12" t="str">
        <f t="shared" si="14"/>
        <v>(${Variables:E1_17_7_4_kcat} * E1_17_7_4 * C00080 * C00138 * C11811)/(${Variables:E1_17_7_4_km} + (E1_17_7_4 * C00080 * C00138 * C11811))</v>
      </c>
      <c r="K237" s="11" t="str">
        <f t="shared" si="15"/>
        <v>r236: C00080 + C00138 + C11811 -&gt; C00001 + C00129 + C00139 | (${Variables:E1_17_7_4_kcat} * E1_17_7_4 * C00080 * C00138 * C11811)/(${Variables:E1_17_7_4_km} + (E1_17_7_4 * C00080 * C00138 * C11811))</v>
      </c>
    </row>
    <row r="238" spans="1:11" ht="45" customHeight="1" x14ac:dyDescent="0.25">
      <c r="A238" t="s">
        <v>966</v>
      </c>
      <c r="B238" t="s">
        <v>967</v>
      </c>
      <c r="C238" s="5" t="s">
        <v>9457</v>
      </c>
      <c r="D238">
        <f t="shared" si="12"/>
        <v>237</v>
      </c>
      <c r="E238" t="str">
        <f t="shared" si="13"/>
        <v>E1_17_7_4</v>
      </c>
      <c r="F238" s="11" t="s">
        <v>14040</v>
      </c>
      <c r="G238" s="11" t="s">
        <v>14643</v>
      </c>
      <c r="H238" s="11" t="s">
        <v>14039</v>
      </c>
      <c r="I238" s="11" t="s">
        <v>14642</v>
      </c>
      <c r="J238" s="12" t="str">
        <f t="shared" si="14"/>
        <v>(${Variables:E1_17_7_4_kcat} * E1_17_7_4 * C00001 * C00139 * C00235)/(${Variables:E1_17_7_4_km} + (E1_17_7_4 * C00001 * C00139 * C00235))</v>
      </c>
      <c r="K238" s="11" t="str">
        <f t="shared" si="15"/>
        <v>r237: C00001 + C00139 + C00235 -&gt; C00080 + C00138 + C11811 | (${Variables:E1_17_7_4_kcat} * E1_17_7_4 * C00001 * C00139 * C00235)/(${Variables:E1_17_7_4_km} + (E1_17_7_4 * C00001 * C00139 * C00235))</v>
      </c>
    </row>
    <row r="239" spans="1:11" ht="45" customHeight="1" x14ac:dyDescent="0.25">
      <c r="A239" t="s">
        <v>973</v>
      </c>
      <c r="B239" t="s">
        <v>974</v>
      </c>
      <c r="C239" s="5" t="s">
        <v>9458</v>
      </c>
      <c r="D239">
        <f t="shared" si="12"/>
        <v>238</v>
      </c>
      <c r="E239" t="str">
        <f t="shared" si="13"/>
        <v>E2_5_1_90</v>
      </c>
      <c r="F239" s="11" t="s">
        <v>13977</v>
      </c>
      <c r="G239" s="11" t="s">
        <v>14580</v>
      </c>
      <c r="H239" s="11" t="s">
        <v>15253</v>
      </c>
      <c r="I239" s="11" t="s">
        <v>15874</v>
      </c>
      <c r="J239" s="12" t="str">
        <f t="shared" si="14"/>
        <v>(${Variables:E2_5_1_90_kcat} * E2_5_1_90 * C00129 * C00448)/(${Variables:E2_5_1_90_km} + (E2_5_1_90 * C00129 * C00448))</v>
      </c>
      <c r="K239" s="11" t="str">
        <f t="shared" si="15"/>
        <v>r238: C00129 + C00448 -&gt; C00013 + C04146 | (${Variables:E2_5_1_90_kcat} * E2_5_1_90 * C00129 * C00448)/(${Variables:E2_5_1_90_km} + (E2_5_1_90 * C00129 * C00448))</v>
      </c>
    </row>
    <row r="240" spans="1:11" ht="45" customHeight="1" x14ac:dyDescent="0.25">
      <c r="A240" t="s">
        <v>1071</v>
      </c>
      <c r="B240" t="s">
        <v>1072</v>
      </c>
      <c r="C240" s="5" t="s">
        <v>9459</v>
      </c>
      <c r="D240">
        <f t="shared" si="12"/>
        <v>239</v>
      </c>
      <c r="E240" t="str">
        <f t="shared" si="13"/>
        <v>E2_7_4_3</v>
      </c>
      <c r="F240" s="11" t="s">
        <v>8691</v>
      </c>
      <c r="G240" s="11" t="s">
        <v>8857</v>
      </c>
      <c r="H240" s="11" t="s">
        <v>8451</v>
      </c>
      <c r="I240" s="11" t="s">
        <v>8451</v>
      </c>
      <c r="J240" s="12" t="str">
        <f t="shared" si="14"/>
        <v>(${Variables:E2_7_4_3_kcat} * E2_7_4_3 * C00002 * C00020)/(${Variables:E2_7_4_3_km} + (E2_7_4_3 * C00002 * C00020))</v>
      </c>
      <c r="K240" s="11" t="str">
        <f t="shared" si="15"/>
        <v>r239: C00002 + C00020 -&gt; C00008 | (${Variables:E2_7_4_3_kcat} * E2_7_4_3 * C00002 * C00020)/(${Variables:E2_7_4_3_km} + (E2_7_4_3 * C00002 * C00020))</v>
      </c>
    </row>
    <row r="241" spans="1:11" ht="45" customHeight="1" x14ac:dyDescent="0.25">
      <c r="A241" t="s">
        <v>1071</v>
      </c>
      <c r="B241" t="s">
        <v>1072</v>
      </c>
      <c r="C241" s="5" t="s">
        <v>9459</v>
      </c>
      <c r="D241">
        <f t="shared" si="12"/>
        <v>240</v>
      </c>
      <c r="E241" t="str">
        <f t="shared" si="13"/>
        <v>E2_7_4_3</v>
      </c>
      <c r="F241" s="11" t="s">
        <v>8692</v>
      </c>
      <c r="G241" s="11" t="s">
        <v>8858</v>
      </c>
      <c r="H241" s="11" t="s">
        <v>9033</v>
      </c>
      <c r="I241" s="11" t="s">
        <v>9232</v>
      </c>
      <c r="J241" s="12" t="str">
        <f t="shared" si="14"/>
        <v>(${Variables:E2_7_4_3_kcat} * E2_7_4_3 * C00002 * C00360)/(${Variables:E2_7_4_3_km} + (E2_7_4_3 * C00002 * C00360))</v>
      </c>
      <c r="K241" s="11" t="str">
        <f t="shared" si="15"/>
        <v>r240: C00002 + C00360 -&gt; C00008 + C00206 | (${Variables:E2_7_4_3_kcat} * E2_7_4_3 * C00002 * C00360)/(${Variables:E2_7_4_3_km} + (E2_7_4_3 * C00002 * C00360))</v>
      </c>
    </row>
    <row r="242" spans="1:11" ht="45" customHeight="1" x14ac:dyDescent="0.25">
      <c r="A242" t="s">
        <v>1071</v>
      </c>
      <c r="B242" t="s">
        <v>1072</v>
      </c>
      <c r="C242" s="5" t="s">
        <v>9459</v>
      </c>
      <c r="D242">
        <f t="shared" si="12"/>
        <v>241</v>
      </c>
      <c r="E242" t="str">
        <f t="shared" si="13"/>
        <v>E2_7_4_3</v>
      </c>
      <c r="F242" s="11" t="s">
        <v>9137</v>
      </c>
      <c r="G242" s="11" t="s">
        <v>9336</v>
      </c>
      <c r="H242" s="11" t="s">
        <v>15254</v>
      </c>
      <c r="I242" s="11" t="s">
        <v>15875</v>
      </c>
      <c r="J242" s="12" t="str">
        <f t="shared" si="14"/>
        <v>(${Variables:E2_7_4_3_kcat} * E2_7_4_3 * C00008 * C00068)/(${Variables:E2_7_4_3_km} + (E2_7_4_3 * C00008 * C00068))</v>
      </c>
      <c r="K242" s="11" t="str">
        <f t="shared" si="15"/>
        <v>r241: C00008 + C00068 -&gt; C00020 + C03028 | (${Variables:E2_7_4_3_kcat} * E2_7_4_3 * C00008 * C00068)/(${Variables:E2_7_4_3_km} + (E2_7_4_3 * C00008 * C00068))</v>
      </c>
    </row>
    <row r="243" spans="1:11" ht="45" customHeight="1" x14ac:dyDescent="0.25">
      <c r="A243" t="s">
        <v>1092</v>
      </c>
      <c r="B243" t="s">
        <v>1093</v>
      </c>
      <c r="C243" s="5" t="s">
        <v>9450</v>
      </c>
      <c r="D243">
        <f t="shared" si="12"/>
        <v>242</v>
      </c>
      <c r="E243" t="str">
        <f t="shared" si="13"/>
        <v>E2_7_7_6</v>
      </c>
      <c r="F243" s="11" t="s">
        <v>14031</v>
      </c>
      <c r="G243" s="11" t="s">
        <v>14634</v>
      </c>
      <c r="H243" s="11" t="s">
        <v>9027</v>
      </c>
      <c r="I243" s="11" t="s">
        <v>9226</v>
      </c>
      <c r="J243" s="12" t="str">
        <f t="shared" si="14"/>
        <v>(${Variables:E2_7_7_6_kcat} * E2_7_7_6 * C00046 * C00201)/(${Variables:E2_7_7_6_km} + (E2_7_7_6 * C00046 * C00201))</v>
      </c>
      <c r="K243" s="11" t="str">
        <f t="shared" si="15"/>
        <v>r242: C00046 + C00201 -&gt; C00013 + C00046 | (${Variables:E2_7_7_6_kcat} * E2_7_7_6 * C00046 * C00201)/(${Variables:E2_7_7_6_km} + (E2_7_7_6 * C00046 * C00201))</v>
      </c>
    </row>
    <row r="244" spans="1:11" ht="45" customHeight="1" x14ac:dyDescent="0.25">
      <c r="A244" t="s">
        <v>1092</v>
      </c>
      <c r="B244" t="s">
        <v>1093</v>
      </c>
      <c r="C244" s="5" t="s">
        <v>9450</v>
      </c>
      <c r="D244">
        <f t="shared" si="12"/>
        <v>243</v>
      </c>
      <c r="E244" t="str">
        <f t="shared" si="13"/>
        <v>E2_7_7_6</v>
      </c>
      <c r="F244" s="11" t="s">
        <v>8687</v>
      </c>
      <c r="G244" s="11" t="s">
        <v>8853</v>
      </c>
      <c r="H244" s="11" t="s">
        <v>9027</v>
      </c>
      <c r="I244" s="11" t="s">
        <v>9226</v>
      </c>
      <c r="J244" s="12" t="str">
        <f t="shared" si="14"/>
        <v>(${Variables:E2_7_7_6_kcat} * E2_7_7_6 * C00002 * C00046)/(${Variables:E2_7_7_6_km} + (E2_7_7_6 * C00002 * C00046))</v>
      </c>
      <c r="K244" s="11" t="str">
        <f t="shared" si="15"/>
        <v>r243: C00002 + C00046 -&gt; C00013 + C00046 | (${Variables:E2_7_7_6_kcat} * E2_7_7_6 * C00002 * C00046)/(${Variables:E2_7_7_6_km} + (E2_7_7_6 * C00002 * C00046))</v>
      </c>
    </row>
    <row r="245" spans="1:11" ht="45" customHeight="1" x14ac:dyDescent="0.25">
      <c r="A245" t="s">
        <v>1092</v>
      </c>
      <c r="B245" t="s">
        <v>1093</v>
      </c>
      <c r="C245" s="5" t="s">
        <v>9450</v>
      </c>
      <c r="D245">
        <f t="shared" si="12"/>
        <v>244</v>
      </c>
      <c r="E245" t="str">
        <f t="shared" si="13"/>
        <v>E2_7_7_6</v>
      </c>
      <c r="F245" s="11" t="s">
        <v>8688</v>
      </c>
      <c r="G245" s="11" t="s">
        <v>8854</v>
      </c>
      <c r="H245" s="11" t="s">
        <v>9027</v>
      </c>
      <c r="I245" s="11" t="s">
        <v>9226</v>
      </c>
      <c r="J245" s="12" t="str">
        <f t="shared" si="14"/>
        <v>(${Variables:E2_7_7_6_kcat} * E2_7_7_6 * C00044 * C00046)/(${Variables:E2_7_7_6_km} + (E2_7_7_6 * C00044 * C00046))</v>
      </c>
      <c r="K245" s="11" t="str">
        <f t="shared" si="15"/>
        <v>r244: C00044 + C00046 -&gt; C00013 + C00046 | (${Variables:E2_7_7_6_kcat} * E2_7_7_6 * C00044 * C00046)/(${Variables:E2_7_7_6_km} + (E2_7_7_6 * C00044 * C00046))</v>
      </c>
    </row>
    <row r="246" spans="1:11" ht="45" customHeight="1" x14ac:dyDescent="0.25">
      <c r="A246" t="s">
        <v>1092</v>
      </c>
      <c r="B246" t="s">
        <v>1093</v>
      </c>
      <c r="C246" s="5" t="s">
        <v>9450</v>
      </c>
      <c r="D246">
        <f t="shared" si="12"/>
        <v>245</v>
      </c>
      <c r="E246" t="str">
        <f t="shared" si="13"/>
        <v>E2_7_7_6</v>
      </c>
      <c r="F246" s="11" t="s">
        <v>14032</v>
      </c>
      <c r="G246" s="11" t="s">
        <v>14635</v>
      </c>
      <c r="H246" s="11" t="s">
        <v>9027</v>
      </c>
      <c r="I246" s="11" t="s">
        <v>9226</v>
      </c>
      <c r="J246" s="12" t="str">
        <f t="shared" si="14"/>
        <v>(${Variables:E2_7_7_6_kcat} * E2_7_7_6 * C00046 * C00063)/(${Variables:E2_7_7_6_km} + (E2_7_7_6 * C00046 * C00063))</v>
      </c>
      <c r="K246" s="11" t="str">
        <f t="shared" si="15"/>
        <v>r245: C00046 + C00063 -&gt; C00013 + C00046 | (${Variables:E2_7_7_6_kcat} * E2_7_7_6 * C00046 * C00063)/(${Variables:E2_7_7_6_km} + (E2_7_7_6 * C00046 * C00063))</v>
      </c>
    </row>
    <row r="247" spans="1:11" ht="45" customHeight="1" x14ac:dyDescent="0.25">
      <c r="A247" t="s">
        <v>1092</v>
      </c>
      <c r="B247" t="s">
        <v>1093</v>
      </c>
      <c r="C247" s="5" t="s">
        <v>9450</v>
      </c>
      <c r="D247">
        <f t="shared" si="12"/>
        <v>246</v>
      </c>
      <c r="E247" t="str">
        <f t="shared" si="13"/>
        <v>E2_7_7_6</v>
      </c>
      <c r="F247" s="11" t="s">
        <v>14033</v>
      </c>
      <c r="G247" s="11" t="s">
        <v>14636</v>
      </c>
      <c r="H247" s="11" t="s">
        <v>9027</v>
      </c>
      <c r="I247" s="11" t="s">
        <v>9226</v>
      </c>
      <c r="J247" s="12" t="str">
        <f t="shared" si="14"/>
        <v>(${Variables:E2_7_7_6_kcat} * E2_7_7_6 * C00046 * C00075)/(${Variables:E2_7_7_6_km} + (E2_7_7_6 * C00046 * C00075))</v>
      </c>
      <c r="K247" s="11" t="str">
        <f t="shared" si="15"/>
        <v>r246: C00046 + C00075 -&gt; C00013 + C00046 | (${Variables:E2_7_7_6_kcat} * E2_7_7_6 * C00046 * C00075)/(${Variables:E2_7_7_6_km} + (E2_7_7_6 * C00046 * C00075))</v>
      </c>
    </row>
    <row r="248" spans="1:11" ht="45" customHeight="1" x14ac:dyDescent="0.25">
      <c r="A248" t="s">
        <v>1092</v>
      </c>
      <c r="B248" t="s">
        <v>1093</v>
      </c>
      <c r="C248" s="5" t="s">
        <v>9450</v>
      </c>
      <c r="D248">
        <f t="shared" si="12"/>
        <v>247</v>
      </c>
      <c r="E248" t="str">
        <f t="shared" si="13"/>
        <v>E2_7_7_6</v>
      </c>
      <c r="F248" s="11" t="s">
        <v>8176</v>
      </c>
      <c r="G248" s="11" t="s">
        <v>8176</v>
      </c>
      <c r="H248" s="11" t="s">
        <v>15248</v>
      </c>
      <c r="I248" s="11" t="s">
        <v>15869</v>
      </c>
      <c r="J248" s="12" t="str">
        <f t="shared" si="14"/>
        <v>(${Variables:E2_7_7_6_kcat} * E2_7_7_6 * C00201)/(${Variables:E2_7_7_6_km} + (E2_7_7_6 * C00201))</v>
      </c>
      <c r="K248" s="11" t="str">
        <f t="shared" si="15"/>
        <v>r247: C00201 -&gt; C00013 + C20864 | (${Variables:E2_7_7_6_kcat} * E2_7_7_6 * C00201)/(${Variables:E2_7_7_6_km} + (E2_7_7_6 * C00201))</v>
      </c>
    </row>
    <row r="249" spans="1:11" ht="45" customHeight="1" x14ac:dyDescent="0.25">
      <c r="A249" t="s">
        <v>1120</v>
      </c>
      <c r="B249" t="s">
        <v>1121</v>
      </c>
      <c r="C249" s="5" t="s">
        <v>9458</v>
      </c>
      <c r="D249">
        <f t="shared" si="12"/>
        <v>248</v>
      </c>
      <c r="E249" t="str">
        <f t="shared" si="13"/>
        <v>E2_5_1_90</v>
      </c>
      <c r="F249" s="11" t="s">
        <v>13977</v>
      </c>
      <c r="G249" s="11" t="s">
        <v>14580</v>
      </c>
      <c r="H249" s="11" t="s">
        <v>15253</v>
      </c>
      <c r="I249" s="11" t="s">
        <v>15874</v>
      </c>
      <c r="J249" s="12" t="str">
        <f t="shared" si="14"/>
        <v>(${Variables:E2_5_1_90_kcat} * E2_5_1_90 * C00129 * C00448)/(${Variables:E2_5_1_90_km} + (E2_5_1_90 * C00129 * C00448))</v>
      </c>
      <c r="K249" s="11" t="str">
        <f t="shared" si="15"/>
        <v>r248: C00129 + C00448 -&gt; C00013 + C04146 | (${Variables:E2_5_1_90_kcat} * E2_5_1_90 * C00129 * C00448)/(${Variables:E2_5_1_90_km} + (E2_5_1_90 * C00129 * C00448))</v>
      </c>
    </row>
    <row r="250" spans="1:11" ht="45" customHeight="1" x14ac:dyDescent="0.25">
      <c r="A250" t="s">
        <v>1123</v>
      </c>
      <c r="B250" t="s">
        <v>1124</v>
      </c>
      <c r="C250" s="5" t="s">
        <v>9460</v>
      </c>
      <c r="D250">
        <f t="shared" si="12"/>
        <v>249</v>
      </c>
      <c r="E250" t="str">
        <f t="shared" si="13"/>
        <v>E1_4_1_2</v>
      </c>
      <c r="F250" s="11" t="s">
        <v>14041</v>
      </c>
      <c r="G250" s="11" t="s">
        <v>14644</v>
      </c>
      <c r="H250" s="11" t="s">
        <v>15255</v>
      </c>
      <c r="I250" s="11" t="s">
        <v>15876</v>
      </c>
      <c r="J250" s="12" t="str">
        <f t="shared" si="14"/>
        <v>(${Variables:E1_4_1_2_kcat} * E1_4_1_2 * C00001 * C00003 * C00025)/(${Variables:E1_4_1_2_km} + (E1_4_1_2 * C00001 * C00003 * C00025))</v>
      </c>
      <c r="K250" s="11" t="str">
        <f t="shared" si="15"/>
        <v>r249: C00001 + C00003 + C00025 -&gt; C00004 + C00014 + C00026 + C00080 | (${Variables:E1_4_1_2_kcat} * E1_4_1_2 * C00001 * C00003 * C00025)/(${Variables:E1_4_1_2_km} + (E1_4_1_2 * C00001 * C00003 * C00025))</v>
      </c>
    </row>
    <row r="251" spans="1:11" ht="45" customHeight="1" x14ac:dyDescent="0.25">
      <c r="A251" t="s">
        <v>1123</v>
      </c>
      <c r="B251" t="s">
        <v>1124</v>
      </c>
      <c r="C251" s="5" t="s">
        <v>9460</v>
      </c>
      <c r="D251">
        <f t="shared" si="12"/>
        <v>250</v>
      </c>
      <c r="E251" t="str">
        <f t="shared" si="13"/>
        <v>E1_4_1_2</v>
      </c>
      <c r="F251" s="11" t="s">
        <v>14042</v>
      </c>
      <c r="G251" s="11" t="s">
        <v>14645</v>
      </c>
      <c r="H251" s="11" t="s">
        <v>15256</v>
      </c>
      <c r="I251" s="11" t="s">
        <v>15877</v>
      </c>
      <c r="J251" s="12" t="str">
        <f t="shared" si="14"/>
        <v>(${Variables:E1_4_1_2_kcat} * E1_4_1_2 * C00001 * C00003 * C05167)/(${Variables:E1_4_1_2_km} + (E1_4_1_2 * C00001 * C00003 * C05167))</v>
      </c>
      <c r="K251" s="11" t="str">
        <f t="shared" si="15"/>
        <v>r250: C00001 + C00003 + C05167 -&gt; C00004 + C00014 + C00080 + C00161 | (${Variables:E1_4_1_2_kcat} * E1_4_1_2 * C00001 * C00003 * C05167)/(${Variables:E1_4_1_2_km} + (E1_4_1_2 * C00001 * C00003 * C05167))</v>
      </c>
    </row>
    <row r="252" spans="1:11" ht="45" customHeight="1" x14ac:dyDescent="0.25">
      <c r="A252" t="s">
        <v>1123</v>
      </c>
      <c r="B252" t="s">
        <v>1124</v>
      </c>
      <c r="C252" s="5" t="s">
        <v>9460</v>
      </c>
      <c r="D252">
        <f t="shared" si="12"/>
        <v>251</v>
      </c>
      <c r="E252" t="str">
        <f t="shared" si="13"/>
        <v>E1_4_1_2</v>
      </c>
      <c r="F252" s="11" t="s">
        <v>14043</v>
      </c>
      <c r="G252" s="11" t="s">
        <v>14646</v>
      </c>
      <c r="H252" s="11" t="s">
        <v>15257</v>
      </c>
      <c r="I252" s="11" t="s">
        <v>15878</v>
      </c>
      <c r="J252" s="12" t="str">
        <f t="shared" si="14"/>
        <v>(${Variables:E1_4_1_2_kcat} * E1_4_1_2 * C00001 * C00006 * C05167)/(${Variables:E1_4_1_2_km} + (E1_4_1_2 * C00001 * C00006 * C05167))</v>
      </c>
      <c r="K252" s="11" t="str">
        <f t="shared" si="15"/>
        <v>r251: C00001 + C00006 + C05167 -&gt; C00005 + C00014 + C00080 + C00161 | (${Variables:E1_4_1_2_kcat} * E1_4_1_2 * C00001 * C00006 * C05167)/(${Variables:E1_4_1_2_km} + (E1_4_1_2 * C00001 * C00006 * C05167))</v>
      </c>
    </row>
    <row r="253" spans="1:11" ht="45" customHeight="1" x14ac:dyDescent="0.25">
      <c r="A253" t="s">
        <v>1126</v>
      </c>
      <c r="B253" t="s">
        <v>1127</v>
      </c>
      <c r="C253" s="5" t="s">
        <v>9460</v>
      </c>
      <c r="D253">
        <f t="shared" si="12"/>
        <v>252</v>
      </c>
      <c r="E253" t="str">
        <f t="shared" si="13"/>
        <v>E1_4_1_2</v>
      </c>
      <c r="F253" s="11" t="s">
        <v>14041</v>
      </c>
      <c r="G253" s="11" t="s">
        <v>14644</v>
      </c>
      <c r="H253" s="11" t="s">
        <v>15255</v>
      </c>
      <c r="I253" s="11" t="s">
        <v>15876</v>
      </c>
      <c r="J253" s="12" t="str">
        <f t="shared" si="14"/>
        <v>(${Variables:E1_4_1_2_kcat} * E1_4_1_2 * C00001 * C00003 * C00025)/(${Variables:E1_4_1_2_km} + (E1_4_1_2 * C00001 * C00003 * C00025))</v>
      </c>
      <c r="K253" s="11" t="str">
        <f t="shared" si="15"/>
        <v>r252: C00001 + C00003 + C00025 -&gt; C00004 + C00014 + C00026 + C00080 | (${Variables:E1_4_1_2_kcat} * E1_4_1_2 * C00001 * C00003 * C00025)/(${Variables:E1_4_1_2_km} + (E1_4_1_2 * C00001 * C00003 * C00025))</v>
      </c>
    </row>
    <row r="254" spans="1:11" ht="45" customHeight="1" x14ac:dyDescent="0.25">
      <c r="A254" t="s">
        <v>1126</v>
      </c>
      <c r="B254" t="s">
        <v>1127</v>
      </c>
      <c r="C254" s="5" t="s">
        <v>9460</v>
      </c>
      <c r="D254">
        <f t="shared" si="12"/>
        <v>253</v>
      </c>
      <c r="E254" t="str">
        <f t="shared" si="13"/>
        <v>E1_4_1_2</v>
      </c>
      <c r="F254" s="11" t="s">
        <v>14042</v>
      </c>
      <c r="G254" s="11" t="s">
        <v>14645</v>
      </c>
      <c r="H254" s="11" t="s">
        <v>15256</v>
      </c>
      <c r="I254" s="11" t="s">
        <v>15877</v>
      </c>
      <c r="J254" s="12" t="str">
        <f t="shared" si="14"/>
        <v>(${Variables:E1_4_1_2_kcat} * E1_4_1_2 * C00001 * C00003 * C05167)/(${Variables:E1_4_1_2_km} + (E1_4_1_2 * C00001 * C00003 * C05167))</v>
      </c>
      <c r="K254" s="11" t="str">
        <f t="shared" si="15"/>
        <v>r253: C00001 + C00003 + C05167 -&gt; C00004 + C00014 + C00080 + C00161 | (${Variables:E1_4_1_2_kcat} * E1_4_1_2 * C00001 * C00003 * C05167)/(${Variables:E1_4_1_2_km} + (E1_4_1_2 * C00001 * C00003 * C05167))</v>
      </c>
    </row>
    <row r="255" spans="1:11" ht="45" customHeight="1" x14ac:dyDescent="0.25">
      <c r="A255" t="s">
        <v>1126</v>
      </c>
      <c r="B255" t="s">
        <v>1127</v>
      </c>
      <c r="C255" s="5" t="s">
        <v>9460</v>
      </c>
      <c r="D255">
        <f t="shared" si="12"/>
        <v>254</v>
      </c>
      <c r="E255" t="str">
        <f t="shared" si="13"/>
        <v>E1_4_1_2</v>
      </c>
      <c r="F255" s="11" t="s">
        <v>14043</v>
      </c>
      <c r="G255" s="11" t="s">
        <v>14646</v>
      </c>
      <c r="H255" s="11" t="s">
        <v>15257</v>
      </c>
      <c r="I255" s="11" t="s">
        <v>15878</v>
      </c>
      <c r="J255" s="12" t="str">
        <f t="shared" si="14"/>
        <v>(${Variables:E1_4_1_2_kcat} * E1_4_1_2 * C00001 * C00006 * C05167)/(${Variables:E1_4_1_2_km} + (E1_4_1_2 * C00001 * C00006 * C05167))</v>
      </c>
      <c r="K255" s="11" t="str">
        <f t="shared" si="15"/>
        <v>r254: C00001 + C00006 + C05167 -&gt; C00005 + C00014 + C00080 + C00161 | (${Variables:E1_4_1_2_kcat} * E1_4_1_2 * C00001 * C00006 * C05167)/(${Variables:E1_4_1_2_km} + (E1_4_1_2 * C00001 * C00006 * C05167))</v>
      </c>
    </row>
    <row r="256" spans="1:11" ht="45" customHeight="1" x14ac:dyDescent="0.25">
      <c r="A256" t="s">
        <v>1131</v>
      </c>
      <c r="B256" t="s">
        <v>1132</v>
      </c>
      <c r="C256" s="5" t="s">
        <v>9461</v>
      </c>
      <c r="D256">
        <f t="shared" si="12"/>
        <v>255</v>
      </c>
      <c r="E256" t="str">
        <f t="shared" si="13"/>
        <v>E1_1_1_95</v>
      </c>
      <c r="F256" s="11" t="s">
        <v>14044</v>
      </c>
      <c r="G256" s="11" t="s">
        <v>14647</v>
      </c>
      <c r="H256" s="11" t="s">
        <v>15258</v>
      </c>
      <c r="I256" s="11" t="s">
        <v>15879</v>
      </c>
      <c r="J256" s="12" t="str">
        <f t="shared" si="14"/>
        <v>(${Variables:E1_1_1_95_kcat} * E1_1_1_95 * C00003 * C00197)/(${Variables:E1_1_1_95_km} + (E1_1_1_95 * C00003 * C00197))</v>
      </c>
      <c r="K256" s="11" t="str">
        <f t="shared" si="15"/>
        <v>r255: C00003 + C00197 -&gt; C00004 + C00080 + C03232 | (${Variables:E1_1_1_95_kcat} * E1_1_1_95 * C00003 * C00197)/(${Variables:E1_1_1_95_km} + (E1_1_1_95 * C00003 * C00197))</v>
      </c>
    </row>
    <row r="257" spans="1:11" ht="45" customHeight="1" x14ac:dyDescent="0.25">
      <c r="A257" t="s">
        <v>1131</v>
      </c>
      <c r="B257" t="s">
        <v>1132</v>
      </c>
      <c r="C257" s="5" t="s">
        <v>9461</v>
      </c>
      <c r="D257">
        <f t="shared" si="12"/>
        <v>256</v>
      </c>
      <c r="E257" t="str">
        <f t="shared" si="13"/>
        <v>E1_1_1_95</v>
      </c>
      <c r="F257" s="11" t="s">
        <v>14045</v>
      </c>
      <c r="G257" s="11" t="s">
        <v>14648</v>
      </c>
      <c r="H257" s="11" t="s">
        <v>15259</v>
      </c>
      <c r="I257" s="11" t="s">
        <v>15880</v>
      </c>
      <c r="J257" s="12" t="str">
        <f t="shared" si="14"/>
        <v>(${Variables:E1_1_1_95_kcat} * E1_1_1_95 * C00003 * C02630)/(${Variables:E1_1_1_95_km} + (E1_1_1_95 * C00003 * C02630))</v>
      </c>
      <c r="K257" s="11" t="str">
        <f t="shared" si="15"/>
        <v>r256: C00003 + C02630 -&gt; C00004 + C00026 + C00080 | (${Variables:E1_1_1_95_kcat} * E1_1_1_95 * C00003 * C02630)/(${Variables:E1_1_1_95_km} + (E1_1_1_95 * C00003 * C02630))</v>
      </c>
    </row>
    <row r="258" spans="1:11" ht="45" customHeight="1" x14ac:dyDescent="0.25">
      <c r="A258" t="s">
        <v>1136</v>
      </c>
      <c r="B258" t="s">
        <v>1137</v>
      </c>
      <c r="C258" s="5" t="s">
        <v>9462</v>
      </c>
      <c r="D258">
        <f t="shared" si="12"/>
        <v>257</v>
      </c>
      <c r="E258" t="str">
        <f t="shared" si="13"/>
        <v>E2_5_1_46</v>
      </c>
      <c r="F258" s="11" t="s">
        <v>14046</v>
      </c>
      <c r="G258" s="11" t="s">
        <v>14649</v>
      </c>
      <c r="H258" s="11" t="s">
        <v>15260</v>
      </c>
      <c r="I258" s="11" t="s">
        <v>15881</v>
      </c>
      <c r="J258" s="12" t="str">
        <f t="shared" si="14"/>
        <v>(${Variables:E2_5_1_46_kcat} * E2_5_1_46 * C00315 * C07281)/(${Variables:E2_5_1_46_km} + (E2_5_1_46 * C00315 * C07281))</v>
      </c>
      <c r="K258" s="11" t="str">
        <f t="shared" si="15"/>
        <v>r257: C00315 + C07281 -&gt; C00986 + C07282 | (${Variables:E2_5_1_46_kcat} * E2_5_1_46 * C00315 * C07281)/(${Variables:E2_5_1_46_km} + (E2_5_1_46 * C00315 * C07281))</v>
      </c>
    </row>
    <row r="259" spans="1:11" ht="45" customHeight="1" x14ac:dyDescent="0.25">
      <c r="A259" t="s">
        <v>1136</v>
      </c>
      <c r="B259" t="s">
        <v>1137</v>
      </c>
      <c r="C259" s="5" t="s">
        <v>9462</v>
      </c>
      <c r="D259">
        <f t="shared" ref="D259:D322" si="16">ROW()-1</f>
        <v>258</v>
      </c>
      <c r="E259" t="str">
        <f t="shared" ref="E259:E322" si="17">_xlfn.CONCAT("E", C259)</f>
        <v>E2_5_1_46</v>
      </c>
      <c r="F259" s="11" t="s">
        <v>14047</v>
      </c>
      <c r="G259" s="11" t="s">
        <v>14650</v>
      </c>
      <c r="H259" s="11" t="s">
        <v>15261</v>
      </c>
      <c r="I259" s="11" t="s">
        <v>15882</v>
      </c>
      <c r="J259" s="12" t="str">
        <f t="shared" ref="J259:J322" si="18">CONCATENATE("(${Variables:",E259,"_kcat","} * ",E259," * ",G259,")","/(${Variables:",E259,"_km","} + (",E259," * ",G259,"))")</f>
        <v>(${Variables:E2_5_1_46_kcat} * E2_5_1_46 * C00003 * C00315)/(${Variables:E2_5_1_46_km} + (E2_5_1_46 * C00003 * C00315))</v>
      </c>
      <c r="K259" s="11" t="str">
        <f t="shared" ref="K259:K322" si="19">CONCATENATE("r",D259,": ",F259," -&gt; ",H259," | ",J259)</f>
        <v>r258: C00003 + C00315 -&gt; C00004 + C00080 + C15853 | (${Variables:E2_5_1_46_kcat} * E2_5_1_46 * C00003 * C00315)/(${Variables:E2_5_1_46_km} + (E2_5_1_46 * C00003 * C00315))</v>
      </c>
    </row>
    <row r="260" spans="1:11" ht="45" customHeight="1" x14ac:dyDescent="0.25">
      <c r="A260" t="s">
        <v>1136</v>
      </c>
      <c r="B260" t="s">
        <v>1137</v>
      </c>
      <c r="C260" s="5" t="s">
        <v>9462</v>
      </c>
      <c r="D260">
        <f t="shared" si="16"/>
        <v>259</v>
      </c>
      <c r="E260" t="str">
        <f t="shared" si="17"/>
        <v>E2_5_1_46</v>
      </c>
      <c r="F260" s="11" t="s">
        <v>14048</v>
      </c>
      <c r="G260" s="11" t="s">
        <v>14651</v>
      </c>
      <c r="H260" s="11" t="s">
        <v>15262</v>
      </c>
      <c r="I260" s="11" t="s">
        <v>15883</v>
      </c>
      <c r="J260" s="12" t="str">
        <f t="shared" si="18"/>
        <v>(${Variables:E2_5_1_46_kcat} * E2_5_1_46 * C00004 * C00080 * C15854)/(${Variables:E2_5_1_46_km} + (E2_5_1_46 * C00004 * C00080 * C15854))</v>
      </c>
      <c r="K260" s="11" t="str">
        <f t="shared" si="19"/>
        <v>r259: C00004 + C00080 + C15854 -&gt; C00003 + C07282 | (${Variables:E2_5_1_46_kcat} * E2_5_1_46 * C00004 * C00080 * C15854)/(${Variables:E2_5_1_46_km} + (E2_5_1_46 * C00004 * C00080 * C15854))</v>
      </c>
    </row>
    <row r="261" spans="1:11" ht="45" customHeight="1" x14ac:dyDescent="0.25">
      <c r="A261" t="s">
        <v>1136</v>
      </c>
      <c r="B261" t="s">
        <v>1137</v>
      </c>
      <c r="C261" s="5" t="s">
        <v>9462</v>
      </c>
      <c r="D261">
        <f t="shared" si="16"/>
        <v>260</v>
      </c>
      <c r="E261" t="str">
        <f t="shared" si="17"/>
        <v>E2_5_1_46</v>
      </c>
      <c r="F261" s="11" t="s">
        <v>14049</v>
      </c>
      <c r="G261" s="11" t="s">
        <v>14652</v>
      </c>
      <c r="H261" s="11" t="s">
        <v>15263</v>
      </c>
      <c r="I261" s="11" t="s">
        <v>15884</v>
      </c>
      <c r="J261" s="12" t="str">
        <f t="shared" si="18"/>
        <v>(${Variables:E2_5_1_46_kcat} * E2_5_1_46 * C07281 * C15853)/(${Variables:E2_5_1_46_km} + (E2_5_1_46 * C07281 * C15853))</v>
      </c>
      <c r="K261" s="11" t="str">
        <f t="shared" si="19"/>
        <v>r260: C07281 + C15853 -&gt; C00986 + C15854 | (${Variables:E2_5_1_46_kcat} * E2_5_1_46 * C07281 * C15853)/(${Variables:E2_5_1_46_km} + (E2_5_1_46 * C07281 * C15853))</v>
      </c>
    </row>
    <row r="262" spans="1:11" ht="45" customHeight="1" x14ac:dyDescent="0.25">
      <c r="A262" t="s">
        <v>1136</v>
      </c>
      <c r="B262" t="s">
        <v>1137</v>
      </c>
      <c r="C262" s="5" t="s">
        <v>9462</v>
      </c>
      <c r="D262">
        <f t="shared" si="16"/>
        <v>261</v>
      </c>
      <c r="E262" t="str">
        <f t="shared" si="17"/>
        <v>E2_5_1_46</v>
      </c>
      <c r="F262" s="11" t="s">
        <v>14050</v>
      </c>
      <c r="G262" s="11" t="s">
        <v>14653</v>
      </c>
      <c r="H262" s="11" t="s">
        <v>14050</v>
      </c>
      <c r="I262" s="11" t="s">
        <v>14653</v>
      </c>
      <c r="J262" s="12" t="str">
        <f t="shared" si="18"/>
        <v>(${Variables:E2_5_1_46_kcat} * E2_5_1_46 * C07281 * C15854)/(${Variables:E2_5_1_46_km} + (E2_5_1_46 * C07281 * C15854))</v>
      </c>
      <c r="K262" s="11" t="str">
        <f t="shared" si="19"/>
        <v>r261: C07281 + C15854 -&gt; C07281 + C15854 | (${Variables:E2_5_1_46_kcat} * E2_5_1_46 * C07281 * C15854)/(${Variables:E2_5_1_46_km} + (E2_5_1_46 * C07281 * C15854))</v>
      </c>
    </row>
    <row r="263" spans="1:11" ht="45" customHeight="1" x14ac:dyDescent="0.25">
      <c r="A263" t="s">
        <v>1152</v>
      </c>
      <c r="B263" t="s">
        <v>1153</v>
      </c>
      <c r="C263" s="5" t="s">
        <v>9463</v>
      </c>
      <c r="D263">
        <f t="shared" si="16"/>
        <v>262</v>
      </c>
      <c r="E263" t="str">
        <f t="shared" si="17"/>
        <v>E2_1_1_63</v>
      </c>
      <c r="F263" s="11" t="s">
        <v>14051</v>
      </c>
      <c r="G263" s="11" t="s">
        <v>14654</v>
      </c>
      <c r="H263" s="11" t="s">
        <v>9034</v>
      </c>
      <c r="I263" s="11" t="s">
        <v>9233</v>
      </c>
      <c r="J263" s="12" t="str">
        <f t="shared" si="18"/>
        <v>(${Variables:E2_1_1_63_kcat} * E2_1_1_63 * C02743 * C04250)/(${Variables:E2_1_1_63_km} + (E2_1_1_63 * C02743 * C04250))</v>
      </c>
      <c r="K263" s="11" t="str">
        <f t="shared" si="19"/>
        <v>r262: C02743 + C04250 -&gt; C03800 + C11475 | (${Variables:E2_1_1_63_kcat} * E2_1_1_63 * C02743 * C04250)/(${Variables:E2_1_1_63_km} + (E2_1_1_63 * C02743 * C04250))</v>
      </c>
    </row>
    <row r="264" spans="1:11" ht="45" customHeight="1" x14ac:dyDescent="0.25">
      <c r="A264" t="s">
        <v>1155</v>
      </c>
      <c r="B264" t="s">
        <v>1156</v>
      </c>
      <c r="C264" s="5" t="s">
        <v>9464</v>
      </c>
      <c r="D264">
        <f t="shared" si="16"/>
        <v>263</v>
      </c>
      <c r="E264" t="str">
        <f t="shared" si="17"/>
        <v>E3_2_1_20</v>
      </c>
      <c r="F264" s="11" t="s">
        <v>14052</v>
      </c>
      <c r="G264" s="11" t="s">
        <v>14655</v>
      </c>
      <c r="H264" s="11" t="s">
        <v>8307</v>
      </c>
      <c r="I264" s="11" t="s">
        <v>8307</v>
      </c>
      <c r="J264" s="12" t="str">
        <f t="shared" si="18"/>
        <v>(${Variables:E3_2_1_20_kcat} * E3_2_1_20 * C00001 * C00208)/(${Variables:E3_2_1_20_km} + (E3_2_1_20 * C00001 * C00208))</v>
      </c>
      <c r="K264" s="11" t="str">
        <f t="shared" si="19"/>
        <v>r263: C00001 + C00208 -&gt; C00031 | (${Variables:E3_2_1_20_kcat} * E3_2_1_20 * C00001 * C00208)/(${Variables:E3_2_1_20_km} + (E3_2_1_20 * C00001 * C00208))</v>
      </c>
    </row>
    <row r="265" spans="1:11" ht="45" customHeight="1" x14ac:dyDescent="0.25">
      <c r="A265" t="s">
        <v>1155</v>
      </c>
      <c r="B265" t="s">
        <v>1156</v>
      </c>
      <c r="C265" s="5" t="s">
        <v>9464</v>
      </c>
      <c r="D265">
        <f t="shared" si="16"/>
        <v>264</v>
      </c>
      <c r="E265" t="str">
        <f t="shared" si="17"/>
        <v>E3_2_1_20</v>
      </c>
      <c r="F265" s="11" t="s">
        <v>14053</v>
      </c>
      <c r="G265" s="11" t="s">
        <v>14656</v>
      </c>
      <c r="H265" s="11" t="s">
        <v>15264</v>
      </c>
      <c r="I265" s="11" t="s">
        <v>15885</v>
      </c>
      <c r="J265" s="12" t="str">
        <f t="shared" si="18"/>
        <v>(${Variables:E3_2_1_20_kcat} * E3_2_1_20 * C00001 * C00089)/(${Variables:E3_2_1_20_km} + (E3_2_1_20 * C00001 * C00089))</v>
      </c>
      <c r="K265" s="11" t="str">
        <f t="shared" si="19"/>
        <v>r264: C00001 + C00089 -&gt; C00031 + C00095 | (${Variables:E3_2_1_20_kcat} * E3_2_1_20 * C00001 * C00089)/(${Variables:E3_2_1_20_km} + (E3_2_1_20 * C00001 * C00089))</v>
      </c>
    </row>
    <row r="266" spans="1:11" ht="45" customHeight="1" x14ac:dyDescent="0.25">
      <c r="A266" t="s">
        <v>1155</v>
      </c>
      <c r="B266" t="s">
        <v>1156</v>
      </c>
      <c r="C266" s="5" t="s">
        <v>9464</v>
      </c>
      <c r="D266">
        <f t="shared" si="16"/>
        <v>265</v>
      </c>
      <c r="E266" t="str">
        <f t="shared" si="17"/>
        <v>E3_2_1_20</v>
      </c>
      <c r="F266" s="11" t="s">
        <v>14053</v>
      </c>
      <c r="G266" s="11" t="s">
        <v>14656</v>
      </c>
      <c r="H266" s="11" t="s">
        <v>15265</v>
      </c>
      <c r="I266" s="11" t="s">
        <v>15886</v>
      </c>
      <c r="J266" s="12" t="str">
        <f t="shared" si="18"/>
        <v>(${Variables:E3_2_1_20_kcat} * E3_2_1_20 * C00001 * C00089)/(${Variables:E3_2_1_20_km} + (E3_2_1_20 * C00001 * C00089))</v>
      </c>
      <c r="K266" s="11" t="str">
        <f t="shared" si="19"/>
        <v>r265: C00001 + C00089 -&gt; C00267 + C02336 | (${Variables:E3_2_1_20_kcat} * E3_2_1_20 * C00001 * C00089)/(${Variables:E3_2_1_20_km} + (E3_2_1_20 * C00001 * C00089))</v>
      </c>
    </row>
    <row r="267" spans="1:11" ht="45" customHeight="1" x14ac:dyDescent="0.25">
      <c r="A267" t="s">
        <v>1155</v>
      </c>
      <c r="B267" t="s">
        <v>1156</v>
      </c>
      <c r="C267" s="5" t="s">
        <v>9464</v>
      </c>
      <c r="D267">
        <f t="shared" si="16"/>
        <v>266</v>
      </c>
      <c r="E267" t="str">
        <f t="shared" si="17"/>
        <v>E3_2_1_20</v>
      </c>
      <c r="F267" s="11" t="s">
        <v>14054</v>
      </c>
      <c r="G267" s="11" t="s">
        <v>14657</v>
      </c>
      <c r="H267" s="11" t="s">
        <v>15264</v>
      </c>
      <c r="I267" s="11" t="s">
        <v>15885</v>
      </c>
      <c r="J267" s="12" t="str">
        <f t="shared" si="18"/>
        <v>(${Variables:E3_2_1_20_kcat} * E3_2_1_20 * C00001 * G00370)/(${Variables:E3_2_1_20_km} + (E3_2_1_20 * C00001 * G00370))</v>
      </c>
      <c r="K267" s="11" t="str">
        <f t="shared" si="19"/>
        <v>r266: C00001 + G00370 -&gt; C00031 + C00095 | (${Variables:E3_2_1_20_kcat} * E3_2_1_20 * C00001 * G00370)/(${Variables:E3_2_1_20_km} + (E3_2_1_20 * C00001 * G00370))</v>
      </c>
    </row>
    <row r="268" spans="1:11" ht="45" customHeight="1" x14ac:dyDescent="0.25">
      <c r="A268" t="s">
        <v>1155</v>
      </c>
      <c r="B268" t="s">
        <v>1156</v>
      </c>
      <c r="C268" s="5" t="s">
        <v>9464</v>
      </c>
      <c r="D268">
        <f t="shared" si="16"/>
        <v>267</v>
      </c>
      <c r="E268" t="str">
        <f t="shared" si="17"/>
        <v>E3_2_1_20</v>
      </c>
      <c r="F268" s="11" t="s">
        <v>14054</v>
      </c>
      <c r="G268" s="11" t="s">
        <v>14657</v>
      </c>
      <c r="H268" s="11" t="s">
        <v>15265</v>
      </c>
      <c r="I268" s="11" t="s">
        <v>15886</v>
      </c>
      <c r="J268" s="12" t="str">
        <f t="shared" si="18"/>
        <v>(${Variables:E3_2_1_20_kcat} * E3_2_1_20 * C00001 * G00370)/(${Variables:E3_2_1_20_km} + (E3_2_1_20 * C00001 * G00370))</v>
      </c>
      <c r="K268" s="11" t="str">
        <f t="shared" si="19"/>
        <v>r267: C00001 + G00370 -&gt; C00267 + C02336 | (${Variables:E3_2_1_20_kcat} * E3_2_1_20 * C00001 * G00370)/(${Variables:E3_2_1_20_km} + (E3_2_1_20 * C00001 * G00370))</v>
      </c>
    </row>
    <row r="269" spans="1:11" ht="45" customHeight="1" x14ac:dyDescent="0.25">
      <c r="A269" t="s">
        <v>1158</v>
      </c>
      <c r="B269" t="s">
        <v>1159</v>
      </c>
      <c r="C269" s="5" t="s">
        <v>9465</v>
      </c>
      <c r="D269">
        <f t="shared" si="16"/>
        <v>268</v>
      </c>
      <c r="E269" t="str">
        <f t="shared" si="17"/>
        <v>E2_7_4_8</v>
      </c>
      <c r="F269" s="11" t="s">
        <v>8693</v>
      </c>
      <c r="G269" s="11" t="s">
        <v>8859</v>
      </c>
      <c r="H269" s="11" t="s">
        <v>9035</v>
      </c>
      <c r="I269" s="11" t="s">
        <v>9234</v>
      </c>
      <c r="J269" s="12" t="str">
        <f t="shared" si="18"/>
        <v>(${Variables:E2_7_4_8_kcat} * E2_7_4_8 * C00002 * C00144)/(${Variables:E2_7_4_8_km} + (E2_7_4_8 * C00002 * C00144))</v>
      </c>
      <c r="K269" s="11" t="str">
        <f t="shared" si="19"/>
        <v>r268: C00002 + C00144 -&gt; C00008 + C00035 | (${Variables:E2_7_4_8_kcat} * E2_7_4_8 * C00002 * C00144)/(${Variables:E2_7_4_8_km} + (E2_7_4_8 * C00002 * C00144))</v>
      </c>
    </row>
    <row r="270" spans="1:11" ht="45" customHeight="1" x14ac:dyDescent="0.25">
      <c r="A270" t="s">
        <v>1158</v>
      </c>
      <c r="B270" t="s">
        <v>1159</v>
      </c>
      <c r="C270" s="5" t="s">
        <v>9465</v>
      </c>
      <c r="D270">
        <f t="shared" si="16"/>
        <v>269</v>
      </c>
      <c r="E270" t="str">
        <f t="shared" si="17"/>
        <v>E2_7_4_8</v>
      </c>
      <c r="F270" s="11" t="s">
        <v>8694</v>
      </c>
      <c r="G270" s="11" t="s">
        <v>8860</v>
      </c>
      <c r="H270" s="11" t="s">
        <v>9036</v>
      </c>
      <c r="I270" s="11" t="s">
        <v>9235</v>
      </c>
      <c r="J270" s="12" t="str">
        <f t="shared" si="18"/>
        <v>(${Variables:E2_7_4_8_kcat} * E2_7_4_8 * C00002 * C00362)/(${Variables:E2_7_4_8_km} + (E2_7_4_8 * C00002 * C00362))</v>
      </c>
      <c r="K270" s="11" t="str">
        <f t="shared" si="19"/>
        <v>r269: C00002 + C00362 -&gt; C00008 + C00361 | (${Variables:E2_7_4_8_kcat} * E2_7_4_8 * C00002 * C00362)/(${Variables:E2_7_4_8_km} + (E2_7_4_8 * C00002 * C00362))</v>
      </c>
    </row>
    <row r="271" spans="1:11" ht="45" customHeight="1" x14ac:dyDescent="0.25">
      <c r="A271" t="s">
        <v>1158</v>
      </c>
      <c r="B271" t="s">
        <v>1159</v>
      </c>
      <c r="C271" s="5" t="s">
        <v>9465</v>
      </c>
      <c r="D271">
        <f t="shared" si="16"/>
        <v>270</v>
      </c>
      <c r="E271" t="str">
        <f t="shared" si="17"/>
        <v>E2_7_4_8</v>
      </c>
      <c r="F271" s="11" t="s">
        <v>14055</v>
      </c>
      <c r="G271" s="11" t="s">
        <v>14658</v>
      </c>
      <c r="H271" s="11" t="s">
        <v>15266</v>
      </c>
      <c r="I271" s="11" t="s">
        <v>15887</v>
      </c>
      <c r="J271" s="12" t="str">
        <f t="shared" si="18"/>
        <v>(${Variables:E2_7_4_8_kcat} * E2_7_4_8 * C00002 * C22441)/(${Variables:E2_7_4_8_km} + (E2_7_4_8 * C00002 * C22441))</v>
      </c>
      <c r="K271" s="11" t="str">
        <f t="shared" si="19"/>
        <v>r270: C00002 + C22441 -&gt; C00008 + C22442 | (${Variables:E2_7_4_8_kcat} * E2_7_4_8 * C00002 * C22441)/(${Variables:E2_7_4_8_km} + (E2_7_4_8 * C00002 * C22441))</v>
      </c>
    </row>
    <row r="272" spans="1:11" ht="45" customHeight="1" x14ac:dyDescent="0.25">
      <c r="A272" t="s">
        <v>1161</v>
      </c>
      <c r="B272" t="s">
        <v>1162</v>
      </c>
      <c r="C272" s="5" t="s">
        <v>9450</v>
      </c>
      <c r="D272">
        <f t="shared" si="16"/>
        <v>271</v>
      </c>
      <c r="E272" t="str">
        <f t="shared" si="17"/>
        <v>E2_7_7_6</v>
      </c>
      <c r="F272" s="11" t="s">
        <v>14031</v>
      </c>
      <c r="G272" s="11" t="s">
        <v>14634</v>
      </c>
      <c r="H272" s="11" t="s">
        <v>9027</v>
      </c>
      <c r="I272" s="11" t="s">
        <v>9226</v>
      </c>
      <c r="J272" s="12" t="str">
        <f t="shared" si="18"/>
        <v>(${Variables:E2_7_7_6_kcat} * E2_7_7_6 * C00046 * C00201)/(${Variables:E2_7_7_6_km} + (E2_7_7_6 * C00046 * C00201))</v>
      </c>
      <c r="K272" s="11" t="str">
        <f t="shared" si="19"/>
        <v>r271: C00046 + C00201 -&gt; C00013 + C00046 | (${Variables:E2_7_7_6_kcat} * E2_7_7_6 * C00046 * C00201)/(${Variables:E2_7_7_6_km} + (E2_7_7_6 * C00046 * C00201))</v>
      </c>
    </row>
    <row r="273" spans="1:11" ht="45" customHeight="1" x14ac:dyDescent="0.25">
      <c r="A273" t="s">
        <v>1161</v>
      </c>
      <c r="B273" t="s">
        <v>1162</v>
      </c>
      <c r="C273" s="5" t="s">
        <v>9450</v>
      </c>
      <c r="D273">
        <f t="shared" si="16"/>
        <v>272</v>
      </c>
      <c r="E273" t="str">
        <f t="shared" si="17"/>
        <v>E2_7_7_6</v>
      </c>
      <c r="F273" s="11" t="s">
        <v>8687</v>
      </c>
      <c r="G273" s="11" t="s">
        <v>8853</v>
      </c>
      <c r="H273" s="11" t="s">
        <v>9027</v>
      </c>
      <c r="I273" s="11" t="s">
        <v>9226</v>
      </c>
      <c r="J273" s="12" t="str">
        <f t="shared" si="18"/>
        <v>(${Variables:E2_7_7_6_kcat} * E2_7_7_6 * C00002 * C00046)/(${Variables:E2_7_7_6_km} + (E2_7_7_6 * C00002 * C00046))</v>
      </c>
      <c r="K273" s="11" t="str">
        <f t="shared" si="19"/>
        <v>r272: C00002 + C00046 -&gt; C00013 + C00046 | (${Variables:E2_7_7_6_kcat} * E2_7_7_6 * C00002 * C00046)/(${Variables:E2_7_7_6_km} + (E2_7_7_6 * C00002 * C00046))</v>
      </c>
    </row>
    <row r="274" spans="1:11" ht="45" customHeight="1" x14ac:dyDescent="0.25">
      <c r="A274" t="s">
        <v>1161</v>
      </c>
      <c r="B274" t="s">
        <v>1162</v>
      </c>
      <c r="C274" s="5" t="s">
        <v>9450</v>
      </c>
      <c r="D274">
        <f t="shared" si="16"/>
        <v>273</v>
      </c>
      <c r="E274" t="str">
        <f t="shared" si="17"/>
        <v>E2_7_7_6</v>
      </c>
      <c r="F274" s="11" t="s">
        <v>8688</v>
      </c>
      <c r="G274" s="11" t="s">
        <v>8854</v>
      </c>
      <c r="H274" s="11" t="s">
        <v>9027</v>
      </c>
      <c r="I274" s="11" t="s">
        <v>9226</v>
      </c>
      <c r="J274" s="12" t="str">
        <f t="shared" si="18"/>
        <v>(${Variables:E2_7_7_6_kcat} * E2_7_7_6 * C00044 * C00046)/(${Variables:E2_7_7_6_km} + (E2_7_7_6 * C00044 * C00046))</v>
      </c>
      <c r="K274" s="11" t="str">
        <f t="shared" si="19"/>
        <v>r273: C00044 + C00046 -&gt; C00013 + C00046 | (${Variables:E2_7_7_6_kcat} * E2_7_7_6 * C00044 * C00046)/(${Variables:E2_7_7_6_km} + (E2_7_7_6 * C00044 * C00046))</v>
      </c>
    </row>
    <row r="275" spans="1:11" ht="45" customHeight="1" x14ac:dyDescent="0.25">
      <c r="A275" t="s">
        <v>1161</v>
      </c>
      <c r="B275" t="s">
        <v>1162</v>
      </c>
      <c r="C275" s="5" t="s">
        <v>9450</v>
      </c>
      <c r="D275">
        <f t="shared" si="16"/>
        <v>274</v>
      </c>
      <c r="E275" t="str">
        <f t="shared" si="17"/>
        <v>E2_7_7_6</v>
      </c>
      <c r="F275" s="11" t="s">
        <v>14032</v>
      </c>
      <c r="G275" s="11" t="s">
        <v>14635</v>
      </c>
      <c r="H275" s="11" t="s">
        <v>9027</v>
      </c>
      <c r="I275" s="11" t="s">
        <v>9226</v>
      </c>
      <c r="J275" s="12" t="str">
        <f t="shared" si="18"/>
        <v>(${Variables:E2_7_7_6_kcat} * E2_7_7_6 * C00046 * C00063)/(${Variables:E2_7_7_6_km} + (E2_7_7_6 * C00046 * C00063))</v>
      </c>
      <c r="K275" s="11" t="str">
        <f t="shared" si="19"/>
        <v>r274: C00046 + C00063 -&gt; C00013 + C00046 | (${Variables:E2_7_7_6_kcat} * E2_7_7_6 * C00046 * C00063)/(${Variables:E2_7_7_6_km} + (E2_7_7_6 * C00046 * C00063))</v>
      </c>
    </row>
    <row r="276" spans="1:11" ht="45" customHeight="1" x14ac:dyDescent="0.25">
      <c r="A276" t="s">
        <v>1161</v>
      </c>
      <c r="B276" t="s">
        <v>1162</v>
      </c>
      <c r="C276" s="5" t="s">
        <v>9450</v>
      </c>
      <c r="D276">
        <f t="shared" si="16"/>
        <v>275</v>
      </c>
      <c r="E276" t="str">
        <f t="shared" si="17"/>
        <v>E2_7_7_6</v>
      </c>
      <c r="F276" s="11" t="s">
        <v>14033</v>
      </c>
      <c r="G276" s="11" t="s">
        <v>14636</v>
      </c>
      <c r="H276" s="11" t="s">
        <v>9027</v>
      </c>
      <c r="I276" s="11" t="s">
        <v>9226</v>
      </c>
      <c r="J276" s="12" t="str">
        <f t="shared" si="18"/>
        <v>(${Variables:E2_7_7_6_kcat} * E2_7_7_6 * C00046 * C00075)/(${Variables:E2_7_7_6_km} + (E2_7_7_6 * C00046 * C00075))</v>
      </c>
      <c r="K276" s="11" t="str">
        <f t="shared" si="19"/>
        <v>r275: C00046 + C00075 -&gt; C00013 + C00046 | (${Variables:E2_7_7_6_kcat} * E2_7_7_6 * C00046 * C00075)/(${Variables:E2_7_7_6_km} + (E2_7_7_6 * C00046 * C00075))</v>
      </c>
    </row>
    <row r="277" spans="1:11" ht="45" customHeight="1" x14ac:dyDescent="0.25">
      <c r="A277" t="s">
        <v>1161</v>
      </c>
      <c r="B277" t="s">
        <v>1162</v>
      </c>
      <c r="C277" s="5" t="s">
        <v>9450</v>
      </c>
      <c r="D277">
        <f t="shared" si="16"/>
        <v>276</v>
      </c>
      <c r="E277" t="str">
        <f t="shared" si="17"/>
        <v>E2_7_7_6</v>
      </c>
      <c r="F277" s="11" t="s">
        <v>8176</v>
      </c>
      <c r="G277" s="11" t="s">
        <v>8176</v>
      </c>
      <c r="H277" s="11" t="s">
        <v>15248</v>
      </c>
      <c r="I277" s="11" t="s">
        <v>15869</v>
      </c>
      <c r="J277" s="12" t="str">
        <f t="shared" si="18"/>
        <v>(${Variables:E2_7_7_6_kcat} * E2_7_7_6 * C00201)/(${Variables:E2_7_7_6_km} + (E2_7_7_6 * C00201))</v>
      </c>
      <c r="K277" s="11" t="str">
        <f t="shared" si="19"/>
        <v>r276: C00201 -&gt; C00013 + C20864 | (${Variables:E2_7_7_6_kcat} * E2_7_7_6 * C00201)/(${Variables:E2_7_7_6_km} + (E2_7_7_6 * C00201))</v>
      </c>
    </row>
    <row r="278" spans="1:11" ht="45" customHeight="1" x14ac:dyDescent="0.25">
      <c r="A278" t="s">
        <v>1164</v>
      </c>
      <c r="B278" t="s">
        <v>1165</v>
      </c>
      <c r="C278" s="5" t="s">
        <v>9466</v>
      </c>
      <c r="D278">
        <f t="shared" si="16"/>
        <v>277</v>
      </c>
      <c r="E278" t="str">
        <f t="shared" si="17"/>
        <v>E4_1_1_36</v>
      </c>
      <c r="F278" s="11" t="s">
        <v>8184</v>
      </c>
      <c r="G278" s="11" t="s">
        <v>8184</v>
      </c>
      <c r="H278" s="11" t="s">
        <v>15267</v>
      </c>
      <c r="I278" s="11" t="s">
        <v>15888</v>
      </c>
      <c r="J278" s="12" t="str">
        <f t="shared" si="18"/>
        <v>(${Variables:E4_1_1_36_kcat} * E4_1_1_36 * C04352)/(${Variables:E4_1_1_36_km} + (E4_1_1_36 * C04352))</v>
      </c>
      <c r="K278" s="11" t="str">
        <f t="shared" si="19"/>
        <v>r277: C04352 -&gt; C00011 + C01134 | (${Variables:E4_1_1_36_kcat} * E4_1_1_36 * C04352)/(${Variables:E4_1_1_36_km} + (E4_1_1_36 * C04352))</v>
      </c>
    </row>
    <row r="279" spans="1:11" ht="45" customHeight="1" x14ac:dyDescent="0.25">
      <c r="A279" t="s">
        <v>1182</v>
      </c>
      <c r="B279" t="s">
        <v>1183</v>
      </c>
      <c r="C279" s="5" t="s">
        <v>9467</v>
      </c>
      <c r="D279">
        <f t="shared" si="16"/>
        <v>278</v>
      </c>
      <c r="E279" t="str">
        <f t="shared" si="17"/>
        <v>E2_1_2_1</v>
      </c>
      <c r="F279" s="11" t="s">
        <v>14056</v>
      </c>
      <c r="G279" s="11" t="s">
        <v>14659</v>
      </c>
      <c r="H279" s="11" t="s">
        <v>15268</v>
      </c>
      <c r="I279" s="11" t="s">
        <v>15889</v>
      </c>
      <c r="J279" s="12" t="str">
        <f t="shared" si="18"/>
        <v>(${Variables:E2_1_2_1_kcat} * E2_1_2_1 * C00001 * C00037 * C00143)/(${Variables:E2_1_2_1_km} + (E2_1_2_1 * C00001 * C00037 * C00143))</v>
      </c>
      <c r="K279" s="11" t="str">
        <f t="shared" si="19"/>
        <v>r278: C00001 + C00037 + C00143 -&gt; C00065 + C00101 | (${Variables:E2_1_2_1_kcat} * E2_1_2_1 * C00001 * C00037 * C00143)/(${Variables:E2_1_2_1_km} + (E2_1_2_1 * C00001 * C00037 * C00143))</v>
      </c>
    </row>
    <row r="280" spans="1:11" ht="45" customHeight="1" x14ac:dyDescent="0.25">
      <c r="A280" t="s">
        <v>1182</v>
      </c>
      <c r="B280" t="s">
        <v>1183</v>
      </c>
      <c r="C280" s="5" t="s">
        <v>9467</v>
      </c>
      <c r="D280">
        <f t="shared" si="16"/>
        <v>279</v>
      </c>
      <c r="E280" t="str">
        <f t="shared" si="17"/>
        <v>E2_1_2_1</v>
      </c>
      <c r="F280" s="11" t="s">
        <v>8695</v>
      </c>
      <c r="G280" s="11" t="s">
        <v>8861</v>
      </c>
      <c r="H280" s="11" t="s">
        <v>15269</v>
      </c>
      <c r="I280" s="11" t="s">
        <v>15890</v>
      </c>
      <c r="J280" s="12" t="str">
        <f t="shared" si="18"/>
        <v>(${Variables:E2_1_2_1_kcat} * E2_1_2_1 * C00065 * C01217)/(${Variables:E2_1_2_1_km} + (E2_1_2_1 * C00065 * C01217))</v>
      </c>
      <c r="K280" s="11" t="str">
        <f t="shared" si="19"/>
        <v>r279: C00065 + C01217 -&gt; C00001 + C00037 + C04377 | (${Variables:E2_1_2_1_kcat} * E2_1_2_1 * C00065 * C01217)/(${Variables:E2_1_2_1_km} + (E2_1_2_1 * C00065 * C01217))</v>
      </c>
    </row>
    <row r="281" spans="1:11" ht="45" customHeight="1" x14ac:dyDescent="0.25">
      <c r="A281" t="s">
        <v>1187</v>
      </c>
      <c r="B281" t="s">
        <v>1188</v>
      </c>
      <c r="C281" s="5" t="s">
        <v>9468</v>
      </c>
      <c r="D281">
        <f t="shared" si="16"/>
        <v>280</v>
      </c>
      <c r="E281" t="str">
        <f t="shared" si="17"/>
        <v>E2_4_2_14</v>
      </c>
      <c r="F281" s="11" t="s">
        <v>14057</v>
      </c>
      <c r="G281" s="11" t="s">
        <v>14660</v>
      </c>
      <c r="H281" s="11" t="s">
        <v>15270</v>
      </c>
      <c r="I281" s="11" t="s">
        <v>15891</v>
      </c>
      <c r="J281" s="12" t="str">
        <f t="shared" si="18"/>
        <v>(${Variables:E2_4_2_14_kcat} * E2_4_2_14 * C00013 * C00025 * C03090)/(${Variables:E2_4_2_14_km} + (E2_4_2_14 * C00013 * C00025 * C03090))</v>
      </c>
      <c r="K281" s="11" t="str">
        <f t="shared" si="19"/>
        <v>r280: C00013 + C00025 + C03090 -&gt; C00001 + C00064 + C00119 | (${Variables:E2_4_2_14_kcat} * E2_4_2_14 * C00013 * C00025 * C03090)/(${Variables:E2_4_2_14_km} + (E2_4_2_14 * C00013 * C00025 * C03090))</v>
      </c>
    </row>
    <row r="282" spans="1:11" ht="45" customHeight="1" x14ac:dyDescent="0.25">
      <c r="A282" t="s">
        <v>1190</v>
      </c>
      <c r="B282" t="s">
        <v>1191</v>
      </c>
      <c r="C282" s="5" t="s">
        <v>9469</v>
      </c>
      <c r="D282">
        <f t="shared" si="16"/>
        <v>281</v>
      </c>
      <c r="E282" t="str">
        <f t="shared" si="17"/>
        <v>E6_3_5_3</v>
      </c>
      <c r="F282" s="11" t="s">
        <v>14058</v>
      </c>
      <c r="G282" s="11" t="s">
        <v>14661</v>
      </c>
      <c r="H282" s="11" t="s">
        <v>15271</v>
      </c>
      <c r="I282" s="11" t="s">
        <v>15892</v>
      </c>
      <c r="J282" s="12" t="str">
        <f t="shared" si="18"/>
        <v>(${Variables:E6_3_5_3_kcat} * E6_3_5_3 * C00001 * C00002 * C00064 * C04376)/(${Variables:E6_3_5_3_km} + (E6_3_5_3 * C00001 * C00002 * C00064 * C04376))</v>
      </c>
      <c r="K282" s="11" t="str">
        <f t="shared" si="19"/>
        <v>r281: C00001 + C00002 + C00064 + C04376 -&gt; C00008 + C00009 + C00025 + C04640 | (${Variables:E6_3_5_3_kcat} * E6_3_5_3 * C00001 * C00002 * C00064 * C04376)/(${Variables:E6_3_5_3_km} + (E6_3_5_3 * C00001 * C00002 * C00064 * C04376))</v>
      </c>
    </row>
    <row r="283" spans="1:11" ht="45" customHeight="1" x14ac:dyDescent="0.25">
      <c r="A283" t="s">
        <v>1196</v>
      </c>
      <c r="B283" t="s">
        <v>1197</v>
      </c>
      <c r="C283" s="5" t="s">
        <v>9469</v>
      </c>
      <c r="D283">
        <f t="shared" si="16"/>
        <v>282</v>
      </c>
      <c r="E283" t="str">
        <f t="shared" si="17"/>
        <v>E6_3_5_3</v>
      </c>
      <c r="F283" s="11" t="s">
        <v>14058</v>
      </c>
      <c r="G283" s="11" t="s">
        <v>14661</v>
      </c>
      <c r="H283" s="11" t="s">
        <v>15271</v>
      </c>
      <c r="I283" s="11" t="s">
        <v>15892</v>
      </c>
      <c r="J283" s="12" t="str">
        <f t="shared" si="18"/>
        <v>(${Variables:E6_3_5_3_kcat} * E6_3_5_3 * C00001 * C00002 * C00064 * C04376)/(${Variables:E6_3_5_3_km} + (E6_3_5_3 * C00001 * C00002 * C00064 * C04376))</v>
      </c>
      <c r="K283" s="11" t="str">
        <f t="shared" si="19"/>
        <v>r282: C00001 + C00002 + C00064 + C04376 -&gt; C00008 + C00009 + C00025 + C04640 | (${Variables:E6_3_5_3_kcat} * E6_3_5_3 * C00001 * C00002 * C00064 * C04376)/(${Variables:E6_3_5_3_km} + (E6_3_5_3 * C00001 * C00002 * C00064 * C04376))</v>
      </c>
    </row>
    <row r="284" spans="1:11" ht="45" customHeight="1" x14ac:dyDescent="0.25">
      <c r="A284" t="s">
        <v>1199</v>
      </c>
      <c r="B284" t="s">
        <v>1200</v>
      </c>
      <c r="C284" s="5" t="s">
        <v>9469</v>
      </c>
      <c r="D284">
        <f t="shared" si="16"/>
        <v>283</v>
      </c>
      <c r="E284" t="str">
        <f t="shared" si="17"/>
        <v>E6_3_5_3</v>
      </c>
      <c r="F284" s="11" t="s">
        <v>14058</v>
      </c>
      <c r="G284" s="11" t="s">
        <v>14661</v>
      </c>
      <c r="H284" s="11" t="s">
        <v>15271</v>
      </c>
      <c r="I284" s="11" t="s">
        <v>15892</v>
      </c>
      <c r="J284" s="12" t="str">
        <f t="shared" si="18"/>
        <v>(${Variables:E6_3_5_3_kcat} * E6_3_5_3 * C00001 * C00002 * C00064 * C04376)/(${Variables:E6_3_5_3_km} + (E6_3_5_3 * C00001 * C00002 * C00064 * C04376))</v>
      </c>
      <c r="K284" s="11" t="str">
        <f t="shared" si="19"/>
        <v>r283: C00001 + C00002 + C00064 + C04376 -&gt; C00008 + C00009 + C00025 + C04640 | (${Variables:E6_3_5_3_kcat} * E6_3_5_3 * C00001 * C00002 * C00064 * C04376)/(${Variables:E6_3_5_3_km} + (E6_3_5_3 * C00001 * C00002 * C00064 * C04376))</v>
      </c>
    </row>
    <row r="285" spans="1:11" ht="45" customHeight="1" x14ac:dyDescent="0.25">
      <c r="A285" t="s">
        <v>1202</v>
      </c>
      <c r="B285" t="s">
        <v>1203</v>
      </c>
      <c r="C285" s="5" t="s">
        <v>9470</v>
      </c>
      <c r="D285">
        <f t="shared" si="16"/>
        <v>284</v>
      </c>
      <c r="E285" t="str">
        <f t="shared" si="17"/>
        <v>E6_3_2_6</v>
      </c>
      <c r="F285" s="11" t="s">
        <v>14059</v>
      </c>
      <c r="G285" s="11" t="s">
        <v>14662</v>
      </c>
      <c r="H285" s="11" t="s">
        <v>9037</v>
      </c>
      <c r="I285" s="11" t="s">
        <v>9236</v>
      </c>
      <c r="J285" s="12" t="str">
        <f t="shared" si="18"/>
        <v>(${Variables:E6_3_2_6_kcat} * E6_3_2_6 * C00002 * C00049 * C04751)/(${Variables:E6_3_2_6_km} + (E6_3_2_6 * C00002 * C00049 * C04751))</v>
      </c>
      <c r="K285" s="11" t="str">
        <f t="shared" si="19"/>
        <v>r284: C00002 + C00049 + C04751 -&gt; C00008 + C00009 + C04823 | (${Variables:E6_3_2_6_kcat} * E6_3_2_6 * C00002 * C00049 * C04751)/(${Variables:E6_3_2_6_km} + (E6_3_2_6 * C00002 * C00049 * C04751))</v>
      </c>
    </row>
    <row r="286" spans="1:11" ht="45" customHeight="1" x14ac:dyDescent="0.25">
      <c r="A286" t="s">
        <v>1210</v>
      </c>
      <c r="B286" t="s">
        <v>1211</v>
      </c>
      <c r="C286" s="5" t="s">
        <v>9471</v>
      </c>
      <c r="D286">
        <f t="shared" si="16"/>
        <v>285</v>
      </c>
      <c r="E286" t="str">
        <f t="shared" si="17"/>
        <v>E4_3_2_2</v>
      </c>
      <c r="F286" s="11" t="s">
        <v>8186</v>
      </c>
      <c r="G286" s="11" t="s">
        <v>8186</v>
      </c>
      <c r="H286" s="11" t="s">
        <v>15272</v>
      </c>
      <c r="I286" s="11" t="s">
        <v>15893</v>
      </c>
      <c r="J286" s="12" t="str">
        <f t="shared" si="18"/>
        <v>(${Variables:E4_3_2_2_kcat} * E4_3_2_2 * C03794)/(${Variables:E4_3_2_2_km} + (E4_3_2_2 * C03794))</v>
      </c>
      <c r="K286" s="11" t="str">
        <f t="shared" si="19"/>
        <v>r285: C03794 -&gt; C00020 + C00122 | (${Variables:E4_3_2_2_kcat} * E4_3_2_2 * C03794)/(${Variables:E4_3_2_2_km} + (E4_3_2_2 * C03794))</v>
      </c>
    </row>
    <row r="287" spans="1:11" ht="45" customHeight="1" x14ac:dyDescent="0.25">
      <c r="A287" t="s">
        <v>1210</v>
      </c>
      <c r="B287" t="s">
        <v>1211</v>
      </c>
      <c r="C287" s="5" t="s">
        <v>9471</v>
      </c>
      <c r="D287">
        <f t="shared" si="16"/>
        <v>286</v>
      </c>
      <c r="E287" t="str">
        <f t="shared" si="17"/>
        <v>E4_3_2_2</v>
      </c>
      <c r="F287" s="11" t="s">
        <v>8187</v>
      </c>
      <c r="G287" s="11" t="s">
        <v>8187</v>
      </c>
      <c r="H287" s="11" t="s">
        <v>9038</v>
      </c>
      <c r="I287" s="11" t="s">
        <v>9237</v>
      </c>
      <c r="J287" s="12" t="str">
        <f t="shared" si="18"/>
        <v>(${Variables:E4_3_2_2_kcat} * E4_3_2_2 * C04823)/(${Variables:E4_3_2_2_km} + (E4_3_2_2 * C04823))</v>
      </c>
      <c r="K287" s="11" t="str">
        <f t="shared" si="19"/>
        <v>r286: C04823 -&gt; C00122 + C04677 | (${Variables:E4_3_2_2_kcat} * E4_3_2_2 * C04823)/(${Variables:E4_3_2_2_km} + (E4_3_2_2 * C04823))</v>
      </c>
    </row>
    <row r="288" spans="1:11" ht="45" customHeight="1" x14ac:dyDescent="0.25">
      <c r="A288" t="s">
        <v>1210</v>
      </c>
      <c r="B288" t="s">
        <v>1211</v>
      </c>
      <c r="C288" s="5" t="s">
        <v>9471</v>
      </c>
      <c r="D288">
        <f t="shared" si="16"/>
        <v>287</v>
      </c>
      <c r="E288" t="str">
        <f t="shared" si="17"/>
        <v>E4_3_2_2</v>
      </c>
      <c r="F288" s="11" t="s">
        <v>8188</v>
      </c>
      <c r="G288" s="11" t="s">
        <v>8188</v>
      </c>
      <c r="H288" s="11" t="s">
        <v>15273</v>
      </c>
      <c r="I288" s="11" t="s">
        <v>15894</v>
      </c>
      <c r="J288" s="12" t="str">
        <f t="shared" si="18"/>
        <v>(${Variables:E4_3_2_2_kcat} * E4_3_2_2 * C22395)/(${Variables:E4_3_2_2_km} + (E4_3_2_2 * C22395))</v>
      </c>
      <c r="K288" s="11" t="str">
        <f t="shared" si="19"/>
        <v>r287: C22395 -&gt; C00122 + C22441 | (${Variables:E4_3_2_2_kcat} * E4_3_2_2 * C22395)/(${Variables:E4_3_2_2_km} + (E4_3_2_2 * C22395))</v>
      </c>
    </row>
    <row r="289" spans="1:11" ht="45" customHeight="1" x14ac:dyDescent="0.25">
      <c r="A289" t="s">
        <v>1226</v>
      </c>
      <c r="B289" t="s">
        <v>1227</v>
      </c>
      <c r="C289" s="5" t="s">
        <v>9472</v>
      </c>
      <c r="D289">
        <f t="shared" si="16"/>
        <v>288</v>
      </c>
      <c r="E289" t="str">
        <f t="shared" si="17"/>
        <v>E4_1_1_44</v>
      </c>
      <c r="F289" s="11" t="s">
        <v>8189</v>
      </c>
      <c r="G289" s="11" t="s">
        <v>8189</v>
      </c>
      <c r="H289" s="11" t="s">
        <v>15274</v>
      </c>
      <c r="I289" s="11" t="s">
        <v>15895</v>
      </c>
      <c r="J289" s="12" t="str">
        <f t="shared" si="18"/>
        <v>(${Variables:E4_1_1_44_kcat} * E4_1_1_44 * C01278)/(${Variables:E4_1_1_44_km} + (E4_1_1_44 * C01278))</v>
      </c>
      <c r="K289" s="11" t="str">
        <f t="shared" si="19"/>
        <v>r288: C01278 -&gt; C00011 + C03586 | (${Variables:E4_1_1_44_kcat} * E4_1_1_44 * C01278)/(${Variables:E4_1_1_44_km} + (E4_1_1_44 * C01278))</v>
      </c>
    </row>
    <row r="290" spans="1:11" ht="45" customHeight="1" x14ac:dyDescent="0.25">
      <c r="A290" t="s">
        <v>1229</v>
      </c>
      <c r="B290" t="s">
        <v>1230</v>
      </c>
      <c r="C290" s="5" t="s">
        <v>9473</v>
      </c>
      <c r="D290">
        <f t="shared" si="16"/>
        <v>289</v>
      </c>
      <c r="E290" t="str">
        <f t="shared" si="17"/>
        <v>E4_2_1_75</v>
      </c>
      <c r="F290" s="11" t="s">
        <v>8190</v>
      </c>
      <c r="G290" s="11" t="s">
        <v>8190</v>
      </c>
      <c r="H290" s="11" t="s">
        <v>15275</v>
      </c>
      <c r="I290" s="11" t="s">
        <v>15896</v>
      </c>
      <c r="J290" s="12" t="str">
        <f t="shared" si="18"/>
        <v>(${Variables:E4_2_1_75_kcat} * E4_2_1_75 * C01024)/(${Variables:E4_2_1_75_km} + (E4_2_1_75 * C01024))</v>
      </c>
      <c r="K290" s="11" t="str">
        <f t="shared" si="19"/>
        <v>r289: C01024 -&gt; C00001 + C01051 | (${Variables:E4_2_1_75_kcat} * E4_2_1_75 * C01024)/(${Variables:E4_2_1_75_km} + (E4_2_1_75 * C01024))</v>
      </c>
    </row>
    <row r="291" spans="1:11" ht="45" customHeight="1" x14ac:dyDescent="0.25">
      <c r="A291" t="s">
        <v>1232</v>
      </c>
      <c r="B291" t="s">
        <v>1233</v>
      </c>
      <c r="C291" s="5" t="s">
        <v>9474</v>
      </c>
      <c r="D291">
        <f t="shared" si="16"/>
        <v>290</v>
      </c>
      <c r="E291" t="str">
        <f t="shared" si="17"/>
        <v>E1_2_1_70</v>
      </c>
      <c r="F291" s="11" t="s">
        <v>14060</v>
      </c>
      <c r="G291" s="11" t="s">
        <v>14663</v>
      </c>
      <c r="H291" s="11" t="s">
        <v>15276</v>
      </c>
      <c r="I291" s="11" t="s">
        <v>15897</v>
      </c>
      <c r="J291" s="12" t="str">
        <f t="shared" si="18"/>
        <v>(${Variables:E1_2_1_70_kcat} * E1_2_1_70 * C00005 * C00080 * C02987)/(${Variables:E1_2_1_70_km} + (E1_2_1_70 * C00005 * C00080 * C02987))</v>
      </c>
      <c r="K291" s="11" t="str">
        <f t="shared" si="19"/>
        <v>r290: C00005 + C00080 + C02987 -&gt; C00006 + C01641 + C03741 | (${Variables:E1_2_1_70_kcat} * E1_2_1_70 * C00005 * C00080 * C02987)/(${Variables:E1_2_1_70_km} + (E1_2_1_70 * C00005 * C00080 * C02987))</v>
      </c>
    </row>
    <row r="292" spans="1:11" ht="45" customHeight="1" x14ac:dyDescent="0.25">
      <c r="A292" t="s">
        <v>1254</v>
      </c>
      <c r="B292" t="s">
        <v>1255</v>
      </c>
      <c r="C292" s="5" t="s">
        <v>9475</v>
      </c>
      <c r="D292">
        <f t="shared" si="16"/>
        <v>291</v>
      </c>
      <c r="E292" t="str">
        <f t="shared" si="17"/>
        <v>E2_7_9_2</v>
      </c>
      <c r="F292" s="11" t="s">
        <v>14061</v>
      </c>
      <c r="G292" s="11" t="s">
        <v>14664</v>
      </c>
      <c r="H292" s="11" t="s">
        <v>15277</v>
      </c>
      <c r="I292" s="11" t="s">
        <v>15898</v>
      </c>
      <c r="J292" s="12" t="str">
        <f t="shared" si="18"/>
        <v>(${Variables:E2_7_9_2_kcat} * E2_7_9_2 * C00001 * C00002 * C00022)/(${Variables:E2_7_9_2_km} + (E2_7_9_2 * C00001 * C00002 * C00022))</v>
      </c>
      <c r="K292" s="11" t="str">
        <f t="shared" si="19"/>
        <v>r291: C00001 + C00002 + C00022 -&gt; C00009 + C00020 + C00074 | (${Variables:E2_7_9_2_kcat} * E2_7_9_2 * C00001 * C00002 * C00022)/(${Variables:E2_7_9_2_km} + (E2_7_9_2 * C00001 * C00002 * C00022))</v>
      </c>
    </row>
    <row r="293" spans="1:11" ht="45" customHeight="1" x14ac:dyDescent="0.25">
      <c r="A293" t="s">
        <v>1268</v>
      </c>
      <c r="B293" t="s">
        <v>1269</v>
      </c>
      <c r="C293" s="5" t="s">
        <v>9476</v>
      </c>
      <c r="D293">
        <f t="shared" si="16"/>
        <v>292</v>
      </c>
      <c r="E293" t="str">
        <f t="shared" si="17"/>
        <v>E3_1_3_25</v>
      </c>
      <c r="F293" s="11" t="s">
        <v>14062</v>
      </c>
      <c r="G293" s="11" t="s">
        <v>14665</v>
      </c>
      <c r="H293" s="11" t="s">
        <v>15278</v>
      </c>
      <c r="I293" s="11" t="s">
        <v>15899</v>
      </c>
      <c r="J293" s="12" t="str">
        <f t="shared" si="18"/>
        <v>(${Variables:E3_1_3_25_kcat} * E3_1_3_25 * C00001 * C15585)/(${Variables:E3_1_3_25_km} + (E3_1_3_25 * C00001 * C15585))</v>
      </c>
      <c r="K293" s="11" t="str">
        <f t="shared" si="19"/>
        <v>r292: C00001 + C15585 -&gt; C00009 + C00137 | (${Variables:E3_1_3_25_kcat} * E3_1_3_25 * C00001 * C15585)/(${Variables:E3_1_3_25_km} + (E3_1_3_25 * C00001 * C15585))</v>
      </c>
    </row>
    <row r="294" spans="1:11" ht="45" customHeight="1" x14ac:dyDescent="0.25">
      <c r="A294" t="s">
        <v>1268</v>
      </c>
      <c r="B294" t="s">
        <v>1269</v>
      </c>
      <c r="C294" s="5" t="s">
        <v>9476</v>
      </c>
      <c r="D294">
        <f t="shared" si="16"/>
        <v>293</v>
      </c>
      <c r="E294" t="str">
        <f t="shared" si="17"/>
        <v>E3_1_3_25</v>
      </c>
      <c r="F294" s="11" t="s">
        <v>14063</v>
      </c>
      <c r="G294" s="11" t="s">
        <v>14666</v>
      </c>
      <c r="H294" s="11" t="s">
        <v>15278</v>
      </c>
      <c r="I294" s="11" t="s">
        <v>15899</v>
      </c>
      <c r="J294" s="12" t="str">
        <f t="shared" si="18"/>
        <v>(${Variables:E3_1_3_25_kcat} * E3_1_3_25 * C00001 * C01177)/(${Variables:E3_1_3_25_km} + (E3_1_3_25 * C00001 * C01177))</v>
      </c>
      <c r="K294" s="11" t="str">
        <f t="shared" si="19"/>
        <v>r293: C00001 + C01177 -&gt; C00009 + C00137 | (${Variables:E3_1_3_25_kcat} * E3_1_3_25 * C00001 * C01177)/(${Variables:E3_1_3_25_km} + (E3_1_3_25 * C00001 * C01177))</v>
      </c>
    </row>
    <row r="295" spans="1:11" ht="45" customHeight="1" x14ac:dyDescent="0.25">
      <c r="A295" t="s">
        <v>1268</v>
      </c>
      <c r="B295" t="s">
        <v>1269</v>
      </c>
      <c r="C295" s="5" t="s">
        <v>9476</v>
      </c>
      <c r="D295">
        <f t="shared" si="16"/>
        <v>294</v>
      </c>
      <c r="E295" t="str">
        <f t="shared" si="17"/>
        <v>E3_1_3_25</v>
      </c>
      <c r="F295" s="11" t="s">
        <v>14064</v>
      </c>
      <c r="G295" s="11" t="s">
        <v>14667</v>
      </c>
      <c r="H295" s="11" t="s">
        <v>15278</v>
      </c>
      <c r="I295" s="11" t="s">
        <v>15899</v>
      </c>
      <c r="J295" s="12" t="str">
        <f t="shared" si="18"/>
        <v>(${Variables:E3_1_3_25_kcat} * E3_1_3_25 * C00001 * C03546)/(${Variables:E3_1_3_25_km} + (E3_1_3_25 * C00001 * C03546))</v>
      </c>
      <c r="K295" s="11" t="str">
        <f t="shared" si="19"/>
        <v>r294: C00001 + C03546 -&gt; C00009 + C00137 | (${Variables:E3_1_3_25_kcat} * E3_1_3_25 * C00001 * C03546)/(${Variables:E3_1_3_25_km} + (E3_1_3_25 * C00001 * C03546))</v>
      </c>
    </row>
    <row r="296" spans="1:11" ht="45" customHeight="1" x14ac:dyDescent="0.25">
      <c r="A296" t="s">
        <v>1268</v>
      </c>
      <c r="B296" t="s">
        <v>1269</v>
      </c>
      <c r="C296" s="5" t="s">
        <v>9476</v>
      </c>
      <c r="D296">
        <f t="shared" si="16"/>
        <v>295</v>
      </c>
      <c r="E296" t="str">
        <f t="shared" si="17"/>
        <v>E3_1_3_25</v>
      </c>
      <c r="F296" s="11" t="s">
        <v>14065</v>
      </c>
      <c r="G296" s="11" t="s">
        <v>14668</v>
      </c>
      <c r="H296" s="11" t="s">
        <v>15278</v>
      </c>
      <c r="I296" s="11" t="s">
        <v>15899</v>
      </c>
      <c r="J296" s="12" t="str">
        <f t="shared" si="18"/>
        <v>(${Variables:E3_1_3_25_kcat} * E3_1_3_25 * C00001 * C04006)/(${Variables:E3_1_3_25_km} + (E3_1_3_25 * C00001 * C04006))</v>
      </c>
      <c r="K296" s="11" t="str">
        <f t="shared" si="19"/>
        <v>r295: C00001 + C04006 -&gt; C00009 + C00137 | (${Variables:E3_1_3_25_kcat} * E3_1_3_25 * C00001 * C04006)/(${Variables:E3_1_3_25_km} + (E3_1_3_25 * C00001 * C04006))</v>
      </c>
    </row>
    <row r="297" spans="1:11" ht="45" customHeight="1" x14ac:dyDescent="0.25">
      <c r="A297" t="s">
        <v>1271</v>
      </c>
      <c r="B297" t="s">
        <v>1272</v>
      </c>
      <c r="C297" s="5" t="s">
        <v>9477</v>
      </c>
      <c r="D297">
        <f t="shared" si="16"/>
        <v>296</v>
      </c>
      <c r="E297" t="str">
        <f t="shared" si="17"/>
        <v>E5_3_1_24</v>
      </c>
      <c r="F297" s="11" t="s">
        <v>8191</v>
      </c>
      <c r="G297" s="11" t="s">
        <v>8191</v>
      </c>
      <c r="H297" s="11" t="s">
        <v>8295</v>
      </c>
      <c r="I297" s="11" t="s">
        <v>8295</v>
      </c>
      <c r="J297" s="12" t="str">
        <f t="shared" si="18"/>
        <v>(${Variables:E5_3_1_24_kcat} * E5_3_1_24 * C04302)/(${Variables:E5_3_1_24_km} + (E5_3_1_24 * C04302))</v>
      </c>
      <c r="K297" s="11" t="str">
        <f t="shared" si="19"/>
        <v>r296: C04302 -&gt; C01302 | (${Variables:E5_3_1_24_kcat} * E5_3_1_24 * C04302)/(${Variables:E5_3_1_24_km} + (E5_3_1_24 * C04302))</v>
      </c>
    </row>
    <row r="298" spans="1:11" ht="45" customHeight="1" x14ac:dyDescent="0.25">
      <c r="A298" t="s">
        <v>1274</v>
      </c>
      <c r="B298" t="s">
        <v>1275</v>
      </c>
      <c r="C298" s="5" t="s">
        <v>9478</v>
      </c>
      <c r="D298">
        <f t="shared" si="16"/>
        <v>297</v>
      </c>
      <c r="E298" t="str">
        <f t="shared" si="17"/>
        <v>E1_17_4_1</v>
      </c>
      <c r="F298" s="11" t="s">
        <v>14066</v>
      </c>
      <c r="G298" s="11" t="s">
        <v>14669</v>
      </c>
      <c r="H298" s="11" t="s">
        <v>15279</v>
      </c>
      <c r="I298" s="11" t="s">
        <v>15900</v>
      </c>
      <c r="J298" s="12" t="str">
        <f t="shared" si="18"/>
        <v>(${Variables:E1_17_4_1_kcat} * E1_17_4_1 * C00001 * C00343 * C04232)/(${Variables:E1_17_4_1_km} + (E1_17_4_1 * C00001 * C00343 * C04232))</v>
      </c>
      <c r="K298" s="11" t="str">
        <f t="shared" si="19"/>
        <v>r297: C00001 + C00343 + C04232 -&gt; C00342 + C03723 | (${Variables:E1_17_4_1_kcat} * E1_17_4_1 * C00001 * C00343 * C04232)/(${Variables:E1_17_4_1_km} + (E1_17_4_1 * C00001 * C00343 * C04232))</v>
      </c>
    </row>
    <row r="299" spans="1:11" ht="45" customHeight="1" x14ac:dyDescent="0.25">
      <c r="A299" t="s">
        <v>1274</v>
      </c>
      <c r="B299" t="s">
        <v>1275</v>
      </c>
      <c r="C299" s="5" t="s">
        <v>9478</v>
      </c>
      <c r="D299">
        <f t="shared" si="16"/>
        <v>298</v>
      </c>
      <c r="E299" t="str">
        <f t="shared" si="17"/>
        <v>E1_17_4_1</v>
      </c>
      <c r="F299" s="11" t="s">
        <v>14067</v>
      </c>
      <c r="G299" s="11" t="s">
        <v>14670</v>
      </c>
      <c r="H299" s="11" t="s">
        <v>15280</v>
      </c>
      <c r="I299" s="11" t="s">
        <v>15901</v>
      </c>
      <c r="J299" s="12" t="str">
        <f t="shared" si="18"/>
        <v>(${Variables:E1_17_4_1_kcat} * E1_17_4_1 * C00001 * C00206 * C00343)/(${Variables:E1_17_4_1_km} + (E1_17_4_1 * C00001 * C00206 * C00343))</v>
      </c>
      <c r="K299" s="11" t="str">
        <f t="shared" si="19"/>
        <v>r298: C00001 + C00206 + C00343 -&gt; C00008 + C00342 | (${Variables:E1_17_4_1_kcat} * E1_17_4_1 * C00001 * C00206 * C00343)/(${Variables:E1_17_4_1_km} + (E1_17_4_1 * C00001 * C00206 * C00343))</v>
      </c>
    </row>
    <row r="300" spans="1:11" ht="45" customHeight="1" x14ac:dyDescent="0.25">
      <c r="A300" t="s">
        <v>1274</v>
      </c>
      <c r="B300" t="s">
        <v>1275</v>
      </c>
      <c r="C300" s="5" t="s">
        <v>9478</v>
      </c>
      <c r="D300">
        <f t="shared" si="16"/>
        <v>299</v>
      </c>
      <c r="E300" t="str">
        <f t="shared" si="17"/>
        <v>E1_17_4_1</v>
      </c>
      <c r="F300" s="11" t="s">
        <v>14068</v>
      </c>
      <c r="G300" s="11" t="s">
        <v>14671</v>
      </c>
      <c r="H300" s="11" t="s">
        <v>15281</v>
      </c>
      <c r="I300" s="11" t="s">
        <v>15902</v>
      </c>
      <c r="J300" s="12" t="str">
        <f t="shared" si="18"/>
        <v>(${Variables:E1_17_4_1_kcat} * E1_17_4_1 * C00001 * C00343 * C01346)/(${Variables:E1_17_4_1_km} + (E1_17_4_1 * C00001 * C00343 * C01346))</v>
      </c>
      <c r="K300" s="11" t="str">
        <f t="shared" si="19"/>
        <v>r299: C00001 + C00343 + C01346 -&gt; C00015 + C00342 | (${Variables:E1_17_4_1_kcat} * E1_17_4_1 * C00001 * C00343 * C01346)/(${Variables:E1_17_4_1_km} + (E1_17_4_1 * C00001 * C00343 * C01346))</v>
      </c>
    </row>
    <row r="301" spans="1:11" ht="45" customHeight="1" x14ac:dyDescent="0.25">
      <c r="A301" t="s">
        <v>1274</v>
      </c>
      <c r="B301" t="s">
        <v>1275</v>
      </c>
      <c r="C301" s="5" t="s">
        <v>9478</v>
      </c>
      <c r="D301">
        <f t="shared" si="16"/>
        <v>300</v>
      </c>
      <c r="E301" t="str">
        <f t="shared" si="17"/>
        <v>E1_17_4_1</v>
      </c>
      <c r="F301" s="11" t="s">
        <v>14069</v>
      </c>
      <c r="G301" s="11" t="s">
        <v>14672</v>
      </c>
      <c r="H301" s="11" t="s">
        <v>9039</v>
      </c>
      <c r="I301" s="11" t="s">
        <v>9238</v>
      </c>
      <c r="J301" s="12" t="str">
        <f t="shared" si="18"/>
        <v>(${Variables:E1_17_4_1_kcat} * E1_17_4_1 * C00001 * C00343 * C00361)/(${Variables:E1_17_4_1_km} + (E1_17_4_1 * C00001 * C00343 * C00361))</v>
      </c>
      <c r="K301" s="11" t="str">
        <f t="shared" si="19"/>
        <v>r300: C00001 + C00343 + C00361 -&gt; C00035 + C00342 | (${Variables:E1_17_4_1_kcat} * E1_17_4_1 * C00001 * C00343 * C00361)/(${Variables:E1_17_4_1_km} + (E1_17_4_1 * C00001 * C00343 * C00361))</v>
      </c>
    </row>
    <row r="302" spans="1:11" ht="45" customHeight="1" x14ac:dyDescent="0.25">
      <c r="A302" t="s">
        <v>1274</v>
      </c>
      <c r="B302" t="s">
        <v>1275</v>
      </c>
      <c r="C302" s="5" t="s">
        <v>9478</v>
      </c>
      <c r="D302">
        <f t="shared" si="16"/>
        <v>301</v>
      </c>
      <c r="E302" t="str">
        <f t="shared" si="17"/>
        <v>E1_17_4_1</v>
      </c>
      <c r="F302" s="11" t="s">
        <v>14070</v>
      </c>
      <c r="G302" s="11" t="s">
        <v>14673</v>
      </c>
      <c r="H302" s="11" t="s">
        <v>15282</v>
      </c>
      <c r="I302" s="11" t="s">
        <v>15903</v>
      </c>
      <c r="J302" s="12" t="str">
        <f t="shared" si="18"/>
        <v>(${Variables:E1_17_4_1_kcat} * E1_17_4_1 * C00001 * C00343 * C00705)/(${Variables:E1_17_4_1_km} + (E1_17_4_1 * C00001 * C00343 * C00705))</v>
      </c>
      <c r="K302" s="11" t="str">
        <f t="shared" si="19"/>
        <v>r301: C00001 + C00343 + C00705 -&gt; C00112 + C00342 | (${Variables:E1_17_4_1_kcat} * E1_17_4_1 * C00001 * C00343 * C00705)/(${Variables:E1_17_4_1_km} + (E1_17_4_1 * C00001 * C00343 * C00705))</v>
      </c>
    </row>
    <row r="303" spans="1:11" ht="45" customHeight="1" x14ac:dyDescent="0.25">
      <c r="A303" t="s">
        <v>1274</v>
      </c>
      <c r="B303" t="s">
        <v>1275</v>
      </c>
      <c r="C303" s="5" t="s">
        <v>9478</v>
      </c>
      <c r="D303">
        <f t="shared" si="16"/>
        <v>302</v>
      </c>
      <c r="E303" t="str">
        <f t="shared" si="17"/>
        <v>E1_17_4_1</v>
      </c>
      <c r="F303" s="11" t="s">
        <v>14071</v>
      </c>
      <c r="G303" s="11" t="s">
        <v>14674</v>
      </c>
      <c r="H303" s="11" t="s">
        <v>9040</v>
      </c>
      <c r="I303" s="11" t="s">
        <v>9239</v>
      </c>
      <c r="J303" s="12" t="str">
        <f t="shared" si="18"/>
        <v>(${Variables:E1_17_4_1_kcat} * E1_17_4_1 * C00001 * C04232 * C16664)/(${Variables:E1_17_4_1_km} + (E1_17_4_1 * C00001 * C04232 * C16664))</v>
      </c>
      <c r="K303" s="11" t="str">
        <f t="shared" si="19"/>
        <v>r302: C00001 + C04232 + C16664 -&gt; C03723 + C16663 | (${Variables:E1_17_4_1_kcat} * E1_17_4_1 * C00001 * C04232 * C16664)/(${Variables:E1_17_4_1_km} + (E1_17_4_1 * C00001 * C04232 * C16664))</v>
      </c>
    </row>
    <row r="304" spans="1:11" ht="45" customHeight="1" x14ac:dyDescent="0.25">
      <c r="A304" t="s">
        <v>1274</v>
      </c>
      <c r="B304" t="s">
        <v>1275</v>
      </c>
      <c r="C304" s="5" t="s">
        <v>9478</v>
      </c>
      <c r="D304">
        <f t="shared" si="16"/>
        <v>303</v>
      </c>
      <c r="E304" t="str">
        <f t="shared" si="17"/>
        <v>E1_17_4_1</v>
      </c>
      <c r="F304" s="11" t="s">
        <v>14072</v>
      </c>
      <c r="G304" s="11" t="s">
        <v>14675</v>
      </c>
      <c r="H304" s="11" t="s">
        <v>15283</v>
      </c>
      <c r="I304" s="11" t="s">
        <v>15904</v>
      </c>
      <c r="J304" s="12" t="str">
        <f t="shared" si="18"/>
        <v>(${Variables:E1_17_4_1_kcat} * E1_17_4_1 * C00001 * C03170 * C04232)/(${Variables:E1_17_4_1_km} + (E1_17_4_1 * C00001 * C03170 * C04232))</v>
      </c>
      <c r="K304" s="11" t="str">
        <f t="shared" si="19"/>
        <v>r303: C00001 + C03170 + C04232 -&gt; C02090 + C03723 | (${Variables:E1_17_4_1_kcat} * E1_17_4_1 * C00001 * C03170 * C04232)/(${Variables:E1_17_4_1_km} + (E1_17_4_1 * C00001 * C03170 * C04232))</v>
      </c>
    </row>
    <row r="305" spans="1:11" ht="45" customHeight="1" x14ac:dyDescent="0.25">
      <c r="A305" t="s">
        <v>1274</v>
      </c>
      <c r="B305" t="s">
        <v>1275</v>
      </c>
      <c r="C305" s="5" t="s">
        <v>9478</v>
      </c>
      <c r="D305">
        <f t="shared" si="16"/>
        <v>304</v>
      </c>
      <c r="E305" t="str">
        <f t="shared" si="17"/>
        <v>E1_17_4_1</v>
      </c>
      <c r="F305" s="11" t="s">
        <v>14073</v>
      </c>
      <c r="G305" s="11" t="s">
        <v>14676</v>
      </c>
      <c r="H305" s="11" t="s">
        <v>15284</v>
      </c>
      <c r="I305" s="11" t="s">
        <v>15905</v>
      </c>
      <c r="J305" s="12" t="str">
        <f t="shared" si="18"/>
        <v>(${Variables:E1_17_4_1_kcat} * E1_17_4_1 * C00001 * C00343 * C21750)/(${Variables:E1_17_4_1_km} + (E1_17_4_1 * C00001 * C00343 * C21750))</v>
      </c>
      <c r="K305" s="11" t="str">
        <f t="shared" si="19"/>
        <v>r304: C00001 + C00343 + C21750 -&gt; C00342 + C21748 | (${Variables:E1_17_4_1_kcat} * E1_17_4_1 * C00001 * C00343 * C21750)/(${Variables:E1_17_4_1_km} + (E1_17_4_1 * C00001 * C00343 * C21750))</v>
      </c>
    </row>
    <row r="306" spans="1:11" ht="45" customHeight="1" x14ac:dyDescent="0.25">
      <c r="A306" t="s">
        <v>1285</v>
      </c>
      <c r="B306" t="s">
        <v>1286</v>
      </c>
      <c r="C306" s="5" t="s">
        <v>9479</v>
      </c>
      <c r="D306">
        <f t="shared" si="16"/>
        <v>305</v>
      </c>
      <c r="E306" t="str">
        <f t="shared" si="17"/>
        <v>E2_4_2_7</v>
      </c>
      <c r="F306" s="11" t="s">
        <v>14074</v>
      </c>
      <c r="G306" s="11" t="s">
        <v>14677</v>
      </c>
      <c r="H306" s="11" t="s">
        <v>15285</v>
      </c>
      <c r="I306" s="11" t="s">
        <v>15906</v>
      </c>
      <c r="J306" s="12" t="str">
        <f t="shared" si="18"/>
        <v>(${Variables:E2_4_2_7_kcat} * E2_4_2_7 * C00013 * C00020)/(${Variables:E2_4_2_7_km} + (E2_4_2_7 * C00013 * C00020))</v>
      </c>
      <c r="K306" s="11" t="str">
        <f t="shared" si="19"/>
        <v>r305: C00013 + C00020 -&gt; C00119 + C00147 | (${Variables:E2_4_2_7_kcat} * E2_4_2_7 * C00013 * C00020)/(${Variables:E2_4_2_7_km} + (E2_4_2_7 * C00013 * C00020))</v>
      </c>
    </row>
    <row r="307" spans="1:11" ht="45" customHeight="1" x14ac:dyDescent="0.25">
      <c r="A307" t="s">
        <v>1285</v>
      </c>
      <c r="B307" t="s">
        <v>1286</v>
      </c>
      <c r="C307" s="5" t="s">
        <v>9479</v>
      </c>
      <c r="D307">
        <f t="shared" si="16"/>
        <v>306</v>
      </c>
      <c r="E307" t="str">
        <f t="shared" si="17"/>
        <v>E2_4_2_7</v>
      </c>
      <c r="F307" s="11" t="s">
        <v>14075</v>
      </c>
      <c r="G307" s="11" t="s">
        <v>14678</v>
      </c>
      <c r="H307" s="11" t="s">
        <v>15286</v>
      </c>
      <c r="I307" s="11" t="s">
        <v>15907</v>
      </c>
      <c r="J307" s="12" t="str">
        <f t="shared" si="18"/>
        <v>(${Variables:E2_4_2_7_kcat} * E2_4_2_7 * C00013 * C04677)/(${Variables:E2_4_2_7_km} + (E2_4_2_7 * C00013 * C04677))</v>
      </c>
      <c r="K307" s="11" t="str">
        <f t="shared" si="19"/>
        <v>r306: C00013 + C04677 -&gt; C00119 + C04051 | (${Variables:E2_4_2_7_kcat} * E2_4_2_7 * C00013 * C04677)/(${Variables:E2_4_2_7_km} + (E2_4_2_7 * C00013 * C04677))</v>
      </c>
    </row>
    <row r="308" spans="1:11" ht="45" customHeight="1" x14ac:dyDescent="0.25">
      <c r="A308" t="s">
        <v>1287</v>
      </c>
      <c r="B308" t="s">
        <v>1288</v>
      </c>
      <c r="C308" s="5" t="s">
        <v>9479</v>
      </c>
      <c r="D308">
        <f t="shared" si="16"/>
        <v>307</v>
      </c>
      <c r="E308" t="str">
        <f t="shared" si="17"/>
        <v>E2_4_2_7</v>
      </c>
      <c r="F308" s="11" t="s">
        <v>14074</v>
      </c>
      <c r="G308" s="11" t="s">
        <v>14677</v>
      </c>
      <c r="H308" s="11" t="s">
        <v>15285</v>
      </c>
      <c r="I308" s="11" t="s">
        <v>15906</v>
      </c>
      <c r="J308" s="12" t="str">
        <f t="shared" si="18"/>
        <v>(${Variables:E2_4_2_7_kcat} * E2_4_2_7 * C00013 * C00020)/(${Variables:E2_4_2_7_km} + (E2_4_2_7 * C00013 * C00020))</v>
      </c>
      <c r="K308" s="11" t="str">
        <f t="shared" si="19"/>
        <v>r307: C00013 + C00020 -&gt; C00119 + C00147 | (${Variables:E2_4_2_7_kcat} * E2_4_2_7 * C00013 * C00020)/(${Variables:E2_4_2_7_km} + (E2_4_2_7 * C00013 * C00020))</v>
      </c>
    </row>
    <row r="309" spans="1:11" ht="45" customHeight="1" x14ac:dyDescent="0.25">
      <c r="A309" t="s">
        <v>1287</v>
      </c>
      <c r="B309" t="s">
        <v>1288</v>
      </c>
      <c r="C309" s="5" t="s">
        <v>9479</v>
      </c>
      <c r="D309">
        <f t="shared" si="16"/>
        <v>308</v>
      </c>
      <c r="E309" t="str">
        <f t="shared" si="17"/>
        <v>E2_4_2_7</v>
      </c>
      <c r="F309" s="11" t="s">
        <v>14075</v>
      </c>
      <c r="G309" s="11" t="s">
        <v>14678</v>
      </c>
      <c r="H309" s="11" t="s">
        <v>15286</v>
      </c>
      <c r="I309" s="11" t="s">
        <v>15907</v>
      </c>
      <c r="J309" s="12" t="str">
        <f t="shared" si="18"/>
        <v>(${Variables:E2_4_2_7_kcat} * E2_4_2_7 * C00013 * C04677)/(${Variables:E2_4_2_7_km} + (E2_4_2_7 * C00013 * C04677))</v>
      </c>
      <c r="K309" s="11" t="str">
        <f t="shared" si="19"/>
        <v>r308: C00013 + C04677 -&gt; C00119 + C04051 | (${Variables:E2_4_2_7_kcat} * E2_4_2_7 * C00013 * C04677)/(${Variables:E2_4_2_7_km} + (E2_4_2_7 * C00013 * C04677))</v>
      </c>
    </row>
    <row r="310" spans="1:11" ht="45" customHeight="1" x14ac:dyDescent="0.25">
      <c r="A310" t="s">
        <v>1295</v>
      </c>
      <c r="B310" t="s">
        <v>1296</v>
      </c>
      <c r="C310" s="5" t="s">
        <v>9480</v>
      </c>
      <c r="D310">
        <f t="shared" si="16"/>
        <v>309</v>
      </c>
      <c r="E310" t="str">
        <f t="shared" si="17"/>
        <v>E6_3_3_2</v>
      </c>
      <c r="F310" s="11" t="s">
        <v>14076</v>
      </c>
      <c r="G310" s="11" t="s">
        <v>14679</v>
      </c>
      <c r="H310" s="11" t="s">
        <v>9041</v>
      </c>
      <c r="I310" s="11" t="s">
        <v>9240</v>
      </c>
      <c r="J310" s="12" t="str">
        <f t="shared" si="18"/>
        <v>(${Variables:E6_3_3_2_kcat} * E6_3_3_2 * C00002 * C00080 * C03479)/(${Variables:E6_3_3_2_km} + (E6_3_3_2 * C00002 * C00080 * C03479))</v>
      </c>
      <c r="K310" s="11" t="str">
        <f t="shared" si="19"/>
        <v>r309: C00002 + C00080 + C03479 -&gt; C00008 + C00009 + C00445 | (${Variables:E6_3_3_2_kcat} * E6_3_3_2 * C00002 * C00080 * C03479)/(${Variables:E6_3_3_2_km} + (E6_3_3_2 * C00002 * C00080 * C03479))</v>
      </c>
    </row>
    <row r="311" spans="1:11" ht="45" customHeight="1" x14ac:dyDescent="0.25">
      <c r="A311" t="s">
        <v>1304</v>
      </c>
      <c r="B311" t="s">
        <v>1305</v>
      </c>
      <c r="C311" s="5" t="s">
        <v>9481</v>
      </c>
      <c r="D311">
        <f t="shared" si="16"/>
        <v>310</v>
      </c>
      <c r="E311" t="str">
        <f t="shared" si="17"/>
        <v>E2_7_4_9</v>
      </c>
      <c r="F311" s="11" t="s">
        <v>8696</v>
      </c>
      <c r="G311" s="11" t="s">
        <v>8862</v>
      </c>
      <c r="H311" s="11" t="s">
        <v>9042</v>
      </c>
      <c r="I311" s="11" t="s">
        <v>9241</v>
      </c>
      <c r="J311" s="12" t="str">
        <f t="shared" si="18"/>
        <v>(${Variables:E2_7_4_9_kcat} * E2_7_4_9 * C00002 * C00364)/(${Variables:E2_7_4_9_km} + (E2_7_4_9 * C00002 * C00364))</v>
      </c>
      <c r="K311" s="11" t="str">
        <f t="shared" si="19"/>
        <v>r310: C00002 + C00364 -&gt; C00008 + C00363 | (${Variables:E2_7_4_9_kcat} * E2_7_4_9 * C00002 * C00364)/(${Variables:E2_7_4_9_km} + (E2_7_4_9 * C00002 * C00364))</v>
      </c>
    </row>
    <row r="312" spans="1:11" ht="45" customHeight="1" x14ac:dyDescent="0.25">
      <c r="A312" t="s">
        <v>1304</v>
      </c>
      <c r="B312" t="s">
        <v>1305</v>
      </c>
      <c r="C312" s="5" t="s">
        <v>9481</v>
      </c>
      <c r="D312">
        <f t="shared" si="16"/>
        <v>311</v>
      </c>
      <c r="E312" t="str">
        <f t="shared" si="17"/>
        <v>E2_7_4_9</v>
      </c>
      <c r="F312" s="11" t="s">
        <v>8697</v>
      </c>
      <c r="G312" s="11" t="s">
        <v>8863</v>
      </c>
      <c r="H312" s="11" t="s">
        <v>9043</v>
      </c>
      <c r="I312" s="11" t="s">
        <v>9242</v>
      </c>
      <c r="J312" s="12" t="str">
        <f t="shared" si="18"/>
        <v>(${Variables:E2_7_4_9_kcat} * E2_7_4_9 * C00002 * C00365)/(${Variables:E2_7_4_9_km} + (E2_7_4_9 * C00002 * C00365))</v>
      </c>
      <c r="K312" s="11" t="str">
        <f t="shared" si="19"/>
        <v>r311: C00002 + C00365 -&gt; C00008 + C01346 | (${Variables:E2_7_4_9_kcat} * E2_7_4_9 * C00002 * C00365)/(${Variables:E2_7_4_9_km} + (E2_7_4_9 * C00002 * C00365))</v>
      </c>
    </row>
    <row r="313" spans="1:11" ht="45" customHeight="1" x14ac:dyDescent="0.25">
      <c r="A313" t="s">
        <v>1325</v>
      </c>
      <c r="B313" t="s">
        <v>1326</v>
      </c>
      <c r="C313" s="5" t="s">
        <v>9482</v>
      </c>
      <c r="D313">
        <f t="shared" si="16"/>
        <v>312</v>
      </c>
      <c r="E313" t="str">
        <f t="shared" si="17"/>
        <v>E4_2_1_24</v>
      </c>
      <c r="F313" s="11" t="s">
        <v>8194</v>
      </c>
      <c r="G313" s="11" t="s">
        <v>8194</v>
      </c>
      <c r="H313" s="11" t="s">
        <v>14500</v>
      </c>
      <c r="I313" s="11" t="s">
        <v>15103</v>
      </c>
      <c r="J313" s="12" t="str">
        <f t="shared" si="18"/>
        <v>(${Variables:E4_2_1_24_kcat} * E4_2_1_24 * C00430)/(${Variables:E4_2_1_24_km} + (E4_2_1_24 * C00430))</v>
      </c>
      <c r="K313" s="11" t="str">
        <f t="shared" si="19"/>
        <v>r312: C00430 -&gt; C00001 + C00931 | (${Variables:E4_2_1_24_kcat} * E4_2_1_24 * C00430)/(${Variables:E4_2_1_24_km} + (E4_2_1_24 * C00430))</v>
      </c>
    </row>
    <row r="314" spans="1:11" ht="45" customHeight="1" x14ac:dyDescent="0.25">
      <c r="A314" t="s">
        <v>1332</v>
      </c>
      <c r="B314" t="s">
        <v>1333</v>
      </c>
      <c r="C314" s="5" t="s">
        <v>9483</v>
      </c>
      <c r="D314">
        <f t="shared" si="16"/>
        <v>313</v>
      </c>
      <c r="E314" t="str">
        <f t="shared" si="17"/>
        <v>E3_1_3_16</v>
      </c>
      <c r="F314" s="11" t="s">
        <v>14077</v>
      </c>
      <c r="G314" s="11" t="s">
        <v>14680</v>
      </c>
      <c r="H314" s="11" t="s">
        <v>15287</v>
      </c>
      <c r="I314" s="11" t="s">
        <v>15908</v>
      </c>
      <c r="J314" s="12" t="str">
        <f t="shared" si="18"/>
        <v>(${Variables:E3_1_3_16_kcat} * E3_1_3_16 * C00001 * C00562)/(${Variables:E3_1_3_16_km} + (E3_1_3_16 * C00001 * C00562))</v>
      </c>
      <c r="K314" s="11" t="str">
        <f t="shared" si="19"/>
        <v>r313: C00001 + C00562 -&gt; C00009 + C00017 | (${Variables:E3_1_3_16_kcat} * E3_1_3_16 * C00001 * C00562)/(${Variables:E3_1_3_16_km} + (E3_1_3_16 * C00001 * C00562))</v>
      </c>
    </row>
    <row r="315" spans="1:11" ht="45" customHeight="1" x14ac:dyDescent="0.25">
      <c r="A315" t="s">
        <v>1358</v>
      </c>
      <c r="B315" t="s">
        <v>1359</v>
      </c>
      <c r="C315" s="5" t="s">
        <v>9484</v>
      </c>
      <c r="D315">
        <f t="shared" si="16"/>
        <v>314</v>
      </c>
      <c r="E315" t="str">
        <f t="shared" si="17"/>
        <v>E6_3_4_2</v>
      </c>
      <c r="F315" s="11" t="s">
        <v>14005</v>
      </c>
      <c r="G315" s="11" t="s">
        <v>14608</v>
      </c>
      <c r="H315" s="11" t="s">
        <v>15213</v>
      </c>
      <c r="I315" s="11" t="s">
        <v>15834</v>
      </c>
      <c r="J315" s="12" t="str">
        <f t="shared" si="18"/>
        <v>(${Variables:E6_3_4_2_kcat} * E6_3_4_2 * C00001 * C00064)/(${Variables:E6_3_4_2_km} + (E6_3_4_2 * C00001 * C00064))</v>
      </c>
      <c r="K315" s="11" t="str">
        <f t="shared" si="19"/>
        <v>r314: C00001 + C00064 -&gt; C00014 + C00025 | (${Variables:E6_3_4_2_kcat} * E6_3_4_2 * C00001 * C00064)/(${Variables:E6_3_4_2_km} + (E6_3_4_2 * C00001 * C00064))</v>
      </c>
    </row>
    <row r="316" spans="1:11" ht="45" customHeight="1" x14ac:dyDescent="0.25">
      <c r="A316" t="s">
        <v>1358</v>
      </c>
      <c r="B316" t="s">
        <v>1359</v>
      </c>
      <c r="C316" s="5" t="s">
        <v>9484</v>
      </c>
      <c r="D316">
        <f t="shared" si="16"/>
        <v>315</v>
      </c>
      <c r="E316" t="str">
        <f t="shared" si="17"/>
        <v>E6_3_4_2</v>
      </c>
      <c r="F316" s="11" t="s">
        <v>14078</v>
      </c>
      <c r="G316" s="11" t="s">
        <v>14681</v>
      </c>
      <c r="H316" s="11" t="s">
        <v>9044</v>
      </c>
      <c r="I316" s="11" t="s">
        <v>9243</v>
      </c>
      <c r="J316" s="12" t="str">
        <f t="shared" si="18"/>
        <v>(${Variables:E6_3_4_2_kcat} * E6_3_4_2 * C00002 * C00014 * C00075)/(${Variables:E6_3_4_2_km} + (E6_3_4_2 * C00002 * C00014 * C00075))</v>
      </c>
      <c r="K316" s="11" t="str">
        <f t="shared" si="19"/>
        <v>r315: C00002 + C00014 + C00075 -&gt; C00008 + C00009 + C00063 | (${Variables:E6_3_4_2_kcat} * E6_3_4_2 * C00002 * C00014 * C00075)/(${Variables:E6_3_4_2_km} + (E6_3_4_2 * C00002 * C00014 * C00075))</v>
      </c>
    </row>
    <row r="317" spans="1:11" ht="45" customHeight="1" x14ac:dyDescent="0.25">
      <c r="A317" t="s">
        <v>1358</v>
      </c>
      <c r="B317" t="s">
        <v>1359</v>
      </c>
      <c r="C317" s="5" t="s">
        <v>9484</v>
      </c>
      <c r="D317">
        <f t="shared" si="16"/>
        <v>316</v>
      </c>
      <c r="E317" t="str">
        <f t="shared" si="17"/>
        <v>E6_3_4_2</v>
      </c>
      <c r="F317" s="11" t="s">
        <v>14079</v>
      </c>
      <c r="G317" s="11" t="s">
        <v>14682</v>
      </c>
      <c r="H317" s="11" t="s">
        <v>15288</v>
      </c>
      <c r="I317" s="11" t="s">
        <v>15909</v>
      </c>
      <c r="J317" s="12" t="str">
        <f t="shared" si="18"/>
        <v>(${Variables:E6_3_4_2_kcat} * E6_3_4_2 * C00001 * C00002 * C00064 * C00075)/(${Variables:E6_3_4_2_km} + (E6_3_4_2 * C00001 * C00002 * C00064 * C00075))</v>
      </c>
      <c r="K317" s="11" t="str">
        <f t="shared" si="19"/>
        <v>r316: C00001 + C00002 + C00064 + C00075 -&gt; C00008 + C00009 + C00025 + C00063 | (${Variables:E6_3_4_2_kcat} * E6_3_4_2 * C00001 * C00002 * C00064 * C00075)/(${Variables:E6_3_4_2_km} + (E6_3_4_2 * C00001 * C00002 * C00064 * C00075))</v>
      </c>
    </row>
    <row r="318" spans="1:11" ht="45" customHeight="1" x14ac:dyDescent="0.25">
      <c r="A318" t="s">
        <v>1365</v>
      </c>
      <c r="B318" t="s">
        <v>1366</v>
      </c>
      <c r="C318" s="5" t="s">
        <v>9485</v>
      </c>
      <c r="D318">
        <f t="shared" si="16"/>
        <v>317</v>
      </c>
      <c r="E318" t="str">
        <f t="shared" si="17"/>
        <v>E2_7_6_2</v>
      </c>
      <c r="F318" s="11" t="s">
        <v>8698</v>
      </c>
      <c r="G318" s="11" t="s">
        <v>8864</v>
      </c>
      <c r="H318" s="11" t="s">
        <v>9045</v>
      </c>
      <c r="I318" s="11" t="s">
        <v>9244</v>
      </c>
      <c r="J318" s="12" t="str">
        <f t="shared" si="18"/>
        <v>(${Variables:E2_7_6_2_kcat} * E2_7_6_2 * C00002 * C00378)/(${Variables:E2_7_6_2_km} + (E2_7_6_2 * C00002 * C00378))</v>
      </c>
      <c r="K318" s="11" t="str">
        <f t="shared" si="19"/>
        <v>r317: C00002 + C00378 -&gt; C00020 + C00068 | (${Variables:E2_7_6_2_kcat} * E2_7_6_2 * C00002 * C00378)/(${Variables:E2_7_6_2_km} + (E2_7_6_2 * C00002 * C00378))</v>
      </c>
    </row>
    <row r="319" spans="1:11" ht="45" customHeight="1" x14ac:dyDescent="0.25">
      <c r="A319" t="s">
        <v>1433</v>
      </c>
      <c r="B319" t="s">
        <v>1434</v>
      </c>
      <c r="C319" s="5" t="s">
        <v>9486</v>
      </c>
      <c r="D319">
        <f t="shared" si="16"/>
        <v>318</v>
      </c>
      <c r="E319" t="str">
        <f t="shared" si="17"/>
        <v>E6_1_1_1</v>
      </c>
      <c r="F319" s="11" t="s">
        <v>8699</v>
      </c>
      <c r="G319" s="11" t="s">
        <v>8865</v>
      </c>
      <c r="H319" s="11" t="s">
        <v>15289</v>
      </c>
      <c r="I319" s="11" t="s">
        <v>15910</v>
      </c>
      <c r="J319" s="12" t="str">
        <f t="shared" si="18"/>
        <v>(${Variables:E6_1_1_1_kcat} * E6_1_1_1 * C00002 * C00082 * C00787)/(${Variables:E6_1_1_1_km} + (E6_1_1_1 * C00002 * C00082 * C00787))</v>
      </c>
      <c r="K319" s="11" t="str">
        <f t="shared" si="19"/>
        <v>r318: C00002 + C00082 + C00787 -&gt; C00013 + C00020 + C02839 | (${Variables:E6_1_1_1_kcat} * E6_1_1_1 * C00002 * C00082 * C00787)/(${Variables:E6_1_1_1_km} + (E6_1_1_1 * C00002 * C00082 * C00787))</v>
      </c>
    </row>
    <row r="320" spans="1:11" ht="45" customHeight="1" x14ac:dyDescent="0.25">
      <c r="A320" t="s">
        <v>1443</v>
      </c>
      <c r="B320" t="s">
        <v>1444</v>
      </c>
      <c r="C320" s="5" t="s">
        <v>9487</v>
      </c>
      <c r="D320">
        <f t="shared" si="16"/>
        <v>319</v>
      </c>
      <c r="E320" t="str">
        <f t="shared" si="17"/>
        <v>E2_7_1_39</v>
      </c>
      <c r="F320" s="11" t="s">
        <v>8700</v>
      </c>
      <c r="G320" s="11" t="s">
        <v>8866</v>
      </c>
      <c r="H320" s="11" t="s">
        <v>9046</v>
      </c>
      <c r="I320" s="11" t="s">
        <v>9245</v>
      </c>
      <c r="J320" s="12" t="str">
        <f t="shared" si="18"/>
        <v>(${Variables:E2_7_1_39_kcat} * E2_7_1_39 * C00002 * C00263)/(${Variables:E2_7_1_39_km} + (E2_7_1_39 * C00002 * C00263))</v>
      </c>
      <c r="K320" s="11" t="str">
        <f t="shared" si="19"/>
        <v>r319: C00002 + C00263 -&gt; C00008 + C01102 | (${Variables:E2_7_1_39_kcat} * E2_7_1_39 * C00002 * C00263)/(${Variables:E2_7_1_39_km} + (E2_7_1_39 * C00002 * C00263))</v>
      </c>
    </row>
    <row r="321" spans="1:11" ht="45" customHeight="1" x14ac:dyDescent="0.25">
      <c r="A321" t="s">
        <v>1469</v>
      </c>
      <c r="B321" t="s">
        <v>1470</v>
      </c>
      <c r="C321" s="5" t="s">
        <v>9488</v>
      </c>
      <c r="D321">
        <f t="shared" si="16"/>
        <v>320</v>
      </c>
      <c r="E321" t="str">
        <f t="shared" si="17"/>
        <v>E2_7_8_7</v>
      </c>
      <c r="F321" s="11" t="s">
        <v>8701</v>
      </c>
      <c r="G321" s="11" t="s">
        <v>8867</v>
      </c>
      <c r="H321" s="11" t="s">
        <v>9047</v>
      </c>
      <c r="I321" s="11" t="s">
        <v>9246</v>
      </c>
      <c r="J321" s="12" t="str">
        <f t="shared" si="18"/>
        <v>(${Variables:E2_7_8_7_kcat} * E2_7_8_7 * C00010 * C03688)/(${Variables:E2_7_8_7_km} + (E2_7_8_7 * C00010 * C03688))</v>
      </c>
      <c r="K321" s="11" t="str">
        <f t="shared" si="19"/>
        <v>r320: C00010 + C03688 -&gt; C00054 + C00229 | (${Variables:E2_7_8_7_kcat} * E2_7_8_7 * C00010 * C03688)/(${Variables:E2_7_8_7_km} + (E2_7_8_7 * C00010 * C03688))</v>
      </c>
    </row>
    <row r="322" spans="1:11" ht="45" customHeight="1" x14ac:dyDescent="0.25">
      <c r="A322" t="s">
        <v>1475</v>
      </c>
      <c r="B322" t="s">
        <v>1476</v>
      </c>
      <c r="C322" s="5" t="s">
        <v>9489</v>
      </c>
      <c r="D322">
        <f t="shared" si="16"/>
        <v>321</v>
      </c>
      <c r="E322" t="str">
        <f t="shared" si="17"/>
        <v>E4_2_3_4</v>
      </c>
      <c r="F322" s="11" t="s">
        <v>8199</v>
      </c>
      <c r="G322" s="11" t="s">
        <v>8199</v>
      </c>
      <c r="H322" s="11" t="s">
        <v>15290</v>
      </c>
      <c r="I322" s="11" t="s">
        <v>15911</v>
      </c>
      <c r="J322" s="12" t="str">
        <f t="shared" si="18"/>
        <v>(${Variables:E4_2_3_4_kcat} * E4_2_3_4 * C04691)/(${Variables:E4_2_3_4_km} + (E4_2_3_4 * C04691))</v>
      </c>
      <c r="K322" s="11" t="str">
        <f t="shared" si="19"/>
        <v>r321: C04691 -&gt; C00009 + C00944 | (${Variables:E4_2_3_4_kcat} * E4_2_3_4 * C04691)/(${Variables:E4_2_3_4_km} + (E4_2_3_4 * C04691))</v>
      </c>
    </row>
    <row r="323" spans="1:11" ht="45" customHeight="1" x14ac:dyDescent="0.25">
      <c r="A323" t="s">
        <v>1478</v>
      </c>
      <c r="B323" t="s">
        <v>1479</v>
      </c>
      <c r="C323" s="5" t="s">
        <v>9490</v>
      </c>
      <c r="D323">
        <f t="shared" ref="D323:D386" si="20">ROW()-1</f>
        <v>322</v>
      </c>
      <c r="E323" t="str">
        <f t="shared" ref="E323:E386" si="21">_xlfn.CONCAT("E", C323)</f>
        <v>E2_7_1_71</v>
      </c>
      <c r="F323" s="11" t="s">
        <v>8702</v>
      </c>
      <c r="G323" s="11" t="s">
        <v>8868</v>
      </c>
      <c r="H323" s="11" t="s">
        <v>9048</v>
      </c>
      <c r="I323" s="11" t="s">
        <v>9247</v>
      </c>
      <c r="J323" s="12" t="str">
        <f t="shared" ref="J323:J386" si="22">CONCATENATE("(${Variables:",E323,"_kcat","} * ",E323," * ",G323,")","/(${Variables:",E323,"_km","} + (",E323," * ",G323,"))")</f>
        <v>(${Variables:E2_7_1_71_kcat} * E2_7_1_71 * C00002 * C00493)/(${Variables:E2_7_1_71_km} + (E2_7_1_71 * C00002 * C00493))</v>
      </c>
      <c r="K323" s="11" t="str">
        <f t="shared" ref="K323:K386" si="23">CONCATENATE("r",D323,": ",F323," -&gt; ",H323," | ",J323)</f>
        <v>r322: C00002 + C00493 -&gt; C00008 + C03175 | (${Variables:E2_7_1_71_kcat} * E2_7_1_71 * C00002 * C00493)/(${Variables:E2_7_1_71_km} + (E2_7_1_71 * C00002 * C00493))</v>
      </c>
    </row>
    <row r="324" spans="1:11" ht="45" customHeight="1" x14ac:dyDescent="0.25">
      <c r="A324" t="s">
        <v>1481</v>
      </c>
      <c r="B324" t="s">
        <v>1482</v>
      </c>
      <c r="C324" s="5" t="s">
        <v>9491</v>
      </c>
      <c r="D324">
        <f t="shared" si="20"/>
        <v>323</v>
      </c>
      <c r="E324" t="str">
        <f t="shared" si="21"/>
        <v>E4_2_3_5</v>
      </c>
      <c r="F324" s="11" t="s">
        <v>8201</v>
      </c>
      <c r="G324" s="11" t="s">
        <v>8201</v>
      </c>
      <c r="H324" s="11" t="s">
        <v>15291</v>
      </c>
      <c r="I324" s="11" t="s">
        <v>15912</v>
      </c>
      <c r="J324" s="12" t="str">
        <f t="shared" si="22"/>
        <v>(${Variables:E4_2_3_5_kcat} * E4_2_3_5 * C01269)/(${Variables:E4_2_3_5_km} + (E4_2_3_5 * C01269))</v>
      </c>
      <c r="K324" s="11" t="str">
        <f t="shared" si="23"/>
        <v>r323: C01269 -&gt; C00009 + C00251 | (${Variables:E4_2_3_5_kcat} * E4_2_3_5 * C01269)/(${Variables:E4_2_3_5_km} + (E4_2_3_5 * C01269))</v>
      </c>
    </row>
    <row r="325" spans="1:11" ht="45" customHeight="1" x14ac:dyDescent="0.25">
      <c r="A325" t="s">
        <v>1499</v>
      </c>
      <c r="B325" t="s">
        <v>1500</v>
      </c>
      <c r="C325" s="5" t="s">
        <v>9492</v>
      </c>
      <c r="D325">
        <f t="shared" si="20"/>
        <v>324</v>
      </c>
      <c r="E325" t="str">
        <f t="shared" si="21"/>
        <v>E1_1_1_87</v>
      </c>
      <c r="F325" s="11" t="s">
        <v>14080</v>
      </c>
      <c r="G325" s="11" t="s">
        <v>14683</v>
      </c>
      <c r="H325" s="11" t="s">
        <v>15292</v>
      </c>
      <c r="I325" s="11" t="s">
        <v>15913</v>
      </c>
      <c r="J325" s="12" t="str">
        <f t="shared" si="22"/>
        <v>(${Variables:E1_1_1_87_kcat} * E1_1_1_87 * C00003 * C05662)/(${Variables:E1_1_1_87_km} + (E1_1_1_87 * C00003 * C05662))</v>
      </c>
      <c r="K325" s="11" t="str">
        <f t="shared" si="23"/>
        <v>r324: C00003 + C05662 -&gt; C00004 + C00011 + C00080 + C00322 | (${Variables:E1_1_1_87_kcat} * E1_1_1_87 * C00003 * C05662)/(${Variables:E1_1_1_87_km} + (E1_1_1_87 * C00003 * C05662))</v>
      </c>
    </row>
    <row r="326" spans="1:11" ht="45" customHeight="1" x14ac:dyDescent="0.25">
      <c r="A326" t="s">
        <v>1499</v>
      </c>
      <c r="B326" t="s">
        <v>1500</v>
      </c>
      <c r="C326" s="5" t="s">
        <v>9492</v>
      </c>
      <c r="D326">
        <f t="shared" si="20"/>
        <v>325</v>
      </c>
      <c r="E326" t="str">
        <f t="shared" si="21"/>
        <v>E1_1_1_87</v>
      </c>
      <c r="F326" s="11" t="s">
        <v>8202</v>
      </c>
      <c r="G326" s="11" t="s">
        <v>8202</v>
      </c>
      <c r="H326" s="11" t="s">
        <v>15293</v>
      </c>
      <c r="I326" s="11" t="s">
        <v>15914</v>
      </c>
      <c r="J326" s="12" t="str">
        <f t="shared" si="22"/>
        <v>(${Variables:E1_1_1_87_kcat} * E1_1_1_87 * C05533)/(${Variables:E1_1_1_87_km} + (E1_1_1_87 * C05533))</v>
      </c>
      <c r="K326" s="11" t="str">
        <f t="shared" si="23"/>
        <v>r325: C05533 -&gt; C00011 + C00322 | (${Variables:E1_1_1_87_kcat} * E1_1_1_87 * C05533)/(${Variables:E1_1_1_87_km} + (E1_1_1_87 * C05533))</v>
      </c>
    </row>
    <row r="327" spans="1:11" ht="45" customHeight="1" x14ac:dyDescent="0.25">
      <c r="A327" t="s">
        <v>1499</v>
      </c>
      <c r="B327" t="s">
        <v>1500</v>
      </c>
      <c r="C327" s="5" t="s">
        <v>9492</v>
      </c>
      <c r="D327">
        <f t="shared" si="20"/>
        <v>326</v>
      </c>
      <c r="E327" t="str">
        <f t="shared" si="21"/>
        <v>E1_1_1_87</v>
      </c>
      <c r="F327" s="11" t="s">
        <v>14080</v>
      </c>
      <c r="G327" s="11" t="s">
        <v>14683</v>
      </c>
      <c r="H327" s="11" t="s">
        <v>15294</v>
      </c>
      <c r="I327" s="11" t="s">
        <v>15915</v>
      </c>
      <c r="J327" s="12" t="str">
        <f t="shared" si="22"/>
        <v>(${Variables:E1_1_1_87_kcat} * E1_1_1_87 * C00003 * C05662)/(${Variables:E1_1_1_87_km} + (E1_1_1_87 * C00003 * C05662))</v>
      </c>
      <c r="K327" s="11" t="str">
        <f t="shared" si="23"/>
        <v>r326: C00003 + C05662 -&gt; C00004 + C00080 + C05533 | (${Variables:E1_1_1_87_kcat} * E1_1_1_87 * C00003 * C05662)/(${Variables:E1_1_1_87_km} + (E1_1_1_87 * C00003 * C05662))</v>
      </c>
    </row>
    <row r="328" spans="1:11" ht="45" customHeight="1" x14ac:dyDescent="0.25">
      <c r="A328" t="s">
        <v>1513</v>
      </c>
      <c r="B328" t="s">
        <v>1514</v>
      </c>
      <c r="C328" s="5" t="s">
        <v>9493</v>
      </c>
      <c r="D328">
        <f t="shared" si="20"/>
        <v>327</v>
      </c>
      <c r="E328" t="str">
        <f t="shared" si="21"/>
        <v>E2_7_1_33</v>
      </c>
      <c r="F328" s="11" t="s">
        <v>8703</v>
      </c>
      <c r="G328" s="11" t="s">
        <v>8869</v>
      </c>
      <c r="H328" s="11" t="s">
        <v>9049</v>
      </c>
      <c r="I328" s="11" t="s">
        <v>9248</v>
      </c>
      <c r="J328" s="12" t="str">
        <f t="shared" si="22"/>
        <v>(${Variables:E2_7_1_33_kcat} * E2_7_1_33 * C00002 * C00864)/(${Variables:E2_7_1_33_km} + (E2_7_1_33 * C00002 * C00864))</v>
      </c>
      <c r="K328" s="11" t="str">
        <f t="shared" si="23"/>
        <v>r327: C00002 + C00864 -&gt; C00008 + C03492 | (${Variables:E2_7_1_33_kcat} * E2_7_1_33 * C00002 * C00864)/(${Variables:E2_7_1_33_km} + (E2_7_1_33 * C00002 * C00864))</v>
      </c>
    </row>
    <row r="329" spans="1:11" ht="45" customHeight="1" x14ac:dyDescent="0.25">
      <c r="A329" t="s">
        <v>1513</v>
      </c>
      <c r="B329" t="s">
        <v>1514</v>
      </c>
      <c r="C329" s="5" t="s">
        <v>9493</v>
      </c>
      <c r="D329">
        <f t="shared" si="20"/>
        <v>328</v>
      </c>
      <c r="E329" t="str">
        <f t="shared" si="21"/>
        <v>E2_7_1_33</v>
      </c>
      <c r="F329" s="11" t="s">
        <v>8704</v>
      </c>
      <c r="G329" s="11" t="s">
        <v>8870</v>
      </c>
      <c r="H329" s="11" t="s">
        <v>9050</v>
      </c>
      <c r="I329" s="11" t="s">
        <v>9249</v>
      </c>
      <c r="J329" s="12" t="str">
        <f t="shared" si="22"/>
        <v>(${Variables:E2_7_1_33_kcat} * E2_7_1_33 * C00002 * C00831)/(${Variables:E2_7_1_33_km} + (E2_7_1_33 * C00002 * C00831))</v>
      </c>
      <c r="K329" s="11" t="str">
        <f t="shared" si="23"/>
        <v>r328: C00002 + C00831 -&gt; C00008 + C01134 | (${Variables:E2_7_1_33_kcat} * E2_7_1_33 * C00002 * C00831)/(${Variables:E2_7_1_33_km} + (E2_7_1_33 * C00002 * C00831))</v>
      </c>
    </row>
    <row r="330" spans="1:11" ht="45" customHeight="1" x14ac:dyDescent="0.25">
      <c r="A330" t="s">
        <v>1513</v>
      </c>
      <c r="B330" t="s">
        <v>1514</v>
      </c>
      <c r="C330" s="5" t="s">
        <v>9493</v>
      </c>
      <c r="D330">
        <f t="shared" si="20"/>
        <v>329</v>
      </c>
      <c r="E330" t="str">
        <f t="shared" si="21"/>
        <v>E2_7_1_33</v>
      </c>
      <c r="F330" s="11" t="s">
        <v>8705</v>
      </c>
      <c r="G330" s="11" t="s">
        <v>8871</v>
      </c>
      <c r="H330" s="11" t="s">
        <v>9051</v>
      </c>
      <c r="I330" s="11" t="s">
        <v>9250</v>
      </c>
      <c r="J330" s="12" t="str">
        <f t="shared" si="22"/>
        <v>(${Variables:E2_7_1_33_kcat} * E2_7_1_33 * C00002 * C04079)/(${Variables:E2_7_1_33_km} + (E2_7_1_33 * C00002 * C04079))</v>
      </c>
      <c r="K330" s="11" t="str">
        <f t="shared" si="23"/>
        <v>r329: C00002 + C04079 -&gt; C00008 + C04352 | (${Variables:E2_7_1_33_kcat} * E2_7_1_33 * C00002 * C04079)/(${Variables:E2_7_1_33_km} + (E2_7_1_33 * C00002 * C04079))</v>
      </c>
    </row>
    <row r="331" spans="1:11" ht="45" customHeight="1" x14ac:dyDescent="0.25">
      <c r="A331" t="s">
        <v>1519</v>
      </c>
      <c r="B331" t="s">
        <v>1520</v>
      </c>
      <c r="C331" s="5" t="s">
        <v>9494</v>
      </c>
      <c r="D331">
        <f t="shared" si="20"/>
        <v>330</v>
      </c>
      <c r="E331" t="str">
        <f t="shared" si="21"/>
        <v>E3_5_1_28</v>
      </c>
      <c r="F331" s="11" t="s">
        <v>14081</v>
      </c>
      <c r="G331" s="11" t="s">
        <v>14684</v>
      </c>
      <c r="H331" s="11" t="s">
        <v>15295</v>
      </c>
      <c r="I331" s="11" t="s">
        <v>15916</v>
      </c>
      <c r="J331" s="12" t="str">
        <f t="shared" si="22"/>
        <v>(${Variables:E3_5_1_28_kcat} * E3_5_1_28 * C00001 * C02999)/(${Variables:E3_5_1_28_km} + (E3_5_1_28 * C00001 * C02999))</v>
      </c>
      <c r="K331" s="11" t="str">
        <f t="shared" si="23"/>
        <v>r330: C00001 + C02999 -&gt; C00041 + C02713 | (${Variables:E3_5_1_28_kcat} * E3_5_1_28 * C00001 * C02999)/(${Variables:E3_5_1_28_km} + (E3_5_1_28 * C00001 * C02999))</v>
      </c>
    </row>
    <row r="332" spans="1:11" ht="45" customHeight="1" x14ac:dyDescent="0.25">
      <c r="A332" t="s">
        <v>1563</v>
      </c>
      <c r="B332" t="s">
        <v>1564</v>
      </c>
      <c r="C332" s="5" t="s">
        <v>9495</v>
      </c>
      <c r="D332">
        <f t="shared" si="20"/>
        <v>331</v>
      </c>
      <c r="E332" t="str">
        <f t="shared" si="21"/>
        <v>E4_2_1_10</v>
      </c>
      <c r="F332" s="11" t="s">
        <v>8206</v>
      </c>
      <c r="G332" s="11" t="s">
        <v>8206</v>
      </c>
      <c r="H332" s="11" t="s">
        <v>15296</v>
      </c>
      <c r="I332" s="11" t="s">
        <v>15917</v>
      </c>
      <c r="J332" s="12" t="str">
        <f t="shared" si="22"/>
        <v>(${Variables:E4_2_1_10_kcat} * E4_2_1_10 * C00944)/(${Variables:E4_2_1_10_km} + (E4_2_1_10 * C00944))</v>
      </c>
      <c r="K332" s="11" t="str">
        <f t="shared" si="23"/>
        <v>r331: C00944 -&gt; C00001 + C02637 | (${Variables:E4_2_1_10_kcat} * E4_2_1_10 * C00944)/(${Variables:E4_2_1_10_km} + (E4_2_1_10 * C00944))</v>
      </c>
    </row>
    <row r="333" spans="1:11" ht="45" customHeight="1" x14ac:dyDescent="0.25">
      <c r="A333" t="s">
        <v>1569</v>
      </c>
      <c r="B333" t="s">
        <v>1570</v>
      </c>
      <c r="C333" s="5" t="s">
        <v>9496</v>
      </c>
      <c r="D333">
        <f t="shared" si="20"/>
        <v>332</v>
      </c>
      <c r="E333" t="str">
        <f t="shared" si="21"/>
        <v>E2_1_1_35</v>
      </c>
      <c r="F333" s="11" t="s">
        <v>8706</v>
      </c>
      <c r="G333" s="11" t="s">
        <v>8872</v>
      </c>
      <c r="H333" s="11" t="s">
        <v>9052</v>
      </c>
      <c r="I333" s="11" t="s">
        <v>9251</v>
      </c>
      <c r="J333" s="12" t="str">
        <f t="shared" si="22"/>
        <v>(${Variables:E2_1_1_35_kcat} * E2_1_1_35 * C00019 * C01764)/(${Variables:E2_1_1_35_km} + (E2_1_1_35 * C00019 * C01764))</v>
      </c>
      <c r="K333" s="11" t="str">
        <f t="shared" si="23"/>
        <v>r332: C00019 + C01764 -&gt; C00021 + C03446 | (${Variables:E2_1_1_35_kcat} * E2_1_1_35 * C00019 * C01764)/(${Variables:E2_1_1_35_km} + (E2_1_1_35 * C00019 * C01764))</v>
      </c>
    </row>
    <row r="334" spans="1:11" ht="45" customHeight="1" x14ac:dyDescent="0.25">
      <c r="A334" t="s">
        <v>1586</v>
      </c>
      <c r="B334" t="s">
        <v>1587</v>
      </c>
      <c r="C334" s="5" t="s">
        <v>9497</v>
      </c>
      <c r="D334">
        <f t="shared" si="20"/>
        <v>333</v>
      </c>
      <c r="E334" t="str">
        <f t="shared" si="21"/>
        <v>E6_3_2_12</v>
      </c>
      <c r="F334" s="11" t="s">
        <v>14082</v>
      </c>
      <c r="G334" s="11" t="s">
        <v>14685</v>
      </c>
      <c r="H334" s="11" t="s">
        <v>9053</v>
      </c>
      <c r="I334" s="11" t="s">
        <v>9252</v>
      </c>
      <c r="J334" s="12" t="str">
        <f t="shared" si="22"/>
        <v>(${Variables:E6_3_2_12_kcat} * E6_3_2_12 * C00002 * C00025 * C00921)/(${Variables:E6_3_2_12_km} + (E6_3_2_12 * C00002 * C00025 * C00921))</v>
      </c>
      <c r="K334" s="11" t="str">
        <f t="shared" si="23"/>
        <v>r333: C00002 + C00025 + C00921 -&gt; C00008 + C00009 + C00415 | (${Variables:E6_3_2_12_kcat} * E6_3_2_12 * C00002 * C00025 * C00921)/(${Variables:E6_3_2_12_km} + (E6_3_2_12 * C00002 * C00025 * C00921))</v>
      </c>
    </row>
    <row r="335" spans="1:11" ht="45" customHeight="1" x14ac:dyDescent="0.25">
      <c r="A335" t="s">
        <v>1586</v>
      </c>
      <c r="B335" t="s">
        <v>1587</v>
      </c>
      <c r="C335" s="5" t="s">
        <v>9497</v>
      </c>
      <c r="D335">
        <f t="shared" si="20"/>
        <v>334</v>
      </c>
      <c r="E335" t="str">
        <f t="shared" si="21"/>
        <v>E6_3_2_12</v>
      </c>
      <c r="F335" s="11" t="s">
        <v>14083</v>
      </c>
      <c r="G335" s="11" t="s">
        <v>14686</v>
      </c>
      <c r="H335" s="11" t="s">
        <v>9054</v>
      </c>
      <c r="I335" s="11" t="s">
        <v>9253</v>
      </c>
      <c r="J335" s="12" t="str">
        <f t="shared" si="22"/>
        <v>(${Variables:E6_3_2_12_kcat} * E6_3_2_12 * C00002 * C00025 * C00234)/(${Variables:E6_3_2_12_km} + (E6_3_2_12 * C00002 * C00025 * C00234))</v>
      </c>
      <c r="K335" s="11" t="str">
        <f t="shared" si="23"/>
        <v>r334: C00002 + C00025 + C00234 -&gt; C00008 + C00009 + C05928 | (${Variables:E6_3_2_12_kcat} * E6_3_2_12 * C00002 * C00025 * C00234)/(${Variables:E6_3_2_12_km} + (E6_3_2_12 * C00002 * C00025 * C00234))</v>
      </c>
    </row>
    <row r="336" spans="1:11" ht="45" customHeight="1" x14ac:dyDescent="0.25">
      <c r="A336" t="s">
        <v>1615</v>
      </c>
      <c r="B336" t="s">
        <v>1616</v>
      </c>
      <c r="C336" s="5" t="s">
        <v>9498</v>
      </c>
      <c r="D336">
        <f t="shared" si="20"/>
        <v>335</v>
      </c>
      <c r="E336" t="str">
        <f t="shared" si="21"/>
        <v>E6_3_1_2</v>
      </c>
      <c r="F336" s="11" t="s">
        <v>14084</v>
      </c>
      <c r="G336" s="11" t="s">
        <v>14687</v>
      </c>
      <c r="H336" s="11" t="s">
        <v>9055</v>
      </c>
      <c r="I336" s="11" t="s">
        <v>9254</v>
      </c>
      <c r="J336" s="12" t="str">
        <f t="shared" si="22"/>
        <v>(${Variables:E6_3_1_2_kcat} * E6_3_1_2 * C00002 * C00014 * C00025)/(${Variables:E6_3_1_2_km} + (E6_3_1_2 * C00002 * C00014 * C00025))</v>
      </c>
      <c r="K336" s="11" t="str">
        <f t="shared" si="23"/>
        <v>r335: C00002 + C00014 + C00025 -&gt; C00008 + C00009 + C00064 | (${Variables:E6_3_1_2_kcat} * E6_3_1_2 * C00002 * C00014 * C00025)/(${Variables:E6_3_1_2_km} + (E6_3_1_2 * C00002 * C00014 * C00025))</v>
      </c>
    </row>
    <row r="337" spans="1:11" ht="45" customHeight="1" x14ac:dyDescent="0.25">
      <c r="A337" t="s">
        <v>1618</v>
      </c>
      <c r="B337" t="s">
        <v>1619</v>
      </c>
      <c r="C337" s="5" t="s">
        <v>9392</v>
      </c>
      <c r="D337">
        <f t="shared" si="20"/>
        <v>336</v>
      </c>
      <c r="E337" t="str">
        <f t="shared" si="21"/>
        <v>E3_1_3_5</v>
      </c>
      <c r="F337" s="11" t="s">
        <v>13948</v>
      </c>
      <c r="G337" s="11" t="s">
        <v>14551</v>
      </c>
      <c r="H337" s="11" t="s">
        <v>15151</v>
      </c>
      <c r="I337" s="11" t="s">
        <v>15772</v>
      </c>
      <c r="J337" s="12" t="str">
        <f t="shared" si="22"/>
        <v>(${Variables:E3_1_3_5_kcat} * E3_1_3_5 * C00001 * C02520)/(${Variables:E3_1_3_5_km} + (E3_1_3_5 * C00001 * C02520))</v>
      </c>
      <c r="K337" s="11" t="str">
        <f t="shared" si="23"/>
        <v>r336: C00001 + C02520 -&gt; C00009 + C00911 | (${Variables:E3_1_3_5_kcat} * E3_1_3_5 * C00001 * C02520)/(${Variables:E3_1_3_5_km} + (E3_1_3_5 * C00001 * C02520))</v>
      </c>
    </row>
    <row r="338" spans="1:11" ht="45" customHeight="1" x14ac:dyDescent="0.25">
      <c r="A338" t="s">
        <v>1618</v>
      </c>
      <c r="B338" t="s">
        <v>1619</v>
      </c>
      <c r="C338" s="5" t="s">
        <v>9392</v>
      </c>
      <c r="D338">
        <f t="shared" si="20"/>
        <v>337</v>
      </c>
      <c r="E338" t="str">
        <f t="shared" si="21"/>
        <v>E3_1_3_5</v>
      </c>
      <c r="F338" s="11" t="s">
        <v>13949</v>
      </c>
      <c r="G338" s="11" t="s">
        <v>14552</v>
      </c>
      <c r="H338" s="11" t="s">
        <v>14092</v>
      </c>
      <c r="I338" s="11" t="s">
        <v>14695</v>
      </c>
      <c r="J338" s="12" t="str">
        <f t="shared" si="22"/>
        <v>(${Variables:E3_1_3_5_kcat} * E3_1_3_5 * C00001 * C00020)/(${Variables:E3_1_3_5_km} + (E3_1_3_5 * C00001 * C00020))</v>
      </c>
      <c r="K338" s="11" t="str">
        <f t="shared" si="23"/>
        <v>r337: C00001 + C00020 -&gt; C00009 + C00212 | (${Variables:E3_1_3_5_kcat} * E3_1_3_5 * C00001 * C00020)/(${Variables:E3_1_3_5_km} + (E3_1_3_5 * C00001 * C00020))</v>
      </c>
    </row>
    <row r="339" spans="1:11" ht="45" customHeight="1" x14ac:dyDescent="0.25">
      <c r="A339" t="s">
        <v>1618</v>
      </c>
      <c r="B339" t="s">
        <v>1619</v>
      </c>
      <c r="C339" s="5" t="s">
        <v>9392</v>
      </c>
      <c r="D339">
        <f t="shared" si="20"/>
        <v>338</v>
      </c>
      <c r="E339" t="str">
        <f t="shared" si="21"/>
        <v>E3_1_3_5</v>
      </c>
      <c r="F339" s="11" t="s">
        <v>13950</v>
      </c>
      <c r="G339" s="11" t="s">
        <v>14553</v>
      </c>
      <c r="H339" s="11" t="s">
        <v>14013</v>
      </c>
      <c r="I339" s="11" t="s">
        <v>14616</v>
      </c>
      <c r="J339" s="12" t="str">
        <f t="shared" si="22"/>
        <v>(${Variables:E3_1_3_5_kcat} * E3_1_3_5 * C00001 * C00055)/(${Variables:E3_1_3_5_km} + (E3_1_3_5 * C00001 * C00055))</v>
      </c>
      <c r="K339" s="11" t="str">
        <f t="shared" si="23"/>
        <v>r338: C00001 + C00055 -&gt; C00009 + C00475 | (${Variables:E3_1_3_5_kcat} * E3_1_3_5 * C00001 * C00055)/(${Variables:E3_1_3_5_km} + (E3_1_3_5 * C00001 * C00055))</v>
      </c>
    </row>
    <row r="340" spans="1:11" ht="45" customHeight="1" x14ac:dyDescent="0.25">
      <c r="A340" t="s">
        <v>1618</v>
      </c>
      <c r="B340" t="s">
        <v>1619</v>
      </c>
      <c r="C340" s="5" t="s">
        <v>9392</v>
      </c>
      <c r="D340">
        <f t="shared" si="20"/>
        <v>339</v>
      </c>
      <c r="E340" t="str">
        <f t="shared" si="21"/>
        <v>E3_1_3_5</v>
      </c>
      <c r="F340" s="11" t="s">
        <v>13951</v>
      </c>
      <c r="G340" s="11" t="s">
        <v>14554</v>
      </c>
      <c r="H340" s="11" t="s">
        <v>14012</v>
      </c>
      <c r="I340" s="11" t="s">
        <v>14615</v>
      </c>
      <c r="J340" s="12" t="str">
        <f t="shared" si="22"/>
        <v>(${Variables:E3_1_3_5_kcat} * E3_1_3_5 * C00001 * C00105)/(${Variables:E3_1_3_5_km} + (E3_1_3_5 * C00001 * C00105))</v>
      </c>
      <c r="K340" s="11" t="str">
        <f t="shared" si="23"/>
        <v>r339: C00001 + C00105 -&gt; C00009 + C00299 | (${Variables:E3_1_3_5_kcat} * E3_1_3_5 * C00001 * C00105)/(${Variables:E3_1_3_5_km} + (E3_1_3_5 * C00001 * C00105))</v>
      </c>
    </row>
    <row r="341" spans="1:11" ht="45" customHeight="1" x14ac:dyDescent="0.25">
      <c r="A341" t="s">
        <v>1618</v>
      </c>
      <c r="B341" t="s">
        <v>1619</v>
      </c>
      <c r="C341" s="5" t="s">
        <v>9392</v>
      </c>
      <c r="D341">
        <f t="shared" si="20"/>
        <v>340</v>
      </c>
      <c r="E341" t="str">
        <f t="shared" si="21"/>
        <v>E3_1_3_5</v>
      </c>
      <c r="F341" s="11" t="s">
        <v>13952</v>
      </c>
      <c r="G341" s="11" t="s">
        <v>14555</v>
      </c>
      <c r="H341" s="11" t="s">
        <v>14093</v>
      </c>
      <c r="I341" s="11" t="s">
        <v>14696</v>
      </c>
      <c r="J341" s="12" t="str">
        <f t="shared" si="22"/>
        <v>(${Variables:E3_1_3_5_kcat} * E3_1_3_5 * C00001 * C00130)/(${Variables:E3_1_3_5_km} + (E3_1_3_5 * C00001 * C00130))</v>
      </c>
      <c r="K341" s="11" t="str">
        <f t="shared" si="23"/>
        <v>r340: C00001 + C00130 -&gt; C00009 + C00294 | (${Variables:E3_1_3_5_kcat} * E3_1_3_5 * C00001 * C00130)/(${Variables:E3_1_3_5_km} + (E3_1_3_5 * C00001 * C00130))</v>
      </c>
    </row>
    <row r="342" spans="1:11" ht="45" customHeight="1" x14ac:dyDescent="0.25">
      <c r="A342" t="s">
        <v>1618</v>
      </c>
      <c r="B342" t="s">
        <v>1619</v>
      </c>
      <c r="C342" s="5" t="s">
        <v>9392</v>
      </c>
      <c r="D342">
        <f t="shared" si="20"/>
        <v>341</v>
      </c>
      <c r="E342" t="str">
        <f t="shared" si="21"/>
        <v>E3_1_3_5</v>
      </c>
      <c r="F342" s="11" t="s">
        <v>13953</v>
      </c>
      <c r="G342" s="11" t="s">
        <v>14556</v>
      </c>
      <c r="H342" s="11" t="s">
        <v>14094</v>
      </c>
      <c r="I342" s="11" t="s">
        <v>14697</v>
      </c>
      <c r="J342" s="12" t="str">
        <f t="shared" si="22"/>
        <v>(${Variables:E3_1_3_5_kcat} * E3_1_3_5 * C00001 * C00144)/(${Variables:E3_1_3_5_km} + (E3_1_3_5 * C00001 * C00144))</v>
      </c>
      <c r="K342" s="11" t="str">
        <f t="shared" si="23"/>
        <v>r341: C00001 + C00144 -&gt; C00009 + C00387 | (${Variables:E3_1_3_5_kcat} * E3_1_3_5 * C00001 * C00144)/(${Variables:E3_1_3_5_km} + (E3_1_3_5 * C00001 * C00144))</v>
      </c>
    </row>
    <row r="343" spans="1:11" ht="45" customHeight="1" x14ac:dyDescent="0.25">
      <c r="A343" t="s">
        <v>1618</v>
      </c>
      <c r="B343" t="s">
        <v>1619</v>
      </c>
      <c r="C343" s="5" t="s">
        <v>9392</v>
      </c>
      <c r="D343">
        <f t="shared" si="20"/>
        <v>342</v>
      </c>
      <c r="E343" t="str">
        <f t="shared" si="21"/>
        <v>E3_1_3_5</v>
      </c>
      <c r="F343" s="11" t="s">
        <v>13954</v>
      </c>
      <c r="G343" s="11" t="s">
        <v>14557</v>
      </c>
      <c r="H343" s="11" t="s">
        <v>14100</v>
      </c>
      <c r="I343" s="11" t="s">
        <v>14703</v>
      </c>
      <c r="J343" s="12" t="str">
        <f t="shared" si="22"/>
        <v>(${Variables:E3_1_3_5_kcat} * E3_1_3_5 * C00001 * C00455)/(${Variables:E3_1_3_5_km} + (E3_1_3_5 * C00001 * C00455))</v>
      </c>
      <c r="K343" s="11" t="str">
        <f t="shared" si="23"/>
        <v>r342: C00001 + C00455 -&gt; C00009 + C03150 | (${Variables:E3_1_3_5_kcat} * E3_1_3_5 * C00001 * C00455)/(${Variables:E3_1_3_5_km} + (E3_1_3_5 * C00001 * C00455))</v>
      </c>
    </row>
    <row r="344" spans="1:11" ht="45" customHeight="1" x14ac:dyDescent="0.25">
      <c r="A344" t="s">
        <v>1618</v>
      </c>
      <c r="B344" t="s">
        <v>1619</v>
      </c>
      <c r="C344" s="5" t="s">
        <v>9392</v>
      </c>
      <c r="D344">
        <f t="shared" si="20"/>
        <v>343</v>
      </c>
      <c r="E344" t="str">
        <f t="shared" si="21"/>
        <v>E3_1_3_5</v>
      </c>
      <c r="F344" s="11" t="s">
        <v>13955</v>
      </c>
      <c r="G344" s="11" t="s">
        <v>14558</v>
      </c>
      <c r="H344" s="11" t="s">
        <v>14095</v>
      </c>
      <c r="I344" s="11" t="s">
        <v>14698</v>
      </c>
      <c r="J344" s="12" t="str">
        <f t="shared" si="22"/>
        <v>(${Variables:E3_1_3_5_kcat} * E3_1_3_5 * C00001 * C00655)/(${Variables:E3_1_3_5_km} + (E3_1_3_5 * C00001 * C00655))</v>
      </c>
      <c r="K344" s="11" t="str">
        <f t="shared" si="23"/>
        <v>r343: C00001 + C00655 -&gt; C00009 + C01762 | (${Variables:E3_1_3_5_kcat} * E3_1_3_5 * C00001 * C00655)/(${Variables:E3_1_3_5_km} + (E3_1_3_5 * C00001 * C00655))</v>
      </c>
    </row>
    <row r="345" spans="1:11" ht="45" customHeight="1" x14ac:dyDescent="0.25">
      <c r="A345" t="s">
        <v>1618</v>
      </c>
      <c r="B345" t="s">
        <v>1619</v>
      </c>
      <c r="C345" s="5" t="s">
        <v>9392</v>
      </c>
      <c r="D345">
        <f t="shared" si="20"/>
        <v>344</v>
      </c>
      <c r="E345" t="str">
        <f t="shared" si="21"/>
        <v>E3_1_3_5</v>
      </c>
      <c r="F345" s="11" t="s">
        <v>13956</v>
      </c>
      <c r="G345" s="11" t="s">
        <v>14559</v>
      </c>
      <c r="H345" s="11" t="s">
        <v>14101</v>
      </c>
      <c r="I345" s="11" t="s">
        <v>14704</v>
      </c>
      <c r="J345" s="12" t="str">
        <f t="shared" si="22"/>
        <v>(${Variables:E3_1_3_5_kcat} * E3_1_3_5 * C00001 * C01185)/(${Variables:E3_1_3_5_km} + (E3_1_3_5 * C00001 * C01185))</v>
      </c>
      <c r="K345" s="11" t="str">
        <f t="shared" si="23"/>
        <v>r344: C00001 + C01185 -&gt; C00009 + C05841 | (${Variables:E3_1_3_5_kcat} * E3_1_3_5 * C00001 * C01185)/(${Variables:E3_1_3_5_km} + (E3_1_3_5 * C00001 * C01185))</v>
      </c>
    </row>
    <row r="346" spans="1:11" ht="45" customHeight="1" x14ac:dyDescent="0.25">
      <c r="A346" t="s">
        <v>1618</v>
      </c>
      <c r="B346" t="s">
        <v>1619</v>
      </c>
      <c r="C346" s="5" t="s">
        <v>9392</v>
      </c>
      <c r="D346">
        <f t="shared" si="20"/>
        <v>345</v>
      </c>
      <c r="E346" t="str">
        <f t="shared" si="21"/>
        <v>E3_1_3_5</v>
      </c>
      <c r="F346" s="11" t="s">
        <v>13957</v>
      </c>
      <c r="G346" s="11" t="s">
        <v>14560</v>
      </c>
      <c r="H346" s="11" t="s">
        <v>14011</v>
      </c>
      <c r="I346" s="11" t="s">
        <v>14614</v>
      </c>
      <c r="J346" s="12" t="str">
        <f t="shared" si="22"/>
        <v>(${Variables:E3_1_3_5_kcat} * E3_1_3_5 * C00001 * C00364)/(${Variables:E3_1_3_5_km} + (E3_1_3_5 * C00001 * C00364))</v>
      </c>
      <c r="K346" s="11" t="str">
        <f t="shared" si="23"/>
        <v>r345: C00001 + C00364 -&gt; C00009 + C00214 | (${Variables:E3_1_3_5_kcat} * E3_1_3_5 * C00001 * C00364)/(${Variables:E3_1_3_5_km} + (E3_1_3_5 * C00001 * C00364))</v>
      </c>
    </row>
    <row r="347" spans="1:11" ht="45" customHeight="1" x14ac:dyDescent="0.25">
      <c r="A347" t="s">
        <v>1618</v>
      </c>
      <c r="B347" t="s">
        <v>1619</v>
      </c>
      <c r="C347" s="5" t="s">
        <v>9392</v>
      </c>
      <c r="D347">
        <f t="shared" si="20"/>
        <v>346</v>
      </c>
      <c r="E347" t="str">
        <f t="shared" si="21"/>
        <v>E3_1_3_5</v>
      </c>
      <c r="F347" s="11" t="s">
        <v>13958</v>
      </c>
      <c r="G347" s="11" t="s">
        <v>14561</v>
      </c>
      <c r="H347" s="11" t="s">
        <v>15152</v>
      </c>
      <c r="I347" s="11" t="s">
        <v>15773</v>
      </c>
      <c r="J347" s="12" t="str">
        <f t="shared" si="22"/>
        <v>(${Variables:E3_1_3_5_kcat} * E3_1_3_5 * C00001 * C00239)/(${Variables:E3_1_3_5_km} + (E3_1_3_5 * C00001 * C00239))</v>
      </c>
      <c r="K347" s="11" t="str">
        <f t="shared" si="23"/>
        <v>r346: C00001 + C00239 -&gt; C00009 + C00881 | (${Variables:E3_1_3_5_kcat} * E3_1_3_5 * C00001 * C00239)/(${Variables:E3_1_3_5_km} + (E3_1_3_5 * C00001 * C00239))</v>
      </c>
    </row>
    <row r="348" spans="1:11" ht="45" customHeight="1" x14ac:dyDescent="0.25">
      <c r="A348" t="s">
        <v>1618</v>
      </c>
      <c r="B348" t="s">
        <v>1619</v>
      </c>
      <c r="C348" s="5" t="s">
        <v>9392</v>
      </c>
      <c r="D348">
        <f t="shared" si="20"/>
        <v>347</v>
      </c>
      <c r="E348" t="str">
        <f t="shared" si="21"/>
        <v>E3_1_3_5</v>
      </c>
      <c r="F348" s="11" t="s">
        <v>13959</v>
      </c>
      <c r="G348" s="11" t="s">
        <v>14562</v>
      </c>
      <c r="H348" s="11" t="s">
        <v>14097</v>
      </c>
      <c r="I348" s="11" t="s">
        <v>14700</v>
      </c>
      <c r="J348" s="12" t="str">
        <f t="shared" si="22"/>
        <v>(${Variables:E3_1_3_5_kcat} * E3_1_3_5 * C00001 * C00362)/(${Variables:E3_1_3_5_km} + (E3_1_3_5 * C00001 * C00362))</v>
      </c>
      <c r="K348" s="11" t="str">
        <f t="shared" si="23"/>
        <v>r347: C00001 + C00362 -&gt; C00009 + C00330 | (${Variables:E3_1_3_5_kcat} * E3_1_3_5 * C00001 * C00362)/(${Variables:E3_1_3_5_km} + (E3_1_3_5 * C00001 * C00362))</v>
      </c>
    </row>
    <row r="349" spans="1:11" ht="45" customHeight="1" x14ac:dyDescent="0.25">
      <c r="A349" t="s">
        <v>1618</v>
      </c>
      <c r="B349" t="s">
        <v>1619</v>
      </c>
      <c r="C349" s="5" t="s">
        <v>9392</v>
      </c>
      <c r="D349">
        <f t="shared" si="20"/>
        <v>348</v>
      </c>
      <c r="E349" t="str">
        <f t="shared" si="21"/>
        <v>E3_1_3_5</v>
      </c>
      <c r="F349" s="11" t="s">
        <v>13960</v>
      </c>
      <c r="G349" s="11" t="s">
        <v>14563</v>
      </c>
      <c r="H349" s="11" t="s">
        <v>14098</v>
      </c>
      <c r="I349" s="11" t="s">
        <v>14701</v>
      </c>
      <c r="J349" s="12" t="str">
        <f t="shared" si="22"/>
        <v>(${Variables:E3_1_3_5_kcat} * E3_1_3_5 * C00001 * C00360)/(${Variables:E3_1_3_5_km} + (E3_1_3_5 * C00001 * C00360))</v>
      </c>
      <c r="K349" s="11" t="str">
        <f t="shared" si="23"/>
        <v>r348: C00001 + C00360 -&gt; C00009 + C00559 | (${Variables:E3_1_3_5_kcat} * E3_1_3_5 * C00001 * C00360)/(${Variables:E3_1_3_5_km} + (E3_1_3_5 * C00001 * C00360))</v>
      </c>
    </row>
    <row r="350" spans="1:11" ht="45" customHeight="1" x14ac:dyDescent="0.25">
      <c r="A350" t="s">
        <v>1618</v>
      </c>
      <c r="B350" t="s">
        <v>1619</v>
      </c>
      <c r="C350" s="5" t="s">
        <v>9392</v>
      </c>
      <c r="D350">
        <f t="shared" si="20"/>
        <v>349</v>
      </c>
      <c r="E350" t="str">
        <f t="shared" si="21"/>
        <v>E3_1_3_5</v>
      </c>
      <c r="F350" s="11" t="s">
        <v>13961</v>
      </c>
      <c r="G350" s="11" t="s">
        <v>14564</v>
      </c>
      <c r="H350" s="11" t="s">
        <v>14014</v>
      </c>
      <c r="I350" s="11" t="s">
        <v>14617</v>
      </c>
      <c r="J350" s="12" t="str">
        <f t="shared" si="22"/>
        <v>(${Variables:E3_1_3_5_kcat} * E3_1_3_5 * C00001 * C00365)/(${Variables:E3_1_3_5_km} + (E3_1_3_5 * C00001 * C00365))</v>
      </c>
      <c r="K350" s="11" t="str">
        <f t="shared" si="23"/>
        <v>r349: C00001 + C00365 -&gt; C00009 + C00526 | (${Variables:E3_1_3_5_kcat} * E3_1_3_5 * C00001 * C00365)/(${Variables:E3_1_3_5_km} + (E3_1_3_5 * C00001 * C00365))</v>
      </c>
    </row>
    <row r="351" spans="1:11" ht="45" customHeight="1" x14ac:dyDescent="0.25">
      <c r="A351" t="s">
        <v>1618</v>
      </c>
      <c r="B351" t="s">
        <v>1619</v>
      </c>
      <c r="C351" s="5" t="s">
        <v>9392</v>
      </c>
      <c r="D351">
        <f t="shared" si="20"/>
        <v>350</v>
      </c>
      <c r="E351" t="str">
        <f t="shared" si="21"/>
        <v>E3_1_3_5</v>
      </c>
      <c r="F351" s="11" t="s">
        <v>13962</v>
      </c>
      <c r="G351" s="11" t="s">
        <v>14565</v>
      </c>
      <c r="H351" s="11" t="s">
        <v>14099</v>
      </c>
      <c r="I351" s="11" t="s">
        <v>14702</v>
      </c>
      <c r="J351" s="12" t="str">
        <f t="shared" si="22"/>
        <v>(${Variables:E3_1_3_5_kcat} * E3_1_3_5 * C00001 * C06196)/(${Variables:E3_1_3_5_km} + (E3_1_3_5 * C00001 * C06196))</v>
      </c>
      <c r="K351" s="11" t="str">
        <f t="shared" si="23"/>
        <v>r350: C00001 + C06196 -&gt; C00009 + C05512 | (${Variables:E3_1_3_5_kcat} * E3_1_3_5 * C00001 * C06196)/(${Variables:E3_1_3_5_km} + (E3_1_3_5 * C00001 * C06196))</v>
      </c>
    </row>
    <row r="352" spans="1:11" ht="45" customHeight="1" x14ac:dyDescent="0.25">
      <c r="A352" t="s">
        <v>1634</v>
      </c>
      <c r="B352" t="s">
        <v>1635</v>
      </c>
      <c r="C352" s="5" t="s">
        <v>9499</v>
      </c>
      <c r="D352">
        <f t="shared" si="20"/>
        <v>351</v>
      </c>
      <c r="E352" t="str">
        <f t="shared" si="21"/>
        <v>E3_5_1_10</v>
      </c>
      <c r="F352" s="11" t="s">
        <v>14085</v>
      </c>
      <c r="G352" s="11" t="s">
        <v>14688</v>
      </c>
      <c r="H352" s="11" t="s">
        <v>9056</v>
      </c>
      <c r="I352" s="11" t="s">
        <v>9255</v>
      </c>
      <c r="J352" s="12" t="str">
        <f t="shared" si="22"/>
        <v>(${Variables:E3_5_1_10_kcat} * E3_5_1_10 * C00001 * C00234)/(${Variables:E3_5_1_10_km} + (E3_5_1_10 * C00001 * C00234))</v>
      </c>
      <c r="K352" s="11" t="str">
        <f t="shared" si="23"/>
        <v>r351: C00001 + C00234 -&gt; C00058 + C00101 | (${Variables:E3_5_1_10_kcat} * E3_5_1_10 * C00001 * C00234)/(${Variables:E3_5_1_10_km} + (E3_5_1_10 * C00001 * C00234))</v>
      </c>
    </row>
    <row r="353" spans="1:11" ht="45" customHeight="1" x14ac:dyDescent="0.25">
      <c r="A353" t="s">
        <v>1656</v>
      </c>
      <c r="B353" t="s">
        <v>1657</v>
      </c>
      <c r="C353" s="5" t="s">
        <v>9500</v>
      </c>
      <c r="D353">
        <f t="shared" si="20"/>
        <v>352</v>
      </c>
      <c r="E353" t="str">
        <f t="shared" si="21"/>
        <v>E5_1_3_14</v>
      </c>
      <c r="F353" s="11" t="s">
        <v>8208</v>
      </c>
      <c r="G353" s="11" t="s">
        <v>8208</v>
      </c>
      <c r="H353" s="11" t="s">
        <v>8477</v>
      </c>
      <c r="I353" s="11" t="s">
        <v>8477</v>
      </c>
      <c r="J353" s="12" t="str">
        <f t="shared" si="22"/>
        <v>(${Variables:E5_1_3_14_kcat} * E5_1_3_14 * C00043)/(${Variables:E5_1_3_14_km} + (E5_1_3_14 * C00043))</v>
      </c>
      <c r="K353" s="11" t="str">
        <f t="shared" si="23"/>
        <v>r352: C00043 -&gt; C01170 | (${Variables:E5_1_3_14_kcat} * E5_1_3_14 * C00043)/(${Variables:E5_1_3_14_km} + (E5_1_3_14 * C00043))</v>
      </c>
    </row>
    <row r="354" spans="1:11" ht="45" customHeight="1" x14ac:dyDescent="0.25">
      <c r="A354" t="s">
        <v>1656</v>
      </c>
      <c r="B354" t="s">
        <v>1657</v>
      </c>
      <c r="C354" s="5" t="s">
        <v>9500</v>
      </c>
      <c r="D354">
        <f t="shared" si="20"/>
        <v>353</v>
      </c>
      <c r="E354" t="str">
        <f t="shared" si="21"/>
        <v>E5_1_3_14</v>
      </c>
      <c r="F354" s="11" t="s">
        <v>14086</v>
      </c>
      <c r="G354" s="11" t="s">
        <v>14689</v>
      </c>
      <c r="H354" s="11" t="s">
        <v>14087</v>
      </c>
      <c r="I354" s="11" t="s">
        <v>14690</v>
      </c>
      <c r="J354" s="12" t="str">
        <f t="shared" si="22"/>
        <v>(${Variables:E5_1_3_14_kcat} * E5_1_3_14 * C00001 * C00043)/(${Variables:E5_1_3_14_km} + (E5_1_3_14 * C00001 * C00043))</v>
      </c>
      <c r="K354" s="11" t="str">
        <f t="shared" si="23"/>
        <v>r353: C00001 + C00043 -&gt; C00015 + C00645 | (${Variables:E5_1_3_14_kcat} * E5_1_3_14 * C00001 * C00043)/(${Variables:E5_1_3_14_km} + (E5_1_3_14 * C00001 * C00043))</v>
      </c>
    </row>
    <row r="355" spans="1:11" ht="45" customHeight="1" x14ac:dyDescent="0.25">
      <c r="A355" t="s">
        <v>1656</v>
      </c>
      <c r="B355" t="s">
        <v>1657</v>
      </c>
      <c r="C355" s="5" t="s">
        <v>9500</v>
      </c>
      <c r="D355">
        <f t="shared" si="20"/>
        <v>354</v>
      </c>
      <c r="E355" t="str">
        <f t="shared" si="21"/>
        <v>E5_1_3_14</v>
      </c>
      <c r="F355" s="11" t="s">
        <v>14087</v>
      </c>
      <c r="G355" s="11" t="s">
        <v>14690</v>
      </c>
      <c r="H355" s="11" t="s">
        <v>15297</v>
      </c>
      <c r="I355" s="11" t="s">
        <v>15918</v>
      </c>
      <c r="J355" s="12" t="str">
        <f t="shared" si="22"/>
        <v>(${Variables:E5_1_3_14_kcat} * E5_1_3_14 * C00015 * C00645)/(${Variables:E5_1_3_14_km} + (E5_1_3_14 * C00015 * C00645))</v>
      </c>
      <c r="K355" s="11" t="str">
        <f t="shared" si="23"/>
        <v>r354: C00015 + C00645 -&gt; C00001 + C01170 | (${Variables:E5_1_3_14_kcat} * E5_1_3_14 * C00015 * C00645)/(${Variables:E5_1_3_14_km} + (E5_1_3_14 * C00015 * C00645))</v>
      </c>
    </row>
    <row r="356" spans="1:11" ht="45" customHeight="1" x14ac:dyDescent="0.25">
      <c r="A356" t="s">
        <v>1664</v>
      </c>
      <c r="B356" t="s">
        <v>1665</v>
      </c>
      <c r="C356" s="5" t="s">
        <v>9501</v>
      </c>
      <c r="D356">
        <f t="shared" si="20"/>
        <v>355</v>
      </c>
      <c r="E356" t="str">
        <f t="shared" si="21"/>
        <v>E2_4_2_9</v>
      </c>
      <c r="F356" s="11" t="s">
        <v>14088</v>
      </c>
      <c r="G356" s="11" t="s">
        <v>14691</v>
      </c>
      <c r="H356" s="11" t="s">
        <v>9057</v>
      </c>
      <c r="I356" s="11" t="s">
        <v>9256</v>
      </c>
      <c r="J356" s="12" t="str">
        <f t="shared" si="22"/>
        <v>(${Variables:E2_4_2_9_kcat} * E2_4_2_9 * C00013 * C00105)/(${Variables:E2_4_2_9_km} + (E2_4_2_9 * C00013 * C00105))</v>
      </c>
      <c r="K356" s="11" t="str">
        <f t="shared" si="23"/>
        <v>r355: C00013 + C00105 -&gt; C00106 + C00119 | (${Variables:E2_4_2_9_kcat} * E2_4_2_9 * C00013 * C00105)/(${Variables:E2_4_2_9_km} + (E2_4_2_9 * C00013 * C00105))</v>
      </c>
    </row>
    <row r="357" spans="1:11" ht="45" customHeight="1" x14ac:dyDescent="0.25">
      <c r="A357" t="s">
        <v>1677</v>
      </c>
      <c r="B357" t="s">
        <v>1678</v>
      </c>
      <c r="C357" s="5" t="s">
        <v>9502</v>
      </c>
      <c r="D357">
        <f t="shared" si="20"/>
        <v>356</v>
      </c>
      <c r="E357" t="str">
        <f t="shared" si="21"/>
        <v>E2_3_3_9</v>
      </c>
      <c r="F357" s="11" t="s">
        <v>14089</v>
      </c>
      <c r="G357" s="11" t="s">
        <v>14692</v>
      </c>
      <c r="H357" s="11" t="s">
        <v>15298</v>
      </c>
      <c r="I357" s="11" t="s">
        <v>15919</v>
      </c>
      <c r="J357" s="12" t="str">
        <f t="shared" si="22"/>
        <v>(${Variables:E2_3_3_9_kcat} * E2_3_3_9 * C00010 * C00149)/(${Variables:E2_3_3_9_km} + (E2_3_3_9 * C00010 * C00149))</v>
      </c>
      <c r="K357" s="11" t="str">
        <f t="shared" si="23"/>
        <v>r356: C00010 + C00149 -&gt; C00001 + C00024 + C00048 | (${Variables:E2_3_3_9_kcat} * E2_3_3_9 * C00010 * C00149)/(${Variables:E2_3_3_9_km} + (E2_3_3_9 * C00010 * C00149))</v>
      </c>
    </row>
    <row r="358" spans="1:11" ht="45" customHeight="1" x14ac:dyDescent="0.25">
      <c r="A358" t="s">
        <v>1689</v>
      </c>
      <c r="B358" t="s">
        <v>1690</v>
      </c>
      <c r="C358" s="5" t="s">
        <v>9503</v>
      </c>
      <c r="D358">
        <f t="shared" si="20"/>
        <v>357</v>
      </c>
      <c r="E358" t="str">
        <f t="shared" si="21"/>
        <v>E3_1_3_71</v>
      </c>
      <c r="F358" s="11" t="s">
        <v>14090</v>
      </c>
      <c r="G358" s="11" t="s">
        <v>14693</v>
      </c>
      <c r="H358" s="11" t="s">
        <v>15299</v>
      </c>
      <c r="I358" s="11" t="s">
        <v>15920</v>
      </c>
      <c r="J358" s="12" t="str">
        <f t="shared" si="22"/>
        <v>(${Variables:E3_1_3_71_kcat} * E3_1_3_71 * C00001 * C11536)/(${Variables:E3_1_3_71_km} + (E3_1_3_71 * C00001 * C11536))</v>
      </c>
      <c r="K358" s="11" t="str">
        <f t="shared" si="23"/>
        <v>r357: C00001 + C11536 -&gt; C00009 + C11537 | (${Variables:E3_1_3_71_kcat} * E3_1_3_71 * C00001 * C11536)/(${Variables:E3_1_3_71_km} + (E3_1_3_71 * C00001 * C11536))</v>
      </c>
    </row>
    <row r="359" spans="1:11" ht="45" customHeight="1" x14ac:dyDescent="0.25">
      <c r="A359" t="s">
        <v>1698</v>
      </c>
      <c r="B359" t="s">
        <v>1699</v>
      </c>
      <c r="C359" s="5" t="s">
        <v>9504</v>
      </c>
      <c r="D359">
        <f t="shared" si="20"/>
        <v>358</v>
      </c>
      <c r="E359" t="str">
        <f t="shared" si="21"/>
        <v>E2_4_2_1</v>
      </c>
      <c r="F359" s="11" t="s">
        <v>14091</v>
      </c>
      <c r="G359" s="11" t="s">
        <v>14694</v>
      </c>
      <c r="H359" s="11" t="s">
        <v>15300</v>
      </c>
      <c r="I359" s="11" t="s">
        <v>15921</v>
      </c>
      <c r="J359" s="12" t="str">
        <f t="shared" si="22"/>
        <v>(${Variables:E2_4_2_1_kcat} * E2_4_2_1 * C00009 * C15586)/(${Variables:E2_4_2_1_km} + (E2_4_2_1 * C00009 * C15586))</v>
      </c>
      <c r="K359" s="11" t="str">
        <f t="shared" si="23"/>
        <v>r358: C00009 + C15586 -&gt; C00620 + C15587 | (${Variables:E2_4_2_1_kcat} * E2_4_2_1 * C00009 * C15586)/(${Variables:E2_4_2_1_km} + (E2_4_2_1 * C00009 * C15586))</v>
      </c>
    </row>
    <row r="360" spans="1:11" ht="45" customHeight="1" x14ac:dyDescent="0.25">
      <c r="A360" t="s">
        <v>1698</v>
      </c>
      <c r="B360" t="s">
        <v>1699</v>
      </c>
      <c r="C360" s="5" t="s">
        <v>9504</v>
      </c>
      <c r="D360">
        <f t="shared" si="20"/>
        <v>359</v>
      </c>
      <c r="E360" t="str">
        <f t="shared" si="21"/>
        <v>E2_4_2_1</v>
      </c>
      <c r="F360" s="11" t="s">
        <v>14092</v>
      </c>
      <c r="G360" s="11" t="s">
        <v>14695</v>
      </c>
      <c r="H360" s="11" t="s">
        <v>9058</v>
      </c>
      <c r="I360" s="11" t="s">
        <v>9257</v>
      </c>
      <c r="J360" s="12" t="str">
        <f t="shared" si="22"/>
        <v>(${Variables:E2_4_2_1_kcat} * E2_4_2_1 * C00009 * C00212)/(${Variables:E2_4_2_1_km} + (E2_4_2_1 * C00009 * C00212))</v>
      </c>
      <c r="K360" s="11" t="str">
        <f t="shared" si="23"/>
        <v>r359: C00009 + C00212 -&gt; C00147 + C00620 | (${Variables:E2_4_2_1_kcat} * E2_4_2_1 * C00009 * C00212)/(${Variables:E2_4_2_1_km} + (E2_4_2_1 * C00009 * C00212))</v>
      </c>
    </row>
    <row r="361" spans="1:11" ht="45" customHeight="1" x14ac:dyDescent="0.25">
      <c r="A361" t="s">
        <v>1698</v>
      </c>
      <c r="B361" t="s">
        <v>1699</v>
      </c>
      <c r="C361" s="5" t="s">
        <v>9504</v>
      </c>
      <c r="D361">
        <f t="shared" si="20"/>
        <v>360</v>
      </c>
      <c r="E361" t="str">
        <f t="shared" si="21"/>
        <v>E2_4_2_1</v>
      </c>
      <c r="F361" s="11" t="s">
        <v>14093</v>
      </c>
      <c r="G361" s="11" t="s">
        <v>14696</v>
      </c>
      <c r="H361" s="11" t="s">
        <v>9059</v>
      </c>
      <c r="I361" s="11" t="s">
        <v>9258</v>
      </c>
      <c r="J361" s="12" t="str">
        <f t="shared" si="22"/>
        <v>(${Variables:E2_4_2_1_kcat} * E2_4_2_1 * C00009 * C00294)/(${Variables:E2_4_2_1_km} + (E2_4_2_1 * C00009 * C00294))</v>
      </c>
      <c r="K361" s="11" t="str">
        <f t="shared" si="23"/>
        <v>r360: C00009 + C00294 -&gt; C00262 + C00620 | (${Variables:E2_4_2_1_kcat} * E2_4_2_1 * C00009 * C00294)/(${Variables:E2_4_2_1_km} + (E2_4_2_1 * C00009 * C00294))</v>
      </c>
    </row>
    <row r="362" spans="1:11" ht="45" customHeight="1" x14ac:dyDescent="0.25">
      <c r="A362" t="s">
        <v>1698</v>
      </c>
      <c r="B362" t="s">
        <v>1699</v>
      </c>
      <c r="C362" s="5" t="s">
        <v>9504</v>
      </c>
      <c r="D362">
        <f t="shared" si="20"/>
        <v>361</v>
      </c>
      <c r="E362" t="str">
        <f t="shared" si="21"/>
        <v>E2_4_2_1</v>
      </c>
      <c r="F362" s="11" t="s">
        <v>14094</v>
      </c>
      <c r="G362" s="11" t="s">
        <v>14697</v>
      </c>
      <c r="H362" s="11" t="s">
        <v>9060</v>
      </c>
      <c r="I362" s="11" t="s">
        <v>9259</v>
      </c>
      <c r="J362" s="12" t="str">
        <f t="shared" si="22"/>
        <v>(${Variables:E2_4_2_1_kcat} * E2_4_2_1 * C00009 * C00387)/(${Variables:E2_4_2_1_km} + (E2_4_2_1 * C00009 * C00387))</v>
      </c>
      <c r="K362" s="11" t="str">
        <f t="shared" si="23"/>
        <v>r361: C00009 + C00387 -&gt; C00242 + C00620 | (${Variables:E2_4_2_1_kcat} * E2_4_2_1 * C00009 * C00387)/(${Variables:E2_4_2_1_km} + (E2_4_2_1 * C00009 * C00387))</v>
      </c>
    </row>
    <row r="363" spans="1:11" ht="45" customHeight="1" x14ac:dyDescent="0.25">
      <c r="A363" t="s">
        <v>1698</v>
      </c>
      <c r="B363" t="s">
        <v>1699</v>
      </c>
      <c r="C363" s="5" t="s">
        <v>9504</v>
      </c>
      <c r="D363">
        <f t="shared" si="20"/>
        <v>362</v>
      </c>
      <c r="E363" t="str">
        <f t="shared" si="21"/>
        <v>E2_4_2_1</v>
      </c>
      <c r="F363" s="11" t="s">
        <v>14095</v>
      </c>
      <c r="G363" s="11" t="s">
        <v>14698</v>
      </c>
      <c r="H363" s="11" t="s">
        <v>9061</v>
      </c>
      <c r="I363" s="11" t="s">
        <v>9260</v>
      </c>
      <c r="J363" s="12" t="str">
        <f t="shared" si="22"/>
        <v>(${Variables:E2_4_2_1_kcat} * E2_4_2_1 * C00009 * C01762)/(${Variables:E2_4_2_1_km} + (E2_4_2_1 * C00009 * C01762))</v>
      </c>
      <c r="K363" s="11" t="str">
        <f t="shared" si="23"/>
        <v>r362: C00009 + C01762 -&gt; C00385 + C00620 | (${Variables:E2_4_2_1_kcat} * E2_4_2_1 * C00009 * C01762)/(${Variables:E2_4_2_1_km} + (E2_4_2_1 * C00009 * C01762))</v>
      </c>
    </row>
    <row r="364" spans="1:11" ht="45" customHeight="1" x14ac:dyDescent="0.25">
      <c r="A364" t="s">
        <v>1698</v>
      </c>
      <c r="B364" t="s">
        <v>1699</v>
      </c>
      <c r="C364" s="5" t="s">
        <v>9504</v>
      </c>
      <c r="D364">
        <f t="shared" si="20"/>
        <v>363</v>
      </c>
      <c r="E364" t="str">
        <f t="shared" si="21"/>
        <v>E2_4_2_1</v>
      </c>
      <c r="F364" s="11" t="s">
        <v>14096</v>
      </c>
      <c r="G364" s="11" t="s">
        <v>14699</v>
      </c>
      <c r="H364" s="11" t="s">
        <v>15301</v>
      </c>
      <c r="I364" s="11" t="s">
        <v>15922</v>
      </c>
      <c r="J364" s="12" t="str">
        <f t="shared" si="22"/>
        <v>(${Variables:E2_4_2_1_kcat} * E2_4_2_1 * C00009 * C20463)/(${Variables:E2_4_2_1_km} + (E2_4_2_1 * C00009 * C20463))</v>
      </c>
      <c r="K364" s="11" t="str">
        <f t="shared" si="23"/>
        <v>r363: C00009 + C20463 -&gt; C00672 + C15587 | (${Variables:E2_4_2_1_kcat} * E2_4_2_1 * C00009 * C20463)/(${Variables:E2_4_2_1_km} + (E2_4_2_1 * C00009 * C20463))</v>
      </c>
    </row>
    <row r="365" spans="1:11" ht="45" customHeight="1" x14ac:dyDescent="0.25">
      <c r="A365" t="s">
        <v>1698</v>
      </c>
      <c r="B365" t="s">
        <v>1699</v>
      </c>
      <c r="C365" s="5" t="s">
        <v>9504</v>
      </c>
      <c r="D365">
        <f t="shared" si="20"/>
        <v>364</v>
      </c>
      <c r="E365" t="str">
        <f t="shared" si="21"/>
        <v>E2_4_2_1</v>
      </c>
      <c r="F365" s="11" t="s">
        <v>14097</v>
      </c>
      <c r="G365" s="11" t="s">
        <v>14700</v>
      </c>
      <c r="H365" s="11" t="s">
        <v>9062</v>
      </c>
      <c r="I365" s="11" t="s">
        <v>9261</v>
      </c>
      <c r="J365" s="12" t="str">
        <f t="shared" si="22"/>
        <v>(${Variables:E2_4_2_1_kcat} * E2_4_2_1 * C00009 * C00330)/(${Variables:E2_4_2_1_km} + (E2_4_2_1 * C00009 * C00330))</v>
      </c>
      <c r="K365" s="11" t="str">
        <f t="shared" si="23"/>
        <v>r364: C00009 + C00330 -&gt; C00242 + C00672 | (${Variables:E2_4_2_1_kcat} * E2_4_2_1 * C00009 * C00330)/(${Variables:E2_4_2_1_km} + (E2_4_2_1 * C00009 * C00330))</v>
      </c>
    </row>
    <row r="366" spans="1:11" ht="45" customHeight="1" x14ac:dyDescent="0.25">
      <c r="A366" t="s">
        <v>1698</v>
      </c>
      <c r="B366" t="s">
        <v>1699</v>
      </c>
      <c r="C366" s="5" t="s">
        <v>9504</v>
      </c>
      <c r="D366">
        <f t="shared" si="20"/>
        <v>365</v>
      </c>
      <c r="E366" t="str">
        <f t="shared" si="21"/>
        <v>E2_4_2_1</v>
      </c>
      <c r="F366" s="11" t="s">
        <v>14098</v>
      </c>
      <c r="G366" s="11" t="s">
        <v>14701</v>
      </c>
      <c r="H366" s="11" t="s">
        <v>9063</v>
      </c>
      <c r="I366" s="11" t="s">
        <v>9262</v>
      </c>
      <c r="J366" s="12" t="str">
        <f t="shared" si="22"/>
        <v>(${Variables:E2_4_2_1_kcat} * E2_4_2_1 * C00009 * C00559)/(${Variables:E2_4_2_1_km} + (E2_4_2_1 * C00009 * C00559))</v>
      </c>
      <c r="K366" s="11" t="str">
        <f t="shared" si="23"/>
        <v>r365: C00009 + C00559 -&gt; C00147 + C00672 | (${Variables:E2_4_2_1_kcat} * E2_4_2_1 * C00009 * C00559)/(${Variables:E2_4_2_1_km} + (E2_4_2_1 * C00009 * C00559))</v>
      </c>
    </row>
    <row r="367" spans="1:11" ht="45" customHeight="1" x14ac:dyDescent="0.25">
      <c r="A367" t="s">
        <v>1698</v>
      </c>
      <c r="B367" t="s">
        <v>1699</v>
      </c>
      <c r="C367" s="5" t="s">
        <v>9504</v>
      </c>
      <c r="D367">
        <f t="shared" si="20"/>
        <v>366</v>
      </c>
      <c r="E367" t="str">
        <f t="shared" si="21"/>
        <v>E2_4_2_1</v>
      </c>
      <c r="F367" s="11" t="s">
        <v>14099</v>
      </c>
      <c r="G367" s="11" t="s">
        <v>14702</v>
      </c>
      <c r="H367" s="11" t="s">
        <v>9064</v>
      </c>
      <c r="I367" s="11" t="s">
        <v>9263</v>
      </c>
      <c r="J367" s="12" t="str">
        <f t="shared" si="22"/>
        <v>(${Variables:E2_4_2_1_kcat} * E2_4_2_1 * C00009 * C05512)/(${Variables:E2_4_2_1_km} + (E2_4_2_1 * C00009 * C05512))</v>
      </c>
      <c r="K367" s="11" t="str">
        <f t="shared" si="23"/>
        <v>r366: C00009 + C05512 -&gt; C00262 + C00672 | (${Variables:E2_4_2_1_kcat} * E2_4_2_1 * C00009 * C05512)/(${Variables:E2_4_2_1_km} + (E2_4_2_1 * C00009 * C05512))</v>
      </c>
    </row>
    <row r="368" spans="1:11" ht="45" customHeight="1" x14ac:dyDescent="0.25">
      <c r="A368" t="s">
        <v>1698</v>
      </c>
      <c r="B368" t="s">
        <v>1699</v>
      </c>
      <c r="C368" s="5" t="s">
        <v>9504</v>
      </c>
      <c r="D368">
        <f t="shared" si="20"/>
        <v>367</v>
      </c>
      <c r="E368" t="str">
        <f t="shared" si="21"/>
        <v>E2_4_2_1</v>
      </c>
      <c r="F368" s="11" t="s">
        <v>14100</v>
      </c>
      <c r="G368" s="11" t="s">
        <v>14703</v>
      </c>
      <c r="H368" s="11" t="s">
        <v>9065</v>
      </c>
      <c r="I368" s="11" t="s">
        <v>9264</v>
      </c>
      <c r="J368" s="12" t="str">
        <f t="shared" si="22"/>
        <v>(${Variables:E2_4_2_1_kcat} * E2_4_2_1 * C00009 * C03150)/(${Variables:E2_4_2_1_km} + (E2_4_2_1 * C00009 * C03150))</v>
      </c>
      <c r="K368" s="11" t="str">
        <f t="shared" si="23"/>
        <v>r367: C00009 + C03150 -&gt; C00153 + C00620 | (${Variables:E2_4_2_1_kcat} * E2_4_2_1 * C00009 * C03150)/(${Variables:E2_4_2_1_km} + (E2_4_2_1 * C00009 * C03150))</v>
      </c>
    </row>
    <row r="369" spans="1:11" ht="45" customHeight="1" x14ac:dyDescent="0.25">
      <c r="A369" t="s">
        <v>1698</v>
      </c>
      <c r="B369" t="s">
        <v>1699</v>
      </c>
      <c r="C369" s="5" t="s">
        <v>9504</v>
      </c>
      <c r="D369">
        <f t="shared" si="20"/>
        <v>368</v>
      </c>
      <c r="E369" t="str">
        <f t="shared" si="21"/>
        <v>E2_4_2_1</v>
      </c>
      <c r="F369" s="11" t="s">
        <v>14101</v>
      </c>
      <c r="G369" s="11" t="s">
        <v>14704</v>
      </c>
      <c r="H369" s="11" t="s">
        <v>15302</v>
      </c>
      <c r="I369" s="11" t="s">
        <v>15923</v>
      </c>
      <c r="J369" s="12" t="str">
        <f t="shared" si="22"/>
        <v>(${Variables:E2_4_2_1_kcat} * E2_4_2_1 * C00009 * C05841)/(${Variables:E2_4_2_1_km} + (E2_4_2_1 * C00009 * C05841))</v>
      </c>
      <c r="K369" s="11" t="str">
        <f t="shared" si="23"/>
        <v>r368: C00009 + C05841 -&gt; C00080 + C00253 + C00620 | (${Variables:E2_4_2_1_kcat} * E2_4_2_1 * C00009 * C05841)/(${Variables:E2_4_2_1_km} + (E2_4_2_1 * C00009 * C05841))</v>
      </c>
    </row>
    <row r="370" spans="1:11" ht="45" customHeight="1" x14ac:dyDescent="0.25">
      <c r="A370" t="s">
        <v>1700</v>
      </c>
      <c r="B370" t="s">
        <v>1701</v>
      </c>
      <c r="C370" s="5" t="s">
        <v>9418</v>
      </c>
      <c r="D370">
        <f t="shared" si="20"/>
        <v>369</v>
      </c>
      <c r="E370" t="str">
        <f t="shared" si="21"/>
        <v>E4_2_1_17</v>
      </c>
      <c r="F370" s="11" t="s">
        <v>8116</v>
      </c>
      <c r="G370" s="11" t="s">
        <v>8116</v>
      </c>
      <c r="H370" s="11" t="s">
        <v>15193</v>
      </c>
      <c r="I370" s="11" t="s">
        <v>15814</v>
      </c>
      <c r="J370" s="12" t="str">
        <f t="shared" si="22"/>
        <v>(${Variables:E4_2_1_17_kcat} * E4_2_1_17 * C00640)/(${Variables:E4_2_1_17_km} + (E4_2_1_17 * C00640))</v>
      </c>
      <c r="K370" s="11" t="str">
        <f t="shared" si="23"/>
        <v>r369: C00640 -&gt; C00001 + C00658 | (${Variables:E4_2_1_17_kcat} * E4_2_1_17 * C00640)/(${Variables:E4_2_1_17_km} + (E4_2_1_17 * C00640))</v>
      </c>
    </row>
    <row r="371" spans="1:11" ht="45" customHeight="1" x14ac:dyDescent="0.25">
      <c r="A371" t="s">
        <v>1700</v>
      </c>
      <c r="B371" t="s">
        <v>1701</v>
      </c>
      <c r="C371" s="5" t="s">
        <v>9418</v>
      </c>
      <c r="D371">
        <f t="shared" si="20"/>
        <v>370</v>
      </c>
      <c r="E371" t="str">
        <f t="shared" si="21"/>
        <v>E4_2_1_17</v>
      </c>
      <c r="F371" s="11" t="s">
        <v>8117</v>
      </c>
      <c r="G371" s="11" t="s">
        <v>8117</v>
      </c>
      <c r="H371" s="11" t="s">
        <v>13999</v>
      </c>
      <c r="I371" s="11" t="s">
        <v>14602</v>
      </c>
      <c r="J371" s="12" t="str">
        <f t="shared" si="22"/>
        <v>(${Variables:E4_2_1_17_kcat} * E4_2_1_17 * C01144)/(${Variables:E4_2_1_17_km} + (E4_2_1_17 * C01144))</v>
      </c>
      <c r="K371" s="11" t="str">
        <f t="shared" si="23"/>
        <v>r370: C01144 -&gt; C00001 + C00877 | (${Variables:E4_2_1_17_kcat} * E4_2_1_17 * C01144)/(${Variables:E4_2_1_17_km} + (E4_2_1_17 * C01144))</v>
      </c>
    </row>
    <row r="372" spans="1:11" ht="45" customHeight="1" x14ac:dyDescent="0.25">
      <c r="A372" t="s">
        <v>1700</v>
      </c>
      <c r="B372" t="s">
        <v>1701</v>
      </c>
      <c r="C372" s="5" t="s">
        <v>9418</v>
      </c>
      <c r="D372">
        <f t="shared" si="20"/>
        <v>371</v>
      </c>
      <c r="E372" t="str">
        <f t="shared" si="21"/>
        <v>E4_2_1_17</v>
      </c>
      <c r="F372" s="11" t="s">
        <v>8118</v>
      </c>
      <c r="G372" s="11" t="s">
        <v>8118</v>
      </c>
      <c r="H372" s="11" t="s">
        <v>15194</v>
      </c>
      <c r="I372" s="11" t="s">
        <v>15815</v>
      </c>
      <c r="J372" s="12" t="str">
        <f t="shared" si="22"/>
        <v>(${Variables:E4_2_1_17_kcat} * E4_2_1_17 * C05668)/(${Variables:E4_2_1_17_km} + (E4_2_1_17 * C05668))</v>
      </c>
      <c r="K372" s="11" t="str">
        <f t="shared" si="23"/>
        <v>r371: C05668 -&gt; C00001 + C00894 | (${Variables:E4_2_1_17_kcat} * E4_2_1_17 * C05668)/(${Variables:E4_2_1_17_km} + (E4_2_1_17 * C05668))</v>
      </c>
    </row>
    <row r="373" spans="1:11" ht="45" customHeight="1" x14ac:dyDescent="0.25">
      <c r="A373" t="s">
        <v>1700</v>
      </c>
      <c r="B373" t="s">
        <v>1701</v>
      </c>
      <c r="C373" s="5" t="s">
        <v>9418</v>
      </c>
      <c r="D373">
        <f t="shared" si="20"/>
        <v>372</v>
      </c>
      <c r="E373" t="str">
        <f t="shared" si="21"/>
        <v>E4_2_1_17</v>
      </c>
      <c r="F373" s="11" t="s">
        <v>8119</v>
      </c>
      <c r="G373" s="11" t="s">
        <v>8119</v>
      </c>
      <c r="H373" s="11" t="s">
        <v>15195</v>
      </c>
      <c r="I373" s="11" t="s">
        <v>15816</v>
      </c>
      <c r="J373" s="12" t="str">
        <f t="shared" si="22"/>
        <v>(${Variables:E4_2_1_17_kcat} * E4_2_1_17 * C05262)/(${Variables:E4_2_1_17_km} + (E4_2_1_17 * C05262))</v>
      </c>
      <c r="K373" s="11" t="str">
        <f t="shared" si="23"/>
        <v>r372: C05262 -&gt; C00001 + C03221 | (${Variables:E4_2_1_17_kcat} * E4_2_1_17 * C05262)/(${Variables:E4_2_1_17_km} + (E4_2_1_17 * C05262))</v>
      </c>
    </row>
    <row r="374" spans="1:11" ht="45" customHeight="1" x14ac:dyDescent="0.25">
      <c r="A374" t="s">
        <v>1700</v>
      </c>
      <c r="B374" t="s">
        <v>1701</v>
      </c>
      <c r="C374" s="5" t="s">
        <v>9418</v>
      </c>
      <c r="D374">
        <f t="shared" si="20"/>
        <v>373</v>
      </c>
      <c r="E374" t="str">
        <f t="shared" si="21"/>
        <v>E4_2_1_17</v>
      </c>
      <c r="F374" s="11" t="s">
        <v>8120</v>
      </c>
      <c r="G374" s="11" t="s">
        <v>8120</v>
      </c>
      <c r="H374" s="11" t="s">
        <v>15196</v>
      </c>
      <c r="I374" s="11" t="s">
        <v>15817</v>
      </c>
      <c r="J374" s="12" t="str">
        <f t="shared" si="22"/>
        <v>(${Variables:E4_2_1_17_kcat} * E4_2_1_17 * C04405)/(${Variables:E4_2_1_17_km} + (E4_2_1_17 * C04405))</v>
      </c>
      <c r="K374" s="11" t="str">
        <f t="shared" si="23"/>
        <v>r373: C04405 -&gt; C00001 + C03345 | (${Variables:E4_2_1_17_kcat} * E4_2_1_17 * C04405)/(${Variables:E4_2_1_17_km} + (E4_2_1_17 * C04405))</v>
      </c>
    </row>
    <row r="375" spans="1:11" ht="45" customHeight="1" x14ac:dyDescent="0.25">
      <c r="A375" t="s">
        <v>1700</v>
      </c>
      <c r="B375" t="s">
        <v>1701</v>
      </c>
      <c r="C375" s="5" t="s">
        <v>9418</v>
      </c>
      <c r="D375">
        <f t="shared" si="20"/>
        <v>374</v>
      </c>
      <c r="E375" t="str">
        <f t="shared" si="21"/>
        <v>E4_2_1_17</v>
      </c>
      <c r="F375" s="11" t="s">
        <v>13998</v>
      </c>
      <c r="G375" s="11" t="s">
        <v>14601</v>
      </c>
      <c r="H375" s="11" t="s">
        <v>8410</v>
      </c>
      <c r="I375" s="11" t="s">
        <v>8410</v>
      </c>
      <c r="J375" s="12" t="str">
        <f t="shared" si="22"/>
        <v>(${Variables:E4_2_1_17_kcat} * E4_2_1_17 * C00001 * C03460)/(${Variables:E4_2_1_17_km} + (E4_2_1_17 * C00001 * C03460))</v>
      </c>
      <c r="K375" s="11" t="str">
        <f t="shared" si="23"/>
        <v>r374: C00001 + C03460 -&gt; C06000 | (${Variables:E4_2_1_17_kcat} * E4_2_1_17 * C00001 * C03460)/(${Variables:E4_2_1_17_km} + (E4_2_1_17 * C00001 * C03460))</v>
      </c>
    </row>
    <row r="376" spans="1:11" ht="45" customHeight="1" x14ac:dyDescent="0.25">
      <c r="A376" t="s">
        <v>1700</v>
      </c>
      <c r="B376" t="s">
        <v>1701</v>
      </c>
      <c r="C376" s="5" t="s">
        <v>9418</v>
      </c>
      <c r="D376">
        <f t="shared" si="20"/>
        <v>375</v>
      </c>
      <c r="E376" t="str">
        <f t="shared" si="21"/>
        <v>E4_2_1_17</v>
      </c>
      <c r="F376" s="11" t="s">
        <v>8121</v>
      </c>
      <c r="G376" s="11" t="s">
        <v>8121</v>
      </c>
      <c r="H376" s="11" t="s">
        <v>15197</v>
      </c>
      <c r="I376" s="11" t="s">
        <v>15818</v>
      </c>
      <c r="J376" s="12" t="str">
        <f t="shared" si="22"/>
        <v>(${Variables:E4_2_1_17_kcat} * E4_2_1_17 * C05258)/(${Variables:E4_2_1_17_km} + (E4_2_1_17 * C05258))</v>
      </c>
      <c r="K376" s="11" t="str">
        <f t="shared" si="23"/>
        <v>r375: C05258 -&gt; C00001 + C05272 | (${Variables:E4_2_1_17_kcat} * E4_2_1_17 * C05258)/(${Variables:E4_2_1_17_km} + (E4_2_1_17 * C05258))</v>
      </c>
    </row>
    <row r="377" spans="1:11" ht="45" customHeight="1" x14ac:dyDescent="0.25">
      <c r="A377" t="s">
        <v>1700</v>
      </c>
      <c r="B377" t="s">
        <v>1701</v>
      </c>
      <c r="C377" s="5" t="s">
        <v>9418</v>
      </c>
      <c r="D377">
        <f t="shared" si="20"/>
        <v>376</v>
      </c>
      <c r="E377" t="str">
        <f t="shared" si="21"/>
        <v>E4_2_1_17</v>
      </c>
      <c r="F377" s="11" t="s">
        <v>8122</v>
      </c>
      <c r="G377" s="11" t="s">
        <v>8122</v>
      </c>
      <c r="H377" s="11" t="s">
        <v>15198</v>
      </c>
      <c r="I377" s="11" t="s">
        <v>15819</v>
      </c>
      <c r="J377" s="12" t="str">
        <f t="shared" si="22"/>
        <v>(${Variables:E4_2_1_17_kcat} * E4_2_1_17 * C05260)/(${Variables:E4_2_1_17_km} + (E4_2_1_17 * C05260))</v>
      </c>
      <c r="K377" s="11" t="str">
        <f t="shared" si="23"/>
        <v>r376: C05260 -&gt; C00001 + C05273 | (${Variables:E4_2_1_17_kcat} * E4_2_1_17 * C05260)/(${Variables:E4_2_1_17_km} + (E4_2_1_17 * C05260))</v>
      </c>
    </row>
    <row r="378" spans="1:11" ht="45" customHeight="1" x14ac:dyDescent="0.25">
      <c r="A378" t="s">
        <v>1700</v>
      </c>
      <c r="B378" t="s">
        <v>1701</v>
      </c>
      <c r="C378" s="5" t="s">
        <v>9418</v>
      </c>
      <c r="D378">
        <f t="shared" si="20"/>
        <v>377</v>
      </c>
      <c r="E378" t="str">
        <f t="shared" si="21"/>
        <v>E4_2_1_17</v>
      </c>
      <c r="F378" s="11" t="s">
        <v>8123</v>
      </c>
      <c r="G378" s="11" t="s">
        <v>8123</v>
      </c>
      <c r="H378" s="11" t="s">
        <v>15199</v>
      </c>
      <c r="I378" s="11" t="s">
        <v>15820</v>
      </c>
      <c r="J378" s="12" t="str">
        <f t="shared" si="22"/>
        <v>(${Variables:E4_2_1_17_kcat} * E4_2_1_17 * C05264)/(${Variables:E4_2_1_17_km} + (E4_2_1_17 * C05264))</v>
      </c>
      <c r="K378" s="11" t="str">
        <f t="shared" si="23"/>
        <v>r377: C05264 -&gt; C00001 + C05275 | (${Variables:E4_2_1_17_kcat} * E4_2_1_17 * C05264)/(${Variables:E4_2_1_17_km} + (E4_2_1_17 * C05264))</v>
      </c>
    </row>
    <row r="379" spans="1:11" ht="45" customHeight="1" x14ac:dyDescent="0.25">
      <c r="A379" t="s">
        <v>1700</v>
      </c>
      <c r="B379" t="s">
        <v>1701</v>
      </c>
      <c r="C379" s="5" t="s">
        <v>9418</v>
      </c>
      <c r="D379">
        <f t="shared" si="20"/>
        <v>378</v>
      </c>
      <c r="E379" t="str">
        <f t="shared" si="21"/>
        <v>E4_2_1_17</v>
      </c>
      <c r="F379" s="11" t="s">
        <v>8124</v>
      </c>
      <c r="G379" s="11" t="s">
        <v>8124</v>
      </c>
      <c r="H379" s="11" t="s">
        <v>15200</v>
      </c>
      <c r="I379" s="11" t="s">
        <v>15821</v>
      </c>
      <c r="J379" s="12" t="str">
        <f t="shared" si="22"/>
        <v>(${Variables:E4_2_1_17_kcat} * E4_2_1_17 * C05266)/(${Variables:E4_2_1_17_km} + (E4_2_1_17 * C05266))</v>
      </c>
      <c r="K379" s="11" t="str">
        <f t="shared" si="23"/>
        <v>r378: C05266 -&gt; C00001 + C05276 | (${Variables:E4_2_1_17_kcat} * E4_2_1_17 * C05266)/(${Variables:E4_2_1_17_km} + (E4_2_1_17 * C05266))</v>
      </c>
    </row>
    <row r="380" spans="1:11" ht="45" customHeight="1" x14ac:dyDescent="0.25">
      <c r="A380" t="s">
        <v>1700</v>
      </c>
      <c r="B380" t="s">
        <v>1701</v>
      </c>
      <c r="C380" s="5" t="s">
        <v>9418</v>
      </c>
      <c r="D380">
        <f t="shared" si="20"/>
        <v>379</v>
      </c>
      <c r="E380" t="str">
        <f t="shared" si="21"/>
        <v>E4_2_1_17</v>
      </c>
      <c r="F380" s="11" t="s">
        <v>8125</v>
      </c>
      <c r="G380" s="11" t="s">
        <v>8125</v>
      </c>
      <c r="H380" s="11" t="s">
        <v>15201</v>
      </c>
      <c r="I380" s="11" t="s">
        <v>15822</v>
      </c>
      <c r="J380" s="12" t="str">
        <f t="shared" si="22"/>
        <v>(${Variables:E4_2_1_17_kcat} * E4_2_1_17 * C05268)/(${Variables:E4_2_1_17_km} + (E4_2_1_17 * C05268))</v>
      </c>
      <c r="K380" s="11" t="str">
        <f t="shared" si="23"/>
        <v>r379: C05268 -&gt; C00001 + C05271 | (${Variables:E4_2_1_17_kcat} * E4_2_1_17 * C05268)/(${Variables:E4_2_1_17_km} + (E4_2_1_17 * C05268))</v>
      </c>
    </row>
    <row r="381" spans="1:11" ht="45" customHeight="1" x14ac:dyDescent="0.25">
      <c r="A381" t="s">
        <v>1700</v>
      </c>
      <c r="B381" t="s">
        <v>1701</v>
      </c>
      <c r="C381" s="5" t="s">
        <v>9418</v>
      </c>
      <c r="D381">
        <f t="shared" si="20"/>
        <v>380</v>
      </c>
      <c r="E381" t="str">
        <f t="shared" si="21"/>
        <v>E4_2_1_17</v>
      </c>
      <c r="F381" s="11" t="s">
        <v>8126</v>
      </c>
      <c r="G381" s="11" t="s">
        <v>8126</v>
      </c>
      <c r="H381" s="11" t="s">
        <v>15202</v>
      </c>
      <c r="I381" s="11" t="s">
        <v>15823</v>
      </c>
      <c r="J381" s="12" t="str">
        <f t="shared" si="22"/>
        <v>(${Variables:E4_2_1_17_kcat} * E4_2_1_17 * C16329)/(${Variables:E4_2_1_17_km} + (E4_2_1_17 * C16329))</v>
      </c>
      <c r="K381" s="11" t="str">
        <f t="shared" si="23"/>
        <v>r380: C16329 -&gt; C00001 + C16328 | (${Variables:E4_2_1_17_kcat} * E4_2_1_17 * C16329)/(${Variables:E4_2_1_17_km} + (E4_2_1_17 * C16329))</v>
      </c>
    </row>
    <row r="382" spans="1:11" ht="45" customHeight="1" x14ac:dyDescent="0.25">
      <c r="A382" t="s">
        <v>1700</v>
      </c>
      <c r="B382" t="s">
        <v>1701</v>
      </c>
      <c r="C382" s="5" t="s">
        <v>9418</v>
      </c>
      <c r="D382">
        <f t="shared" si="20"/>
        <v>381</v>
      </c>
      <c r="E382" t="str">
        <f t="shared" si="21"/>
        <v>E4_2_1_17</v>
      </c>
      <c r="F382" s="11" t="s">
        <v>8127</v>
      </c>
      <c r="G382" s="11" t="s">
        <v>8127</v>
      </c>
      <c r="H382" s="11" t="s">
        <v>15203</v>
      </c>
      <c r="I382" s="11" t="s">
        <v>15824</v>
      </c>
      <c r="J382" s="12" t="str">
        <f t="shared" si="22"/>
        <v>(${Variables:E4_2_1_17_kcat} * E4_2_1_17 * C16333)/(${Variables:E4_2_1_17_km} + (E4_2_1_17 * C16333))</v>
      </c>
      <c r="K382" s="11" t="str">
        <f t="shared" si="23"/>
        <v>r381: C16333 -&gt; C00001 + C16332 | (${Variables:E4_2_1_17_kcat} * E4_2_1_17 * C16333)/(${Variables:E4_2_1_17_km} + (E4_2_1_17 * C16333))</v>
      </c>
    </row>
    <row r="383" spans="1:11" ht="45" customHeight="1" x14ac:dyDescent="0.25">
      <c r="A383" t="s">
        <v>1700</v>
      </c>
      <c r="B383" t="s">
        <v>1701</v>
      </c>
      <c r="C383" s="5" t="s">
        <v>9418</v>
      </c>
      <c r="D383">
        <f t="shared" si="20"/>
        <v>382</v>
      </c>
      <c r="E383" t="str">
        <f t="shared" si="21"/>
        <v>E4_2_1_17</v>
      </c>
      <c r="F383" s="11" t="s">
        <v>8128</v>
      </c>
      <c r="G383" s="11" t="s">
        <v>8128</v>
      </c>
      <c r="H383" s="11" t="s">
        <v>15204</v>
      </c>
      <c r="I383" s="11" t="s">
        <v>15825</v>
      </c>
      <c r="J383" s="12" t="str">
        <f t="shared" si="22"/>
        <v>(${Variables:E4_2_1_17_kcat} * E4_2_1_17 * C16337)/(${Variables:E4_2_1_17_km} + (E4_2_1_17 * C16337))</v>
      </c>
      <c r="K383" s="11" t="str">
        <f t="shared" si="23"/>
        <v>r382: C16337 -&gt; C00001 + C16336 | (${Variables:E4_2_1_17_kcat} * E4_2_1_17 * C16337)/(${Variables:E4_2_1_17_km} + (E4_2_1_17 * C16337))</v>
      </c>
    </row>
    <row r="384" spans="1:11" ht="45" customHeight="1" x14ac:dyDescent="0.25">
      <c r="A384" t="s">
        <v>1700</v>
      </c>
      <c r="B384" t="s">
        <v>1701</v>
      </c>
      <c r="C384" s="5" t="s">
        <v>9418</v>
      </c>
      <c r="D384">
        <f t="shared" si="20"/>
        <v>383</v>
      </c>
      <c r="E384" t="str">
        <f t="shared" si="21"/>
        <v>E4_2_1_17</v>
      </c>
      <c r="F384" s="11" t="s">
        <v>8116</v>
      </c>
      <c r="G384" s="11" t="s">
        <v>8116</v>
      </c>
      <c r="H384" s="11" t="s">
        <v>15205</v>
      </c>
      <c r="I384" s="11" t="s">
        <v>15826</v>
      </c>
      <c r="J384" s="12" t="str">
        <f t="shared" si="22"/>
        <v>(${Variables:E4_2_1_17_kcat} * E4_2_1_17 * C00640)/(${Variables:E4_2_1_17_km} + (E4_2_1_17 * C00640))</v>
      </c>
      <c r="K384" s="11" t="str">
        <f t="shared" si="23"/>
        <v>r383: C00640 -&gt; C00001 + C05067 | (${Variables:E4_2_1_17_kcat} * E4_2_1_17 * C00640)/(${Variables:E4_2_1_17_km} + (E4_2_1_17 * C00640))</v>
      </c>
    </row>
    <row r="385" spans="1:11" ht="45" customHeight="1" x14ac:dyDescent="0.25">
      <c r="A385" t="s">
        <v>1700</v>
      </c>
      <c r="B385" t="s">
        <v>1701</v>
      </c>
      <c r="C385" s="5" t="s">
        <v>9418</v>
      </c>
      <c r="D385">
        <f t="shared" si="20"/>
        <v>384</v>
      </c>
      <c r="E385" t="str">
        <f t="shared" si="21"/>
        <v>E4_2_1_17</v>
      </c>
      <c r="F385" s="11" t="s">
        <v>8129</v>
      </c>
      <c r="G385" s="11" t="s">
        <v>8129</v>
      </c>
      <c r="H385" s="11" t="s">
        <v>15206</v>
      </c>
      <c r="I385" s="11" t="s">
        <v>15827</v>
      </c>
      <c r="J385" s="12" t="str">
        <f t="shared" si="22"/>
        <v>(${Variables:E4_2_1_17_kcat} * E4_2_1_17 * C01086)/(${Variables:E4_2_1_17_km} + (E4_2_1_17 * C01086))</v>
      </c>
      <c r="K385" s="11" t="str">
        <f t="shared" si="23"/>
        <v>r384: C01086 -&gt; C00001 + C01122 | (${Variables:E4_2_1_17_kcat} * E4_2_1_17 * C01086)/(${Variables:E4_2_1_17_km} + (E4_2_1_17 * C01086))</v>
      </c>
    </row>
    <row r="386" spans="1:11" ht="45" customHeight="1" x14ac:dyDescent="0.25">
      <c r="A386" t="s">
        <v>1700</v>
      </c>
      <c r="B386" t="s">
        <v>1701</v>
      </c>
      <c r="C386" s="5" t="s">
        <v>9418</v>
      </c>
      <c r="D386">
        <f t="shared" si="20"/>
        <v>385</v>
      </c>
      <c r="E386" t="str">
        <f t="shared" si="21"/>
        <v>E4_2_1_17</v>
      </c>
      <c r="F386" s="11" t="s">
        <v>8130</v>
      </c>
      <c r="G386" s="11" t="s">
        <v>8130</v>
      </c>
      <c r="H386" s="11" t="s">
        <v>15207</v>
      </c>
      <c r="I386" s="11" t="s">
        <v>15828</v>
      </c>
      <c r="J386" s="12" t="str">
        <f t="shared" si="22"/>
        <v>(${Variables:E4_2_1_17_kcat} * E4_2_1_17 * C05998)/(${Variables:E4_2_1_17_km} + (E4_2_1_17 * C05998))</v>
      </c>
      <c r="K386" s="11" t="str">
        <f t="shared" si="23"/>
        <v>r385: C05998 -&gt; C00001 + C03069 | (${Variables:E4_2_1_17_kcat} * E4_2_1_17 * C05998)/(${Variables:E4_2_1_17_km} + (E4_2_1_17 * C05998))</v>
      </c>
    </row>
    <row r="387" spans="1:11" ht="45" customHeight="1" x14ac:dyDescent="0.25">
      <c r="A387" t="s">
        <v>1700</v>
      </c>
      <c r="B387" t="s">
        <v>1701</v>
      </c>
      <c r="C387" s="5" t="s">
        <v>9418</v>
      </c>
      <c r="D387">
        <f t="shared" ref="D387:D450" si="24">ROW()-1</f>
        <v>386</v>
      </c>
      <c r="E387" t="str">
        <f t="shared" ref="E387:E450" si="25">_xlfn.CONCAT("E", C387)</f>
        <v>E4_2_1_17</v>
      </c>
      <c r="F387" s="11" t="s">
        <v>13999</v>
      </c>
      <c r="G387" s="11" t="s">
        <v>14602</v>
      </c>
      <c r="H387" s="11" t="s">
        <v>8411</v>
      </c>
      <c r="I387" s="11" t="s">
        <v>8411</v>
      </c>
      <c r="J387" s="12" t="str">
        <f t="shared" ref="J387:J450" si="26">CONCATENATE("(${Variables:",E387,"_kcat","} * ",E387," * ",G387,")","/(${Variables:",E387,"_km","} + (",E387," * ",G387,"))")</f>
        <v>(${Variables:E4_2_1_17_kcat} * E4_2_1_17 * C00001 * C00877)/(${Variables:E4_2_1_17_km} + (E4_2_1_17 * C00001 * C00877))</v>
      </c>
      <c r="K387" s="11" t="str">
        <f t="shared" ref="K387:K450" si="27">CONCATENATE("r",D387,": ",F387," -&gt; ",H387," | ",J387)</f>
        <v>r386: C00001 + C00877 -&gt; C05116 | (${Variables:E4_2_1_17_kcat} * E4_2_1_17 * C00001 * C00877)/(${Variables:E4_2_1_17_km} + (E4_2_1_17 * C00001 * C00877))</v>
      </c>
    </row>
    <row r="388" spans="1:11" ht="45" customHeight="1" x14ac:dyDescent="0.25">
      <c r="A388" t="s">
        <v>1700</v>
      </c>
      <c r="B388" t="s">
        <v>1701</v>
      </c>
      <c r="C388" s="5" t="s">
        <v>9418</v>
      </c>
      <c r="D388">
        <f t="shared" si="24"/>
        <v>387</v>
      </c>
      <c r="E388" t="str">
        <f t="shared" si="25"/>
        <v>E4_2_1_17</v>
      </c>
      <c r="F388" s="11" t="s">
        <v>14000</v>
      </c>
      <c r="G388" s="11" t="s">
        <v>14603</v>
      </c>
      <c r="H388" s="11" t="s">
        <v>8412</v>
      </c>
      <c r="I388" s="11" t="s">
        <v>8412</v>
      </c>
      <c r="J388" s="12" t="str">
        <f t="shared" si="26"/>
        <v>(${Variables:E4_2_1_17_kcat} * E4_2_1_17 * C00001 * C11946)/(${Variables:E4_2_1_17_km} + (E4_2_1_17 * C00001 * C11946))</v>
      </c>
      <c r="K388" s="11" t="str">
        <f t="shared" si="27"/>
        <v>r387: C00001 + C11946 -&gt; C11947 | (${Variables:E4_2_1_17_kcat} * E4_2_1_17 * C00001 * C11946)/(${Variables:E4_2_1_17_km} + (E4_2_1_17 * C00001 * C11946))</v>
      </c>
    </row>
    <row r="389" spans="1:11" ht="45" customHeight="1" x14ac:dyDescent="0.25">
      <c r="A389" t="s">
        <v>1700</v>
      </c>
      <c r="B389" t="s">
        <v>1701</v>
      </c>
      <c r="C389" s="5" t="s">
        <v>9418</v>
      </c>
      <c r="D389">
        <f t="shared" si="24"/>
        <v>388</v>
      </c>
      <c r="E389" t="str">
        <f t="shared" si="25"/>
        <v>E4_2_1_17</v>
      </c>
      <c r="F389" s="11" t="s">
        <v>14001</v>
      </c>
      <c r="G389" s="11" t="s">
        <v>14604</v>
      </c>
      <c r="H389" s="11" t="s">
        <v>8412</v>
      </c>
      <c r="I389" s="11" t="s">
        <v>8412</v>
      </c>
      <c r="J389" s="12" t="str">
        <f t="shared" si="26"/>
        <v>(${Variables:E4_2_1_17_kcat} * E4_2_1_17 * C00001 * C11945)/(${Variables:E4_2_1_17_km} + (E4_2_1_17 * C00001 * C11945))</v>
      </c>
      <c r="K389" s="11" t="str">
        <f t="shared" si="27"/>
        <v>r388: C00001 + C11945 -&gt; C11947 | (${Variables:E4_2_1_17_kcat} * E4_2_1_17 * C00001 * C11945)/(${Variables:E4_2_1_17_km} + (E4_2_1_17 * C00001 * C11945))</v>
      </c>
    </row>
    <row r="390" spans="1:11" ht="45" customHeight="1" x14ac:dyDescent="0.25">
      <c r="A390" t="s">
        <v>1700</v>
      </c>
      <c r="B390" t="s">
        <v>1701</v>
      </c>
      <c r="C390" s="5" t="s">
        <v>9418</v>
      </c>
      <c r="D390">
        <f t="shared" si="24"/>
        <v>389</v>
      </c>
      <c r="E390" t="str">
        <f t="shared" si="25"/>
        <v>E4_2_1_17</v>
      </c>
      <c r="F390" s="11" t="s">
        <v>14002</v>
      </c>
      <c r="G390" s="11" t="s">
        <v>14605</v>
      </c>
      <c r="H390" s="11" t="s">
        <v>8413</v>
      </c>
      <c r="I390" s="11" t="s">
        <v>8413</v>
      </c>
      <c r="J390" s="12" t="str">
        <f t="shared" si="26"/>
        <v>(${Variables:E4_2_1_17_kcat} * E4_2_1_17 * C00001 * C14144)/(${Variables:E4_2_1_17_km} + (E4_2_1_17 * C00001 * C14144))</v>
      </c>
      <c r="K390" s="11" t="str">
        <f t="shared" si="27"/>
        <v>r389: C00001 + C14144 -&gt; C14145 | (${Variables:E4_2_1_17_kcat} * E4_2_1_17 * C00001 * C14144)/(${Variables:E4_2_1_17_km} + (E4_2_1_17 * C00001 * C14144))</v>
      </c>
    </row>
    <row r="391" spans="1:11" ht="45" customHeight="1" x14ac:dyDescent="0.25">
      <c r="A391" t="s">
        <v>1700</v>
      </c>
      <c r="B391" t="s">
        <v>1701</v>
      </c>
      <c r="C391" s="5" t="s">
        <v>9418</v>
      </c>
      <c r="D391">
        <f t="shared" si="24"/>
        <v>390</v>
      </c>
      <c r="E391" t="str">
        <f t="shared" si="25"/>
        <v>E4_2_1_17</v>
      </c>
      <c r="F391" s="11" t="s">
        <v>14003</v>
      </c>
      <c r="G391" s="11" t="s">
        <v>14606</v>
      </c>
      <c r="H391" s="11" t="s">
        <v>8414</v>
      </c>
      <c r="I391" s="11" t="s">
        <v>8414</v>
      </c>
      <c r="J391" s="12" t="str">
        <f t="shared" si="26"/>
        <v>(${Variables:E4_2_1_17_kcat} * E4_2_1_17 * C00001 * C16468)/(${Variables:E4_2_1_17_km} + (E4_2_1_17 * C00001 * C16468))</v>
      </c>
      <c r="K391" s="11" t="str">
        <f t="shared" si="27"/>
        <v>r390: C00001 + C16468 -&gt; C16469 | (${Variables:E4_2_1_17_kcat} * E4_2_1_17 * C00001 * C16468)/(${Variables:E4_2_1_17_km} + (E4_2_1_17 * C00001 * C16468))</v>
      </c>
    </row>
    <row r="392" spans="1:11" ht="45" customHeight="1" x14ac:dyDescent="0.25">
      <c r="A392" t="s">
        <v>1713</v>
      </c>
      <c r="B392" t="s">
        <v>1714</v>
      </c>
      <c r="C392" s="5" t="s">
        <v>9505</v>
      </c>
      <c r="D392">
        <f t="shared" si="24"/>
        <v>391</v>
      </c>
      <c r="E392" t="str">
        <f t="shared" si="25"/>
        <v>E5_4_2_10</v>
      </c>
      <c r="F392" s="11" t="s">
        <v>8209</v>
      </c>
      <c r="G392" s="11" t="s">
        <v>8209</v>
      </c>
      <c r="H392" s="11" t="s">
        <v>8487</v>
      </c>
      <c r="I392" s="11" t="s">
        <v>8487</v>
      </c>
      <c r="J392" s="12" t="str">
        <f t="shared" si="26"/>
        <v>(${Variables:E5_4_2_10_kcat} * E5_4_2_10 * C06156)/(${Variables:E5_4_2_10_km} + (E5_4_2_10 * C06156))</v>
      </c>
      <c r="K392" s="11" t="str">
        <f t="shared" si="27"/>
        <v>r391: C06156 -&gt; C00352 | (${Variables:E5_4_2_10_kcat} * E5_4_2_10 * C06156)/(${Variables:E5_4_2_10_km} + (E5_4_2_10 * C06156))</v>
      </c>
    </row>
    <row r="393" spans="1:11" ht="45" customHeight="1" x14ac:dyDescent="0.25">
      <c r="A393" t="s">
        <v>1730</v>
      </c>
      <c r="B393" t="s">
        <v>1731</v>
      </c>
      <c r="C393" s="5" t="s">
        <v>9506</v>
      </c>
      <c r="D393">
        <f t="shared" si="24"/>
        <v>392</v>
      </c>
      <c r="E393" t="str">
        <f t="shared" si="25"/>
        <v>E6_1_1_17</v>
      </c>
      <c r="F393" s="11" t="s">
        <v>14102</v>
      </c>
      <c r="G393" s="11" t="s">
        <v>14705</v>
      </c>
      <c r="H393" s="11" t="s">
        <v>15303</v>
      </c>
      <c r="I393" s="11" t="s">
        <v>15924</v>
      </c>
      <c r="J393" s="12" t="str">
        <f t="shared" si="26"/>
        <v>(${Variables:E6_1_1_17_kcat} * E6_1_1_17 * C00002 * C00025 * C01641)/(${Variables:E6_1_1_17_km} + (E6_1_1_17 * C00002 * C00025 * C01641))</v>
      </c>
      <c r="K393" s="11" t="str">
        <f t="shared" si="27"/>
        <v>r392: C00002 + C00025 + C01641 -&gt; C00013 + C00020 + C02987 | (${Variables:E6_1_1_17_kcat} * E6_1_1_17 * C00002 * C00025 * C01641)/(${Variables:E6_1_1_17_km} + (E6_1_1_17 * C00002 * C00025 * C01641))</v>
      </c>
    </row>
    <row r="394" spans="1:11" ht="45" customHeight="1" x14ac:dyDescent="0.25">
      <c r="A394" t="s">
        <v>1758</v>
      </c>
      <c r="B394" t="s">
        <v>1759</v>
      </c>
      <c r="C394" s="5" t="s">
        <v>9507</v>
      </c>
      <c r="D394">
        <f t="shared" si="24"/>
        <v>393</v>
      </c>
      <c r="E394" t="str">
        <f t="shared" si="25"/>
        <v>E6_2_1_3</v>
      </c>
      <c r="F394" s="11" t="s">
        <v>14103</v>
      </c>
      <c r="G394" s="11" t="s">
        <v>14706</v>
      </c>
      <c r="H394" s="11" t="s">
        <v>15304</v>
      </c>
      <c r="I394" s="11" t="s">
        <v>15925</v>
      </c>
      <c r="J394" s="12" t="str">
        <f t="shared" si="26"/>
        <v>(${Variables:E6_2_1_3_kcat} * E6_2_1_3 * C00002 * C00010 * C00638)/(${Variables:E6_2_1_3_km} + (E6_2_1_3 * C00002 * C00010 * C00638))</v>
      </c>
      <c r="K394" s="11" t="str">
        <f t="shared" si="27"/>
        <v>r393: C00002 + C00010 + C00638 -&gt; C00013 + C00020 + C02843 | (${Variables:E6_2_1_3_kcat} * E6_2_1_3 * C00002 * C00010 * C00638)/(${Variables:E6_2_1_3_km} + (E6_2_1_3 * C00002 * C00010 * C00638))</v>
      </c>
    </row>
    <row r="395" spans="1:11" ht="45" customHeight="1" x14ac:dyDescent="0.25">
      <c r="A395" t="s">
        <v>1758</v>
      </c>
      <c r="B395" t="s">
        <v>1759</v>
      </c>
      <c r="C395" s="5" t="s">
        <v>9507</v>
      </c>
      <c r="D395">
        <f t="shared" si="24"/>
        <v>394</v>
      </c>
      <c r="E395" t="str">
        <f t="shared" si="25"/>
        <v>E6_2_1_3</v>
      </c>
      <c r="F395" s="11" t="s">
        <v>14104</v>
      </c>
      <c r="G395" s="11" t="s">
        <v>14707</v>
      </c>
      <c r="H395" s="11" t="s">
        <v>15305</v>
      </c>
      <c r="I395" s="11" t="s">
        <v>15926</v>
      </c>
      <c r="J395" s="12" t="str">
        <f t="shared" si="26"/>
        <v>(${Variables:E6_2_1_3_kcat} * E6_2_1_3 * C00002 * C00010 * C00249)/(${Variables:E6_2_1_3_km} + (E6_2_1_3 * C00002 * C00010 * C00249))</v>
      </c>
      <c r="K395" s="11" t="str">
        <f t="shared" si="27"/>
        <v>r394: C00002 + C00010 + C00249 -&gt; C00013 + C00020 + C00154 | (${Variables:E6_2_1_3_kcat} * E6_2_1_3 * C00002 * C00010 * C00249)/(${Variables:E6_2_1_3_km} + (E6_2_1_3 * C00002 * C00010 * C00249))</v>
      </c>
    </row>
    <row r="396" spans="1:11" ht="45" customHeight="1" x14ac:dyDescent="0.25">
      <c r="A396" t="s">
        <v>1771</v>
      </c>
      <c r="B396" t="s">
        <v>1772</v>
      </c>
      <c r="C396" s="5" t="s">
        <v>9508</v>
      </c>
      <c r="D396">
        <f t="shared" si="24"/>
        <v>395</v>
      </c>
      <c r="E396" t="str">
        <f t="shared" si="25"/>
        <v>E1_1_1_100</v>
      </c>
      <c r="F396" s="11" t="s">
        <v>14105</v>
      </c>
      <c r="G396" s="11" t="s">
        <v>14708</v>
      </c>
      <c r="H396" s="11" t="s">
        <v>15306</v>
      </c>
      <c r="I396" s="11" t="s">
        <v>15927</v>
      </c>
      <c r="J396" s="12" t="str">
        <f t="shared" si="26"/>
        <v>(${Variables:E1_1_1_100_kcat} * E1_1_1_100 * C00006 * C01271)/(${Variables:E1_1_1_100_km} + (E1_1_1_100 * C00006 * C01271))</v>
      </c>
      <c r="K396" s="11" t="str">
        <f t="shared" si="27"/>
        <v>r395: C00006 + C01271 -&gt; C00005 + C00080 + C00685 | (${Variables:E1_1_1_100_kcat} * E1_1_1_100 * C00006 * C01271)/(${Variables:E1_1_1_100_km} + (E1_1_1_100 * C00006 * C01271))</v>
      </c>
    </row>
    <row r="397" spans="1:11" ht="45" customHeight="1" x14ac:dyDescent="0.25">
      <c r="A397" t="s">
        <v>1771</v>
      </c>
      <c r="B397" t="s">
        <v>1772</v>
      </c>
      <c r="C397" s="5" t="s">
        <v>9508</v>
      </c>
      <c r="D397">
        <f t="shared" si="24"/>
        <v>396</v>
      </c>
      <c r="E397" t="str">
        <f t="shared" si="25"/>
        <v>E1_1_1_100</v>
      </c>
      <c r="F397" s="11" t="s">
        <v>14106</v>
      </c>
      <c r="G397" s="11" t="s">
        <v>14709</v>
      </c>
      <c r="H397" s="11" t="s">
        <v>15307</v>
      </c>
      <c r="I397" s="11" t="s">
        <v>15928</v>
      </c>
      <c r="J397" s="12" t="str">
        <f t="shared" si="26"/>
        <v>(${Variables:E1_1_1_100_kcat} * E1_1_1_100 * C00006 * C04618)/(${Variables:E1_1_1_100_km} + (E1_1_1_100 * C00006 * C04618))</v>
      </c>
      <c r="K397" s="11" t="str">
        <f t="shared" si="27"/>
        <v>r396: C00006 + C04618 -&gt; C00005 + C00080 + C05744 | (${Variables:E1_1_1_100_kcat} * E1_1_1_100 * C00006 * C04618)/(${Variables:E1_1_1_100_km} + (E1_1_1_100 * C00006 * C04618))</v>
      </c>
    </row>
    <row r="398" spans="1:11" ht="45" customHeight="1" x14ac:dyDescent="0.25">
      <c r="A398" t="s">
        <v>1771</v>
      </c>
      <c r="B398" t="s">
        <v>1772</v>
      </c>
      <c r="C398" s="5" t="s">
        <v>9508</v>
      </c>
      <c r="D398">
        <f t="shared" si="24"/>
        <v>397</v>
      </c>
      <c r="E398" t="str">
        <f t="shared" si="25"/>
        <v>E1_1_1_100</v>
      </c>
      <c r="F398" s="11" t="s">
        <v>14107</v>
      </c>
      <c r="G398" s="11" t="s">
        <v>14710</v>
      </c>
      <c r="H398" s="11" t="s">
        <v>15308</v>
      </c>
      <c r="I398" s="11" t="s">
        <v>15929</v>
      </c>
      <c r="J398" s="12" t="str">
        <f t="shared" si="26"/>
        <v>(${Variables:E1_1_1_100_kcat} * E1_1_1_100 * C00006 * C04619)/(${Variables:E1_1_1_100_km} + (E1_1_1_100 * C00006 * C04619))</v>
      </c>
      <c r="K398" s="11" t="str">
        <f t="shared" si="27"/>
        <v>r397: C00006 + C04619 -&gt; C00005 + C05753 | (${Variables:E1_1_1_100_kcat} * E1_1_1_100 * C00006 * C04619)/(${Variables:E1_1_1_100_km} + (E1_1_1_100 * C00006 * C04619))</v>
      </c>
    </row>
    <row r="399" spans="1:11" ht="45" customHeight="1" x14ac:dyDescent="0.25">
      <c r="A399" t="s">
        <v>1771</v>
      </c>
      <c r="B399" t="s">
        <v>1772</v>
      </c>
      <c r="C399" s="5" t="s">
        <v>9508</v>
      </c>
      <c r="D399">
        <f t="shared" si="24"/>
        <v>398</v>
      </c>
      <c r="E399" t="str">
        <f t="shared" si="25"/>
        <v>E1_1_1_100</v>
      </c>
      <c r="F399" s="11" t="s">
        <v>14108</v>
      </c>
      <c r="G399" s="11" t="s">
        <v>14711</v>
      </c>
      <c r="H399" s="11" t="s">
        <v>15309</v>
      </c>
      <c r="I399" s="11" t="s">
        <v>15930</v>
      </c>
      <c r="J399" s="12" t="str">
        <f t="shared" si="26"/>
        <v>(${Variables:E1_1_1_100_kcat} * E1_1_1_100 * C00006 * C04620)/(${Variables:E1_1_1_100_km} + (E1_1_1_100 * C00006 * C04620))</v>
      </c>
      <c r="K399" s="11" t="str">
        <f t="shared" si="27"/>
        <v>r398: C00006 + C04620 -&gt; C00005 + C00080 + C05750 | (${Variables:E1_1_1_100_kcat} * E1_1_1_100 * C00006 * C04620)/(${Variables:E1_1_1_100_km} + (E1_1_1_100 * C00006 * C04620))</v>
      </c>
    </row>
    <row r="400" spans="1:11" ht="45" customHeight="1" x14ac:dyDescent="0.25">
      <c r="A400" t="s">
        <v>1771</v>
      </c>
      <c r="B400" t="s">
        <v>1772</v>
      </c>
      <c r="C400" s="5" t="s">
        <v>9508</v>
      </c>
      <c r="D400">
        <f t="shared" si="24"/>
        <v>399</v>
      </c>
      <c r="E400" t="str">
        <f t="shared" si="25"/>
        <v>E1_1_1_100</v>
      </c>
      <c r="F400" s="11" t="s">
        <v>14109</v>
      </c>
      <c r="G400" s="11" t="s">
        <v>14712</v>
      </c>
      <c r="H400" s="11" t="s">
        <v>15310</v>
      </c>
      <c r="I400" s="11" t="s">
        <v>15931</v>
      </c>
      <c r="J400" s="12" t="str">
        <f t="shared" si="26"/>
        <v>(${Variables:E1_1_1_100_kcat} * E1_1_1_100 * C00006 * C04633)/(${Variables:E1_1_1_100_km} + (E1_1_1_100 * C00006 * C04633))</v>
      </c>
      <c r="K400" s="11" t="str">
        <f t="shared" si="27"/>
        <v>r399: C00006 + C04633 -&gt; C00005 + C00080 + C05762 | (${Variables:E1_1_1_100_kcat} * E1_1_1_100 * C00006 * C04633)/(${Variables:E1_1_1_100_km} + (E1_1_1_100 * C00006 * C04633))</v>
      </c>
    </row>
    <row r="401" spans="1:11" ht="45" customHeight="1" x14ac:dyDescent="0.25">
      <c r="A401" t="s">
        <v>1771</v>
      </c>
      <c r="B401" t="s">
        <v>1772</v>
      </c>
      <c r="C401" s="5" t="s">
        <v>9508</v>
      </c>
      <c r="D401">
        <f t="shared" si="24"/>
        <v>400</v>
      </c>
      <c r="E401" t="str">
        <f t="shared" si="25"/>
        <v>E1_1_1_100</v>
      </c>
      <c r="F401" s="11" t="s">
        <v>14110</v>
      </c>
      <c r="G401" s="11" t="s">
        <v>14713</v>
      </c>
      <c r="H401" s="11" t="s">
        <v>15311</v>
      </c>
      <c r="I401" s="11" t="s">
        <v>15932</v>
      </c>
      <c r="J401" s="12" t="str">
        <f t="shared" si="26"/>
        <v>(${Variables:E1_1_1_100_kcat} * E1_1_1_100 * C00006 * C04688)/(${Variables:E1_1_1_100_km} + (E1_1_1_100 * C00006 * C04688))</v>
      </c>
      <c r="K401" s="11" t="str">
        <f t="shared" si="27"/>
        <v>r400: C00006 + C04688 -&gt; C00005 + C00080 + C05759 | (${Variables:E1_1_1_100_kcat} * E1_1_1_100 * C00006 * C04688)/(${Variables:E1_1_1_100_km} + (E1_1_1_100 * C00006 * C04688))</v>
      </c>
    </row>
    <row r="402" spans="1:11" ht="45" customHeight="1" x14ac:dyDescent="0.25">
      <c r="A402" t="s">
        <v>1771</v>
      </c>
      <c r="B402" t="s">
        <v>1772</v>
      </c>
      <c r="C402" s="5" t="s">
        <v>9508</v>
      </c>
      <c r="D402">
        <f t="shared" si="24"/>
        <v>401</v>
      </c>
      <c r="E402" t="str">
        <f t="shared" si="25"/>
        <v>E1_1_1_100</v>
      </c>
      <c r="F402" s="11" t="s">
        <v>14111</v>
      </c>
      <c r="G402" s="11" t="s">
        <v>14714</v>
      </c>
      <c r="H402" s="11" t="s">
        <v>15312</v>
      </c>
      <c r="I402" s="11" t="s">
        <v>15933</v>
      </c>
      <c r="J402" s="12" t="str">
        <f t="shared" si="26"/>
        <v>(${Variables:E1_1_1_100_kcat} * E1_1_1_100 * C00006 * C05747)/(${Variables:E1_1_1_100_km} + (E1_1_1_100 * C00006 * C05747))</v>
      </c>
      <c r="K402" s="11" t="str">
        <f t="shared" si="27"/>
        <v>r401: C00006 + C05747 -&gt; C00005 + C00080 + C05746 | (${Variables:E1_1_1_100_kcat} * E1_1_1_100 * C00006 * C05747)/(${Variables:E1_1_1_100_km} + (E1_1_1_100 * C00006 * C05747))</v>
      </c>
    </row>
    <row r="403" spans="1:11" ht="45" customHeight="1" x14ac:dyDescent="0.25">
      <c r="A403" t="s">
        <v>1771</v>
      </c>
      <c r="B403" t="s">
        <v>1772</v>
      </c>
      <c r="C403" s="5" t="s">
        <v>9508</v>
      </c>
      <c r="D403">
        <f t="shared" si="24"/>
        <v>402</v>
      </c>
      <c r="E403" t="str">
        <f t="shared" si="25"/>
        <v>E1_1_1_100</v>
      </c>
      <c r="F403" s="11" t="s">
        <v>14112</v>
      </c>
      <c r="G403" s="11" t="s">
        <v>14715</v>
      </c>
      <c r="H403" s="11" t="s">
        <v>15313</v>
      </c>
      <c r="I403" s="11" t="s">
        <v>15934</v>
      </c>
      <c r="J403" s="12" t="str">
        <f t="shared" si="26"/>
        <v>(${Variables:E1_1_1_100_kcat} * E1_1_1_100 * C00006 * C05757)/(${Variables:E1_1_1_100_km} + (E1_1_1_100 * C00006 * C05757))</v>
      </c>
      <c r="K403" s="11" t="str">
        <f t="shared" si="27"/>
        <v>r402: C00006 + C05757 -&gt; C00005 + C00080 + C05756 | (${Variables:E1_1_1_100_kcat} * E1_1_1_100 * C00006 * C05757)/(${Variables:E1_1_1_100_km} + (E1_1_1_100 * C00006 * C05757))</v>
      </c>
    </row>
    <row r="404" spans="1:11" ht="45" customHeight="1" x14ac:dyDescent="0.25">
      <c r="A404" t="s">
        <v>1771</v>
      </c>
      <c r="B404" t="s">
        <v>1772</v>
      </c>
      <c r="C404" s="5" t="s">
        <v>9508</v>
      </c>
      <c r="D404">
        <f t="shared" si="24"/>
        <v>403</v>
      </c>
      <c r="E404" t="str">
        <f t="shared" si="25"/>
        <v>E1_1_1_100</v>
      </c>
      <c r="F404" s="11" t="s">
        <v>14113</v>
      </c>
      <c r="G404" s="11" t="s">
        <v>14716</v>
      </c>
      <c r="H404" s="11" t="s">
        <v>15314</v>
      </c>
      <c r="I404" s="11" t="s">
        <v>15935</v>
      </c>
      <c r="J404" s="12" t="str">
        <f t="shared" si="26"/>
        <v>(${Variables:E1_1_1_100_kcat} * E1_1_1_100 * C00005 * C00080 * C16219)/(${Variables:E1_1_1_100_km} + (E1_1_1_100 * C00005 * C00080 * C16219))</v>
      </c>
      <c r="K404" s="11" t="str">
        <f t="shared" si="27"/>
        <v>r403: C00005 + C00080 + C16219 -&gt; C00006 + C16220 | (${Variables:E1_1_1_100_kcat} * E1_1_1_100 * C00005 * C00080 * C16219)/(${Variables:E1_1_1_100_km} + (E1_1_1_100 * C00005 * C00080 * C16219))</v>
      </c>
    </row>
    <row r="405" spans="1:11" ht="45" customHeight="1" x14ac:dyDescent="0.25">
      <c r="A405" t="s">
        <v>1771</v>
      </c>
      <c r="B405" t="s">
        <v>1772</v>
      </c>
      <c r="C405" s="5" t="s">
        <v>9508</v>
      </c>
      <c r="D405">
        <f t="shared" si="24"/>
        <v>404</v>
      </c>
      <c r="E405" t="str">
        <f t="shared" si="25"/>
        <v>E1_1_1_100</v>
      </c>
      <c r="F405" s="11" t="s">
        <v>14114</v>
      </c>
      <c r="G405" s="11" t="s">
        <v>14717</v>
      </c>
      <c r="H405" s="11" t="s">
        <v>15315</v>
      </c>
      <c r="I405" s="11" t="s">
        <v>15936</v>
      </c>
      <c r="J405" s="12" t="str">
        <f t="shared" si="26"/>
        <v>(${Variables:E1_1_1_100_kcat} * E1_1_1_100 * C00005 * C00080 * C20372)/(${Variables:E1_1_1_100_km} + (E1_1_1_100 * C00005 * C00080 * C20372))</v>
      </c>
      <c r="K405" s="11" t="str">
        <f t="shared" si="27"/>
        <v>r404: C00005 + C00080 + C20372 -&gt; C00006 + C20373 | (${Variables:E1_1_1_100_kcat} * E1_1_1_100 * C00005 * C00080 * C20372)/(${Variables:E1_1_1_100_km} + (E1_1_1_100 * C00005 * C00080 * C20372))</v>
      </c>
    </row>
    <row r="406" spans="1:11" ht="45" customHeight="1" x14ac:dyDescent="0.25">
      <c r="A406" t="s">
        <v>1771</v>
      </c>
      <c r="B406" t="s">
        <v>1772</v>
      </c>
      <c r="C406" s="5" t="s">
        <v>9508</v>
      </c>
      <c r="D406">
        <f t="shared" si="24"/>
        <v>405</v>
      </c>
      <c r="E406" t="str">
        <f t="shared" si="25"/>
        <v>E1_1_1_100</v>
      </c>
      <c r="F406" s="11" t="s">
        <v>14115</v>
      </c>
      <c r="G406" s="11" t="s">
        <v>14718</v>
      </c>
      <c r="H406" s="11" t="s">
        <v>15316</v>
      </c>
      <c r="I406" s="11" t="s">
        <v>15937</v>
      </c>
      <c r="J406" s="12" t="str">
        <f t="shared" si="26"/>
        <v>(${Variables:E1_1_1_100_kcat} * E1_1_1_100 * C00005 * C00080 * C20376)/(${Variables:E1_1_1_100_km} + (E1_1_1_100 * C00005 * C00080 * C20376))</v>
      </c>
      <c r="K406" s="11" t="str">
        <f t="shared" si="27"/>
        <v>r405: C00005 + C00080 + C20376 -&gt; C00006 + C20377 | (${Variables:E1_1_1_100_kcat} * E1_1_1_100 * C00005 * C00080 * C20376)/(${Variables:E1_1_1_100_km} + (E1_1_1_100 * C00005 * C00080 * C20376))</v>
      </c>
    </row>
    <row r="407" spans="1:11" ht="45" customHeight="1" x14ac:dyDescent="0.25">
      <c r="A407" t="s">
        <v>1774</v>
      </c>
      <c r="B407" t="s">
        <v>1775</v>
      </c>
      <c r="C407" s="5" t="s">
        <v>9509</v>
      </c>
      <c r="D407">
        <f t="shared" si="24"/>
        <v>406</v>
      </c>
      <c r="E407" t="str">
        <f t="shared" si="25"/>
        <v>E2_3_1_39</v>
      </c>
      <c r="F407" s="11" t="s">
        <v>8707</v>
      </c>
      <c r="G407" s="11" t="s">
        <v>8873</v>
      </c>
      <c r="H407" s="11" t="s">
        <v>9066</v>
      </c>
      <c r="I407" s="11" t="s">
        <v>9265</v>
      </c>
      <c r="J407" s="12" t="str">
        <f t="shared" si="26"/>
        <v>(${Variables:E2_3_1_39_kcat} * E2_3_1_39 * C00083 * C00229)/(${Variables:E2_3_1_39_km} + (E2_3_1_39 * C00083 * C00229))</v>
      </c>
      <c r="K407" s="11" t="str">
        <f t="shared" si="27"/>
        <v>r406: C00083 + C00229 -&gt; C00010 + C01209 | (${Variables:E2_3_1_39_kcat} * E2_3_1_39 * C00083 * C00229)/(${Variables:E2_3_1_39_km} + (E2_3_1_39 * C00083 * C00229))</v>
      </c>
    </row>
    <row r="408" spans="1:11" ht="45" customHeight="1" x14ac:dyDescent="0.25">
      <c r="A408" t="s">
        <v>1777</v>
      </c>
      <c r="B408" t="s">
        <v>1778</v>
      </c>
      <c r="C408" s="5" t="s">
        <v>9510</v>
      </c>
      <c r="D408">
        <f t="shared" si="24"/>
        <v>407</v>
      </c>
      <c r="E408" t="str">
        <f t="shared" si="25"/>
        <v>E2_3_1_180</v>
      </c>
      <c r="F408" s="11" t="s">
        <v>8708</v>
      </c>
      <c r="G408" s="11" t="s">
        <v>8874</v>
      </c>
      <c r="H408" s="11" t="s">
        <v>15317</v>
      </c>
      <c r="I408" s="11" t="s">
        <v>15938</v>
      </c>
      <c r="J408" s="12" t="str">
        <f t="shared" si="26"/>
        <v>(${Variables:E2_3_1_180_kcat} * E2_3_1_180 * C00024 * C01209)/(${Variables:E2_3_1_180_km} + (E2_3_1_180 * C00024 * C01209))</v>
      </c>
      <c r="K408" s="11" t="str">
        <f t="shared" si="27"/>
        <v>r407: C00024 + C01209 -&gt; C00010 + C00011 + C05744 | (${Variables:E2_3_1_180_kcat} * E2_3_1_180 * C00024 * C01209)/(${Variables:E2_3_1_180_km} + (E2_3_1_180 * C00024 * C01209))</v>
      </c>
    </row>
    <row r="409" spans="1:11" ht="45" customHeight="1" x14ac:dyDescent="0.25">
      <c r="A409" t="s">
        <v>1786</v>
      </c>
      <c r="B409" t="s">
        <v>1787</v>
      </c>
      <c r="C409" s="5" t="s">
        <v>9511</v>
      </c>
      <c r="D409">
        <f t="shared" si="24"/>
        <v>408</v>
      </c>
      <c r="E409" t="str">
        <f t="shared" si="25"/>
        <v>E3_5_3_1</v>
      </c>
      <c r="F409" s="11" t="s">
        <v>14116</v>
      </c>
      <c r="G409" s="11" t="s">
        <v>14719</v>
      </c>
      <c r="H409" s="11" t="s">
        <v>9067</v>
      </c>
      <c r="I409" s="11" t="s">
        <v>9266</v>
      </c>
      <c r="J409" s="12" t="str">
        <f t="shared" si="26"/>
        <v>(${Variables:E3_5_3_1_kcat} * E3_5_3_1 * C00001 * C00062)/(${Variables:E3_5_3_1_km} + (E3_5_3_1 * C00001 * C00062))</v>
      </c>
      <c r="K409" s="11" t="str">
        <f t="shared" si="27"/>
        <v>r408: C00001 + C00062 -&gt; C00077 + C00086 | (${Variables:E3_5_3_1_kcat} * E3_5_3_1 * C00001 * C00062)/(${Variables:E3_5_3_1_km} + (E3_5_3_1 * C00001 * C00062))</v>
      </c>
    </row>
    <row r="410" spans="1:11" ht="45" customHeight="1" x14ac:dyDescent="0.25">
      <c r="A410" t="s">
        <v>1815</v>
      </c>
      <c r="B410" t="s">
        <v>1816</v>
      </c>
      <c r="C410" s="5" t="s">
        <v>9512</v>
      </c>
      <c r="D410">
        <f t="shared" si="24"/>
        <v>409</v>
      </c>
      <c r="E410" t="str">
        <f t="shared" si="25"/>
        <v>E3_5_4_5</v>
      </c>
      <c r="F410" s="11" t="s">
        <v>14117</v>
      </c>
      <c r="G410" s="11" t="s">
        <v>14720</v>
      </c>
      <c r="H410" s="11" t="s">
        <v>15318</v>
      </c>
      <c r="I410" s="11" t="s">
        <v>15939</v>
      </c>
      <c r="J410" s="12" t="str">
        <f t="shared" si="26"/>
        <v>(${Variables:E3_5_4_5_kcat} * E3_5_4_5 * C00001 * C00475)/(${Variables:E3_5_4_5_km} + (E3_5_4_5 * C00001 * C00475))</v>
      </c>
      <c r="K410" s="11" t="str">
        <f t="shared" si="27"/>
        <v>r409: C00001 + C00475 -&gt; C00014 + C00299 | (${Variables:E3_5_4_5_kcat} * E3_5_4_5 * C00001 * C00475)/(${Variables:E3_5_4_5_km} + (E3_5_4_5 * C00001 * C00475))</v>
      </c>
    </row>
    <row r="411" spans="1:11" ht="45" customHeight="1" x14ac:dyDescent="0.25">
      <c r="A411" t="s">
        <v>1815</v>
      </c>
      <c r="B411" t="s">
        <v>1816</v>
      </c>
      <c r="C411" s="5" t="s">
        <v>9512</v>
      </c>
      <c r="D411">
        <f t="shared" si="24"/>
        <v>410</v>
      </c>
      <c r="E411" t="str">
        <f t="shared" si="25"/>
        <v>E3_5_4_5</v>
      </c>
      <c r="F411" s="11" t="s">
        <v>14118</v>
      </c>
      <c r="G411" s="11" t="s">
        <v>14721</v>
      </c>
      <c r="H411" s="11" t="s">
        <v>15319</v>
      </c>
      <c r="I411" s="11" t="s">
        <v>15940</v>
      </c>
      <c r="J411" s="12" t="str">
        <f t="shared" si="26"/>
        <v>(${Variables:E3_5_4_5_kcat} * E3_5_4_5 * C00001 * C00881)/(${Variables:E3_5_4_5_km} + (E3_5_4_5 * C00001 * C00881))</v>
      </c>
      <c r="K411" s="11" t="str">
        <f t="shared" si="27"/>
        <v>r410: C00001 + C00881 -&gt; C00014 + C00526 | (${Variables:E3_5_4_5_kcat} * E3_5_4_5 * C00001 * C00881)/(${Variables:E3_5_4_5_km} + (E3_5_4_5 * C00001 * C00881))</v>
      </c>
    </row>
    <row r="412" spans="1:11" ht="45" customHeight="1" x14ac:dyDescent="0.25">
      <c r="A412" t="s">
        <v>1815</v>
      </c>
      <c r="B412" t="s">
        <v>1816</v>
      </c>
      <c r="C412" s="5" t="s">
        <v>9512</v>
      </c>
      <c r="D412">
        <f t="shared" si="24"/>
        <v>411</v>
      </c>
      <c r="E412" t="str">
        <f t="shared" si="25"/>
        <v>E3_5_4_5</v>
      </c>
      <c r="F412" s="11" t="s">
        <v>14119</v>
      </c>
      <c r="G412" s="11" t="s">
        <v>14722</v>
      </c>
      <c r="H412" s="11" t="s">
        <v>15320</v>
      </c>
      <c r="I412" s="11" t="s">
        <v>15941</v>
      </c>
      <c r="J412" s="12" t="str">
        <f t="shared" si="26"/>
        <v>(${Variables:E3_5_4_5_kcat} * E3_5_4_5 * C00001 * C16635)/(${Variables:E3_5_4_5_km} + (E3_5_4_5 * C00001 * C16635))</v>
      </c>
      <c r="K412" s="11" t="str">
        <f t="shared" si="27"/>
        <v>r411: C00001 + C16635 -&gt; C00014 + C12739 | (${Variables:E3_5_4_5_kcat} * E3_5_4_5 * C00001 * C16635)/(${Variables:E3_5_4_5_km} + (E3_5_4_5 * C00001 * C16635))</v>
      </c>
    </row>
    <row r="413" spans="1:11" ht="45" customHeight="1" x14ac:dyDescent="0.25">
      <c r="A413" t="s">
        <v>1825</v>
      </c>
      <c r="B413" t="s">
        <v>1826</v>
      </c>
      <c r="C413" s="5" t="s">
        <v>9513</v>
      </c>
      <c r="D413">
        <f t="shared" si="24"/>
        <v>412</v>
      </c>
      <c r="E413" t="str">
        <f t="shared" si="25"/>
        <v>E4_3_1_17</v>
      </c>
      <c r="F413" s="11" t="s">
        <v>8143</v>
      </c>
      <c r="G413" s="11" t="s">
        <v>8143</v>
      </c>
      <c r="H413" s="11" t="s">
        <v>15216</v>
      </c>
      <c r="I413" s="11" t="s">
        <v>15837</v>
      </c>
      <c r="J413" s="12" t="str">
        <f t="shared" si="26"/>
        <v>(${Variables:E4_3_1_17_kcat} * E4_3_1_17 * C00065)/(${Variables:E4_3_1_17_km} + (E4_3_1_17 * C00065))</v>
      </c>
      <c r="K413" s="11" t="str">
        <f t="shared" si="27"/>
        <v>r412: C00065 -&gt; C00014 + C00022 | (${Variables:E4_3_1_17_kcat} * E4_3_1_17 * C00065)/(${Variables:E4_3_1_17_km} + (E4_3_1_17 * C00065))</v>
      </c>
    </row>
    <row r="414" spans="1:11" ht="45" customHeight="1" x14ac:dyDescent="0.25">
      <c r="A414" t="s">
        <v>1825</v>
      </c>
      <c r="B414" t="s">
        <v>1826</v>
      </c>
      <c r="C414" s="5" t="s">
        <v>9513</v>
      </c>
      <c r="D414">
        <f t="shared" si="24"/>
        <v>413</v>
      </c>
      <c r="E414" t="str">
        <f t="shared" si="25"/>
        <v>E4_3_1_17</v>
      </c>
      <c r="F414" s="11" t="s">
        <v>8143</v>
      </c>
      <c r="G414" s="11" t="s">
        <v>8143</v>
      </c>
      <c r="H414" s="11" t="s">
        <v>15321</v>
      </c>
      <c r="I414" s="11" t="s">
        <v>15942</v>
      </c>
      <c r="J414" s="12" t="str">
        <f t="shared" si="26"/>
        <v>(${Variables:E4_3_1_17_kcat} * E4_3_1_17 * C00065)/(${Variables:E4_3_1_17_km} + (E4_3_1_17 * C00065))</v>
      </c>
      <c r="K414" s="11" t="str">
        <f t="shared" si="27"/>
        <v>r413: C00065 -&gt; C00001 + C02218 | (${Variables:E4_3_1_17_kcat} * E4_3_1_17 * C00065)/(${Variables:E4_3_1_17_km} + (E4_3_1_17 * C00065))</v>
      </c>
    </row>
    <row r="415" spans="1:11" ht="45" customHeight="1" x14ac:dyDescent="0.25">
      <c r="A415" t="s">
        <v>1825</v>
      </c>
      <c r="B415" t="s">
        <v>1826</v>
      </c>
      <c r="C415" s="5" t="s">
        <v>9513</v>
      </c>
      <c r="D415">
        <f t="shared" si="24"/>
        <v>414</v>
      </c>
      <c r="E415" t="str">
        <f t="shared" si="25"/>
        <v>E4_3_1_17</v>
      </c>
      <c r="F415" s="11" t="s">
        <v>14120</v>
      </c>
      <c r="G415" s="11" t="s">
        <v>14723</v>
      </c>
      <c r="H415" s="11" t="s">
        <v>15216</v>
      </c>
      <c r="I415" s="11" t="s">
        <v>15837</v>
      </c>
      <c r="J415" s="12" t="str">
        <f t="shared" si="26"/>
        <v>(${Variables:E4_3_1_17_kcat} * E4_3_1_17 * C00001 * C20904)/(${Variables:E4_3_1_17_km} + (E4_3_1_17 * C00001 * C20904))</v>
      </c>
      <c r="K415" s="11" t="str">
        <f t="shared" si="27"/>
        <v>r414: C00001 + C20904 -&gt; C00014 + C00022 | (${Variables:E4_3_1_17_kcat} * E4_3_1_17 * C00001 * C20904)/(${Variables:E4_3_1_17_km} + (E4_3_1_17 * C00001 * C20904))</v>
      </c>
    </row>
    <row r="416" spans="1:11" ht="45" customHeight="1" x14ac:dyDescent="0.25">
      <c r="A416" t="s">
        <v>1825</v>
      </c>
      <c r="B416" t="s">
        <v>1826</v>
      </c>
      <c r="C416" s="5" t="s">
        <v>9513</v>
      </c>
      <c r="D416">
        <f t="shared" si="24"/>
        <v>415</v>
      </c>
      <c r="E416" t="str">
        <f t="shared" si="25"/>
        <v>E4_3_1_17</v>
      </c>
      <c r="F416" s="11" t="s">
        <v>8212</v>
      </c>
      <c r="G416" s="11" t="s">
        <v>8212</v>
      </c>
      <c r="H416" s="11" t="s">
        <v>8490</v>
      </c>
      <c r="I416" s="11" t="s">
        <v>8490</v>
      </c>
      <c r="J416" s="12" t="str">
        <f t="shared" si="26"/>
        <v>(${Variables:E4_3_1_17_kcat} * E4_3_1_17 * C02218)/(${Variables:E4_3_1_17_km} + (E4_3_1_17 * C02218))</v>
      </c>
      <c r="K416" s="11" t="str">
        <f t="shared" si="27"/>
        <v>r415: C02218 -&gt; C20904 | (${Variables:E4_3_1_17_kcat} * E4_3_1_17 * C02218)/(${Variables:E4_3_1_17_km} + (E4_3_1_17 * C02218))</v>
      </c>
    </row>
    <row r="417" spans="1:11" ht="45" customHeight="1" x14ac:dyDescent="0.25">
      <c r="A417" t="s">
        <v>1825</v>
      </c>
      <c r="B417" t="s">
        <v>1826</v>
      </c>
      <c r="C417" s="5" t="s">
        <v>9513</v>
      </c>
      <c r="D417">
        <f t="shared" si="24"/>
        <v>416</v>
      </c>
      <c r="E417" t="str">
        <f t="shared" si="25"/>
        <v>E4_3_1_17</v>
      </c>
      <c r="F417" s="11" t="s">
        <v>8144</v>
      </c>
      <c r="G417" s="11" t="s">
        <v>8144</v>
      </c>
      <c r="H417" s="11" t="s">
        <v>15217</v>
      </c>
      <c r="I417" s="11" t="s">
        <v>15838</v>
      </c>
      <c r="J417" s="12" t="str">
        <f t="shared" si="26"/>
        <v>(${Variables:E4_3_1_17_kcat} * E4_3_1_17 * C05167)/(${Variables:E4_3_1_17_km} + (E4_3_1_17 * C05167))</v>
      </c>
      <c r="K417" s="11" t="str">
        <f t="shared" si="27"/>
        <v>r416: C05167 -&gt; C00014 + C00161 | (${Variables:E4_3_1_17_kcat} * E4_3_1_17 * C05167)/(${Variables:E4_3_1_17_km} + (E4_3_1_17 * C05167))</v>
      </c>
    </row>
    <row r="418" spans="1:11" ht="45" customHeight="1" x14ac:dyDescent="0.25">
      <c r="A418" t="s">
        <v>1855</v>
      </c>
      <c r="B418" t="s">
        <v>1856</v>
      </c>
      <c r="C418" s="5" t="s">
        <v>9514</v>
      </c>
      <c r="D418">
        <f t="shared" si="24"/>
        <v>417</v>
      </c>
      <c r="E418" t="str">
        <f t="shared" si="25"/>
        <v>E3_5_4_26</v>
      </c>
      <c r="F418" s="11" t="s">
        <v>14121</v>
      </c>
      <c r="G418" s="11" t="s">
        <v>14724</v>
      </c>
      <c r="H418" s="11" t="s">
        <v>15322</v>
      </c>
      <c r="I418" s="11" t="s">
        <v>15943</v>
      </c>
      <c r="J418" s="12" t="str">
        <f t="shared" si="26"/>
        <v>(${Variables:E3_5_4_26_kcat} * E3_5_4_26 * C00001 * C01304)/(${Variables:E3_5_4_26_km} + (E3_5_4_26 * C00001 * C01304))</v>
      </c>
      <c r="K418" s="11" t="str">
        <f t="shared" si="27"/>
        <v>r417: C00001 + C01304 -&gt; C00014 + C01268 | (${Variables:E3_5_4_26_kcat} * E3_5_4_26 * C00001 * C01304)/(${Variables:E3_5_4_26_km} + (E3_5_4_26 * C00001 * C01304))</v>
      </c>
    </row>
    <row r="419" spans="1:11" ht="45" customHeight="1" x14ac:dyDescent="0.25">
      <c r="A419" t="s">
        <v>1858</v>
      </c>
      <c r="B419" t="s">
        <v>1859</v>
      </c>
      <c r="C419" s="5" t="s">
        <v>9515</v>
      </c>
      <c r="D419">
        <f t="shared" si="24"/>
        <v>418</v>
      </c>
      <c r="E419" t="str">
        <f t="shared" si="25"/>
        <v>E2_5_1_9</v>
      </c>
      <c r="F419" s="11" t="s">
        <v>8213</v>
      </c>
      <c r="G419" s="11" t="s">
        <v>8213</v>
      </c>
      <c r="H419" s="11" t="s">
        <v>9068</v>
      </c>
      <c r="I419" s="11" t="s">
        <v>9267</v>
      </c>
      <c r="J419" s="12" t="str">
        <f t="shared" si="26"/>
        <v>(${Variables:E2_5_1_9_kcat} * E2_5_1_9 * C04332)/(${Variables:E2_5_1_9_km} + (E2_5_1_9 * C04332))</v>
      </c>
      <c r="K419" s="11" t="str">
        <f t="shared" si="27"/>
        <v>r418: C04332 -&gt; C00255 + C04732 | (${Variables:E2_5_1_9_kcat} * E2_5_1_9 * C04332)/(${Variables:E2_5_1_9_km} + (E2_5_1_9 * C04332))</v>
      </c>
    </row>
    <row r="420" spans="1:11" ht="45" customHeight="1" x14ac:dyDescent="0.25">
      <c r="A420" t="s">
        <v>1861</v>
      </c>
      <c r="B420" t="s">
        <v>1862</v>
      </c>
      <c r="C420" s="5" t="s">
        <v>9516</v>
      </c>
      <c r="D420">
        <f t="shared" si="24"/>
        <v>419</v>
      </c>
      <c r="E420" t="str">
        <f t="shared" si="25"/>
        <v>E4_1_99_12</v>
      </c>
      <c r="F420" s="11" t="s">
        <v>8214</v>
      </c>
      <c r="G420" s="11" t="s">
        <v>8214</v>
      </c>
      <c r="H420" s="11" t="s">
        <v>15323</v>
      </c>
      <c r="I420" s="11" t="s">
        <v>15944</v>
      </c>
      <c r="J420" s="12" t="str">
        <f t="shared" si="26"/>
        <v>(${Variables:E4_1_99_12_kcat} * E4_1_99_12 * C00199)/(${Variables:E4_1_99_12_km} + (E4_1_99_12 * C00199))</v>
      </c>
      <c r="K420" s="11" t="str">
        <f t="shared" si="27"/>
        <v>r419: C00199 -&gt; C00058 + C15556 | (${Variables:E4_1_99_12_kcat} * E4_1_99_12 * C00199)/(${Variables:E4_1_99_12_km} + (E4_1_99_12 * C00199))</v>
      </c>
    </row>
    <row r="421" spans="1:11" ht="45" customHeight="1" x14ac:dyDescent="0.25">
      <c r="A421" t="s">
        <v>1871</v>
      </c>
      <c r="B421" t="s">
        <v>1872</v>
      </c>
      <c r="C421" s="5" t="s">
        <v>9517</v>
      </c>
      <c r="D421">
        <f t="shared" si="24"/>
        <v>420</v>
      </c>
      <c r="E421" t="str">
        <f t="shared" si="25"/>
        <v>E5_4_99_2</v>
      </c>
      <c r="F421" s="11" t="s">
        <v>8215</v>
      </c>
      <c r="G421" s="11" t="s">
        <v>8215</v>
      </c>
      <c r="H421" s="11" t="s">
        <v>8492</v>
      </c>
      <c r="I421" s="11" t="s">
        <v>8492</v>
      </c>
      <c r="J421" s="12" t="str">
        <f t="shared" si="26"/>
        <v>(${Variables:E5_4_99_2_kcat} * E5_4_99_2 * C01213)/(${Variables:E5_4_99_2_km} + (E5_4_99_2 * C01213))</v>
      </c>
      <c r="K421" s="11" t="str">
        <f t="shared" si="27"/>
        <v>r420: C01213 -&gt; C00091 | (${Variables:E5_4_99_2_kcat} * E5_4_99_2 * C01213)/(${Variables:E5_4_99_2_km} + (E5_4_99_2 * C01213))</v>
      </c>
    </row>
    <row r="422" spans="1:11" ht="45" customHeight="1" x14ac:dyDescent="0.25">
      <c r="A422" t="s">
        <v>1874</v>
      </c>
      <c r="B422" t="s">
        <v>1875</v>
      </c>
      <c r="C422" s="5" t="s">
        <v>9517</v>
      </c>
      <c r="D422">
        <f t="shared" si="24"/>
        <v>421</v>
      </c>
      <c r="E422" t="str">
        <f t="shared" si="25"/>
        <v>E5_4_99_2</v>
      </c>
      <c r="F422" s="11" t="s">
        <v>8215</v>
      </c>
      <c r="G422" s="11" t="s">
        <v>8215</v>
      </c>
      <c r="H422" s="11" t="s">
        <v>8492</v>
      </c>
      <c r="I422" s="11" t="s">
        <v>8492</v>
      </c>
      <c r="J422" s="12" t="str">
        <f t="shared" si="26"/>
        <v>(${Variables:E5_4_99_2_kcat} * E5_4_99_2 * C01213)/(${Variables:E5_4_99_2_km} + (E5_4_99_2 * C01213))</v>
      </c>
      <c r="K422" s="11" t="str">
        <f t="shared" si="27"/>
        <v>r421: C01213 -&gt; C00091 | (${Variables:E5_4_99_2_kcat} * E5_4_99_2 * C01213)/(${Variables:E5_4_99_2_km} + (E5_4_99_2 * C01213))</v>
      </c>
    </row>
    <row r="423" spans="1:11" ht="45" customHeight="1" x14ac:dyDescent="0.25">
      <c r="A423" t="s">
        <v>1880</v>
      </c>
      <c r="B423" t="s">
        <v>1881</v>
      </c>
      <c r="C423" s="5" t="s">
        <v>9518</v>
      </c>
      <c r="D423">
        <f t="shared" si="24"/>
        <v>422</v>
      </c>
      <c r="E423" t="str">
        <f t="shared" si="25"/>
        <v>E6_1_1_6</v>
      </c>
      <c r="F423" s="11" t="s">
        <v>8709</v>
      </c>
      <c r="G423" s="11" t="s">
        <v>8875</v>
      </c>
      <c r="H423" s="11" t="s">
        <v>15324</v>
      </c>
      <c r="I423" s="11" t="s">
        <v>15945</v>
      </c>
      <c r="J423" s="12" t="str">
        <f t="shared" si="26"/>
        <v>(${Variables:E6_1_1_6_kcat} * E6_1_1_6 * C00002 * C00047 * C01646)/(${Variables:E6_1_1_6_km} + (E6_1_1_6 * C00002 * C00047 * C01646))</v>
      </c>
      <c r="K423" s="11" t="str">
        <f t="shared" si="27"/>
        <v>r422: C00002 + C00047 + C01646 -&gt; C00013 + C00020 + C01931 | (${Variables:E6_1_1_6_kcat} * E6_1_1_6 * C00002 * C00047 * C01646)/(${Variables:E6_1_1_6_km} + (E6_1_1_6 * C00002 * C00047 * C01646))</v>
      </c>
    </row>
    <row r="424" spans="1:11" ht="45" customHeight="1" x14ac:dyDescent="0.25">
      <c r="A424" t="s">
        <v>1888</v>
      </c>
      <c r="B424" t="s">
        <v>1889</v>
      </c>
      <c r="C424" s="5" t="s">
        <v>9519</v>
      </c>
      <c r="D424">
        <f t="shared" si="24"/>
        <v>423</v>
      </c>
      <c r="E424" t="str">
        <f t="shared" si="25"/>
        <v>E2_7_1_107</v>
      </c>
      <c r="F424" s="11" t="s">
        <v>8710</v>
      </c>
      <c r="G424" s="11" t="s">
        <v>8876</v>
      </c>
      <c r="H424" s="11" t="s">
        <v>9069</v>
      </c>
      <c r="I424" s="11" t="s">
        <v>9268</v>
      </c>
      <c r="J424" s="12" t="str">
        <f t="shared" si="26"/>
        <v>(${Variables:E2_7_1_107_kcat} * E2_7_1_107 * C00002 * C00641)/(${Variables:E2_7_1_107_km} + (E2_7_1_107 * C00002 * C00641))</v>
      </c>
      <c r="K424" s="11" t="str">
        <f t="shared" si="27"/>
        <v>r423: C00002 + C00641 -&gt; C00008 + C00416 | (${Variables:E2_7_1_107_kcat} * E2_7_1_107 * C00002 * C00641)/(${Variables:E2_7_1_107_km} + (E2_7_1_107 * C00002 * C00641))</v>
      </c>
    </row>
    <row r="425" spans="1:11" ht="45" customHeight="1" x14ac:dyDescent="0.25">
      <c r="A425" t="s">
        <v>1903</v>
      </c>
      <c r="B425" t="s">
        <v>1904</v>
      </c>
      <c r="C425" s="5" t="s">
        <v>9520</v>
      </c>
      <c r="D425">
        <f t="shared" si="24"/>
        <v>424</v>
      </c>
      <c r="E425" t="str">
        <f t="shared" si="25"/>
        <v>E1_1_1_25</v>
      </c>
      <c r="F425" s="11" t="s">
        <v>14122</v>
      </c>
      <c r="G425" s="11" t="s">
        <v>14725</v>
      </c>
      <c r="H425" s="11" t="s">
        <v>15325</v>
      </c>
      <c r="I425" s="11" t="s">
        <v>15946</v>
      </c>
      <c r="J425" s="12" t="str">
        <f t="shared" si="26"/>
        <v>(${Variables:E1_1_1_25_kcat} * E1_1_1_25 * C00006 * C00493)/(${Variables:E1_1_1_25_km} + (E1_1_1_25 * C00006 * C00493))</v>
      </c>
      <c r="K425" s="11" t="str">
        <f t="shared" si="27"/>
        <v>r424: C00006 + C00493 -&gt; C00005 + C00080 + C02637 | (${Variables:E1_1_1_25_kcat} * E1_1_1_25 * C00006 * C00493)/(${Variables:E1_1_1_25_km} + (E1_1_1_25 * C00006 * C00493))</v>
      </c>
    </row>
    <row r="426" spans="1:11" ht="45" customHeight="1" x14ac:dyDescent="0.25">
      <c r="A426" t="s">
        <v>1903</v>
      </c>
      <c r="B426" t="s">
        <v>1904</v>
      </c>
      <c r="C426" s="5" t="s">
        <v>9520</v>
      </c>
      <c r="D426">
        <f t="shared" si="24"/>
        <v>425</v>
      </c>
      <c r="E426" t="str">
        <f t="shared" si="25"/>
        <v>E1_1_1_25</v>
      </c>
      <c r="F426" s="11" t="s">
        <v>14123</v>
      </c>
      <c r="G426" s="11" t="s">
        <v>14726</v>
      </c>
      <c r="H426" s="11" t="s">
        <v>15326</v>
      </c>
      <c r="I426" s="11" t="s">
        <v>15947</v>
      </c>
      <c r="J426" s="12" t="str">
        <f t="shared" si="26"/>
        <v>(${Variables:E1_1_1_25_kcat} * E1_1_1_25 * C00006 * C02637)/(${Variables:E1_1_1_25_km} + (E1_1_1_25 * C00006 * C02637))</v>
      </c>
      <c r="K426" s="11" t="str">
        <f t="shared" si="27"/>
        <v>r425: C00006 + C02637 -&gt; C00005 + C00080 + C22438 | (${Variables:E1_1_1_25_kcat} * E1_1_1_25 * C00006 * C02637)/(${Variables:E1_1_1_25_km} + (E1_1_1_25 * C00006 * C02637))</v>
      </c>
    </row>
    <row r="427" spans="1:11" ht="45" customHeight="1" x14ac:dyDescent="0.25">
      <c r="A427" t="s">
        <v>1906</v>
      </c>
      <c r="B427" t="s">
        <v>1907</v>
      </c>
      <c r="C427" s="5" t="s">
        <v>9386</v>
      </c>
      <c r="D427">
        <f t="shared" si="24"/>
        <v>426</v>
      </c>
      <c r="E427" t="str">
        <f t="shared" si="25"/>
        <v>E2_7_7_7</v>
      </c>
      <c r="F427" s="11" t="s">
        <v>13933</v>
      </c>
      <c r="G427" s="11" t="s">
        <v>14536</v>
      </c>
      <c r="H427" s="11" t="s">
        <v>8988</v>
      </c>
      <c r="I427" s="11" t="s">
        <v>9187</v>
      </c>
      <c r="J427" s="12" t="str">
        <f t="shared" si="26"/>
        <v>(${Variables:E2_7_7_7_kcat} * E2_7_7_7 * C00039 * C00677)/(${Variables:E2_7_7_7_km} + (E2_7_7_7 * C00039 * C00677))</v>
      </c>
      <c r="K427" s="11" t="str">
        <f t="shared" si="27"/>
        <v>r426: C00039 + C00677 -&gt; C00013 + C00039 | (${Variables:E2_7_7_7_kcat} * E2_7_7_7 * C00039 * C00677)/(${Variables:E2_7_7_7_km} + (E2_7_7_7 * C00039 * C00677))</v>
      </c>
    </row>
    <row r="428" spans="1:11" ht="45" customHeight="1" x14ac:dyDescent="0.25">
      <c r="A428" t="s">
        <v>1906</v>
      </c>
      <c r="B428" t="s">
        <v>1907</v>
      </c>
      <c r="C428" s="5" t="s">
        <v>9386</v>
      </c>
      <c r="D428">
        <f t="shared" si="24"/>
        <v>427</v>
      </c>
      <c r="E428" t="str">
        <f t="shared" si="25"/>
        <v>E2_7_7_7</v>
      </c>
      <c r="F428" s="11" t="s">
        <v>13934</v>
      </c>
      <c r="G428" s="11" t="s">
        <v>14537</v>
      </c>
      <c r="H428" s="11" t="s">
        <v>8988</v>
      </c>
      <c r="I428" s="11" t="s">
        <v>9187</v>
      </c>
      <c r="J428" s="12" t="str">
        <f t="shared" si="26"/>
        <v>(${Variables:E2_7_7_7_kcat} * E2_7_7_7 * C00039 * C00131)/(${Variables:E2_7_7_7_km} + (E2_7_7_7 * C00039 * C00131))</v>
      </c>
      <c r="K428" s="11" t="str">
        <f t="shared" si="27"/>
        <v>r427: C00039 + C00131 -&gt; C00013 + C00039 | (${Variables:E2_7_7_7_kcat} * E2_7_7_7 * C00039 * C00131)/(${Variables:E2_7_7_7_km} + (E2_7_7_7 * C00039 * C00131))</v>
      </c>
    </row>
    <row r="429" spans="1:11" ht="45" customHeight="1" x14ac:dyDescent="0.25">
      <c r="A429" t="s">
        <v>1906</v>
      </c>
      <c r="B429" t="s">
        <v>1907</v>
      </c>
      <c r="C429" s="5" t="s">
        <v>9386</v>
      </c>
      <c r="D429">
        <f t="shared" si="24"/>
        <v>428</v>
      </c>
      <c r="E429" t="str">
        <f t="shared" si="25"/>
        <v>E2_7_7_7</v>
      </c>
      <c r="F429" s="11" t="s">
        <v>13935</v>
      </c>
      <c r="G429" s="11" t="s">
        <v>14538</v>
      </c>
      <c r="H429" s="11" t="s">
        <v>8988</v>
      </c>
      <c r="I429" s="11" t="s">
        <v>9187</v>
      </c>
      <c r="J429" s="12" t="str">
        <f t="shared" si="26"/>
        <v>(${Variables:E2_7_7_7_kcat} * E2_7_7_7 * C00039 * C00286)/(${Variables:E2_7_7_7_km} + (E2_7_7_7 * C00039 * C00286))</v>
      </c>
      <c r="K429" s="11" t="str">
        <f t="shared" si="27"/>
        <v>r428: C00039 + C00286 -&gt; C00013 + C00039 | (${Variables:E2_7_7_7_kcat} * E2_7_7_7 * C00039 * C00286)/(${Variables:E2_7_7_7_km} + (E2_7_7_7 * C00039 * C00286))</v>
      </c>
    </row>
    <row r="430" spans="1:11" ht="45" customHeight="1" x14ac:dyDescent="0.25">
      <c r="A430" t="s">
        <v>1906</v>
      </c>
      <c r="B430" t="s">
        <v>1907</v>
      </c>
      <c r="C430" s="5" t="s">
        <v>9386</v>
      </c>
      <c r="D430">
        <f t="shared" si="24"/>
        <v>429</v>
      </c>
      <c r="E430" t="str">
        <f t="shared" si="25"/>
        <v>E2_7_7_7</v>
      </c>
      <c r="F430" s="11" t="s">
        <v>13936</v>
      </c>
      <c r="G430" s="11" t="s">
        <v>14539</v>
      </c>
      <c r="H430" s="11" t="s">
        <v>8988</v>
      </c>
      <c r="I430" s="11" t="s">
        <v>9187</v>
      </c>
      <c r="J430" s="12" t="str">
        <f t="shared" si="26"/>
        <v>(${Variables:E2_7_7_7_kcat} * E2_7_7_7 * C00039 * C00458)/(${Variables:E2_7_7_7_km} + (E2_7_7_7 * C00039 * C00458))</v>
      </c>
      <c r="K430" s="11" t="str">
        <f t="shared" si="27"/>
        <v>r429: C00039 + C00458 -&gt; C00013 + C00039 | (${Variables:E2_7_7_7_kcat} * E2_7_7_7 * C00039 * C00458)/(${Variables:E2_7_7_7_km} + (E2_7_7_7 * C00039 * C00458))</v>
      </c>
    </row>
    <row r="431" spans="1:11" ht="45" customHeight="1" x14ac:dyDescent="0.25">
      <c r="A431" t="s">
        <v>1906</v>
      </c>
      <c r="B431" t="s">
        <v>1907</v>
      </c>
      <c r="C431" s="5" t="s">
        <v>9386</v>
      </c>
      <c r="D431">
        <f t="shared" si="24"/>
        <v>430</v>
      </c>
      <c r="E431" t="str">
        <f t="shared" si="25"/>
        <v>E2_7_7_7</v>
      </c>
      <c r="F431" s="11" t="s">
        <v>13937</v>
      </c>
      <c r="G431" s="11" t="s">
        <v>14540</v>
      </c>
      <c r="H431" s="11" t="s">
        <v>8988</v>
      </c>
      <c r="I431" s="11" t="s">
        <v>9187</v>
      </c>
      <c r="J431" s="12" t="str">
        <f t="shared" si="26"/>
        <v>(${Variables:E2_7_7_7_kcat} * E2_7_7_7 * C00039 * C00459)/(${Variables:E2_7_7_7_km} + (E2_7_7_7 * C00039 * C00459))</v>
      </c>
      <c r="K431" s="11" t="str">
        <f t="shared" si="27"/>
        <v>r430: C00039 + C00459 -&gt; C00013 + C00039 | (${Variables:E2_7_7_7_kcat} * E2_7_7_7 * C00039 * C00459)/(${Variables:E2_7_7_7_km} + (E2_7_7_7 * C00039 * C00459))</v>
      </c>
    </row>
    <row r="432" spans="1:11" ht="45" customHeight="1" x14ac:dyDescent="0.25">
      <c r="A432" t="s">
        <v>1906</v>
      </c>
      <c r="B432" t="s">
        <v>1907</v>
      </c>
      <c r="C432" s="5" t="s">
        <v>9386</v>
      </c>
      <c r="D432">
        <f t="shared" si="24"/>
        <v>431</v>
      </c>
      <c r="E432" t="str">
        <f t="shared" si="25"/>
        <v>E2_7_7_7</v>
      </c>
      <c r="F432" s="11" t="s">
        <v>8088</v>
      </c>
      <c r="G432" s="11" t="s">
        <v>8088</v>
      </c>
      <c r="H432" s="11" t="s">
        <v>8391</v>
      </c>
      <c r="I432" s="11" t="s">
        <v>8391</v>
      </c>
      <c r="J432" s="12" t="str">
        <f t="shared" si="26"/>
        <v>(${Variables:E2_7_7_7_kcat} * E2_7_7_7 * C11039)/(${Variables:E2_7_7_7_km} + (E2_7_7_7 * C11039))</v>
      </c>
      <c r="K432" s="11" t="str">
        <f t="shared" si="27"/>
        <v>r431: C11039 -&gt; C21031 | (${Variables:E2_7_7_7_kcat} * E2_7_7_7 * C11039)/(${Variables:E2_7_7_7_km} + (E2_7_7_7 * C11039))</v>
      </c>
    </row>
    <row r="433" spans="1:11" ht="45" customHeight="1" x14ac:dyDescent="0.25">
      <c r="A433" t="s">
        <v>1910</v>
      </c>
      <c r="B433" t="s">
        <v>1911</v>
      </c>
      <c r="C433" s="5" t="s">
        <v>9505</v>
      </c>
      <c r="D433">
        <f t="shared" si="24"/>
        <v>432</v>
      </c>
      <c r="E433" t="str">
        <f t="shared" si="25"/>
        <v>E5_4_2_10</v>
      </c>
      <c r="F433" s="11" t="s">
        <v>8209</v>
      </c>
      <c r="G433" s="11" t="s">
        <v>8209</v>
      </c>
      <c r="H433" s="11" t="s">
        <v>8487</v>
      </c>
      <c r="I433" s="11" t="s">
        <v>8487</v>
      </c>
      <c r="J433" s="12" t="str">
        <f t="shared" si="26"/>
        <v>(${Variables:E5_4_2_10_kcat} * E5_4_2_10 * C06156)/(${Variables:E5_4_2_10_km} + (E5_4_2_10 * C06156))</v>
      </c>
      <c r="K433" s="11" t="str">
        <f t="shared" si="27"/>
        <v>r432: C06156 -&gt; C00352 | (${Variables:E5_4_2_10_kcat} * E5_4_2_10 * C06156)/(${Variables:E5_4_2_10_km} + (E5_4_2_10 * C06156))</v>
      </c>
    </row>
    <row r="434" spans="1:11" ht="45" customHeight="1" x14ac:dyDescent="0.25">
      <c r="A434" t="s">
        <v>1919</v>
      </c>
      <c r="B434" t="s">
        <v>1920</v>
      </c>
      <c r="C434" s="5" t="s">
        <v>9521</v>
      </c>
      <c r="D434">
        <f t="shared" si="24"/>
        <v>433</v>
      </c>
      <c r="E434" t="str">
        <f t="shared" si="25"/>
        <v>E2_6_1_11</v>
      </c>
      <c r="F434" s="11" t="s">
        <v>14124</v>
      </c>
      <c r="G434" s="11" t="s">
        <v>14727</v>
      </c>
      <c r="H434" s="11" t="s">
        <v>15327</v>
      </c>
      <c r="I434" s="11" t="s">
        <v>15948</v>
      </c>
      <c r="J434" s="12" t="str">
        <f t="shared" si="26"/>
        <v>(${Variables:E2_6_1_11_kcat} * E2_6_1_11 * C00026 * C00437)/(${Variables:E2_6_1_11_km} + (E2_6_1_11 * C00026 * C00437))</v>
      </c>
      <c r="K434" s="11" t="str">
        <f t="shared" si="27"/>
        <v>r433: C00026 + C00437 -&gt; C00025 + C01250 | (${Variables:E2_6_1_11_kcat} * E2_6_1_11 * C00026 * C00437)/(${Variables:E2_6_1_11_km} + (E2_6_1_11 * C00026 * C00437))</v>
      </c>
    </row>
    <row r="435" spans="1:11" ht="45" customHeight="1" x14ac:dyDescent="0.25">
      <c r="A435" t="s">
        <v>1927</v>
      </c>
      <c r="B435" t="s">
        <v>1928</v>
      </c>
      <c r="C435" s="5" t="s">
        <v>9522</v>
      </c>
      <c r="D435">
        <f t="shared" si="24"/>
        <v>434</v>
      </c>
      <c r="E435" t="str">
        <f t="shared" si="25"/>
        <v>E2_7_7_72</v>
      </c>
      <c r="F435" s="11" t="s">
        <v>14125</v>
      </c>
      <c r="G435" s="11" t="s">
        <v>14728</v>
      </c>
      <c r="H435" s="11" t="s">
        <v>15328</v>
      </c>
      <c r="I435" s="11" t="s">
        <v>15949</v>
      </c>
      <c r="J435" s="12" t="str">
        <f t="shared" si="26"/>
        <v>(${Variables:E2_7_7_72_kcat} * E2_7_7_72 * C00002 * C00063 * C02211)/(${Variables:E2_7_7_72_km} + (E2_7_7_72 * C00002 * C00063 * C02211))</v>
      </c>
      <c r="K435" s="11" t="str">
        <f t="shared" si="27"/>
        <v>r434: C00002 + C00063 + C02211 -&gt; C00013 + C19085 | (${Variables:E2_7_7_72_kcat} * E2_7_7_72 * C00002 * C00063 * C02211)/(${Variables:E2_7_7_72_km} + (E2_7_7_72 * C00002 * C00063 * C02211))</v>
      </c>
    </row>
    <row r="436" spans="1:11" ht="45" customHeight="1" x14ac:dyDescent="0.25">
      <c r="A436" t="s">
        <v>1927</v>
      </c>
      <c r="B436" t="s">
        <v>1928</v>
      </c>
      <c r="C436" s="5" t="s">
        <v>9522</v>
      </c>
      <c r="D436">
        <f t="shared" si="24"/>
        <v>435</v>
      </c>
      <c r="E436" t="str">
        <f t="shared" si="25"/>
        <v>E2_7_7_72</v>
      </c>
      <c r="F436" s="11" t="s">
        <v>14126</v>
      </c>
      <c r="G436" s="11" t="s">
        <v>14729</v>
      </c>
      <c r="H436" s="11" t="s">
        <v>15329</v>
      </c>
      <c r="I436" s="11" t="s">
        <v>15950</v>
      </c>
      <c r="J436" s="12" t="str">
        <f t="shared" si="26"/>
        <v>(${Variables:E2_7_7_72_kcat} * E2_7_7_72 * C00063 * C02211)/(${Variables:E2_7_7_72_km} + (E2_7_7_72 * C00063 * C02211))</v>
      </c>
      <c r="K436" s="11" t="str">
        <f t="shared" si="27"/>
        <v>r435: C00063 + C02211 -&gt; C00013 + C19078 | (${Variables:E2_7_7_72_kcat} * E2_7_7_72 * C00063 * C02211)/(${Variables:E2_7_7_72_km} + (E2_7_7_72 * C00063 * C02211))</v>
      </c>
    </row>
    <row r="437" spans="1:11" ht="45" customHeight="1" x14ac:dyDescent="0.25">
      <c r="A437" t="s">
        <v>1927</v>
      </c>
      <c r="B437" t="s">
        <v>1928</v>
      </c>
      <c r="C437" s="5" t="s">
        <v>9522</v>
      </c>
      <c r="D437">
        <f t="shared" si="24"/>
        <v>436</v>
      </c>
      <c r="E437" t="str">
        <f t="shared" si="25"/>
        <v>E2_7_7_72</v>
      </c>
      <c r="F437" s="11" t="s">
        <v>14127</v>
      </c>
      <c r="G437" s="11" t="s">
        <v>14730</v>
      </c>
      <c r="H437" s="11" t="s">
        <v>15330</v>
      </c>
      <c r="I437" s="11" t="s">
        <v>15951</v>
      </c>
      <c r="J437" s="12" t="str">
        <f t="shared" si="26"/>
        <v>(${Variables:E2_7_7_72_kcat} * E2_7_7_72 * C00063 * C19078)/(${Variables:E2_7_7_72_km} + (E2_7_7_72 * C00063 * C19078))</v>
      </c>
      <c r="K437" s="11" t="str">
        <f t="shared" si="27"/>
        <v>r436: C00063 + C19078 -&gt; C00013 + C19080 | (${Variables:E2_7_7_72_kcat} * E2_7_7_72 * C00063 * C19078)/(${Variables:E2_7_7_72_km} + (E2_7_7_72 * C00063 * C19078))</v>
      </c>
    </row>
    <row r="438" spans="1:11" ht="45" customHeight="1" x14ac:dyDescent="0.25">
      <c r="A438" t="s">
        <v>1927</v>
      </c>
      <c r="B438" t="s">
        <v>1928</v>
      </c>
      <c r="C438" s="5" t="s">
        <v>9522</v>
      </c>
      <c r="D438">
        <f t="shared" si="24"/>
        <v>437</v>
      </c>
      <c r="E438" t="str">
        <f t="shared" si="25"/>
        <v>E2_7_7_72</v>
      </c>
      <c r="F438" s="11" t="s">
        <v>14128</v>
      </c>
      <c r="G438" s="11" t="s">
        <v>14731</v>
      </c>
      <c r="H438" s="11" t="s">
        <v>15328</v>
      </c>
      <c r="I438" s="11" t="s">
        <v>15949</v>
      </c>
      <c r="J438" s="12" t="str">
        <f t="shared" si="26"/>
        <v>(${Variables:E2_7_7_72_kcat} * E2_7_7_72 * C00002 * C19080)/(${Variables:E2_7_7_72_km} + (E2_7_7_72 * C00002 * C19080))</v>
      </c>
      <c r="K438" s="11" t="str">
        <f t="shared" si="27"/>
        <v>r437: C00002 + C19080 -&gt; C00013 + C19085 | (${Variables:E2_7_7_72_kcat} * E2_7_7_72 * C00002 * C19080)/(${Variables:E2_7_7_72_km} + (E2_7_7_72 * C00002 * C19080))</v>
      </c>
    </row>
    <row r="439" spans="1:11" ht="45" customHeight="1" x14ac:dyDescent="0.25">
      <c r="A439" t="s">
        <v>1930</v>
      </c>
      <c r="B439" t="s">
        <v>1931</v>
      </c>
      <c r="C439" s="5" t="s">
        <v>9523</v>
      </c>
      <c r="D439">
        <f t="shared" si="24"/>
        <v>438</v>
      </c>
      <c r="E439" t="str">
        <f t="shared" si="25"/>
        <v>E2_7_1_24</v>
      </c>
      <c r="F439" s="11" t="s">
        <v>8711</v>
      </c>
      <c r="G439" s="11" t="s">
        <v>8877</v>
      </c>
      <c r="H439" s="11" t="s">
        <v>9070</v>
      </c>
      <c r="I439" s="11" t="s">
        <v>9269</v>
      </c>
      <c r="J439" s="12" t="str">
        <f t="shared" si="26"/>
        <v>(${Variables:E2_7_1_24_kcat} * E2_7_1_24 * C00002 * C00882)/(${Variables:E2_7_1_24_km} + (E2_7_1_24 * C00002 * C00882))</v>
      </c>
      <c r="K439" s="11" t="str">
        <f t="shared" si="27"/>
        <v>r438: C00002 + C00882 -&gt; C00008 + C00010 | (${Variables:E2_7_1_24_kcat} * E2_7_1_24 * C00002 * C00882)/(${Variables:E2_7_1_24_km} + (E2_7_1_24 * C00002 * C00882))</v>
      </c>
    </row>
    <row r="440" spans="1:11" ht="45" customHeight="1" x14ac:dyDescent="0.25">
      <c r="A440" t="s">
        <v>1941</v>
      </c>
      <c r="B440" t="s">
        <v>1942</v>
      </c>
      <c r="C440" s="5" t="s">
        <v>9422</v>
      </c>
      <c r="D440">
        <f t="shared" si="24"/>
        <v>439</v>
      </c>
      <c r="E440" t="str">
        <f t="shared" si="25"/>
        <v>E4_3_2_1</v>
      </c>
      <c r="F440" s="11" t="s">
        <v>8136</v>
      </c>
      <c r="G440" s="11" t="s">
        <v>8136</v>
      </c>
      <c r="H440" s="11" t="s">
        <v>15212</v>
      </c>
      <c r="I440" s="11" t="s">
        <v>15833</v>
      </c>
      <c r="J440" s="12" t="str">
        <f t="shared" si="26"/>
        <v>(${Variables:E4_3_2_1_kcat} * E4_3_2_1 * C03406)/(${Variables:E4_3_2_1_km} + (E4_3_2_1 * C03406))</v>
      </c>
      <c r="K440" s="11" t="str">
        <f t="shared" si="27"/>
        <v>r439: C03406 -&gt; C00062 + C00122 | (${Variables:E4_3_2_1_kcat} * E4_3_2_1 * C03406)/(${Variables:E4_3_2_1_km} + (E4_3_2_1 * C03406))</v>
      </c>
    </row>
    <row r="441" spans="1:11" ht="45" customHeight="1" x14ac:dyDescent="0.25">
      <c r="A441" t="s">
        <v>1944</v>
      </c>
      <c r="B441" t="s">
        <v>1945</v>
      </c>
      <c r="C441" s="5" t="s">
        <v>9524</v>
      </c>
      <c r="D441">
        <f t="shared" si="24"/>
        <v>440</v>
      </c>
      <c r="E441" t="str">
        <f t="shared" si="25"/>
        <v>E5_1_3_2</v>
      </c>
      <c r="F441" s="11" t="s">
        <v>8219</v>
      </c>
      <c r="G441" s="11" t="s">
        <v>8219</v>
      </c>
      <c r="H441" s="11" t="s">
        <v>8495</v>
      </c>
      <c r="I441" s="11" t="s">
        <v>8495</v>
      </c>
      <c r="J441" s="12" t="str">
        <f t="shared" si="26"/>
        <v>(${Variables:E5_1_3_2_kcat} * E5_1_3_2 * C00029)/(${Variables:E5_1_3_2_km} + (E5_1_3_2 * C00029))</v>
      </c>
      <c r="K441" s="11" t="str">
        <f t="shared" si="27"/>
        <v>r440: C00029 -&gt; C00052 | (${Variables:E5_1_3_2_kcat} * E5_1_3_2 * C00029)/(${Variables:E5_1_3_2_km} + (E5_1_3_2 * C00029))</v>
      </c>
    </row>
    <row r="442" spans="1:11" ht="45" customHeight="1" x14ac:dyDescent="0.25">
      <c r="A442" t="s">
        <v>1944</v>
      </c>
      <c r="B442" t="s">
        <v>1945</v>
      </c>
      <c r="C442" s="5" t="s">
        <v>9524</v>
      </c>
      <c r="D442">
        <f t="shared" si="24"/>
        <v>441</v>
      </c>
      <c r="E442" t="str">
        <f t="shared" si="25"/>
        <v>E5_1_3_2</v>
      </c>
      <c r="F442" s="11" t="s">
        <v>8208</v>
      </c>
      <c r="G442" s="11" t="s">
        <v>8208</v>
      </c>
      <c r="H442" s="11" t="s">
        <v>8496</v>
      </c>
      <c r="I442" s="11" t="s">
        <v>8496</v>
      </c>
      <c r="J442" s="12" t="str">
        <f t="shared" si="26"/>
        <v>(${Variables:E5_1_3_2_kcat} * E5_1_3_2 * C00043)/(${Variables:E5_1_3_2_km} + (E5_1_3_2 * C00043))</v>
      </c>
      <c r="K442" s="11" t="str">
        <f t="shared" si="27"/>
        <v>r441: C00043 -&gt; C00203 | (${Variables:E5_1_3_2_kcat} * E5_1_3_2 * C00043)/(${Variables:E5_1_3_2_km} + (E5_1_3_2 * C00043))</v>
      </c>
    </row>
    <row r="443" spans="1:11" ht="45" customHeight="1" x14ac:dyDescent="0.25">
      <c r="A443" t="s">
        <v>1944</v>
      </c>
      <c r="B443" t="s">
        <v>1945</v>
      </c>
      <c r="C443" s="5" t="s">
        <v>9524</v>
      </c>
      <c r="D443">
        <f t="shared" si="24"/>
        <v>442</v>
      </c>
      <c r="E443" t="str">
        <f t="shared" si="25"/>
        <v>E5_1_3_2</v>
      </c>
      <c r="F443" s="11" t="s">
        <v>8220</v>
      </c>
      <c r="G443" s="11" t="s">
        <v>8220</v>
      </c>
      <c r="H443" s="11" t="s">
        <v>8497</v>
      </c>
      <c r="I443" s="11" t="s">
        <v>8497</v>
      </c>
      <c r="J443" s="12" t="str">
        <f t="shared" si="26"/>
        <v>(${Variables:E5_1_3_2_kcat} * E5_1_3_2 * C00842)/(${Variables:E5_1_3_2_km} + (E5_1_3_2 * C00842))</v>
      </c>
      <c r="K443" s="11" t="str">
        <f t="shared" si="27"/>
        <v>r442: C00842 -&gt; C02097 | (${Variables:E5_1_3_2_kcat} * E5_1_3_2 * C00842)/(${Variables:E5_1_3_2_km} + (E5_1_3_2 * C00842))</v>
      </c>
    </row>
    <row r="444" spans="1:11" ht="45" customHeight="1" x14ac:dyDescent="0.25">
      <c r="A444" t="s">
        <v>1963</v>
      </c>
      <c r="B444" t="s">
        <v>1964</v>
      </c>
      <c r="C444" s="5" t="s">
        <v>9440</v>
      </c>
      <c r="D444">
        <f t="shared" si="24"/>
        <v>443</v>
      </c>
      <c r="E444" t="str">
        <f t="shared" si="25"/>
        <v>E2_7_7_8</v>
      </c>
      <c r="F444" s="11" t="s">
        <v>14023</v>
      </c>
      <c r="G444" s="11" t="s">
        <v>14626</v>
      </c>
      <c r="H444" s="11" t="s">
        <v>9022</v>
      </c>
      <c r="I444" s="11" t="s">
        <v>9221</v>
      </c>
      <c r="J444" s="12" t="str">
        <f t="shared" si="26"/>
        <v>(${Variables:E2_7_7_8_kcat} * E2_7_7_8 * C00009 * C00046)/(${Variables:E2_7_7_8_km} + (E2_7_7_8 * C00009 * C00046))</v>
      </c>
      <c r="K444" s="11" t="str">
        <f t="shared" si="27"/>
        <v>r443: C00009 + C00046 -&gt; C00046 + C00454 | (${Variables:E2_7_7_8_kcat} * E2_7_7_8 * C00009 * C00046)/(${Variables:E2_7_7_8_km} + (E2_7_7_8 * C00009 * C00046))</v>
      </c>
    </row>
    <row r="445" spans="1:11" ht="45" customHeight="1" x14ac:dyDescent="0.25">
      <c r="A445" t="s">
        <v>1963</v>
      </c>
      <c r="B445" t="s">
        <v>1964</v>
      </c>
      <c r="C445" s="5" t="s">
        <v>9440</v>
      </c>
      <c r="D445">
        <f t="shared" si="24"/>
        <v>444</v>
      </c>
      <c r="E445" t="str">
        <f t="shared" si="25"/>
        <v>E2_7_7_8</v>
      </c>
      <c r="F445" s="11" t="s">
        <v>14023</v>
      </c>
      <c r="G445" s="11" t="s">
        <v>14626</v>
      </c>
      <c r="H445" s="11" t="s">
        <v>15227</v>
      </c>
      <c r="I445" s="11" t="s">
        <v>15848</v>
      </c>
      <c r="J445" s="12" t="str">
        <f t="shared" si="26"/>
        <v>(${Variables:E2_7_7_8_kcat} * E2_7_7_8 * C00009 * C00046)/(${Variables:E2_7_7_8_km} + (E2_7_7_8 * C00009 * C00046))</v>
      </c>
      <c r="K445" s="11" t="str">
        <f t="shared" si="27"/>
        <v>r444: C00009 + C00046 -&gt; C00008 + C00046 | (${Variables:E2_7_7_8_kcat} * E2_7_7_8 * C00009 * C00046)/(${Variables:E2_7_7_8_km} + (E2_7_7_8 * C00009 * C00046))</v>
      </c>
    </row>
    <row r="446" spans="1:11" ht="45" customHeight="1" x14ac:dyDescent="0.25">
      <c r="A446" t="s">
        <v>1963</v>
      </c>
      <c r="B446" t="s">
        <v>1964</v>
      </c>
      <c r="C446" s="5" t="s">
        <v>9440</v>
      </c>
      <c r="D446">
        <f t="shared" si="24"/>
        <v>445</v>
      </c>
      <c r="E446" t="str">
        <f t="shared" si="25"/>
        <v>E2_7_7_8</v>
      </c>
      <c r="F446" s="11" t="s">
        <v>14023</v>
      </c>
      <c r="G446" s="11" t="s">
        <v>14626</v>
      </c>
      <c r="H446" s="11" t="s">
        <v>15228</v>
      </c>
      <c r="I446" s="11" t="s">
        <v>15849</v>
      </c>
      <c r="J446" s="12" t="str">
        <f t="shared" si="26"/>
        <v>(${Variables:E2_7_7_8_kcat} * E2_7_7_8 * C00009 * C00046)/(${Variables:E2_7_7_8_km} + (E2_7_7_8 * C00009 * C00046))</v>
      </c>
      <c r="K446" s="11" t="str">
        <f t="shared" si="27"/>
        <v>r445: C00009 + C00046 -&gt; C00015 + C00046 | (${Variables:E2_7_7_8_kcat} * E2_7_7_8 * C00009 * C00046)/(${Variables:E2_7_7_8_km} + (E2_7_7_8 * C00009 * C00046))</v>
      </c>
    </row>
    <row r="447" spans="1:11" ht="45" customHeight="1" x14ac:dyDescent="0.25">
      <c r="A447" t="s">
        <v>1963</v>
      </c>
      <c r="B447" t="s">
        <v>1964</v>
      </c>
      <c r="C447" s="5" t="s">
        <v>9440</v>
      </c>
      <c r="D447">
        <f t="shared" si="24"/>
        <v>446</v>
      </c>
      <c r="E447" t="str">
        <f t="shared" si="25"/>
        <v>E2_7_7_8</v>
      </c>
      <c r="F447" s="11" t="s">
        <v>14023</v>
      </c>
      <c r="G447" s="11" t="s">
        <v>14626</v>
      </c>
      <c r="H447" s="11" t="s">
        <v>15229</v>
      </c>
      <c r="I447" s="11" t="s">
        <v>15850</v>
      </c>
      <c r="J447" s="12" t="str">
        <f t="shared" si="26"/>
        <v>(${Variables:E2_7_7_8_kcat} * E2_7_7_8 * C00009 * C00046)/(${Variables:E2_7_7_8_km} + (E2_7_7_8 * C00009 * C00046))</v>
      </c>
      <c r="K447" s="11" t="str">
        <f t="shared" si="27"/>
        <v>r446: C00009 + C00046 -&gt; C00035 + C00046 | (${Variables:E2_7_7_8_kcat} * E2_7_7_8 * C00009 * C00046)/(${Variables:E2_7_7_8_km} + (E2_7_7_8 * C00009 * C00046))</v>
      </c>
    </row>
    <row r="448" spans="1:11" ht="45" customHeight="1" x14ac:dyDescent="0.25">
      <c r="A448" t="s">
        <v>1963</v>
      </c>
      <c r="B448" t="s">
        <v>1964</v>
      </c>
      <c r="C448" s="5" t="s">
        <v>9440</v>
      </c>
      <c r="D448">
        <f t="shared" si="24"/>
        <v>447</v>
      </c>
      <c r="E448" t="str">
        <f t="shared" si="25"/>
        <v>E2_7_7_8</v>
      </c>
      <c r="F448" s="11" t="s">
        <v>14023</v>
      </c>
      <c r="G448" s="11" t="s">
        <v>14626</v>
      </c>
      <c r="H448" s="11" t="s">
        <v>9023</v>
      </c>
      <c r="I448" s="11" t="s">
        <v>9222</v>
      </c>
      <c r="J448" s="12" t="str">
        <f t="shared" si="26"/>
        <v>(${Variables:E2_7_7_8_kcat} * E2_7_7_8 * C00009 * C00046)/(${Variables:E2_7_7_8_km} + (E2_7_7_8 * C00009 * C00046))</v>
      </c>
      <c r="K448" s="11" t="str">
        <f t="shared" si="27"/>
        <v>r447: C00009 + C00046 -&gt; C00046 + C00112 | (${Variables:E2_7_7_8_kcat} * E2_7_7_8 * C00009 * C00046)/(${Variables:E2_7_7_8_km} + (E2_7_7_8 * C00009 * C00046))</v>
      </c>
    </row>
    <row r="449" spans="1:11" ht="45" customHeight="1" x14ac:dyDescent="0.25">
      <c r="A449" t="s">
        <v>1973</v>
      </c>
      <c r="B449" t="s">
        <v>1974</v>
      </c>
      <c r="C449" s="5" t="s">
        <v>9525</v>
      </c>
      <c r="D449">
        <f t="shared" si="24"/>
        <v>448</v>
      </c>
      <c r="E449" t="str">
        <f t="shared" si="25"/>
        <v>E7_1_1_9</v>
      </c>
      <c r="F449" s="11" t="s">
        <v>14129</v>
      </c>
      <c r="G449" s="11" t="s">
        <v>14732</v>
      </c>
      <c r="H449" s="11" t="s">
        <v>15331</v>
      </c>
      <c r="I449" s="11" t="s">
        <v>15952</v>
      </c>
      <c r="J449" s="12" t="str">
        <f t="shared" si="26"/>
        <v>(${Variables:E7_1_1_9_kcat} * E7_1_1_9 * C00007 * C00080 * C00126)/(${Variables:E7_1_1_9_km} + (E7_1_1_9 * C00007 * C00080 * C00126))</v>
      </c>
      <c r="K449" s="11" t="str">
        <f t="shared" si="27"/>
        <v>r448: C00007 + C00080 + C00126 -&gt; C00001 + C00080 + C00125 | (${Variables:E7_1_1_9_kcat} * E7_1_1_9 * C00007 * C00080 * C00126)/(${Variables:E7_1_1_9_km} + (E7_1_1_9 * C00007 * C00080 * C00126))</v>
      </c>
    </row>
    <row r="450" spans="1:11" ht="45" customHeight="1" x14ac:dyDescent="0.25">
      <c r="A450" t="s">
        <v>1973</v>
      </c>
      <c r="B450" t="s">
        <v>1974</v>
      </c>
      <c r="C450" s="5" t="s">
        <v>9525</v>
      </c>
      <c r="D450">
        <f t="shared" si="24"/>
        <v>449</v>
      </c>
      <c r="E450" t="str">
        <f t="shared" si="25"/>
        <v>E7_1_1_9</v>
      </c>
      <c r="F450" s="11" t="s">
        <v>8712</v>
      </c>
      <c r="G450" s="11" t="s">
        <v>8878</v>
      </c>
      <c r="H450" s="11" t="s">
        <v>15332</v>
      </c>
      <c r="I450" s="11" t="s">
        <v>15953</v>
      </c>
      <c r="J450" s="12" t="str">
        <f t="shared" si="26"/>
        <v>(${Variables:E7_1_1_9_kcat} * E7_1_1_9 * C00007 * C01000)/(${Variables:E7_1_1_9_km} + (E7_1_1_9 * C00007 * C01000))</v>
      </c>
      <c r="K450" s="11" t="str">
        <f t="shared" si="27"/>
        <v>r449: C00007 + C01000 -&gt; C00001 + C00997 | (${Variables:E7_1_1_9_kcat} * E7_1_1_9 * C00007 * C01000)/(${Variables:E7_1_1_9_km} + (E7_1_1_9 * C00007 * C01000))</v>
      </c>
    </row>
    <row r="451" spans="1:11" ht="45" customHeight="1" x14ac:dyDescent="0.25">
      <c r="A451" t="s">
        <v>1976</v>
      </c>
      <c r="B451" t="s">
        <v>1977</v>
      </c>
      <c r="C451" s="5" t="s">
        <v>9525</v>
      </c>
      <c r="D451">
        <f t="shared" ref="D451:D514" si="28">ROW()-1</f>
        <v>450</v>
      </c>
      <c r="E451" t="str">
        <f t="shared" ref="E451:E514" si="29">_xlfn.CONCAT("E", C451)</f>
        <v>E7_1_1_9</v>
      </c>
      <c r="F451" s="11" t="s">
        <v>14129</v>
      </c>
      <c r="G451" s="11" t="s">
        <v>14732</v>
      </c>
      <c r="H451" s="11" t="s">
        <v>15331</v>
      </c>
      <c r="I451" s="11" t="s">
        <v>15952</v>
      </c>
      <c r="J451" s="12" t="str">
        <f t="shared" ref="J451:J514" si="30">CONCATENATE("(${Variables:",E451,"_kcat","} * ",E451," * ",G451,")","/(${Variables:",E451,"_km","} + (",E451," * ",G451,"))")</f>
        <v>(${Variables:E7_1_1_9_kcat} * E7_1_1_9 * C00007 * C00080 * C00126)/(${Variables:E7_1_1_9_km} + (E7_1_1_9 * C00007 * C00080 * C00126))</v>
      </c>
      <c r="K451" s="11" t="str">
        <f t="shared" ref="K451:K514" si="31">CONCATENATE("r",D451,": ",F451," -&gt; ",H451," | ",J451)</f>
        <v>r450: C00007 + C00080 + C00126 -&gt; C00001 + C00080 + C00125 | (${Variables:E7_1_1_9_kcat} * E7_1_1_9 * C00007 * C00080 * C00126)/(${Variables:E7_1_1_9_km} + (E7_1_1_9 * C00007 * C00080 * C00126))</v>
      </c>
    </row>
    <row r="452" spans="1:11" ht="45" customHeight="1" x14ac:dyDescent="0.25">
      <c r="A452" t="s">
        <v>1976</v>
      </c>
      <c r="B452" t="s">
        <v>1977</v>
      </c>
      <c r="C452" s="5" t="s">
        <v>9525</v>
      </c>
      <c r="D452">
        <f t="shared" si="28"/>
        <v>451</v>
      </c>
      <c r="E452" t="str">
        <f t="shared" si="29"/>
        <v>E7_1_1_9</v>
      </c>
      <c r="F452" s="11" t="s">
        <v>8712</v>
      </c>
      <c r="G452" s="11" t="s">
        <v>8878</v>
      </c>
      <c r="H452" s="11" t="s">
        <v>15332</v>
      </c>
      <c r="I452" s="11" t="s">
        <v>15953</v>
      </c>
      <c r="J452" s="12" t="str">
        <f t="shared" si="30"/>
        <v>(${Variables:E7_1_1_9_kcat} * E7_1_1_9 * C00007 * C01000)/(${Variables:E7_1_1_9_km} + (E7_1_1_9 * C00007 * C01000))</v>
      </c>
      <c r="K452" s="11" t="str">
        <f t="shared" si="31"/>
        <v>r451: C00007 + C01000 -&gt; C00001 + C00997 | (${Variables:E7_1_1_9_kcat} * E7_1_1_9 * C00007 * C01000)/(${Variables:E7_1_1_9_km} + (E7_1_1_9 * C00007 * C01000))</v>
      </c>
    </row>
    <row r="453" spans="1:11" ht="45" customHeight="1" x14ac:dyDescent="0.25">
      <c r="A453" t="s">
        <v>1989</v>
      </c>
      <c r="B453" t="s">
        <v>1990</v>
      </c>
      <c r="C453" s="5" t="s">
        <v>9526</v>
      </c>
      <c r="D453">
        <f t="shared" si="28"/>
        <v>452</v>
      </c>
      <c r="E453" t="str">
        <f t="shared" si="29"/>
        <v>E3_5_3_11</v>
      </c>
      <c r="F453" s="11" t="s">
        <v>14130</v>
      </c>
      <c r="G453" s="11" t="s">
        <v>14733</v>
      </c>
      <c r="H453" s="11" t="s">
        <v>15333</v>
      </c>
      <c r="I453" s="11" t="s">
        <v>15954</v>
      </c>
      <c r="J453" s="12" t="str">
        <f t="shared" si="30"/>
        <v>(${Variables:E3_5_3_11_kcat} * E3_5_3_11 * C00001 * C00179)/(${Variables:E3_5_3_11_km} + (E3_5_3_11 * C00001 * C00179))</v>
      </c>
      <c r="K453" s="11" t="str">
        <f t="shared" si="31"/>
        <v>r452: C00001 + C00179 -&gt; C00086 + C00134 | (${Variables:E3_5_3_11_kcat} * E3_5_3_11 * C00001 * C00179)/(${Variables:E3_5_3_11_km} + (E3_5_3_11 * C00001 * C00179))</v>
      </c>
    </row>
    <row r="454" spans="1:11" ht="45" customHeight="1" x14ac:dyDescent="0.25">
      <c r="A454" t="s">
        <v>2005</v>
      </c>
      <c r="B454" t="s">
        <v>2006</v>
      </c>
      <c r="C454" s="5" t="s">
        <v>9527</v>
      </c>
      <c r="D454">
        <f t="shared" si="28"/>
        <v>453</v>
      </c>
      <c r="E454" t="str">
        <f t="shared" si="29"/>
        <v>E6_3_4_14</v>
      </c>
      <c r="F454" s="11" t="s">
        <v>14131</v>
      </c>
      <c r="G454" s="11" t="s">
        <v>14734</v>
      </c>
      <c r="H454" s="11" t="s">
        <v>9071</v>
      </c>
      <c r="I454" s="11" t="s">
        <v>9270</v>
      </c>
      <c r="J454" s="12" t="str">
        <f t="shared" si="30"/>
        <v>(${Variables:E6_3_4_14_kcat} * E6_3_4_14 * C00002 * C00288 * C06250)/(${Variables:E6_3_4_14_km} + (E6_3_4_14 * C00002 * C00288 * C06250))</v>
      </c>
      <c r="K454" s="11" t="str">
        <f t="shared" si="31"/>
        <v>r453: C00002 + C00288 + C06250 -&gt; C00008 + C00009 + C04419 | (${Variables:E6_3_4_14_kcat} * E6_3_4_14 * C00002 * C00288 * C06250)/(${Variables:E6_3_4_14_km} + (E6_3_4_14 * C00002 * C00288 * C06250))</v>
      </c>
    </row>
    <row r="455" spans="1:11" ht="45" customHeight="1" x14ac:dyDescent="0.25">
      <c r="A455" t="s">
        <v>2013</v>
      </c>
      <c r="B455" t="s">
        <v>2014</v>
      </c>
      <c r="C455" s="5" t="s">
        <v>9528</v>
      </c>
      <c r="D455">
        <f t="shared" si="28"/>
        <v>454</v>
      </c>
      <c r="E455" t="str">
        <f t="shared" si="29"/>
        <v>E1_5_1_5</v>
      </c>
      <c r="F455" s="11" t="s">
        <v>14132</v>
      </c>
      <c r="G455" s="11" t="s">
        <v>14735</v>
      </c>
      <c r="H455" s="11" t="s">
        <v>15334</v>
      </c>
      <c r="I455" s="11" t="s">
        <v>15955</v>
      </c>
      <c r="J455" s="12" t="str">
        <f t="shared" si="30"/>
        <v>(${Variables:E1_5_1_5_kcat} * E1_5_1_5 * C00006 * C00143)/(${Variables:E1_5_1_5_km} + (E1_5_1_5 * C00006 * C00143))</v>
      </c>
      <c r="K455" s="11" t="str">
        <f t="shared" si="31"/>
        <v>r454: C00006 + C00143 -&gt; C00005 + C00445 | (${Variables:E1_5_1_5_kcat} * E1_5_1_5 * C00006 * C00143)/(${Variables:E1_5_1_5_km} + (E1_5_1_5 * C00006 * C00143))</v>
      </c>
    </row>
    <row r="456" spans="1:11" ht="45" customHeight="1" x14ac:dyDescent="0.25">
      <c r="A456" t="s">
        <v>2028</v>
      </c>
      <c r="B456" t="s">
        <v>2029</v>
      </c>
      <c r="C456" s="5" t="s">
        <v>9529</v>
      </c>
      <c r="D456">
        <f t="shared" si="28"/>
        <v>455</v>
      </c>
      <c r="E456" t="str">
        <f t="shared" si="29"/>
        <v>E1_1_1_27</v>
      </c>
      <c r="F456" s="11" t="s">
        <v>14133</v>
      </c>
      <c r="G456" s="11" t="s">
        <v>14736</v>
      </c>
      <c r="H456" s="11" t="s">
        <v>15335</v>
      </c>
      <c r="I456" s="11" t="s">
        <v>15956</v>
      </c>
      <c r="J456" s="12" t="str">
        <f t="shared" si="30"/>
        <v>(${Variables:E1_1_1_27_kcat} * E1_1_1_27 * C00003 * C00186)/(${Variables:E1_1_1_27_km} + (E1_1_1_27 * C00003 * C00186))</v>
      </c>
      <c r="K456" s="11" t="str">
        <f t="shared" si="31"/>
        <v>r455: C00003 + C00186 -&gt; C00004 + C00022 + C00080 | (${Variables:E1_1_1_27_kcat} * E1_1_1_27 * C00003 * C00186)/(${Variables:E1_1_1_27_km} + (E1_1_1_27 * C00003 * C00186))</v>
      </c>
    </row>
    <row r="457" spans="1:11" ht="45" customHeight="1" x14ac:dyDescent="0.25">
      <c r="A457" t="s">
        <v>2028</v>
      </c>
      <c r="B457" t="s">
        <v>2029</v>
      </c>
      <c r="C457" s="5" t="s">
        <v>9529</v>
      </c>
      <c r="D457">
        <f t="shared" si="28"/>
        <v>456</v>
      </c>
      <c r="E457" t="str">
        <f t="shared" si="29"/>
        <v>E1_1_1_27</v>
      </c>
      <c r="F457" s="11" t="s">
        <v>14134</v>
      </c>
      <c r="G457" s="11" t="s">
        <v>14737</v>
      </c>
      <c r="H457" s="11" t="s">
        <v>15336</v>
      </c>
      <c r="I457" s="11" t="s">
        <v>15957</v>
      </c>
      <c r="J457" s="12" t="str">
        <f t="shared" si="30"/>
        <v>(${Variables:E1_1_1_27_kcat} * E1_1_1_27 * C00003 * C05984)/(${Variables:E1_1_1_27_km} + (E1_1_1_27 * C00003 * C05984))</v>
      </c>
      <c r="K457" s="11" t="str">
        <f t="shared" si="31"/>
        <v>r456: C00003 + C05984 -&gt; C00004 + C00080 + C00109 | (${Variables:E1_1_1_27_kcat} * E1_1_1_27 * C00003 * C05984)/(${Variables:E1_1_1_27_km} + (E1_1_1_27 * C00003 * C05984))</v>
      </c>
    </row>
    <row r="458" spans="1:11" ht="45" customHeight="1" x14ac:dyDescent="0.25">
      <c r="A458" t="s">
        <v>2028</v>
      </c>
      <c r="B458" t="s">
        <v>2029</v>
      </c>
      <c r="C458" s="5" t="s">
        <v>9529</v>
      </c>
      <c r="D458">
        <f t="shared" si="28"/>
        <v>457</v>
      </c>
      <c r="E458" t="str">
        <f t="shared" si="29"/>
        <v>E1_1_1_27</v>
      </c>
      <c r="F458" s="11" t="s">
        <v>14135</v>
      </c>
      <c r="G458" s="11" t="s">
        <v>14738</v>
      </c>
      <c r="H458" s="11" t="s">
        <v>15337</v>
      </c>
      <c r="I458" s="11" t="s">
        <v>15958</v>
      </c>
      <c r="J458" s="12" t="str">
        <f t="shared" si="30"/>
        <v>(${Variables:E1_1_1_27_kcat} * E1_1_1_27 * C00003 * C05823)/(${Variables:E1_1_1_27_km} + (E1_1_1_27 * C00003 * C05823))</v>
      </c>
      <c r="K458" s="11" t="str">
        <f t="shared" si="31"/>
        <v>r457: C00003 + C05823 -&gt; C00004 + C00080 + C00957 | (${Variables:E1_1_1_27_kcat} * E1_1_1_27 * C00003 * C05823)/(${Variables:E1_1_1_27_km} + (E1_1_1_27 * C00003 * C05823))</v>
      </c>
    </row>
    <row r="459" spans="1:11" ht="45" customHeight="1" x14ac:dyDescent="0.25">
      <c r="A459" t="s">
        <v>2061</v>
      </c>
      <c r="B459" t="s">
        <v>2062</v>
      </c>
      <c r="C459" s="5" t="s">
        <v>9530</v>
      </c>
      <c r="D459">
        <f t="shared" si="28"/>
        <v>458</v>
      </c>
      <c r="E459" t="str">
        <f t="shared" si="29"/>
        <v>E1_1_1_22</v>
      </c>
      <c r="F459" s="11" t="s">
        <v>14136</v>
      </c>
      <c r="G459" s="11" t="s">
        <v>14739</v>
      </c>
      <c r="H459" s="11" t="s">
        <v>15338</v>
      </c>
      <c r="I459" s="11" t="s">
        <v>15959</v>
      </c>
      <c r="J459" s="12" t="str">
        <f t="shared" si="30"/>
        <v>(${Variables:E1_1_1_22_kcat} * E1_1_1_22 * C00001 * C00003 * C00029)/(${Variables:E1_1_1_22_km} + (E1_1_1_22 * C00001 * C00003 * C00029))</v>
      </c>
      <c r="K459" s="11" t="str">
        <f t="shared" si="31"/>
        <v>r458: C00001 + C00003 + C00029 -&gt; C00004 + C00080 + C00167 | (${Variables:E1_1_1_22_kcat} * E1_1_1_22 * C00001 * C00003 * C00029)/(${Variables:E1_1_1_22_km} + (E1_1_1_22 * C00001 * C00003 * C00029))</v>
      </c>
    </row>
    <row r="460" spans="1:11" ht="45" customHeight="1" x14ac:dyDescent="0.25">
      <c r="A460" t="s">
        <v>2076</v>
      </c>
      <c r="B460" t="s">
        <v>2077</v>
      </c>
      <c r="C460" s="5" t="s">
        <v>9531</v>
      </c>
      <c r="D460">
        <f t="shared" si="28"/>
        <v>459</v>
      </c>
      <c r="E460" t="str">
        <f t="shared" si="29"/>
        <v>E2_4_1_187</v>
      </c>
      <c r="F460" s="11" t="s">
        <v>8713</v>
      </c>
      <c r="G460" s="11" t="s">
        <v>8879</v>
      </c>
      <c r="H460" s="11" t="s">
        <v>9072</v>
      </c>
      <c r="I460" s="11" t="s">
        <v>9271</v>
      </c>
      <c r="J460" s="12" t="str">
        <f t="shared" si="30"/>
        <v>(${Variables:E2_4_1_187_kcat} * E2_4_1_187 * C01170 * C01289)/(${Variables:E2_4_1_187_km} + (E2_4_1_187 * C01170 * C01289))</v>
      </c>
      <c r="K460" s="11" t="str">
        <f t="shared" si="31"/>
        <v>r459: C01170 + C01289 -&gt; C00015 + C04881 | (${Variables:E2_4_1_187_kcat} * E2_4_1_187 * C01170 * C01289)/(${Variables:E2_4_1_187_km} + (E2_4_1_187 * C01170 * C01289))</v>
      </c>
    </row>
    <row r="461" spans="1:11" ht="45" customHeight="1" x14ac:dyDescent="0.25">
      <c r="A461" t="s">
        <v>2076</v>
      </c>
      <c r="B461" t="s">
        <v>2077</v>
      </c>
      <c r="C461" s="5" t="s">
        <v>9531</v>
      </c>
      <c r="D461">
        <f t="shared" si="28"/>
        <v>460</v>
      </c>
      <c r="E461" t="str">
        <f t="shared" si="29"/>
        <v>E2_4_1_187</v>
      </c>
      <c r="F461" s="11" t="s">
        <v>14137</v>
      </c>
      <c r="G461" s="11" t="s">
        <v>14740</v>
      </c>
      <c r="H461" s="11" t="s">
        <v>15339</v>
      </c>
      <c r="I461" s="11" t="s">
        <v>15960</v>
      </c>
      <c r="J461" s="12" t="str">
        <f t="shared" si="30"/>
        <v>(${Variables:E2_4_1_187_kcat} * E2_4_1_187 * G11112 * G13164)/(${Variables:E2_4_1_187_km} + (E2_4_1_187 * G11112 * G13164))</v>
      </c>
      <c r="K461" s="11" t="str">
        <f t="shared" si="31"/>
        <v>r460: G11112 + G13164 -&gt; G00177 + G10619 | (${Variables:E2_4_1_187_kcat} * E2_4_1_187 * G11112 * G13164)/(${Variables:E2_4_1_187_km} + (E2_4_1_187 * G11112 * G13164))</v>
      </c>
    </row>
    <row r="462" spans="1:11" ht="45" customHeight="1" x14ac:dyDescent="0.25">
      <c r="A462" t="s">
        <v>2079</v>
      </c>
      <c r="B462" t="s">
        <v>2080</v>
      </c>
      <c r="C462" s="5" t="s">
        <v>9532</v>
      </c>
      <c r="D462">
        <f t="shared" si="28"/>
        <v>461</v>
      </c>
      <c r="E462" t="str">
        <f t="shared" si="29"/>
        <v>E4_2_1_47</v>
      </c>
      <c r="F462" s="11" t="s">
        <v>8223</v>
      </c>
      <c r="G462" s="11" t="s">
        <v>8223</v>
      </c>
      <c r="H462" s="11" t="s">
        <v>15340</v>
      </c>
      <c r="I462" s="11" t="s">
        <v>15961</v>
      </c>
      <c r="J462" s="12" t="str">
        <f t="shared" si="30"/>
        <v>(${Variables:E4_2_1_47_kcat} * E4_2_1_47 * C00096)/(${Variables:E4_2_1_47_km} + (E4_2_1_47 * C00096))</v>
      </c>
      <c r="K462" s="11" t="str">
        <f t="shared" si="31"/>
        <v>r461: C00096 -&gt; C00001 + C01222 | (${Variables:E4_2_1_47_kcat} * E4_2_1_47 * C00096)/(${Variables:E4_2_1_47_km} + (E4_2_1_47 * C00096))</v>
      </c>
    </row>
    <row r="463" spans="1:11" ht="45" customHeight="1" x14ac:dyDescent="0.25">
      <c r="A463" t="s">
        <v>2082</v>
      </c>
      <c r="B463" t="s">
        <v>2083</v>
      </c>
      <c r="C463" s="5" t="s">
        <v>9533</v>
      </c>
      <c r="D463">
        <f t="shared" si="28"/>
        <v>462</v>
      </c>
      <c r="E463" t="str">
        <f t="shared" si="29"/>
        <v>E1_1_1_271</v>
      </c>
      <c r="F463" s="11" t="s">
        <v>14138</v>
      </c>
      <c r="G463" s="11" t="s">
        <v>14741</v>
      </c>
      <c r="H463" s="11" t="s">
        <v>15341</v>
      </c>
      <c r="I463" s="11" t="s">
        <v>15962</v>
      </c>
      <c r="J463" s="12" t="str">
        <f t="shared" si="30"/>
        <v>(${Variables:E1_1_1_271_kcat} * E1_1_1_271 * C00006 * C00325)/(${Variables:E1_1_1_271_km} + (E1_1_1_271 * C00006 * C00325))</v>
      </c>
      <c r="K463" s="11" t="str">
        <f t="shared" si="31"/>
        <v>r462: C00006 + C00325 -&gt; C00005 + C00080 + C01222 | (${Variables:E1_1_1_271_kcat} * E1_1_1_271 * C00006 * C00325)/(${Variables:E1_1_1_271_km} + (E1_1_1_271 * C00006 * C00325))</v>
      </c>
    </row>
    <row r="464" spans="1:11" ht="45" customHeight="1" x14ac:dyDescent="0.25">
      <c r="A464" t="s">
        <v>2082</v>
      </c>
      <c r="B464" t="s">
        <v>2083</v>
      </c>
      <c r="C464" s="5" t="s">
        <v>9533</v>
      </c>
      <c r="D464">
        <f t="shared" si="28"/>
        <v>463</v>
      </c>
      <c r="E464" t="str">
        <f t="shared" si="29"/>
        <v>E1_1_1_271</v>
      </c>
      <c r="F464" s="11" t="s">
        <v>8224</v>
      </c>
      <c r="G464" s="11" t="s">
        <v>8224</v>
      </c>
      <c r="H464" s="11" t="s">
        <v>8500</v>
      </c>
      <c r="I464" s="11" t="s">
        <v>8500</v>
      </c>
      <c r="J464" s="12" t="str">
        <f t="shared" si="30"/>
        <v>(${Variables:E1_1_1_271_kcat} * E1_1_1_271 * C01222)/(${Variables:E1_1_1_271_km} + (E1_1_1_271 * C01222))</v>
      </c>
      <c r="K464" s="11" t="str">
        <f t="shared" si="31"/>
        <v>r463: C01222 -&gt; C14830 | (${Variables:E1_1_1_271_kcat} * E1_1_1_271 * C01222)/(${Variables:E1_1_1_271_km} + (E1_1_1_271 * C01222))</v>
      </c>
    </row>
    <row r="465" spans="1:11" ht="45" customHeight="1" x14ac:dyDescent="0.25">
      <c r="A465" t="s">
        <v>2082</v>
      </c>
      <c r="B465" t="s">
        <v>2083</v>
      </c>
      <c r="C465" s="5" t="s">
        <v>9533</v>
      </c>
      <c r="D465">
        <f t="shared" si="28"/>
        <v>464</v>
      </c>
      <c r="E465" t="str">
        <f t="shared" si="29"/>
        <v>E1_1_1_271</v>
      </c>
      <c r="F465" s="11" t="s">
        <v>14139</v>
      </c>
      <c r="G465" s="11" t="s">
        <v>14742</v>
      </c>
      <c r="H465" s="11" t="s">
        <v>14138</v>
      </c>
      <c r="I465" s="11" t="s">
        <v>14741</v>
      </c>
      <c r="J465" s="12" t="str">
        <f t="shared" si="30"/>
        <v>(${Variables:E1_1_1_271_kcat} * E1_1_1_271 * C00005 * C00080 * C14830)/(${Variables:E1_1_1_271_km} + (E1_1_1_271 * C00005 * C00080 * C14830))</v>
      </c>
      <c r="K465" s="11" t="str">
        <f t="shared" si="31"/>
        <v>r464: C00005 + C00080 + C14830 -&gt; C00006 + C00325 | (${Variables:E1_1_1_271_kcat} * E1_1_1_271 * C00005 * C00080 * C14830)/(${Variables:E1_1_1_271_km} + (E1_1_1_271 * C00005 * C00080 * C14830))</v>
      </c>
    </row>
    <row r="466" spans="1:11" ht="45" customHeight="1" x14ac:dyDescent="0.25">
      <c r="A466" t="s">
        <v>2089</v>
      </c>
      <c r="B466" t="s">
        <v>2090</v>
      </c>
      <c r="C466" s="5" t="s">
        <v>9505</v>
      </c>
      <c r="D466">
        <f t="shared" si="28"/>
        <v>465</v>
      </c>
      <c r="E466" t="str">
        <f t="shared" si="29"/>
        <v>E5_4_2_10</v>
      </c>
      <c r="F466" s="11" t="s">
        <v>8209</v>
      </c>
      <c r="G466" s="11" t="s">
        <v>8209</v>
      </c>
      <c r="H466" s="11" t="s">
        <v>8487</v>
      </c>
      <c r="I466" s="11" t="s">
        <v>8487</v>
      </c>
      <c r="J466" s="12" t="str">
        <f t="shared" si="30"/>
        <v>(${Variables:E5_4_2_10_kcat} * E5_4_2_10 * C06156)/(${Variables:E5_4_2_10_km} + (E5_4_2_10 * C06156))</v>
      </c>
      <c r="K466" s="11" t="str">
        <f t="shared" si="31"/>
        <v>r465: C06156 -&gt; C00352 | (${Variables:E5_4_2_10_kcat} * E5_4_2_10 * C06156)/(${Variables:E5_4_2_10_km} + (E5_4_2_10 * C06156))</v>
      </c>
    </row>
    <row r="467" spans="1:11" ht="45" customHeight="1" x14ac:dyDescent="0.25">
      <c r="A467" t="s">
        <v>2091</v>
      </c>
      <c r="B467" t="s">
        <v>2092</v>
      </c>
      <c r="C467" s="5" t="s">
        <v>9438</v>
      </c>
      <c r="D467">
        <f t="shared" si="28"/>
        <v>466</v>
      </c>
      <c r="E467" t="str">
        <f t="shared" si="29"/>
        <v>E2_7_7_22</v>
      </c>
      <c r="F467" s="11" t="s">
        <v>8683</v>
      </c>
      <c r="G467" s="11" t="s">
        <v>8849</v>
      </c>
      <c r="H467" s="11" t="s">
        <v>9020</v>
      </c>
      <c r="I467" s="11" t="s">
        <v>9219</v>
      </c>
      <c r="J467" s="12" t="str">
        <f t="shared" si="30"/>
        <v>(${Variables:E2_7_7_22_kcat} * E2_7_7_22 * C00035 * C00636)/(${Variables:E2_7_7_22_km} + (E2_7_7_22 * C00035 * C00636))</v>
      </c>
      <c r="K467" s="11" t="str">
        <f t="shared" si="31"/>
        <v>r466: C00035 + C00636 -&gt; C00009 + C00096 | (${Variables:E2_7_7_22_kcat} * E2_7_7_22 * C00035 * C00636)/(${Variables:E2_7_7_22_km} + (E2_7_7_22 * C00035 * C00636))</v>
      </c>
    </row>
    <row r="468" spans="1:11" ht="45" customHeight="1" x14ac:dyDescent="0.25">
      <c r="A468" t="s">
        <v>2094</v>
      </c>
      <c r="B468" t="s">
        <v>2095</v>
      </c>
      <c r="C468" s="5" t="s">
        <v>9530</v>
      </c>
      <c r="D468">
        <f t="shared" si="28"/>
        <v>467</v>
      </c>
      <c r="E468" t="str">
        <f t="shared" si="29"/>
        <v>E1_1_1_22</v>
      </c>
      <c r="F468" s="11" t="s">
        <v>14136</v>
      </c>
      <c r="G468" s="11" t="s">
        <v>14739</v>
      </c>
      <c r="H468" s="11" t="s">
        <v>15338</v>
      </c>
      <c r="I468" s="11" t="s">
        <v>15959</v>
      </c>
      <c r="J468" s="12" t="str">
        <f t="shared" si="30"/>
        <v>(${Variables:E1_1_1_22_kcat} * E1_1_1_22 * C00001 * C00003 * C00029)/(${Variables:E1_1_1_22_km} + (E1_1_1_22 * C00001 * C00003 * C00029))</v>
      </c>
      <c r="K468" s="11" t="str">
        <f t="shared" si="31"/>
        <v>r467: C00001 + C00003 + C00029 -&gt; C00004 + C00080 + C00167 | (${Variables:E1_1_1_22_kcat} * E1_1_1_22 * C00001 * C00003 * C00029)/(${Variables:E1_1_1_22_km} + (E1_1_1_22 * C00001 * C00003 * C00029))</v>
      </c>
    </row>
    <row r="469" spans="1:11" ht="45" customHeight="1" x14ac:dyDescent="0.25">
      <c r="A469" t="s">
        <v>2097</v>
      </c>
      <c r="B469" t="s">
        <v>2098</v>
      </c>
      <c r="C469" s="5" t="s">
        <v>9534</v>
      </c>
      <c r="D469">
        <f t="shared" si="28"/>
        <v>468</v>
      </c>
      <c r="E469" t="str">
        <f t="shared" si="29"/>
        <v>E2_7_8_6</v>
      </c>
      <c r="F469" s="11" t="s">
        <v>8714</v>
      </c>
      <c r="G469" s="11" t="s">
        <v>8880</v>
      </c>
      <c r="H469" s="11" t="s">
        <v>9073</v>
      </c>
      <c r="I469" s="11" t="s">
        <v>9272</v>
      </c>
      <c r="J469" s="12" t="str">
        <f t="shared" si="30"/>
        <v>(${Variables:E2_7_8_6_kcat} * E2_7_8_6 * C00052 * C17556)/(${Variables:E2_7_8_6_km} + (E2_7_8_6 * C00052 * C17556))</v>
      </c>
      <c r="K469" s="11" t="str">
        <f t="shared" si="31"/>
        <v>r468: C00052 + C17556 -&gt; C00105 + C04507 | (${Variables:E2_7_8_6_kcat} * E2_7_8_6 * C00052 * C17556)/(${Variables:E2_7_8_6_km} + (E2_7_8_6 * C00052 * C17556))</v>
      </c>
    </row>
    <row r="470" spans="1:11" ht="45" customHeight="1" x14ac:dyDescent="0.25">
      <c r="A470" t="s">
        <v>2114</v>
      </c>
      <c r="B470" t="s">
        <v>2115</v>
      </c>
      <c r="C470" s="5" t="s">
        <v>9535</v>
      </c>
      <c r="D470">
        <f t="shared" si="28"/>
        <v>469</v>
      </c>
      <c r="E470" t="str">
        <f t="shared" si="29"/>
        <v>E6_6_1_1</v>
      </c>
      <c r="F470" s="11" t="s">
        <v>14140</v>
      </c>
      <c r="G470" s="11" t="s">
        <v>14743</v>
      </c>
      <c r="H470" s="11" t="s">
        <v>15342</v>
      </c>
      <c r="I470" s="11" t="s">
        <v>15963</v>
      </c>
      <c r="J470" s="12" t="str">
        <f t="shared" si="30"/>
        <v>(${Variables:E6_6_1_1_kcat} * E6_6_1_1 * C00001 * C00002 * C00305 * C02191)/(${Variables:E6_6_1_1_km} + (E6_6_1_1 * C00001 * C00002 * C00305 * C02191))</v>
      </c>
      <c r="K470" s="11" t="str">
        <f t="shared" si="31"/>
        <v>r469: C00001 + C00002 + C00305 + C02191 -&gt; C00008 + C00009 + C00080 + C03516 | (${Variables:E6_6_1_1_kcat} * E6_6_1_1 * C00001 * C00002 * C00305 * C02191)/(${Variables:E6_6_1_1_km} + (E6_6_1_1 * C00001 * C00002 * C00305 * C02191))</v>
      </c>
    </row>
    <row r="471" spans="1:11" ht="45" customHeight="1" x14ac:dyDescent="0.25">
      <c r="A471" t="s">
        <v>2140</v>
      </c>
      <c r="B471" t="s">
        <v>2141</v>
      </c>
      <c r="C471" s="5" t="s">
        <v>9536</v>
      </c>
      <c r="D471">
        <f t="shared" si="28"/>
        <v>470</v>
      </c>
      <c r="E471" t="str">
        <f t="shared" si="29"/>
        <v>E2_1_1_72</v>
      </c>
      <c r="F471" s="11" t="s">
        <v>8715</v>
      </c>
      <c r="G471" s="11" t="s">
        <v>8881</v>
      </c>
      <c r="H471" s="11" t="s">
        <v>9074</v>
      </c>
      <c r="I471" s="11" t="s">
        <v>9273</v>
      </c>
      <c r="J471" s="12" t="str">
        <f t="shared" si="30"/>
        <v>(${Variables:E2_1_1_72_kcat} * E2_1_1_72 * C00019 * C00821)/(${Variables:E2_1_1_72_km} + (E2_1_1_72 * C00019 * C00821))</v>
      </c>
      <c r="K471" s="11" t="str">
        <f t="shared" si="31"/>
        <v>r470: C00019 + C00821 -&gt; C00021 + C03391 | (${Variables:E2_1_1_72_kcat} * E2_1_1_72 * C00019 * C00821)/(${Variables:E2_1_1_72_km} + (E2_1_1_72 * C00019 * C00821))</v>
      </c>
    </row>
    <row r="472" spans="1:11" ht="45" customHeight="1" x14ac:dyDescent="0.25">
      <c r="A472" t="s">
        <v>2187</v>
      </c>
      <c r="B472" t="s">
        <v>2188</v>
      </c>
      <c r="C472" s="5" t="s">
        <v>9402</v>
      </c>
      <c r="D472">
        <f t="shared" si="28"/>
        <v>471</v>
      </c>
      <c r="E472" t="str">
        <f t="shared" si="29"/>
        <v>E1_3_8_1</v>
      </c>
      <c r="F472" s="11" t="s">
        <v>13971</v>
      </c>
      <c r="G472" s="11" t="s">
        <v>14574</v>
      </c>
      <c r="H472" s="11" t="s">
        <v>15163</v>
      </c>
      <c r="I472" s="11" t="s">
        <v>15784</v>
      </c>
      <c r="J472" s="12" t="str">
        <f t="shared" si="30"/>
        <v>(${Variables:E1_3_8_1_kcat} * E1_3_8_1 * C04253 * C20675)/(${Variables:E1_3_8_1_km} + (E1_3_8_1 * C04253 * C20675))</v>
      </c>
      <c r="K472" s="11" t="str">
        <f t="shared" si="31"/>
        <v>r471: C04253 + C20675 -&gt; C04570 + C20676 | (${Variables:E1_3_8_1_kcat} * E1_3_8_1 * C04253 * C20675)/(${Variables:E1_3_8_1_km} + (E1_3_8_1 * C04253 * C20675))</v>
      </c>
    </row>
    <row r="473" spans="1:11" ht="45" customHeight="1" x14ac:dyDescent="0.25">
      <c r="A473" t="s">
        <v>2187</v>
      </c>
      <c r="B473" t="s">
        <v>2188</v>
      </c>
      <c r="C473" s="5" t="s">
        <v>9402</v>
      </c>
      <c r="D473">
        <f t="shared" si="28"/>
        <v>472</v>
      </c>
      <c r="E473" t="str">
        <f t="shared" si="29"/>
        <v>E1_3_8_1</v>
      </c>
      <c r="F473" s="11" t="s">
        <v>13972</v>
      </c>
      <c r="G473" s="11" t="s">
        <v>14575</v>
      </c>
      <c r="H473" s="11" t="s">
        <v>15164</v>
      </c>
      <c r="I473" s="11" t="s">
        <v>15785</v>
      </c>
      <c r="J473" s="12" t="str">
        <f t="shared" si="30"/>
        <v>(${Variables:E1_3_8_1_kcat} * E1_3_8_1 * C00016 * C00136)/(${Variables:E1_3_8_1_km} + (E1_3_8_1 * C00016 * C00136))</v>
      </c>
      <c r="K473" s="11" t="str">
        <f t="shared" si="31"/>
        <v>r472: C00016 + C00136 -&gt; C00877 + C01352 | (${Variables:E1_3_8_1_kcat} * E1_3_8_1 * C00016 * C00136)/(${Variables:E1_3_8_1_km} + (E1_3_8_1 * C00016 * C00136))</v>
      </c>
    </row>
    <row r="474" spans="1:11" ht="45" customHeight="1" x14ac:dyDescent="0.25">
      <c r="A474" t="s">
        <v>2187</v>
      </c>
      <c r="B474" t="s">
        <v>2188</v>
      </c>
      <c r="C474" s="5" t="s">
        <v>9402</v>
      </c>
      <c r="D474">
        <f t="shared" si="28"/>
        <v>473</v>
      </c>
      <c r="E474" t="str">
        <f t="shared" si="29"/>
        <v>E1_3_8_1</v>
      </c>
      <c r="F474" s="11" t="s">
        <v>13973</v>
      </c>
      <c r="G474" s="11" t="s">
        <v>14576</v>
      </c>
      <c r="H474" s="11" t="s">
        <v>15165</v>
      </c>
      <c r="I474" s="11" t="s">
        <v>15786</v>
      </c>
      <c r="J474" s="12" t="str">
        <f t="shared" si="30"/>
        <v>(${Variables:E1_3_8_1_kcat} * E1_3_8_1 * C00016 * C05270)/(${Variables:E1_3_8_1_km} + (E1_3_8_1 * C00016 * C05270))</v>
      </c>
      <c r="K474" s="11" t="str">
        <f t="shared" si="31"/>
        <v>r473: C00016 + C05270 -&gt; C01352 + C05271 | (${Variables:E1_3_8_1_kcat} * E1_3_8_1 * C00016 * C05270)/(${Variables:E1_3_8_1_km} + (E1_3_8_1 * C00016 * C05270))</v>
      </c>
    </row>
    <row r="475" spans="1:11" ht="45" customHeight="1" x14ac:dyDescent="0.25">
      <c r="A475" t="s">
        <v>2187</v>
      </c>
      <c r="B475" t="s">
        <v>2188</v>
      </c>
      <c r="C475" s="5" t="s">
        <v>9402</v>
      </c>
      <c r="D475">
        <f t="shared" si="28"/>
        <v>474</v>
      </c>
      <c r="E475" t="str">
        <f t="shared" si="29"/>
        <v>E1_3_8_1</v>
      </c>
      <c r="F475" s="11" t="s">
        <v>13974</v>
      </c>
      <c r="G475" s="11" t="s">
        <v>14577</v>
      </c>
      <c r="H475" s="11" t="s">
        <v>15166</v>
      </c>
      <c r="I475" s="11" t="s">
        <v>15787</v>
      </c>
      <c r="J475" s="12" t="str">
        <f t="shared" si="30"/>
        <v>(${Variables:E1_3_8_1_kcat} * E1_3_8_1 * C00028 * C00630)/(${Variables:E1_3_8_1_km} + (E1_3_8_1 * C00028 * C00630))</v>
      </c>
      <c r="K475" s="11" t="str">
        <f t="shared" si="31"/>
        <v>r474: C00028 + C00630 -&gt; C00030 + C03460 | (${Variables:E1_3_8_1_kcat} * E1_3_8_1 * C00028 * C00630)/(${Variables:E1_3_8_1_km} + (E1_3_8_1 * C00028 * C00630))</v>
      </c>
    </row>
    <row r="476" spans="1:11" ht="45" customHeight="1" x14ac:dyDescent="0.25">
      <c r="A476" t="s">
        <v>2187</v>
      </c>
      <c r="B476" t="s">
        <v>2188</v>
      </c>
      <c r="C476" s="5" t="s">
        <v>9402</v>
      </c>
      <c r="D476">
        <f t="shared" si="28"/>
        <v>475</v>
      </c>
      <c r="E476" t="str">
        <f t="shared" si="29"/>
        <v>E1_3_8_1</v>
      </c>
      <c r="F476" s="11" t="s">
        <v>13975</v>
      </c>
      <c r="G476" s="11" t="s">
        <v>14578</v>
      </c>
      <c r="H476" s="11" t="s">
        <v>15167</v>
      </c>
      <c r="I476" s="11" t="s">
        <v>15788</v>
      </c>
      <c r="J476" s="12" t="str">
        <f t="shared" si="30"/>
        <v>(${Variables:E1_3_8_1_kcat} * E1_3_8_1 * C00028 * C15980)/(${Variables:E1_3_8_1_km} + (E1_3_8_1 * C00028 * C15980))</v>
      </c>
      <c r="K476" s="11" t="str">
        <f t="shared" si="31"/>
        <v>r475: C00028 + C15980 -&gt; C00030 + C03345 | (${Variables:E1_3_8_1_kcat} * E1_3_8_1 * C00028 * C15980)/(${Variables:E1_3_8_1_km} + (E1_3_8_1 * C00028 * C15980))</v>
      </c>
    </row>
    <row r="477" spans="1:11" ht="45" customHeight="1" x14ac:dyDescent="0.25">
      <c r="A477" t="s">
        <v>2187</v>
      </c>
      <c r="B477" t="s">
        <v>2188</v>
      </c>
      <c r="C477" s="5" t="s">
        <v>9402</v>
      </c>
      <c r="D477">
        <f t="shared" si="28"/>
        <v>476</v>
      </c>
      <c r="E477" t="str">
        <f t="shared" si="29"/>
        <v>E1_3_8_1</v>
      </c>
      <c r="F477" s="11" t="s">
        <v>13976</v>
      </c>
      <c r="G477" s="11" t="s">
        <v>14579</v>
      </c>
      <c r="H477" s="11" t="s">
        <v>15168</v>
      </c>
      <c r="I477" s="11" t="s">
        <v>15789</v>
      </c>
      <c r="J477" s="12" t="str">
        <f t="shared" si="30"/>
        <v>(${Variables:E1_3_8_1_kcat} * E1_3_8_1 * C00100 * C04253)/(${Variables:E1_3_8_1_km} + (E1_3_8_1 * C00100 * C04253))</v>
      </c>
      <c r="K477" s="11" t="str">
        <f t="shared" si="31"/>
        <v>r476: C00100 + C04253 -&gt; C00894 + C04570 | (${Variables:E1_3_8_1_kcat} * E1_3_8_1 * C00100 * C04253)/(${Variables:E1_3_8_1_km} + (E1_3_8_1 * C00100 * C04253))</v>
      </c>
    </row>
    <row r="478" spans="1:11" ht="45" customHeight="1" x14ac:dyDescent="0.25">
      <c r="A478" t="s">
        <v>2190</v>
      </c>
      <c r="B478" t="s">
        <v>2191</v>
      </c>
      <c r="C478" s="5" t="s">
        <v>9537</v>
      </c>
      <c r="D478">
        <f t="shared" si="28"/>
        <v>477</v>
      </c>
      <c r="E478" t="str">
        <f t="shared" si="29"/>
        <v>E2_3_1_9</v>
      </c>
      <c r="F478" s="11" t="s">
        <v>8227</v>
      </c>
      <c r="G478" s="11" t="s">
        <v>8227</v>
      </c>
      <c r="H478" s="11" t="s">
        <v>9075</v>
      </c>
      <c r="I478" s="11" t="s">
        <v>9274</v>
      </c>
      <c r="J478" s="12" t="str">
        <f t="shared" si="30"/>
        <v>(${Variables:E2_3_1_9_kcat} * E2_3_1_9 * C00024)/(${Variables:E2_3_1_9_km} + (E2_3_1_9 * C00024))</v>
      </c>
      <c r="K478" s="11" t="str">
        <f t="shared" si="31"/>
        <v>r477: C00024 -&gt; C00010 + C00332 | (${Variables:E2_3_1_9_kcat} * E2_3_1_9 * C00024)/(${Variables:E2_3_1_9_km} + (E2_3_1_9 * C00024))</v>
      </c>
    </row>
    <row r="479" spans="1:11" ht="45" customHeight="1" x14ac:dyDescent="0.25">
      <c r="A479" t="s">
        <v>2190</v>
      </c>
      <c r="B479" t="s">
        <v>2191</v>
      </c>
      <c r="C479" s="5" t="s">
        <v>9537</v>
      </c>
      <c r="D479">
        <f t="shared" si="28"/>
        <v>478</v>
      </c>
      <c r="E479" t="str">
        <f t="shared" si="29"/>
        <v>E2_3_1_9</v>
      </c>
      <c r="F479" s="11" t="s">
        <v>14141</v>
      </c>
      <c r="G479" s="11" t="s">
        <v>14744</v>
      </c>
      <c r="H479" s="11" t="s">
        <v>9076</v>
      </c>
      <c r="I479" s="11" t="s">
        <v>9275</v>
      </c>
      <c r="J479" s="12" t="str">
        <f t="shared" si="30"/>
        <v>(${Variables:E2_3_1_9_kcat} * E2_3_1_9 * C00024 * C00100)/(${Variables:E2_3_1_9_km} + (E2_3_1_9 * C00024 * C00100))</v>
      </c>
      <c r="K479" s="11" t="str">
        <f t="shared" si="31"/>
        <v>r478: C00024 + C00100 -&gt; C00010 + C03344 | (${Variables:E2_3_1_9_kcat} * E2_3_1_9 * C00024 * C00100)/(${Variables:E2_3_1_9_km} + (E2_3_1_9 * C00024 * C00100))</v>
      </c>
    </row>
    <row r="480" spans="1:11" ht="45" customHeight="1" x14ac:dyDescent="0.25">
      <c r="A480" t="s">
        <v>2190</v>
      </c>
      <c r="B480" t="s">
        <v>2191</v>
      </c>
      <c r="C480" s="5" t="s">
        <v>9537</v>
      </c>
      <c r="D480">
        <f t="shared" si="28"/>
        <v>479</v>
      </c>
      <c r="E480" t="str">
        <f t="shared" si="29"/>
        <v>E2_3_1_9</v>
      </c>
      <c r="F480" s="11" t="s">
        <v>8716</v>
      </c>
      <c r="G480" s="11" t="s">
        <v>8882</v>
      </c>
      <c r="H480" s="11" t="s">
        <v>9077</v>
      </c>
      <c r="I480" s="11" t="s">
        <v>9276</v>
      </c>
      <c r="J480" s="12" t="str">
        <f t="shared" si="30"/>
        <v>(${Variables:E2_3_1_9_kcat} * E2_3_1_9 * C00024 * C00136)/(${Variables:E2_3_1_9_km} + (E2_3_1_9 * C00024 * C00136))</v>
      </c>
      <c r="K480" s="11" t="str">
        <f t="shared" si="31"/>
        <v>r479: C00024 + C00136 -&gt; C00010 + C05269 | (${Variables:E2_3_1_9_kcat} * E2_3_1_9 * C00024 * C00136)/(${Variables:E2_3_1_9_km} + (E2_3_1_9 * C00024 * C00136))</v>
      </c>
    </row>
    <row r="481" spans="1:11" ht="45" customHeight="1" x14ac:dyDescent="0.25">
      <c r="A481" t="s">
        <v>2193</v>
      </c>
      <c r="B481" t="s">
        <v>2194</v>
      </c>
      <c r="C481" s="5" t="s">
        <v>9538</v>
      </c>
      <c r="D481">
        <f t="shared" si="28"/>
        <v>480</v>
      </c>
      <c r="E481" t="str">
        <f t="shared" si="29"/>
        <v>E1_1_1_35</v>
      </c>
      <c r="F481" s="11" t="s">
        <v>14142</v>
      </c>
      <c r="G481" s="11" t="s">
        <v>14745</v>
      </c>
      <c r="H481" s="11" t="s">
        <v>15343</v>
      </c>
      <c r="I481" s="11" t="s">
        <v>15964</v>
      </c>
      <c r="J481" s="12" t="str">
        <f t="shared" si="30"/>
        <v>(${Variables:E1_1_1_35_kcat} * E1_1_1_35 * C00003 * C00640)/(${Variables:E1_1_1_35_km} + (E1_1_1_35 * C00003 * C00640))</v>
      </c>
      <c r="K481" s="11" t="str">
        <f t="shared" si="31"/>
        <v>r480: C00003 + C00640 -&gt; C00004 + C00080 + C00264 | (${Variables:E1_1_1_35_kcat} * E1_1_1_35 * C00003 * C00640)/(${Variables:E1_1_1_35_km} + (E1_1_1_35 * C00003 * C00640))</v>
      </c>
    </row>
    <row r="482" spans="1:11" ht="45" customHeight="1" x14ac:dyDescent="0.25">
      <c r="A482" t="s">
        <v>2193</v>
      </c>
      <c r="B482" t="s">
        <v>2194</v>
      </c>
      <c r="C482" s="5" t="s">
        <v>9538</v>
      </c>
      <c r="D482">
        <f t="shared" si="28"/>
        <v>481</v>
      </c>
      <c r="E482" t="str">
        <f t="shared" si="29"/>
        <v>E1_1_1_35</v>
      </c>
      <c r="F482" s="11" t="s">
        <v>14143</v>
      </c>
      <c r="G482" s="11" t="s">
        <v>14746</v>
      </c>
      <c r="H482" s="11" t="s">
        <v>15344</v>
      </c>
      <c r="I482" s="11" t="s">
        <v>15965</v>
      </c>
      <c r="J482" s="12" t="str">
        <f t="shared" si="30"/>
        <v>(${Variables:E1_1_1_35_kcat} * E1_1_1_35 * C00003 * C01144)/(${Variables:E1_1_1_35_km} + (E1_1_1_35 * C00003 * C01144))</v>
      </c>
      <c r="K482" s="11" t="str">
        <f t="shared" si="31"/>
        <v>r481: C00003 + C01144 -&gt; C00004 + C00080 + C00332 | (${Variables:E1_1_1_35_kcat} * E1_1_1_35 * C00003 * C01144)/(${Variables:E1_1_1_35_km} + (E1_1_1_35 * C00003 * C01144))</v>
      </c>
    </row>
    <row r="483" spans="1:11" ht="45" customHeight="1" x14ac:dyDescent="0.25">
      <c r="A483" t="s">
        <v>2193</v>
      </c>
      <c r="B483" t="s">
        <v>2194</v>
      </c>
      <c r="C483" s="5" t="s">
        <v>9538</v>
      </c>
      <c r="D483">
        <f t="shared" si="28"/>
        <v>482</v>
      </c>
      <c r="E483" t="str">
        <f t="shared" si="29"/>
        <v>E1_1_1_35</v>
      </c>
      <c r="F483" s="11" t="s">
        <v>14144</v>
      </c>
      <c r="G483" s="11" t="s">
        <v>14747</v>
      </c>
      <c r="H483" s="11" t="s">
        <v>15345</v>
      </c>
      <c r="I483" s="11" t="s">
        <v>15966</v>
      </c>
      <c r="J483" s="12" t="str">
        <f t="shared" si="30"/>
        <v>(${Variables:E1_1_1_35_kcat} * E1_1_1_35 * C00003 * C04405)/(${Variables:E1_1_1_35_km} + (E1_1_1_35 * C00003 * C04405))</v>
      </c>
      <c r="K483" s="11" t="str">
        <f t="shared" si="31"/>
        <v>r482: C00003 + C04405 -&gt; C00004 + C00080 + C03344 | (${Variables:E1_1_1_35_kcat} * E1_1_1_35 * C00003 * C04405)/(${Variables:E1_1_1_35_km} + (E1_1_1_35 * C00003 * C04405))</v>
      </c>
    </row>
    <row r="484" spans="1:11" ht="45" customHeight="1" x14ac:dyDescent="0.25">
      <c r="A484" t="s">
        <v>2193</v>
      </c>
      <c r="B484" t="s">
        <v>2194</v>
      </c>
      <c r="C484" s="5" t="s">
        <v>9538</v>
      </c>
      <c r="D484">
        <f t="shared" si="28"/>
        <v>483</v>
      </c>
      <c r="E484" t="str">
        <f t="shared" si="29"/>
        <v>E1_1_1_35</v>
      </c>
      <c r="F484" s="11" t="s">
        <v>14145</v>
      </c>
      <c r="G484" s="11" t="s">
        <v>14748</v>
      </c>
      <c r="H484" s="11" t="s">
        <v>15346</v>
      </c>
      <c r="I484" s="11" t="s">
        <v>15967</v>
      </c>
      <c r="J484" s="12" t="str">
        <f t="shared" si="30"/>
        <v>(${Variables:E1_1_1_35_kcat} * E1_1_1_35 * C00003 * C05258)/(${Variables:E1_1_1_35_km} + (E1_1_1_35 * C00003 * C05258))</v>
      </c>
      <c r="K484" s="11" t="str">
        <f t="shared" si="31"/>
        <v>r483: C00003 + C05258 -&gt; C00004 + C00080 + C05259 | (${Variables:E1_1_1_35_kcat} * E1_1_1_35 * C00003 * C05258)/(${Variables:E1_1_1_35_km} + (E1_1_1_35 * C00003 * C05258))</v>
      </c>
    </row>
    <row r="485" spans="1:11" ht="45" customHeight="1" x14ac:dyDescent="0.25">
      <c r="A485" t="s">
        <v>2193</v>
      </c>
      <c r="B485" t="s">
        <v>2194</v>
      </c>
      <c r="C485" s="5" t="s">
        <v>9538</v>
      </c>
      <c r="D485">
        <f t="shared" si="28"/>
        <v>484</v>
      </c>
      <c r="E485" t="str">
        <f t="shared" si="29"/>
        <v>E1_1_1_35</v>
      </c>
      <c r="F485" s="11" t="s">
        <v>14146</v>
      </c>
      <c r="G485" s="11" t="s">
        <v>14749</v>
      </c>
      <c r="H485" s="11" t="s">
        <v>15347</v>
      </c>
      <c r="I485" s="11" t="s">
        <v>15968</v>
      </c>
      <c r="J485" s="12" t="str">
        <f t="shared" si="30"/>
        <v>(${Variables:E1_1_1_35_kcat} * E1_1_1_35 * C00003 * C05260)/(${Variables:E1_1_1_35_km} + (E1_1_1_35 * C00003 * C05260))</v>
      </c>
      <c r="K485" s="11" t="str">
        <f t="shared" si="31"/>
        <v>r484: C00003 + C05260 -&gt; C00004 + C05261 | (${Variables:E1_1_1_35_kcat} * E1_1_1_35 * C00003 * C05260)/(${Variables:E1_1_1_35_km} + (E1_1_1_35 * C00003 * C05260))</v>
      </c>
    </row>
    <row r="486" spans="1:11" ht="45" customHeight="1" x14ac:dyDescent="0.25">
      <c r="A486" t="s">
        <v>2193</v>
      </c>
      <c r="B486" t="s">
        <v>2194</v>
      </c>
      <c r="C486" s="5" t="s">
        <v>9538</v>
      </c>
      <c r="D486">
        <f t="shared" si="28"/>
        <v>485</v>
      </c>
      <c r="E486" t="str">
        <f t="shared" si="29"/>
        <v>E1_1_1_35</v>
      </c>
      <c r="F486" s="11" t="s">
        <v>14147</v>
      </c>
      <c r="G486" s="11" t="s">
        <v>14750</v>
      </c>
      <c r="H486" s="11" t="s">
        <v>15348</v>
      </c>
      <c r="I486" s="11" t="s">
        <v>15969</v>
      </c>
      <c r="J486" s="12" t="str">
        <f t="shared" si="30"/>
        <v>(${Variables:E1_1_1_35_kcat} * E1_1_1_35 * C00003 * C05262)/(${Variables:E1_1_1_35_km} + (E1_1_1_35 * C00003 * C05262))</v>
      </c>
      <c r="K486" s="11" t="str">
        <f t="shared" si="31"/>
        <v>r485: C00003 + C05262 -&gt; C00004 + C00080 + C05263 | (${Variables:E1_1_1_35_kcat} * E1_1_1_35 * C00003 * C05262)/(${Variables:E1_1_1_35_km} + (E1_1_1_35 * C00003 * C05262))</v>
      </c>
    </row>
    <row r="487" spans="1:11" ht="45" customHeight="1" x14ac:dyDescent="0.25">
      <c r="A487" t="s">
        <v>2193</v>
      </c>
      <c r="B487" t="s">
        <v>2194</v>
      </c>
      <c r="C487" s="5" t="s">
        <v>9538</v>
      </c>
      <c r="D487">
        <f t="shared" si="28"/>
        <v>486</v>
      </c>
      <c r="E487" t="str">
        <f t="shared" si="29"/>
        <v>E1_1_1_35</v>
      </c>
      <c r="F487" s="11" t="s">
        <v>14148</v>
      </c>
      <c r="G487" s="11" t="s">
        <v>14751</v>
      </c>
      <c r="H487" s="11" t="s">
        <v>15349</v>
      </c>
      <c r="I487" s="11" t="s">
        <v>15970</v>
      </c>
      <c r="J487" s="12" t="str">
        <f t="shared" si="30"/>
        <v>(${Variables:E1_1_1_35_kcat} * E1_1_1_35 * C00003 * C05264)/(${Variables:E1_1_1_35_km} + (E1_1_1_35 * C00003 * C05264))</v>
      </c>
      <c r="K487" s="11" t="str">
        <f t="shared" si="31"/>
        <v>r486: C00003 + C05264 -&gt; C00004 + C00080 + C05265 | (${Variables:E1_1_1_35_kcat} * E1_1_1_35 * C00003 * C05264)/(${Variables:E1_1_1_35_km} + (E1_1_1_35 * C00003 * C05264))</v>
      </c>
    </row>
    <row r="488" spans="1:11" ht="45" customHeight="1" x14ac:dyDescent="0.25">
      <c r="A488" t="s">
        <v>2193</v>
      </c>
      <c r="B488" t="s">
        <v>2194</v>
      </c>
      <c r="C488" s="5" t="s">
        <v>9538</v>
      </c>
      <c r="D488">
        <f t="shared" si="28"/>
        <v>487</v>
      </c>
      <c r="E488" t="str">
        <f t="shared" si="29"/>
        <v>E1_1_1_35</v>
      </c>
      <c r="F488" s="11" t="s">
        <v>14149</v>
      </c>
      <c r="G488" s="11" t="s">
        <v>14752</v>
      </c>
      <c r="H488" s="11" t="s">
        <v>15350</v>
      </c>
      <c r="I488" s="11" t="s">
        <v>15971</v>
      </c>
      <c r="J488" s="12" t="str">
        <f t="shared" si="30"/>
        <v>(${Variables:E1_1_1_35_kcat} * E1_1_1_35 * C00003 * C05266)/(${Variables:E1_1_1_35_km} + (E1_1_1_35 * C00003 * C05266))</v>
      </c>
      <c r="K488" s="11" t="str">
        <f t="shared" si="31"/>
        <v>r487: C00003 + C05266 -&gt; C00004 + C00080 + C05267 | (${Variables:E1_1_1_35_kcat} * E1_1_1_35 * C00003 * C05266)/(${Variables:E1_1_1_35_km} + (E1_1_1_35 * C00003 * C05266))</v>
      </c>
    </row>
    <row r="489" spans="1:11" ht="45" customHeight="1" x14ac:dyDescent="0.25">
      <c r="A489" t="s">
        <v>2193</v>
      </c>
      <c r="B489" t="s">
        <v>2194</v>
      </c>
      <c r="C489" s="5" t="s">
        <v>9538</v>
      </c>
      <c r="D489">
        <f t="shared" si="28"/>
        <v>488</v>
      </c>
      <c r="E489" t="str">
        <f t="shared" si="29"/>
        <v>E1_1_1_35</v>
      </c>
      <c r="F489" s="11" t="s">
        <v>14150</v>
      </c>
      <c r="G489" s="11" t="s">
        <v>14753</v>
      </c>
      <c r="H489" s="11" t="s">
        <v>15351</v>
      </c>
      <c r="I489" s="11" t="s">
        <v>15972</v>
      </c>
      <c r="J489" s="12" t="str">
        <f t="shared" si="30"/>
        <v>(${Variables:E1_1_1_35_kcat} * E1_1_1_35 * C00003 * C05268)/(${Variables:E1_1_1_35_km} + (E1_1_1_35 * C00003 * C05268))</v>
      </c>
      <c r="K489" s="11" t="str">
        <f t="shared" si="31"/>
        <v>r488: C00003 + C05268 -&gt; C00004 + C00080 + C05269 | (${Variables:E1_1_1_35_kcat} * E1_1_1_35 * C00003 * C05268)/(${Variables:E1_1_1_35_km} + (E1_1_1_35 * C00003 * C05268))</v>
      </c>
    </row>
    <row r="490" spans="1:11" ht="45" customHeight="1" x14ac:dyDescent="0.25">
      <c r="A490" t="s">
        <v>2193</v>
      </c>
      <c r="B490" t="s">
        <v>2194</v>
      </c>
      <c r="C490" s="5" t="s">
        <v>9538</v>
      </c>
      <c r="D490">
        <f t="shared" si="28"/>
        <v>489</v>
      </c>
      <c r="E490" t="str">
        <f t="shared" si="29"/>
        <v>E1_1_1_35</v>
      </c>
      <c r="F490" s="11" t="s">
        <v>14151</v>
      </c>
      <c r="G490" s="11" t="s">
        <v>14754</v>
      </c>
      <c r="H490" s="11" t="s">
        <v>15352</v>
      </c>
      <c r="I490" s="11" t="s">
        <v>15973</v>
      </c>
      <c r="J490" s="12" t="str">
        <f t="shared" si="30"/>
        <v>(${Variables:E1_1_1_35_kcat} * E1_1_1_35 * C00003 * C14145)/(${Variables:E1_1_1_35_km} + (E1_1_1_35 * C00003 * C14145))</v>
      </c>
      <c r="K490" s="11" t="str">
        <f t="shared" si="31"/>
        <v>r489: C00003 + C14145 -&gt; C00004 + C00080 + C02232 | (${Variables:E1_1_1_35_kcat} * E1_1_1_35 * C00003 * C14145)/(${Variables:E1_1_1_35_km} + (E1_1_1_35 * C00003 * C14145))</v>
      </c>
    </row>
    <row r="491" spans="1:11" ht="45" customHeight="1" x14ac:dyDescent="0.25">
      <c r="A491" t="s">
        <v>2193</v>
      </c>
      <c r="B491" t="s">
        <v>2194</v>
      </c>
      <c r="C491" s="5" t="s">
        <v>9538</v>
      </c>
      <c r="D491">
        <f t="shared" si="28"/>
        <v>490</v>
      </c>
      <c r="E491" t="str">
        <f t="shared" si="29"/>
        <v>E1_1_1_35</v>
      </c>
      <c r="F491" s="11" t="s">
        <v>14152</v>
      </c>
      <c r="G491" s="11" t="s">
        <v>14755</v>
      </c>
      <c r="H491" s="11" t="s">
        <v>15353</v>
      </c>
      <c r="I491" s="11" t="s">
        <v>15974</v>
      </c>
      <c r="J491" s="12" t="str">
        <f t="shared" si="30"/>
        <v>(${Variables:E1_1_1_35_kcat} * E1_1_1_35 * C00003 * C16329)/(${Variables:E1_1_1_35_km} + (E1_1_1_35 * C00003 * C16329))</v>
      </c>
      <c r="K491" s="11" t="str">
        <f t="shared" si="31"/>
        <v>r490: C00003 + C16329 -&gt; C00004 + C00080 + C16330 | (${Variables:E1_1_1_35_kcat} * E1_1_1_35 * C00003 * C16329)/(${Variables:E1_1_1_35_km} + (E1_1_1_35 * C00003 * C16329))</v>
      </c>
    </row>
    <row r="492" spans="1:11" ht="45" customHeight="1" x14ac:dyDescent="0.25">
      <c r="A492" t="s">
        <v>2193</v>
      </c>
      <c r="B492" t="s">
        <v>2194</v>
      </c>
      <c r="C492" s="5" t="s">
        <v>9538</v>
      </c>
      <c r="D492">
        <f t="shared" si="28"/>
        <v>491</v>
      </c>
      <c r="E492" t="str">
        <f t="shared" si="29"/>
        <v>E1_1_1_35</v>
      </c>
      <c r="F492" s="11" t="s">
        <v>14153</v>
      </c>
      <c r="G492" s="11" t="s">
        <v>14756</v>
      </c>
      <c r="H492" s="11" t="s">
        <v>15354</v>
      </c>
      <c r="I492" s="11" t="s">
        <v>15975</v>
      </c>
      <c r="J492" s="12" t="str">
        <f t="shared" si="30"/>
        <v>(${Variables:E1_1_1_35_kcat} * E1_1_1_35 * C00003 * C16333)/(${Variables:E1_1_1_35_km} + (E1_1_1_35 * C00003 * C16333))</v>
      </c>
      <c r="K492" s="11" t="str">
        <f t="shared" si="31"/>
        <v>r491: C00003 + C16333 -&gt; C00004 + C00080 + C16334 | (${Variables:E1_1_1_35_kcat} * E1_1_1_35 * C00003 * C16333)/(${Variables:E1_1_1_35_km} + (E1_1_1_35 * C00003 * C16333))</v>
      </c>
    </row>
    <row r="493" spans="1:11" ht="45" customHeight="1" x14ac:dyDescent="0.25">
      <c r="A493" t="s">
        <v>2193</v>
      </c>
      <c r="B493" t="s">
        <v>2194</v>
      </c>
      <c r="C493" s="5" t="s">
        <v>9538</v>
      </c>
      <c r="D493">
        <f t="shared" si="28"/>
        <v>492</v>
      </c>
      <c r="E493" t="str">
        <f t="shared" si="29"/>
        <v>E1_1_1_35</v>
      </c>
      <c r="F493" s="11" t="s">
        <v>14154</v>
      </c>
      <c r="G493" s="11" t="s">
        <v>14757</v>
      </c>
      <c r="H493" s="11" t="s">
        <v>15355</v>
      </c>
      <c r="I493" s="11" t="s">
        <v>15976</v>
      </c>
      <c r="J493" s="12" t="str">
        <f t="shared" si="30"/>
        <v>(${Variables:E1_1_1_35_kcat} * E1_1_1_35 * C00003 * C16337)/(${Variables:E1_1_1_35_km} + (E1_1_1_35 * C00003 * C16337))</v>
      </c>
      <c r="K493" s="11" t="str">
        <f t="shared" si="31"/>
        <v>r492: C00003 + C16337 -&gt; C00004 + C00080 + C16338 | (${Variables:E1_1_1_35_kcat} * E1_1_1_35 * C00003 * C16337)/(${Variables:E1_1_1_35_km} + (E1_1_1_35 * C00003 * C16337))</v>
      </c>
    </row>
    <row r="494" spans="1:11" ht="45" customHeight="1" x14ac:dyDescent="0.25">
      <c r="A494" t="s">
        <v>2193</v>
      </c>
      <c r="B494" t="s">
        <v>2194</v>
      </c>
      <c r="C494" s="5" t="s">
        <v>9538</v>
      </c>
      <c r="D494">
        <f t="shared" si="28"/>
        <v>493</v>
      </c>
      <c r="E494" t="str">
        <f t="shared" si="29"/>
        <v>E1_1_1_35</v>
      </c>
      <c r="F494" s="11" t="s">
        <v>14155</v>
      </c>
      <c r="G494" s="11" t="s">
        <v>14758</v>
      </c>
      <c r="H494" s="11" t="s">
        <v>15356</v>
      </c>
      <c r="I494" s="11" t="s">
        <v>15977</v>
      </c>
      <c r="J494" s="12" t="str">
        <f t="shared" si="30"/>
        <v>(${Variables:E1_1_1_35_kcat} * E1_1_1_35 * C00003 * C06714)/(${Variables:E1_1_1_35_km} + (E1_1_1_35 * C00003 * C06714))</v>
      </c>
      <c r="K494" s="11" t="str">
        <f t="shared" si="31"/>
        <v>r493: C00003 + C06714 -&gt; C00004 + C00080 + C06715 | (${Variables:E1_1_1_35_kcat} * E1_1_1_35 * C00003 * C06714)/(${Variables:E1_1_1_35_km} + (E1_1_1_35 * C00003 * C06714))</v>
      </c>
    </row>
    <row r="495" spans="1:11" ht="45" customHeight="1" x14ac:dyDescent="0.25">
      <c r="A495" t="s">
        <v>2193</v>
      </c>
      <c r="B495" t="s">
        <v>2194</v>
      </c>
      <c r="C495" s="5" t="s">
        <v>9538</v>
      </c>
      <c r="D495">
        <f t="shared" si="28"/>
        <v>494</v>
      </c>
      <c r="E495" t="str">
        <f t="shared" si="29"/>
        <v>E1_1_1_35</v>
      </c>
      <c r="F495" s="11" t="s">
        <v>14156</v>
      </c>
      <c r="G495" s="11" t="s">
        <v>14759</v>
      </c>
      <c r="H495" s="11" t="s">
        <v>15357</v>
      </c>
      <c r="I495" s="11" t="s">
        <v>15978</v>
      </c>
      <c r="J495" s="12" t="str">
        <f t="shared" si="30"/>
        <v>(${Variables:E1_1_1_35_kcat} * E1_1_1_35 * C00003 * C16469)/(${Variables:E1_1_1_35_km} + (E1_1_1_35 * C00003 * C16469))</v>
      </c>
      <c r="K495" s="11" t="str">
        <f t="shared" si="31"/>
        <v>r494: C00003 + C16469 -&gt; C00004 + C00080 + C16471 | (${Variables:E1_1_1_35_kcat} * E1_1_1_35 * C00003 * C16469)/(${Variables:E1_1_1_35_km} + (E1_1_1_35 * C00003 * C16469))</v>
      </c>
    </row>
    <row r="496" spans="1:11" ht="45" customHeight="1" x14ac:dyDescent="0.25">
      <c r="A496" t="s">
        <v>2196</v>
      </c>
      <c r="B496" t="s">
        <v>2197</v>
      </c>
      <c r="C496" s="5" t="s">
        <v>9539</v>
      </c>
      <c r="D496">
        <f t="shared" si="28"/>
        <v>495</v>
      </c>
      <c r="E496" t="str">
        <f t="shared" si="29"/>
        <v>E5_1_99_4</v>
      </c>
      <c r="F496" s="11" t="s">
        <v>8229</v>
      </c>
      <c r="G496" s="11" t="s">
        <v>8229</v>
      </c>
      <c r="H496" s="11" t="s">
        <v>8506</v>
      </c>
      <c r="I496" s="11" t="s">
        <v>8506</v>
      </c>
      <c r="J496" s="12" t="str">
        <f t="shared" si="30"/>
        <v>(${Variables:E5_1_99_4_kcat} * E5_1_99_4 * C05232)/(${Variables:E5_1_99_4_km} + (E5_1_99_4 * C05232))</v>
      </c>
      <c r="K496" s="11" t="str">
        <f t="shared" si="31"/>
        <v>r495: C05232 -&gt; C05329 | (${Variables:E5_1_99_4_kcat} * E5_1_99_4 * C05232)/(${Variables:E5_1_99_4_km} + (E5_1_99_4 * C05232))</v>
      </c>
    </row>
    <row r="497" spans="1:11" ht="45" customHeight="1" x14ac:dyDescent="0.25">
      <c r="A497" t="s">
        <v>2196</v>
      </c>
      <c r="B497" t="s">
        <v>2197</v>
      </c>
      <c r="C497" s="5" t="s">
        <v>9539</v>
      </c>
      <c r="D497">
        <f t="shared" si="28"/>
        <v>496</v>
      </c>
      <c r="E497" t="str">
        <f t="shared" si="29"/>
        <v>E5_1_99_4</v>
      </c>
      <c r="F497" s="11" t="s">
        <v>8230</v>
      </c>
      <c r="G497" s="11" t="s">
        <v>8230</v>
      </c>
      <c r="H497" s="11" t="s">
        <v>8507</v>
      </c>
      <c r="I497" s="11" t="s">
        <v>8507</v>
      </c>
      <c r="J497" s="12" t="str">
        <f t="shared" si="30"/>
        <v>(${Variables:E5_1_99_4_kcat} * E5_1_99_4 * C15613)/(${Variables:E5_1_99_4_km} + (E5_1_99_4 * C15613))</v>
      </c>
      <c r="K497" s="11" t="str">
        <f t="shared" si="31"/>
        <v>r496: C15613 -&gt; C17343 | (${Variables:E5_1_99_4_kcat} * E5_1_99_4 * C15613)/(${Variables:E5_1_99_4_km} + (E5_1_99_4 * C15613))</v>
      </c>
    </row>
    <row r="498" spans="1:11" ht="45" customHeight="1" x14ac:dyDescent="0.25">
      <c r="A498" t="s">
        <v>2196</v>
      </c>
      <c r="B498" t="s">
        <v>2197</v>
      </c>
      <c r="C498" s="5" t="s">
        <v>9539</v>
      </c>
      <c r="D498">
        <f t="shared" si="28"/>
        <v>497</v>
      </c>
      <c r="E498" t="str">
        <f t="shared" si="29"/>
        <v>E5_1_99_4</v>
      </c>
      <c r="F498" s="11" t="s">
        <v>8231</v>
      </c>
      <c r="G498" s="11" t="s">
        <v>8231</v>
      </c>
      <c r="H498" s="11" t="s">
        <v>8508</v>
      </c>
      <c r="I498" s="11" t="s">
        <v>8508</v>
      </c>
      <c r="J498" s="12" t="str">
        <f t="shared" si="30"/>
        <v>(${Variables:E5_1_99_4_kcat} * E5_1_99_4 * C17345)/(${Variables:E5_1_99_4_km} + (E5_1_99_4 * C17345))</v>
      </c>
      <c r="K498" s="11" t="str">
        <f t="shared" si="31"/>
        <v>r497: C17345 -&gt; C17346 | (${Variables:E5_1_99_4_kcat} * E5_1_99_4 * C17345)/(${Variables:E5_1_99_4_km} + (E5_1_99_4 * C17345))</v>
      </c>
    </row>
    <row r="499" spans="1:11" ht="45" customHeight="1" x14ac:dyDescent="0.25">
      <c r="A499" t="s">
        <v>2196</v>
      </c>
      <c r="B499" t="s">
        <v>2197</v>
      </c>
      <c r="C499" s="5" t="s">
        <v>9539</v>
      </c>
      <c r="D499">
        <f t="shared" si="28"/>
        <v>498</v>
      </c>
      <c r="E499" t="str">
        <f t="shared" si="29"/>
        <v>E5_1_99_4</v>
      </c>
      <c r="F499" s="11" t="s">
        <v>8232</v>
      </c>
      <c r="G499" s="11" t="s">
        <v>8232</v>
      </c>
      <c r="H499" s="11" t="s">
        <v>8509</v>
      </c>
      <c r="I499" s="11" t="s">
        <v>8509</v>
      </c>
      <c r="J499" s="12" t="str">
        <f t="shared" si="30"/>
        <v>(${Variables:E5_1_99_4_kcat} * E5_1_99_4 * C23011)/(${Variables:E5_1_99_4_km} + (E5_1_99_4 * C23011))</v>
      </c>
      <c r="K499" s="11" t="str">
        <f t="shared" si="31"/>
        <v>r498: C23011 -&gt; C20840 | (${Variables:E5_1_99_4_kcat} * E5_1_99_4 * C23011)/(${Variables:E5_1_99_4_km} + (E5_1_99_4 * C23011))</v>
      </c>
    </row>
    <row r="500" spans="1:11" ht="45" customHeight="1" x14ac:dyDescent="0.25">
      <c r="A500" t="s">
        <v>2199</v>
      </c>
      <c r="B500" t="s">
        <v>2200</v>
      </c>
      <c r="C500" s="5" t="s">
        <v>9540</v>
      </c>
      <c r="D500">
        <f t="shared" si="28"/>
        <v>499</v>
      </c>
      <c r="E500" t="str">
        <f t="shared" si="29"/>
        <v>E1_7_1_1</v>
      </c>
      <c r="F500" s="11" t="s">
        <v>14157</v>
      </c>
      <c r="G500" s="11" t="s">
        <v>14760</v>
      </c>
      <c r="H500" s="11" t="s">
        <v>15358</v>
      </c>
      <c r="I500" s="11" t="s">
        <v>15979</v>
      </c>
      <c r="J500" s="12" t="str">
        <f t="shared" si="30"/>
        <v>(${Variables:E1_7_1_1_kcat} * E1_7_1_1 * C00001 * C00003 * C00088)/(${Variables:E1_7_1_1_km} + (E1_7_1_1 * C00001 * C00003 * C00088))</v>
      </c>
      <c r="K500" s="11" t="str">
        <f t="shared" si="31"/>
        <v>r499: C00001 + C00003 + C00088 -&gt; C00004 + C00080 + C00244 | (${Variables:E1_7_1_1_kcat} * E1_7_1_1 * C00001 * C00003 * C00088)/(${Variables:E1_7_1_1_km} + (E1_7_1_1 * C00001 * C00003 * C00088))</v>
      </c>
    </row>
    <row r="501" spans="1:11" ht="45" customHeight="1" x14ac:dyDescent="0.25">
      <c r="A501" t="s">
        <v>2199</v>
      </c>
      <c r="B501" t="s">
        <v>2200</v>
      </c>
      <c r="C501" s="5" t="s">
        <v>9541</v>
      </c>
      <c r="D501">
        <f t="shared" si="28"/>
        <v>500</v>
      </c>
      <c r="E501" t="str">
        <f t="shared" si="29"/>
        <v>E1_7_1_2</v>
      </c>
      <c r="F501" s="11" t="s">
        <v>14157</v>
      </c>
      <c r="G501" s="11" t="s">
        <v>14760</v>
      </c>
      <c r="H501" s="11" t="s">
        <v>15358</v>
      </c>
      <c r="I501" s="11" t="s">
        <v>15979</v>
      </c>
      <c r="J501" s="12" t="str">
        <f t="shared" si="30"/>
        <v>(${Variables:E1_7_1_2_kcat} * E1_7_1_2 * C00001 * C00003 * C00088)/(${Variables:E1_7_1_2_km} + (E1_7_1_2 * C00001 * C00003 * C00088))</v>
      </c>
      <c r="K501" s="11" t="str">
        <f t="shared" si="31"/>
        <v>r500: C00001 + C00003 + C00088 -&gt; C00004 + C00080 + C00244 | (${Variables:E1_7_1_2_kcat} * E1_7_1_2 * C00001 * C00003 * C00088)/(${Variables:E1_7_1_2_km} + (E1_7_1_2 * C00001 * C00003 * C00088))</v>
      </c>
    </row>
    <row r="502" spans="1:11" ht="45" customHeight="1" x14ac:dyDescent="0.25">
      <c r="A502" t="s">
        <v>2199</v>
      </c>
      <c r="B502" t="s">
        <v>2200</v>
      </c>
      <c r="C502" s="5" t="s">
        <v>9541</v>
      </c>
      <c r="D502">
        <f t="shared" si="28"/>
        <v>501</v>
      </c>
      <c r="E502" t="str">
        <f t="shared" si="29"/>
        <v>E1_7_1_2</v>
      </c>
      <c r="F502" s="11" t="s">
        <v>14158</v>
      </c>
      <c r="G502" s="11" t="s">
        <v>14761</v>
      </c>
      <c r="H502" s="11" t="s">
        <v>15359</v>
      </c>
      <c r="I502" s="11" t="s">
        <v>15980</v>
      </c>
      <c r="J502" s="12" t="str">
        <f t="shared" si="30"/>
        <v>(${Variables:E1_7_1_2_kcat} * E1_7_1_2 * C00001 * C00006 * C00088)/(${Variables:E1_7_1_2_km} + (E1_7_1_2 * C00001 * C00006 * C00088))</v>
      </c>
      <c r="K502" s="11" t="str">
        <f t="shared" si="31"/>
        <v>r501: C00001 + C00006 + C00088 -&gt; C00005 + C00080 + C00244 | (${Variables:E1_7_1_2_kcat} * E1_7_1_2 * C00001 * C00006 * C00088)/(${Variables:E1_7_1_2_km} + (E1_7_1_2 * C00001 * C00006 * C00088))</v>
      </c>
    </row>
    <row r="503" spans="1:11" ht="45" customHeight="1" x14ac:dyDescent="0.25">
      <c r="A503" t="s">
        <v>2199</v>
      </c>
      <c r="B503" t="s">
        <v>2200</v>
      </c>
      <c r="C503" s="5" t="s">
        <v>9542</v>
      </c>
      <c r="D503">
        <f t="shared" si="28"/>
        <v>502</v>
      </c>
      <c r="E503" t="str">
        <f t="shared" si="29"/>
        <v>E1_7_1_3</v>
      </c>
      <c r="F503" s="11" t="s">
        <v>14158</v>
      </c>
      <c r="G503" s="11" t="s">
        <v>14761</v>
      </c>
      <c r="H503" s="11" t="s">
        <v>15359</v>
      </c>
      <c r="I503" s="11" t="s">
        <v>15980</v>
      </c>
      <c r="J503" s="12" t="str">
        <f t="shared" si="30"/>
        <v>(${Variables:E1_7_1_3_kcat} * E1_7_1_3 * C00001 * C00006 * C00088)/(${Variables:E1_7_1_3_km} + (E1_7_1_3 * C00001 * C00006 * C00088))</v>
      </c>
      <c r="K503" s="11" t="str">
        <f t="shared" si="31"/>
        <v>r502: C00001 + C00006 + C00088 -&gt; C00005 + C00080 + C00244 | (${Variables:E1_7_1_3_kcat} * E1_7_1_3 * C00001 * C00006 * C00088)/(${Variables:E1_7_1_3_km} + (E1_7_1_3 * C00001 * C00006 * C00088))</v>
      </c>
    </row>
    <row r="504" spans="1:11" ht="45" customHeight="1" x14ac:dyDescent="0.25">
      <c r="A504" t="s">
        <v>2199</v>
      </c>
      <c r="B504" t="s">
        <v>2200</v>
      </c>
      <c r="C504" s="5" t="s">
        <v>9543</v>
      </c>
      <c r="D504">
        <f t="shared" si="28"/>
        <v>503</v>
      </c>
      <c r="E504" t="str">
        <f t="shared" si="29"/>
        <v>E1_7_5_1</v>
      </c>
      <c r="F504" s="11" t="s">
        <v>8717</v>
      </c>
      <c r="G504" s="11" t="s">
        <v>8883</v>
      </c>
      <c r="H504" s="11" t="s">
        <v>15360</v>
      </c>
      <c r="I504" s="11" t="s">
        <v>15981</v>
      </c>
      <c r="J504" s="12" t="str">
        <f t="shared" si="30"/>
        <v>(${Variables:E1_7_5_1_kcat} * E1_7_5_1 * C00244 * C15603)/(${Variables:E1_7_5_1_km} + (E1_7_5_1 * C00244 * C15603))</v>
      </c>
      <c r="K504" s="11" t="str">
        <f t="shared" si="31"/>
        <v>r503: C00244 + C15603 -&gt; C00001 + C00088 + C15602 | (${Variables:E1_7_5_1_kcat} * E1_7_5_1 * C00244 * C15603)/(${Variables:E1_7_5_1_km} + (E1_7_5_1 * C00244 * C15603))</v>
      </c>
    </row>
    <row r="505" spans="1:11" ht="45" customHeight="1" x14ac:dyDescent="0.25">
      <c r="A505" t="s">
        <v>2199</v>
      </c>
      <c r="B505" t="s">
        <v>2200</v>
      </c>
      <c r="C505" s="5" t="s">
        <v>9544</v>
      </c>
      <c r="D505">
        <f t="shared" si="28"/>
        <v>504</v>
      </c>
      <c r="E505" t="str">
        <f t="shared" si="29"/>
        <v>E1_7_7_2</v>
      </c>
      <c r="F505" s="11" t="s">
        <v>14159</v>
      </c>
      <c r="G505" s="11" t="s">
        <v>14762</v>
      </c>
      <c r="H505" s="11" t="s">
        <v>15361</v>
      </c>
      <c r="I505" s="11" t="s">
        <v>15982</v>
      </c>
      <c r="J505" s="12" t="str">
        <f t="shared" si="30"/>
        <v>(${Variables:E1_7_7_2_kcat} * E1_7_7_2 * C00001 * C00088 * C00139)/(${Variables:E1_7_7_2_km} + (E1_7_7_2 * C00001 * C00088 * C00139))</v>
      </c>
      <c r="K505" s="11" t="str">
        <f t="shared" si="31"/>
        <v>r504: C00001 + C00088 + C00139 -&gt; C00138 + C00244 | (${Variables:E1_7_7_2_kcat} * E1_7_7_2 * C00001 * C00088 * C00139)/(${Variables:E1_7_7_2_km} + (E1_7_7_2 * C00001 * C00088 * C00139))</v>
      </c>
    </row>
    <row r="506" spans="1:11" ht="45" customHeight="1" x14ac:dyDescent="0.25">
      <c r="A506" t="s">
        <v>2199</v>
      </c>
      <c r="B506" t="s">
        <v>2200</v>
      </c>
      <c r="C506" s="5" t="s">
        <v>9545</v>
      </c>
      <c r="D506">
        <f t="shared" si="28"/>
        <v>505</v>
      </c>
      <c r="E506" t="str">
        <f t="shared" si="29"/>
        <v>E1_9_6_1</v>
      </c>
      <c r="F506" s="11" t="s">
        <v>14160</v>
      </c>
      <c r="G506" s="11" t="s">
        <v>14763</v>
      </c>
      <c r="H506" s="11" t="s">
        <v>15362</v>
      </c>
      <c r="I506" s="11" t="s">
        <v>15983</v>
      </c>
      <c r="J506" s="12" t="str">
        <f t="shared" si="30"/>
        <v>(${Variables:E1_9_6_1_kcat} * E1_9_6_1 * C00244 * C00924)/(${Variables:E1_9_6_1_km} + (E1_9_6_1 * C00244 * C00924))</v>
      </c>
      <c r="K506" s="11" t="str">
        <f t="shared" si="31"/>
        <v>r505: C00244 + C00924 -&gt; C00001 + C00088 + C00923 | (${Variables:E1_9_6_1_kcat} * E1_9_6_1 * C00244 * C00924)/(${Variables:E1_9_6_1_km} + (E1_9_6_1 * C00244 * C00924))</v>
      </c>
    </row>
    <row r="507" spans="1:11" ht="45" customHeight="1" x14ac:dyDescent="0.25">
      <c r="A507" t="s">
        <v>2199</v>
      </c>
      <c r="B507" t="s">
        <v>2200</v>
      </c>
      <c r="C507" s="5" t="s">
        <v>9545</v>
      </c>
      <c r="D507">
        <f t="shared" si="28"/>
        <v>506</v>
      </c>
      <c r="E507" t="str">
        <f t="shared" si="29"/>
        <v>E1_9_6_1</v>
      </c>
      <c r="F507" s="11" t="s">
        <v>8718</v>
      </c>
      <c r="G507" s="11" t="s">
        <v>8884</v>
      </c>
      <c r="H507" s="11" t="s">
        <v>15363</v>
      </c>
      <c r="I507" s="11" t="s">
        <v>15984</v>
      </c>
      <c r="J507" s="12" t="str">
        <f t="shared" si="30"/>
        <v>(${Variables:E1_9_6_1_kcat} * E1_9_6_1 * C00244 * C06259)/(${Variables:E1_9_6_1_km} + (E1_9_6_1 * C00244 * C06259))</v>
      </c>
      <c r="K507" s="11" t="str">
        <f t="shared" si="31"/>
        <v>r506: C00244 + C06259 -&gt; C00001 + C00088 + C06260 | (${Variables:E1_9_6_1_kcat} * E1_9_6_1 * C00244 * C06259)/(${Variables:E1_9_6_1_km} + (E1_9_6_1 * C00244 * C06259))</v>
      </c>
    </row>
    <row r="508" spans="1:11" ht="45" customHeight="1" x14ac:dyDescent="0.25">
      <c r="A508" t="s">
        <v>2202</v>
      </c>
      <c r="B508" t="s">
        <v>2203</v>
      </c>
      <c r="C508" s="5" t="s">
        <v>9546</v>
      </c>
      <c r="D508">
        <f t="shared" si="28"/>
        <v>507</v>
      </c>
      <c r="E508" t="str">
        <f t="shared" si="29"/>
        <v>E1_20_9_1</v>
      </c>
      <c r="F508" s="11" t="s">
        <v>14161</v>
      </c>
      <c r="G508" s="11" t="s">
        <v>14764</v>
      </c>
      <c r="H508" s="11" t="s">
        <v>15364</v>
      </c>
      <c r="I508" s="11" t="s">
        <v>15985</v>
      </c>
      <c r="J508" s="12" t="str">
        <f t="shared" si="30"/>
        <v>(${Variables:E1_20_9_1_kcat} * E1_20_9_1 * C00001 * C05357 * C06697)/(${Variables:E1_20_9_1_km} + (E1_20_9_1 * C00001 * C05357 * C06697))</v>
      </c>
      <c r="K508" s="11" t="str">
        <f t="shared" si="31"/>
        <v>r507: C00001 + C05357 + C06697 -&gt; C00080 + C05358 + C11215 | (${Variables:E1_20_9_1_kcat} * E1_20_9_1 * C00001 * C05357 * C06697)/(${Variables:E1_20_9_1_km} + (E1_20_9_1 * C00001 * C05357 * C06697))</v>
      </c>
    </row>
    <row r="509" spans="1:11" ht="45" customHeight="1" x14ac:dyDescent="0.25">
      <c r="A509" t="s">
        <v>2202</v>
      </c>
      <c r="B509" t="s">
        <v>2203</v>
      </c>
      <c r="C509" s="5" t="s">
        <v>9546</v>
      </c>
      <c r="D509">
        <f t="shared" si="28"/>
        <v>508</v>
      </c>
      <c r="E509" t="str">
        <f t="shared" si="29"/>
        <v>E1_20_9_1</v>
      </c>
      <c r="F509" s="11" t="s">
        <v>14162</v>
      </c>
      <c r="G509" s="11" t="s">
        <v>14765</v>
      </c>
      <c r="H509" s="11" t="s">
        <v>15365</v>
      </c>
      <c r="I509" s="11" t="s">
        <v>15986</v>
      </c>
      <c r="J509" s="12" t="str">
        <f t="shared" si="30"/>
        <v>(${Variables:E1_20_9_1_kcat} * E1_20_9_1 * C00001 * C00125 * C06697)/(${Variables:E1_20_9_1_km} + (E1_20_9_1 * C00001 * C00125 * C06697))</v>
      </c>
      <c r="K509" s="11" t="str">
        <f t="shared" si="31"/>
        <v>r508: C00001 + C00125 + C06697 -&gt; C00080 + C00126 + C11215 | (${Variables:E1_20_9_1_kcat} * E1_20_9_1 * C00001 * C00125 * C06697)/(${Variables:E1_20_9_1_km} + (E1_20_9_1 * C00001 * C00125 * C06697))</v>
      </c>
    </row>
    <row r="510" spans="1:11" ht="45" customHeight="1" x14ac:dyDescent="0.25">
      <c r="A510" t="s">
        <v>2220</v>
      </c>
      <c r="B510" t="s">
        <v>2221</v>
      </c>
      <c r="C510" s="5" t="s">
        <v>9547</v>
      </c>
      <c r="D510">
        <f t="shared" si="28"/>
        <v>509</v>
      </c>
      <c r="E510" t="str">
        <f t="shared" si="29"/>
        <v>E2_6_1_19</v>
      </c>
      <c r="F510" s="11" t="s">
        <v>14163</v>
      </c>
      <c r="G510" s="11" t="s">
        <v>14766</v>
      </c>
      <c r="H510" s="11" t="s">
        <v>15366</v>
      </c>
      <c r="I510" s="11" t="s">
        <v>15987</v>
      </c>
      <c r="J510" s="12" t="str">
        <f t="shared" si="30"/>
        <v>(${Variables:E2_6_1_19_kcat} * E2_6_1_19 * C00026 * C00334)/(${Variables:E2_6_1_19_km} + (E2_6_1_19 * C00026 * C00334))</v>
      </c>
      <c r="K510" s="11" t="str">
        <f t="shared" si="31"/>
        <v>r509: C00026 + C00334 -&gt; C00025 + C00232 | (${Variables:E2_6_1_19_kcat} * E2_6_1_19 * C00026 * C00334)/(${Variables:E2_6_1_19_km} + (E2_6_1_19 * C00026 * C00334))</v>
      </c>
    </row>
    <row r="511" spans="1:11" ht="45" customHeight="1" x14ac:dyDescent="0.25">
      <c r="A511" t="s">
        <v>2220</v>
      </c>
      <c r="B511" t="s">
        <v>2221</v>
      </c>
      <c r="C511" s="5" t="s">
        <v>9547</v>
      </c>
      <c r="D511">
        <f t="shared" si="28"/>
        <v>510</v>
      </c>
      <c r="E511" t="str">
        <f t="shared" si="29"/>
        <v>E2_6_1_19</v>
      </c>
      <c r="F511" s="11" t="s">
        <v>14164</v>
      </c>
      <c r="G511" s="11" t="s">
        <v>14767</v>
      </c>
      <c r="H511" s="11" t="s">
        <v>15367</v>
      </c>
      <c r="I511" s="11" t="s">
        <v>15988</v>
      </c>
      <c r="J511" s="12" t="str">
        <f t="shared" si="30"/>
        <v>(${Variables:E2_6_1_19_kcat} * E2_6_1_19 * C00026 * C00099)/(${Variables:E2_6_1_19_km} + (E2_6_1_19 * C00026 * C00099))</v>
      </c>
      <c r="K511" s="11" t="str">
        <f t="shared" si="31"/>
        <v>r510: C00026 + C00099 -&gt; C00025 + C00222 | (${Variables:E2_6_1_19_kcat} * E2_6_1_19 * C00026 * C00099)/(${Variables:E2_6_1_19_km} + (E2_6_1_19 * C00026 * C00099))</v>
      </c>
    </row>
    <row r="512" spans="1:11" ht="45" customHeight="1" x14ac:dyDescent="0.25">
      <c r="A512" t="s">
        <v>2223</v>
      </c>
      <c r="B512" t="s">
        <v>2224</v>
      </c>
      <c r="C512" s="5" t="s">
        <v>9548</v>
      </c>
      <c r="D512">
        <f t="shared" si="28"/>
        <v>511</v>
      </c>
      <c r="E512" t="str">
        <f t="shared" si="29"/>
        <v>E3_6_1_13</v>
      </c>
      <c r="F512" s="11" t="s">
        <v>14165</v>
      </c>
      <c r="G512" s="11" t="s">
        <v>14768</v>
      </c>
      <c r="H512" s="11" t="s">
        <v>9078</v>
      </c>
      <c r="I512" s="11" t="s">
        <v>9277</v>
      </c>
      <c r="J512" s="12" t="str">
        <f t="shared" si="30"/>
        <v>(${Variables:E3_6_1_13_kcat} * E3_6_1_13 * C00001 * C00301)/(${Variables:E3_6_1_13_km} + (E3_6_1_13 * C00001 * C00301))</v>
      </c>
      <c r="K512" s="11" t="str">
        <f t="shared" si="31"/>
        <v>r511: C00001 + C00301 -&gt; C00020 + C00117 | (${Variables:E3_6_1_13_kcat} * E3_6_1_13 * C00001 * C00301)/(${Variables:E3_6_1_13_km} + (E3_6_1_13 * C00001 * C00301))</v>
      </c>
    </row>
    <row r="513" spans="1:11" ht="45" customHeight="1" x14ac:dyDescent="0.25">
      <c r="A513" t="s">
        <v>2228</v>
      </c>
      <c r="B513" t="s">
        <v>2229</v>
      </c>
      <c r="C513" s="5" t="s">
        <v>9549</v>
      </c>
      <c r="D513">
        <f t="shared" si="28"/>
        <v>512</v>
      </c>
      <c r="E513" t="str">
        <f t="shared" si="29"/>
        <v>E3_5_4_10</v>
      </c>
      <c r="F513" s="11" t="s">
        <v>13952</v>
      </c>
      <c r="G513" s="11" t="s">
        <v>14555</v>
      </c>
      <c r="H513" s="11" t="s">
        <v>8511</v>
      </c>
      <c r="I513" s="11" t="s">
        <v>8511</v>
      </c>
      <c r="J513" s="12" t="str">
        <f t="shared" si="30"/>
        <v>(${Variables:E3_5_4_10_kcat} * E3_5_4_10 * C00001 * C00130)/(${Variables:E3_5_4_10_km} + (E3_5_4_10 * C00001 * C00130))</v>
      </c>
      <c r="K513" s="11" t="str">
        <f t="shared" si="31"/>
        <v>r512: C00001 + C00130 -&gt; C04734 | (${Variables:E3_5_4_10_kcat} * E3_5_4_10 * C00001 * C00130)/(${Variables:E3_5_4_10_km} + (E3_5_4_10 * C00001 * C00130))</v>
      </c>
    </row>
    <row r="514" spans="1:11" ht="45" customHeight="1" x14ac:dyDescent="0.25">
      <c r="A514" t="s">
        <v>2248</v>
      </c>
      <c r="B514" t="s">
        <v>2249</v>
      </c>
      <c r="C514" s="5" t="s">
        <v>9550</v>
      </c>
      <c r="D514">
        <f t="shared" si="28"/>
        <v>513</v>
      </c>
      <c r="E514" t="str">
        <f t="shared" si="29"/>
        <v>E4_1_1_20</v>
      </c>
      <c r="F514" s="11" t="s">
        <v>8235</v>
      </c>
      <c r="G514" s="11" t="s">
        <v>8235</v>
      </c>
      <c r="H514" s="11" t="s">
        <v>15368</v>
      </c>
      <c r="I514" s="11" t="s">
        <v>15989</v>
      </c>
      <c r="J514" s="12" t="str">
        <f t="shared" si="30"/>
        <v>(${Variables:E4_1_1_20_kcat} * E4_1_1_20 * C00680)/(${Variables:E4_1_1_20_km} + (E4_1_1_20 * C00680))</v>
      </c>
      <c r="K514" s="11" t="str">
        <f t="shared" si="31"/>
        <v>r513: C00680 -&gt; C00011 + C00047 | (${Variables:E4_1_1_20_kcat} * E4_1_1_20 * C00680)/(${Variables:E4_1_1_20_km} + (E4_1_1_20 * C00680))</v>
      </c>
    </row>
    <row r="515" spans="1:11" ht="45" customHeight="1" x14ac:dyDescent="0.25">
      <c r="A515" t="s">
        <v>2250</v>
      </c>
      <c r="B515" t="s">
        <v>2251</v>
      </c>
      <c r="C515" s="5" t="s">
        <v>9550</v>
      </c>
      <c r="D515">
        <f t="shared" ref="D515:D578" si="32">ROW()-1</f>
        <v>514</v>
      </c>
      <c r="E515" t="str">
        <f t="shared" ref="E515:E578" si="33">_xlfn.CONCAT("E", C515)</f>
        <v>E4_1_1_20</v>
      </c>
      <c r="F515" s="11" t="s">
        <v>8235</v>
      </c>
      <c r="G515" s="11" t="s">
        <v>8235</v>
      </c>
      <c r="H515" s="11" t="s">
        <v>15368</v>
      </c>
      <c r="I515" s="11" t="s">
        <v>15989</v>
      </c>
      <c r="J515" s="12" t="str">
        <f t="shared" ref="J515:J578" si="34">CONCATENATE("(${Variables:",E515,"_kcat","} * ",E515," * ",G515,")","/(${Variables:",E515,"_km","} + (",E515," * ",G515,"))")</f>
        <v>(${Variables:E4_1_1_20_kcat} * E4_1_1_20 * C00680)/(${Variables:E4_1_1_20_km} + (E4_1_1_20 * C00680))</v>
      </c>
      <c r="K515" s="11" t="str">
        <f t="shared" ref="K515:K578" si="35">CONCATENATE("r",D515,": ",F515," -&gt; ",H515," | ",J515)</f>
        <v>r514: C00680 -&gt; C00011 + C00047 | (${Variables:E4_1_1_20_kcat} * E4_1_1_20 * C00680)/(${Variables:E4_1_1_20_km} + (E4_1_1_20 * C00680))</v>
      </c>
    </row>
    <row r="516" spans="1:11" ht="45" customHeight="1" x14ac:dyDescent="0.25">
      <c r="A516" t="s">
        <v>2253</v>
      </c>
      <c r="B516" t="s">
        <v>2254</v>
      </c>
      <c r="C516" s="5" t="s">
        <v>9551</v>
      </c>
      <c r="D516">
        <f t="shared" si="32"/>
        <v>515</v>
      </c>
      <c r="E516" t="str">
        <f t="shared" si="33"/>
        <v>E3_5_1_25</v>
      </c>
      <c r="F516" s="11" t="s">
        <v>14166</v>
      </c>
      <c r="G516" s="11" t="s">
        <v>14769</v>
      </c>
      <c r="H516" s="11" t="s">
        <v>15369</v>
      </c>
      <c r="I516" s="11" t="s">
        <v>15990</v>
      </c>
      <c r="J516" s="12" t="str">
        <f t="shared" si="34"/>
        <v>(${Variables:E3_5_1_25_kcat} * E3_5_1_25 * C00001 * C00357)/(${Variables:E3_5_1_25_km} + (E3_5_1_25 * C00001 * C00357))</v>
      </c>
      <c r="K516" s="11" t="str">
        <f t="shared" si="35"/>
        <v>r515: C00001 + C00357 -&gt; C00033 + C00352 | (${Variables:E3_5_1_25_kcat} * E3_5_1_25 * C00001 * C00357)/(${Variables:E3_5_1_25_km} + (E3_5_1_25 * C00001 * C00357))</v>
      </c>
    </row>
    <row r="517" spans="1:11" ht="45" customHeight="1" x14ac:dyDescent="0.25">
      <c r="A517" t="s">
        <v>2263</v>
      </c>
      <c r="B517" t="s">
        <v>2264</v>
      </c>
      <c r="C517" s="5" t="s">
        <v>9552</v>
      </c>
      <c r="D517">
        <f t="shared" si="32"/>
        <v>516</v>
      </c>
      <c r="E517" t="str">
        <f t="shared" si="33"/>
        <v>E2_7_9_1</v>
      </c>
      <c r="F517" s="11" t="s">
        <v>14167</v>
      </c>
      <c r="G517" s="11" t="s">
        <v>14770</v>
      </c>
      <c r="H517" s="11" t="s">
        <v>15370</v>
      </c>
      <c r="I517" s="11" t="s">
        <v>15991</v>
      </c>
      <c r="J517" s="12" t="str">
        <f t="shared" si="34"/>
        <v>(${Variables:E2_7_9_1_kcat} * E2_7_9_1 * C00002 * C00009 * C00022)/(${Variables:E2_7_9_1_km} + (E2_7_9_1 * C00002 * C00009 * C00022))</v>
      </c>
      <c r="K517" s="11" t="str">
        <f t="shared" si="35"/>
        <v>r516: C00002 + C00009 + C00022 -&gt; C00013 + C00020 + C00074 | (${Variables:E2_7_9_1_kcat} * E2_7_9_1 * C00002 * C00009 * C00022)/(${Variables:E2_7_9_1_km} + (E2_7_9_1 * C00002 * C00009 * C00022))</v>
      </c>
    </row>
    <row r="518" spans="1:11" ht="45" customHeight="1" x14ac:dyDescent="0.25">
      <c r="A518" t="s">
        <v>2266</v>
      </c>
      <c r="B518" t="s">
        <v>2267</v>
      </c>
      <c r="C518" s="5" t="s">
        <v>9553</v>
      </c>
      <c r="D518">
        <f t="shared" si="32"/>
        <v>517</v>
      </c>
      <c r="E518" t="str">
        <f t="shared" si="33"/>
        <v>E2_7_7_62</v>
      </c>
      <c r="F518" s="11" t="s">
        <v>14168</v>
      </c>
      <c r="G518" s="11" t="s">
        <v>14771</v>
      </c>
      <c r="H518" s="11" t="s">
        <v>15371</v>
      </c>
      <c r="I518" s="11" t="s">
        <v>15992</v>
      </c>
      <c r="J518" s="12" t="str">
        <f t="shared" si="34"/>
        <v>(${Variables:E2_7_7_62_kcat} * E2_7_7_62 * C00044 * C06509)/(${Variables:E2_7_7_62_km} + (E2_7_7_62 * C00044 * C06509))</v>
      </c>
      <c r="K518" s="11" t="str">
        <f t="shared" si="35"/>
        <v>r517: C00044 + C06509 -&gt; C00013 + C06510 | (${Variables:E2_7_7_62_kcat} * E2_7_7_62 * C00044 * C06509)/(${Variables:E2_7_7_62_km} + (E2_7_7_62 * C00044 * C06509))</v>
      </c>
    </row>
    <row r="519" spans="1:11" ht="45" customHeight="1" x14ac:dyDescent="0.25">
      <c r="A519" t="s">
        <v>2273</v>
      </c>
      <c r="B519" t="s">
        <v>2274</v>
      </c>
      <c r="C519" s="5" t="s">
        <v>9554</v>
      </c>
      <c r="D519">
        <f t="shared" si="32"/>
        <v>518</v>
      </c>
      <c r="E519" t="str">
        <f t="shared" si="33"/>
        <v>E4_1_1_81</v>
      </c>
      <c r="F519" s="11" t="s">
        <v>8236</v>
      </c>
      <c r="G519" s="11" t="s">
        <v>8236</v>
      </c>
      <c r="H519" s="11" t="s">
        <v>15372</v>
      </c>
      <c r="I519" s="11" t="s">
        <v>15993</v>
      </c>
      <c r="J519" s="12" t="str">
        <f t="shared" si="34"/>
        <v>(${Variables:E4_1_1_81_kcat} * E4_1_1_81 * C12147)/(${Variables:E4_1_1_81_km} + (E4_1_1_81 * C12147))</v>
      </c>
      <c r="K519" s="11" t="str">
        <f t="shared" si="35"/>
        <v>r518: C12147 -&gt; C00011 + C04122 | (${Variables:E4_1_1_81_kcat} * E4_1_1_81 * C12147)/(${Variables:E4_1_1_81_km} + (E4_1_1_81 * C12147))</v>
      </c>
    </row>
    <row r="520" spans="1:11" ht="45" customHeight="1" x14ac:dyDescent="0.25">
      <c r="A520" t="s">
        <v>2276</v>
      </c>
      <c r="B520" t="s">
        <v>2277</v>
      </c>
      <c r="C520" s="5" t="s">
        <v>9555</v>
      </c>
      <c r="D520">
        <f t="shared" si="32"/>
        <v>519</v>
      </c>
      <c r="E520" t="str">
        <f t="shared" si="33"/>
        <v>E3_1_3_11</v>
      </c>
      <c r="F520" s="11" t="s">
        <v>14169</v>
      </c>
      <c r="G520" s="11" t="s">
        <v>14772</v>
      </c>
      <c r="H520" s="11" t="s">
        <v>15373</v>
      </c>
      <c r="I520" s="11" t="s">
        <v>15994</v>
      </c>
      <c r="J520" s="12" t="str">
        <f t="shared" si="34"/>
        <v>(${Variables:E3_1_3_11_kcat} * E3_1_3_11 * C00001 * C00354)/(${Variables:E3_1_3_11_km} + (E3_1_3_11 * C00001 * C00354))</v>
      </c>
      <c r="K520" s="11" t="str">
        <f t="shared" si="35"/>
        <v>r519: C00001 + C00354 -&gt; C00009 + C00085 | (${Variables:E3_1_3_11_kcat} * E3_1_3_11 * C00001 * C00354)/(${Variables:E3_1_3_11_km} + (E3_1_3_11 * C00001 * C00354))</v>
      </c>
    </row>
    <row r="521" spans="1:11" ht="45" customHeight="1" x14ac:dyDescent="0.25">
      <c r="A521" t="s">
        <v>2276</v>
      </c>
      <c r="B521" t="s">
        <v>2277</v>
      </c>
      <c r="C521" s="5" t="s">
        <v>9555</v>
      </c>
      <c r="D521">
        <f t="shared" si="32"/>
        <v>520</v>
      </c>
      <c r="E521" t="str">
        <f t="shared" si="33"/>
        <v>E3_1_3_11</v>
      </c>
      <c r="F521" s="11" t="s">
        <v>14170</v>
      </c>
      <c r="G521" s="11" t="s">
        <v>14773</v>
      </c>
      <c r="H521" s="11" t="s">
        <v>15374</v>
      </c>
      <c r="I521" s="11" t="s">
        <v>15995</v>
      </c>
      <c r="J521" s="12" t="str">
        <f t="shared" si="34"/>
        <v>(${Variables:E3_1_3_11_kcat} * E3_1_3_11 * C00001 * C05378)/(${Variables:E3_1_3_11_km} + (E3_1_3_11 * C00001 * C05378))</v>
      </c>
      <c r="K521" s="11" t="str">
        <f t="shared" si="35"/>
        <v>r520: C00001 + C05378 -&gt; C00009 + C05345 | (${Variables:E3_1_3_11_kcat} * E3_1_3_11 * C00001 * C05378)/(${Variables:E3_1_3_11_km} + (E3_1_3_11 * C00001 * C05378))</v>
      </c>
    </row>
    <row r="522" spans="1:11" ht="45" customHeight="1" x14ac:dyDescent="0.25">
      <c r="A522" t="s">
        <v>2276</v>
      </c>
      <c r="B522" t="s">
        <v>2277</v>
      </c>
      <c r="C522" s="5" t="s">
        <v>9555</v>
      </c>
      <c r="D522">
        <f t="shared" si="32"/>
        <v>521</v>
      </c>
      <c r="E522" t="str">
        <f t="shared" si="33"/>
        <v>E3_1_3_11</v>
      </c>
      <c r="F522" s="11" t="s">
        <v>14171</v>
      </c>
      <c r="G522" s="11" t="s">
        <v>14774</v>
      </c>
      <c r="H522" s="11" t="s">
        <v>15375</v>
      </c>
      <c r="I522" s="11" t="s">
        <v>15996</v>
      </c>
      <c r="J522" s="12" t="str">
        <f t="shared" si="34"/>
        <v>(${Variables:E3_1_3_11_kcat} * E3_1_3_11 * C00001 * C00447)/(${Variables:E3_1_3_11_km} + (E3_1_3_11 * C00001 * C00447))</v>
      </c>
      <c r="K522" s="11" t="str">
        <f t="shared" si="35"/>
        <v>r521: C00001 + C00447 -&gt; C00009 + C05382 | (${Variables:E3_1_3_11_kcat} * E3_1_3_11 * C00001 * C00447)/(${Variables:E3_1_3_11_km} + (E3_1_3_11 * C00001 * C00447))</v>
      </c>
    </row>
    <row r="523" spans="1:11" ht="45" customHeight="1" x14ac:dyDescent="0.25">
      <c r="A523" t="s">
        <v>2285</v>
      </c>
      <c r="B523" t="s">
        <v>2286</v>
      </c>
      <c r="C523" s="5" t="s">
        <v>9556</v>
      </c>
      <c r="D523">
        <f t="shared" si="32"/>
        <v>522</v>
      </c>
      <c r="E523" t="str">
        <f t="shared" si="33"/>
        <v>E6_3_1_10</v>
      </c>
      <c r="F523" s="11" t="s">
        <v>14172</v>
      </c>
      <c r="G523" s="11" t="s">
        <v>14775</v>
      </c>
      <c r="H523" s="11" t="s">
        <v>15376</v>
      </c>
      <c r="I523" s="11" t="s">
        <v>15997</v>
      </c>
      <c r="J523" s="12" t="str">
        <f t="shared" si="34"/>
        <v>(${Variables:E6_3_1_10_kcat} * E6_3_1_10 * C00002 * C04122 * C06507)/(${Variables:E6_3_1_10_km} + (E6_3_1_10 * C00002 * C04122 * C06507))</v>
      </c>
      <c r="K523" s="11" t="str">
        <f t="shared" si="35"/>
        <v>r522: C00002 + C04122 + C06507 -&gt; C00008 + C00009 + C06509 | (${Variables:E6_3_1_10_kcat} * E6_3_1_10 * C00002 * C04122 * C06507)/(${Variables:E6_3_1_10_km} + (E6_3_1_10 * C00002 * C04122 * C06507))</v>
      </c>
    </row>
    <row r="524" spans="1:11" ht="45" customHeight="1" x14ac:dyDescent="0.25">
      <c r="A524" t="s">
        <v>2285</v>
      </c>
      <c r="B524" t="s">
        <v>2286</v>
      </c>
      <c r="C524" s="5" t="s">
        <v>9556</v>
      </c>
      <c r="D524">
        <f t="shared" si="32"/>
        <v>523</v>
      </c>
      <c r="E524" t="str">
        <f t="shared" si="33"/>
        <v>E6_3_1_10</v>
      </c>
      <c r="F524" s="11" t="s">
        <v>14173</v>
      </c>
      <c r="G524" s="11" t="s">
        <v>14776</v>
      </c>
      <c r="H524" s="11" t="s">
        <v>9079</v>
      </c>
      <c r="I524" s="11" t="s">
        <v>9278</v>
      </c>
      <c r="J524" s="12" t="str">
        <f t="shared" si="34"/>
        <v>(${Variables:E6_3_1_10_kcat} * E6_3_1_10 * C00002 * C03194 * C06507)/(${Variables:E6_3_1_10_km} + (E6_3_1_10 * C00002 * C03194 * C06507))</v>
      </c>
      <c r="K524" s="11" t="str">
        <f t="shared" si="35"/>
        <v>r523: C00002 + C03194 + C06507 -&gt; C00008 + C00009 + C06508 | (${Variables:E6_3_1_10_kcat} * E6_3_1_10 * C00002 * C03194 * C06507)/(${Variables:E6_3_1_10_km} + (E6_3_1_10 * C00002 * C03194 * C06507))</v>
      </c>
    </row>
    <row r="525" spans="1:11" ht="45" customHeight="1" x14ac:dyDescent="0.25">
      <c r="A525" t="s">
        <v>2288</v>
      </c>
      <c r="B525" t="s">
        <v>2289</v>
      </c>
      <c r="C525" s="5" t="s">
        <v>9557</v>
      </c>
      <c r="D525">
        <f t="shared" si="32"/>
        <v>524</v>
      </c>
      <c r="E525" t="str">
        <f t="shared" si="33"/>
        <v>E3_1_3_73</v>
      </c>
      <c r="F525" s="11" t="s">
        <v>14174</v>
      </c>
      <c r="G525" s="11" t="s">
        <v>14777</v>
      </c>
      <c r="H525" s="11" t="s">
        <v>15377</v>
      </c>
      <c r="I525" s="11" t="s">
        <v>15998</v>
      </c>
      <c r="J525" s="12" t="str">
        <f t="shared" si="34"/>
        <v>(${Variables:E3_1_3_73_kcat} * E3_1_3_73 * C00001 * C04778)/(${Variables:E3_1_3_73_km} + (E3_1_3_73 * C00001 * C04778))</v>
      </c>
      <c r="K525" s="11" t="str">
        <f t="shared" si="35"/>
        <v>r524: C00001 + C04778 -&gt; C00009 + C05775 | (${Variables:E3_1_3_73_kcat} * E3_1_3_73 * C00001 * C04778)/(${Variables:E3_1_3_73_km} + (E3_1_3_73 * C00001 * C04778))</v>
      </c>
    </row>
    <row r="526" spans="1:11" ht="45" customHeight="1" x14ac:dyDescent="0.25">
      <c r="A526" t="s">
        <v>2288</v>
      </c>
      <c r="B526" t="s">
        <v>2289</v>
      </c>
      <c r="C526" s="5" t="s">
        <v>9557</v>
      </c>
      <c r="D526">
        <f t="shared" si="32"/>
        <v>525</v>
      </c>
      <c r="E526" t="str">
        <f t="shared" si="33"/>
        <v>E3_1_3_73</v>
      </c>
      <c r="F526" s="11" t="s">
        <v>14175</v>
      </c>
      <c r="G526" s="11" t="s">
        <v>14778</v>
      </c>
      <c r="H526" s="11" t="s">
        <v>15378</v>
      </c>
      <c r="I526" s="11" t="s">
        <v>15999</v>
      </c>
      <c r="J526" s="12" t="str">
        <f t="shared" si="34"/>
        <v>(${Variables:E3_1_3_73_kcat} * E3_1_3_73 * C00001 * C21153)/(${Variables:E3_1_3_73_km} + (E3_1_3_73 * C00001 * C21153))</v>
      </c>
      <c r="K526" s="11" t="str">
        <f t="shared" si="35"/>
        <v>r525: C00001 + C21153 -&gt; C00009 + C00194 | (${Variables:E3_1_3_73_kcat} * E3_1_3_73 * C00001 * C21153)/(${Variables:E3_1_3_73_km} + (E3_1_3_73 * C00001 * C21153))</v>
      </c>
    </row>
    <row r="527" spans="1:11" ht="45" customHeight="1" x14ac:dyDescent="0.25">
      <c r="A527" t="s">
        <v>2291</v>
      </c>
      <c r="B527" t="s">
        <v>2292</v>
      </c>
      <c r="C527" s="5" t="s">
        <v>9558</v>
      </c>
      <c r="D527">
        <f t="shared" si="32"/>
        <v>526</v>
      </c>
      <c r="E527" t="str">
        <f t="shared" si="33"/>
        <v>E2_4_2_21</v>
      </c>
      <c r="F527" s="11" t="s">
        <v>8719</v>
      </c>
      <c r="G527" s="11" t="s">
        <v>8885</v>
      </c>
      <c r="H527" s="11" t="s">
        <v>15379</v>
      </c>
      <c r="I527" s="11" t="s">
        <v>16000</v>
      </c>
      <c r="J527" s="12" t="str">
        <f t="shared" si="34"/>
        <v>(${Variables:E2_4_2_21_kcat} * E2_4_2_21 * C01185 * C03114)/(${Variables:E2_4_2_21_km} + (E2_4_2_21 * C01185 * C03114))</v>
      </c>
      <c r="K527" s="11" t="str">
        <f t="shared" si="35"/>
        <v>r526: C01185 + C03114 -&gt; C00080 + C00253 + C04778 | (${Variables:E2_4_2_21_kcat} * E2_4_2_21 * C01185 * C03114)/(${Variables:E2_4_2_21_km} + (E2_4_2_21 * C01185 * C03114))</v>
      </c>
    </row>
    <row r="528" spans="1:11" ht="45" customHeight="1" x14ac:dyDescent="0.25">
      <c r="A528" t="s">
        <v>2297</v>
      </c>
      <c r="B528" t="s">
        <v>2298</v>
      </c>
      <c r="C528" s="5" t="s">
        <v>9559</v>
      </c>
      <c r="D528">
        <f t="shared" si="32"/>
        <v>527</v>
      </c>
      <c r="E528" t="str">
        <f t="shared" si="33"/>
        <v>E2_7_8_26</v>
      </c>
      <c r="F528" s="11" t="s">
        <v>14176</v>
      </c>
      <c r="G528" s="11" t="s">
        <v>14779</v>
      </c>
      <c r="H528" s="11" t="s">
        <v>15380</v>
      </c>
      <c r="I528" s="11" t="s">
        <v>16001</v>
      </c>
      <c r="J528" s="12" t="str">
        <f t="shared" si="34"/>
        <v>(${Variables:E2_7_8_26_kcat} * E2_7_8_26 * C00144 * C00194)/(${Variables:E2_7_8_26_km} + (E2_7_8_26 * C00144 * C00194))</v>
      </c>
      <c r="K528" s="11" t="str">
        <f t="shared" si="35"/>
        <v>r527: C00144 + C00194 -&gt; C05775 + C06510 | (${Variables:E2_7_8_26_kcat} * E2_7_8_26 * C00144 * C00194)/(${Variables:E2_7_8_26_km} + (E2_7_8_26 * C00144 * C00194))</v>
      </c>
    </row>
    <row r="529" spans="1:11" ht="45" customHeight="1" x14ac:dyDescent="0.25">
      <c r="A529" t="s">
        <v>2297</v>
      </c>
      <c r="B529" t="s">
        <v>2298</v>
      </c>
      <c r="C529" s="5" t="s">
        <v>9559</v>
      </c>
      <c r="D529">
        <f t="shared" si="32"/>
        <v>528</v>
      </c>
      <c r="E529" t="str">
        <f t="shared" si="33"/>
        <v>E2_7_8_26</v>
      </c>
      <c r="F529" s="11" t="s">
        <v>14177</v>
      </c>
      <c r="G529" s="11" t="s">
        <v>14780</v>
      </c>
      <c r="H529" s="11" t="s">
        <v>9080</v>
      </c>
      <c r="I529" s="11" t="s">
        <v>9279</v>
      </c>
      <c r="J529" s="12" t="str">
        <f t="shared" si="34"/>
        <v>(${Variables:E2_7_8_26_kcat} * E2_7_8_26 * C04778 * C06510)/(${Variables:E2_7_8_26_km} + (E2_7_8_26 * C04778 * C06510))</v>
      </c>
      <c r="K529" s="11" t="str">
        <f t="shared" si="35"/>
        <v>r528: C04778 + C06510 -&gt; C00144 + C21153 | (${Variables:E2_7_8_26_kcat} * E2_7_8_26 * C04778 * C06510)/(${Variables:E2_7_8_26_km} + (E2_7_8_26 * C04778 * C06510))</v>
      </c>
    </row>
    <row r="530" spans="1:11" ht="45" customHeight="1" x14ac:dyDescent="0.25">
      <c r="A530" t="s">
        <v>2300</v>
      </c>
      <c r="B530" t="s">
        <v>2301</v>
      </c>
      <c r="C530" s="5" t="s">
        <v>9560</v>
      </c>
      <c r="D530">
        <f t="shared" si="32"/>
        <v>529</v>
      </c>
      <c r="E530" t="str">
        <f t="shared" si="33"/>
        <v>E2_5_1_17</v>
      </c>
      <c r="F530" s="11" t="s">
        <v>8720</v>
      </c>
      <c r="G530" s="11" t="s">
        <v>8886</v>
      </c>
      <c r="H530" s="11" t="s">
        <v>15381</v>
      </c>
      <c r="I530" s="11" t="s">
        <v>16002</v>
      </c>
      <c r="J530" s="12" t="str">
        <f t="shared" si="34"/>
        <v>(${Variables:E2_5_1_17_kcat} * E2_5_1_17 * C00002 * C00541 * C03024)/(${Variables:E2_5_1_17_km} + (E2_5_1_17 * C00002 * C00541 * C03024))</v>
      </c>
      <c r="K530" s="11" t="str">
        <f t="shared" si="35"/>
        <v>r529: C00002 + C00541 + C03024 -&gt; C00194 + C00536 + C03161 | (${Variables:E2_5_1_17_kcat} * E2_5_1_17 * C00002 * C00541 * C03024)/(${Variables:E2_5_1_17_km} + (E2_5_1_17 * C00002 * C00541 * C03024))</v>
      </c>
    </row>
    <row r="531" spans="1:11" ht="45" customHeight="1" x14ac:dyDescent="0.25">
      <c r="A531" t="s">
        <v>2300</v>
      </c>
      <c r="B531" t="s">
        <v>2301</v>
      </c>
      <c r="C531" s="5" t="s">
        <v>9560</v>
      </c>
      <c r="D531">
        <f t="shared" si="32"/>
        <v>530</v>
      </c>
      <c r="E531" t="str">
        <f t="shared" si="33"/>
        <v>E2_5_1_17</v>
      </c>
      <c r="F531" s="11" t="s">
        <v>14178</v>
      </c>
      <c r="G531" s="11" t="s">
        <v>14781</v>
      </c>
      <c r="H531" s="11" t="s">
        <v>15382</v>
      </c>
      <c r="I531" s="11" t="s">
        <v>16003</v>
      </c>
      <c r="J531" s="12" t="str">
        <f t="shared" si="34"/>
        <v>(${Variables:E2_5_1_17_kcat} * E2_5_1_17 * C00002 * C03024 * C06504)/(${Variables:E2_5_1_17_km} + (E2_5_1_17 * C00002 * C03024 * C06504))</v>
      </c>
      <c r="K531" s="11" t="str">
        <f t="shared" si="35"/>
        <v>r530: C00002 + C03024 + C06504 -&gt; C00536 + C03161 + C06506 | (${Variables:E2_5_1_17_kcat} * E2_5_1_17 * C00002 * C03024 * C06504)/(${Variables:E2_5_1_17_km} + (E2_5_1_17 * C00002 * C03024 * C06504))</v>
      </c>
    </row>
    <row r="532" spans="1:11" ht="45" customHeight="1" x14ac:dyDescent="0.25">
      <c r="A532" t="s">
        <v>2300</v>
      </c>
      <c r="B532" t="s">
        <v>2301</v>
      </c>
      <c r="C532" s="5" t="s">
        <v>9560</v>
      </c>
      <c r="D532">
        <f t="shared" si="32"/>
        <v>531</v>
      </c>
      <c r="E532" t="str">
        <f t="shared" si="33"/>
        <v>E2_5_1_17</v>
      </c>
      <c r="F532" s="11" t="s">
        <v>8721</v>
      </c>
      <c r="G532" s="11" t="s">
        <v>8887</v>
      </c>
      <c r="H532" s="11" t="s">
        <v>15383</v>
      </c>
      <c r="I532" s="11" t="s">
        <v>16004</v>
      </c>
      <c r="J532" s="12" t="str">
        <f t="shared" si="34"/>
        <v>(${Variables:E2_5_1_17_kcat} * E2_5_1_17 * C00002 * C00853)/(${Variables:E2_5_1_17_km} + (E2_5_1_17 * C00002 * C00853))</v>
      </c>
      <c r="K532" s="11" t="str">
        <f t="shared" si="35"/>
        <v>r531: C00002 + C00853 -&gt; C00194 + C00536 | (${Variables:E2_5_1_17_kcat} * E2_5_1_17 * C00002 * C00853)/(${Variables:E2_5_1_17_km} + (E2_5_1_17 * C00002 * C00853))</v>
      </c>
    </row>
    <row r="533" spans="1:11" ht="45" customHeight="1" x14ac:dyDescent="0.25">
      <c r="A533" t="s">
        <v>2300</v>
      </c>
      <c r="B533" t="s">
        <v>2301</v>
      </c>
      <c r="C533" s="5" t="s">
        <v>9560</v>
      </c>
      <c r="D533">
        <f t="shared" si="32"/>
        <v>532</v>
      </c>
      <c r="E533" t="str">
        <f t="shared" si="33"/>
        <v>E2_5_1_17</v>
      </c>
      <c r="F533" s="11" t="s">
        <v>14179</v>
      </c>
      <c r="G533" s="11" t="s">
        <v>14782</v>
      </c>
      <c r="H533" s="11" t="s">
        <v>15384</v>
      </c>
      <c r="I533" s="11" t="s">
        <v>16005</v>
      </c>
      <c r="J533" s="12" t="str">
        <f t="shared" si="34"/>
        <v>(${Variables:E2_5_1_17_kcat} * E2_5_1_17 * C00002 * C06505)/(${Variables:E2_5_1_17_km} + (E2_5_1_17 * C00002 * C06505))</v>
      </c>
      <c r="K533" s="11" t="str">
        <f t="shared" si="35"/>
        <v>r532: C00002 + C06505 -&gt; C00536 + C06506 | (${Variables:E2_5_1_17_kcat} * E2_5_1_17 * C00002 * C06505)/(${Variables:E2_5_1_17_km} + (E2_5_1_17 * C00002 * C06505))</v>
      </c>
    </row>
    <row r="534" spans="1:11" ht="45" customHeight="1" x14ac:dyDescent="0.25">
      <c r="A534" t="s">
        <v>2300</v>
      </c>
      <c r="B534" t="s">
        <v>2301</v>
      </c>
      <c r="C534" s="5" t="s">
        <v>9560</v>
      </c>
      <c r="D534">
        <f t="shared" si="32"/>
        <v>533</v>
      </c>
      <c r="E534" t="str">
        <f t="shared" si="33"/>
        <v>E2_5_1_17</v>
      </c>
      <c r="F534" s="11" t="s">
        <v>8722</v>
      </c>
      <c r="G534" s="11" t="s">
        <v>8888</v>
      </c>
      <c r="H534" s="11" t="s">
        <v>9081</v>
      </c>
      <c r="I534" s="11" t="s">
        <v>9280</v>
      </c>
      <c r="J534" s="12" t="str">
        <f t="shared" si="34"/>
        <v>(${Variables:E2_5_1_17_kcat} * E2_5_1_17 * C00002 * C05774)/(${Variables:E2_5_1_17_km} + (E2_5_1_17 * C00002 * C05774))</v>
      </c>
      <c r="K534" s="11" t="str">
        <f t="shared" si="35"/>
        <v>r533: C00002 + C05774 -&gt; C00536 + C06508 | (${Variables:E2_5_1_17_kcat} * E2_5_1_17 * C00002 * C05774)/(${Variables:E2_5_1_17_km} + (E2_5_1_17 * C00002 * C05774))</v>
      </c>
    </row>
    <row r="535" spans="1:11" ht="45" customHeight="1" x14ac:dyDescent="0.25">
      <c r="A535" t="s">
        <v>2309</v>
      </c>
      <c r="B535" t="s">
        <v>2310</v>
      </c>
      <c r="C535" s="5" t="s">
        <v>9561</v>
      </c>
      <c r="D535">
        <f t="shared" si="32"/>
        <v>534</v>
      </c>
      <c r="E535" t="str">
        <f t="shared" si="33"/>
        <v>E2_7_7_4</v>
      </c>
      <c r="F535" s="11" t="s">
        <v>8723</v>
      </c>
      <c r="G535" s="11" t="s">
        <v>8889</v>
      </c>
      <c r="H535" s="11" t="s">
        <v>9082</v>
      </c>
      <c r="I535" s="11" t="s">
        <v>9281</v>
      </c>
      <c r="J535" s="12" t="str">
        <f t="shared" si="34"/>
        <v>(${Variables:E2_7_7_4_kcat} * E2_7_7_4 * C00002 * C00059)/(${Variables:E2_7_7_4_km} + (E2_7_7_4 * C00002 * C00059))</v>
      </c>
      <c r="K535" s="11" t="str">
        <f t="shared" si="35"/>
        <v>r534: C00002 + C00059 -&gt; C00013 + C00224 | (${Variables:E2_7_7_4_kcat} * E2_7_7_4 * C00002 * C00059)/(${Variables:E2_7_7_4_km} + (E2_7_7_4 * C00002 * C00059))</v>
      </c>
    </row>
    <row r="536" spans="1:11" ht="45" customHeight="1" x14ac:dyDescent="0.25">
      <c r="A536" t="s">
        <v>2309</v>
      </c>
      <c r="B536" t="s">
        <v>2310</v>
      </c>
      <c r="C536" s="5" t="s">
        <v>9561</v>
      </c>
      <c r="D536">
        <f t="shared" si="32"/>
        <v>535</v>
      </c>
      <c r="E536" t="str">
        <f t="shared" si="33"/>
        <v>E2_7_7_4</v>
      </c>
      <c r="F536" s="11" t="s">
        <v>8724</v>
      </c>
      <c r="G536" s="11" t="s">
        <v>8890</v>
      </c>
      <c r="H536" s="11" t="s">
        <v>9083</v>
      </c>
      <c r="I536" s="11" t="s">
        <v>9282</v>
      </c>
      <c r="J536" s="12" t="str">
        <f t="shared" si="34"/>
        <v>(${Variables:E2_7_7_4_kcat} * E2_7_7_4 * C00002 * C05697)/(${Variables:E2_7_7_4_km} + (E2_7_7_4 * C00002 * C05697))</v>
      </c>
      <c r="K536" s="11" t="str">
        <f t="shared" si="35"/>
        <v>r535: C00002 + C05697 -&gt; C00013 + C05686 | (${Variables:E2_7_7_4_kcat} * E2_7_7_4 * C00002 * C05697)/(${Variables:E2_7_7_4_km} + (E2_7_7_4 * C00002 * C05697))</v>
      </c>
    </row>
    <row r="537" spans="1:11" ht="45" customHeight="1" x14ac:dyDescent="0.25">
      <c r="A537" t="s">
        <v>2312</v>
      </c>
      <c r="B537" t="s">
        <v>2313</v>
      </c>
      <c r="C537" s="5" t="s">
        <v>9562</v>
      </c>
      <c r="D537">
        <f t="shared" si="32"/>
        <v>536</v>
      </c>
      <c r="E537" t="str">
        <f t="shared" si="33"/>
        <v>E2_1_1_107</v>
      </c>
      <c r="F537" s="11" t="s">
        <v>8725</v>
      </c>
      <c r="G537" s="11" t="s">
        <v>8891</v>
      </c>
      <c r="H537" s="11" t="s">
        <v>9084</v>
      </c>
      <c r="I537" s="11" t="s">
        <v>9283</v>
      </c>
      <c r="J537" s="12" t="str">
        <f t="shared" si="34"/>
        <v>(${Variables:E2_1_1_107_kcat} * E2_1_1_107 * C00019 * C01051)/(${Variables:E2_1_1_107_km} + (E2_1_1_107 * C00019 * C01051))</v>
      </c>
      <c r="K537" s="11" t="str">
        <f t="shared" si="35"/>
        <v>r536: C00019 + C01051 -&gt; C00021 + C02463 | (${Variables:E2_1_1_107_kcat} * E2_1_1_107 * C00019 * C01051)/(${Variables:E2_1_1_107_km} + (E2_1_1_107 * C00019 * C01051))</v>
      </c>
    </row>
    <row r="538" spans="1:11" ht="45" customHeight="1" x14ac:dyDescent="0.25">
      <c r="A538" t="s">
        <v>2312</v>
      </c>
      <c r="B538" t="s">
        <v>2313</v>
      </c>
      <c r="C538" s="5" t="s">
        <v>9562</v>
      </c>
      <c r="D538">
        <f t="shared" si="32"/>
        <v>537</v>
      </c>
      <c r="E538" t="str">
        <f t="shared" si="33"/>
        <v>E2_1_1_107</v>
      </c>
      <c r="F538" s="11" t="s">
        <v>8725</v>
      </c>
      <c r="G538" s="11" t="s">
        <v>8891</v>
      </c>
      <c r="H538" s="11" t="s">
        <v>9085</v>
      </c>
      <c r="I538" s="11" t="s">
        <v>9284</v>
      </c>
      <c r="J538" s="12" t="str">
        <f t="shared" si="34"/>
        <v>(${Variables:E2_1_1_107_kcat} * E2_1_1_107 * C00019 * C01051)/(${Variables:E2_1_1_107_km} + (E2_1_1_107 * C00019 * C01051))</v>
      </c>
      <c r="K538" s="11" t="str">
        <f t="shared" si="35"/>
        <v>r537: C00019 + C01051 -&gt; C00021 + C15527 | (${Variables:E2_1_1_107_kcat} * E2_1_1_107 * C00019 * C01051)/(${Variables:E2_1_1_107_km} + (E2_1_1_107 * C00019 * C01051))</v>
      </c>
    </row>
    <row r="539" spans="1:11" ht="45" customHeight="1" x14ac:dyDescent="0.25">
      <c r="A539" t="s">
        <v>2312</v>
      </c>
      <c r="B539" t="s">
        <v>2313</v>
      </c>
      <c r="C539" s="5" t="s">
        <v>9562</v>
      </c>
      <c r="D539">
        <f t="shared" si="32"/>
        <v>538</v>
      </c>
      <c r="E539" t="str">
        <f t="shared" si="33"/>
        <v>E2_1_1_107</v>
      </c>
      <c r="F539" s="11" t="s">
        <v>8726</v>
      </c>
      <c r="G539" s="11" t="s">
        <v>8892</v>
      </c>
      <c r="H539" s="11" t="s">
        <v>9084</v>
      </c>
      <c r="I539" s="11" t="s">
        <v>9283</v>
      </c>
      <c r="J539" s="12" t="str">
        <f t="shared" si="34"/>
        <v>(${Variables:E2_1_1_107_kcat} * E2_1_1_107 * C00019 * C15527)/(${Variables:E2_1_1_107_km} + (E2_1_1_107 * C00019 * C15527))</v>
      </c>
      <c r="K539" s="11" t="str">
        <f t="shared" si="35"/>
        <v>r538: C00019 + C15527 -&gt; C00021 + C02463 | (${Variables:E2_1_1_107_kcat} * E2_1_1_107 * C00019 * C15527)/(${Variables:E2_1_1_107_km} + (E2_1_1_107 * C00019 * C15527))</v>
      </c>
    </row>
    <row r="540" spans="1:11" ht="45" customHeight="1" x14ac:dyDescent="0.25">
      <c r="A540" t="s">
        <v>2312</v>
      </c>
      <c r="B540" t="s">
        <v>2313</v>
      </c>
      <c r="C540" s="5" t="s">
        <v>9562</v>
      </c>
      <c r="D540">
        <f t="shared" si="32"/>
        <v>539</v>
      </c>
      <c r="E540" t="str">
        <f t="shared" si="33"/>
        <v>E2_1_1_107</v>
      </c>
      <c r="F540" s="11" t="s">
        <v>8727</v>
      </c>
      <c r="G540" s="11" t="s">
        <v>8893</v>
      </c>
      <c r="H540" s="11" t="s">
        <v>9086</v>
      </c>
      <c r="I540" s="11" t="s">
        <v>9285</v>
      </c>
      <c r="J540" s="12" t="str">
        <f t="shared" si="34"/>
        <v>(${Variables:E2_1_1_107_kcat} * E2_1_1_107 * C00019 * C02469)/(${Variables:E2_1_1_107_km} + (E2_1_1_107 * C00019 * C02469))</v>
      </c>
      <c r="K540" s="11" t="str">
        <f t="shared" si="35"/>
        <v>r539: C00019 + C02469 -&gt; C00021 + C05778 | (${Variables:E2_1_1_107_kcat} * E2_1_1_107 * C00019 * C02469)/(${Variables:E2_1_1_107_km} + (E2_1_1_107 * C00019 * C02469))</v>
      </c>
    </row>
    <row r="541" spans="1:11" ht="45" customHeight="1" x14ac:dyDescent="0.25">
      <c r="A541" t="s">
        <v>2318</v>
      </c>
      <c r="B541" t="s">
        <v>2319</v>
      </c>
      <c r="C541" s="5" t="s">
        <v>9563</v>
      </c>
      <c r="D541">
        <f t="shared" si="32"/>
        <v>540</v>
      </c>
      <c r="E541" t="str">
        <f t="shared" si="33"/>
        <v>E1_8_4_10</v>
      </c>
      <c r="F541" s="11" t="s">
        <v>8728</v>
      </c>
      <c r="G541" s="11" t="s">
        <v>8894</v>
      </c>
      <c r="H541" s="11" t="s">
        <v>9087</v>
      </c>
      <c r="I541" s="11" t="s">
        <v>9286</v>
      </c>
      <c r="J541" s="12" t="str">
        <f t="shared" si="34"/>
        <v>(${Variables:E1_8_4_10_kcat} * E1_8_4_10 * C00020 * C00094 * C00343)/(${Variables:E1_8_4_10_km} + (E1_8_4_10 * C00020 * C00094 * C00343))</v>
      </c>
      <c r="K541" s="11" t="str">
        <f t="shared" si="35"/>
        <v>r540: C00020 + C00094 + C00343 -&gt; C00224 + C00342 | (${Variables:E1_8_4_10_kcat} * E1_8_4_10 * C00020 * C00094 * C00343)/(${Variables:E1_8_4_10_km} + (E1_8_4_10 * C00020 * C00094 * C00343))</v>
      </c>
    </row>
    <row r="542" spans="1:11" ht="45" customHeight="1" x14ac:dyDescent="0.25">
      <c r="A542" t="s">
        <v>2321</v>
      </c>
      <c r="B542" t="s">
        <v>2322</v>
      </c>
      <c r="C542" s="5" t="s">
        <v>9564</v>
      </c>
      <c r="D542">
        <f t="shared" si="32"/>
        <v>541</v>
      </c>
      <c r="E542" t="str">
        <f t="shared" si="33"/>
        <v>E1_3_1_76</v>
      </c>
      <c r="F542" s="11" t="s">
        <v>14180</v>
      </c>
      <c r="G542" s="11" t="s">
        <v>14783</v>
      </c>
      <c r="H542" s="11" t="s">
        <v>15385</v>
      </c>
      <c r="I542" s="11" t="s">
        <v>16006</v>
      </c>
      <c r="J542" s="12" t="str">
        <f t="shared" si="34"/>
        <v>(${Variables:E1_3_1_76_kcat} * E1_3_1_76 * C00003 * C02463)/(${Variables:E1_3_1_76_km} + (E1_3_1_76 * C00003 * C02463))</v>
      </c>
      <c r="K542" s="11" t="str">
        <f t="shared" si="35"/>
        <v>r541: C00003 + C02463 -&gt; C00004 + C00080 + C05778 | (${Variables:E1_3_1_76_kcat} * E1_3_1_76 * C00003 * C02463)/(${Variables:E1_3_1_76_km} + (E1_3_1_76 * C00003 * C02463))</v>
      </c>
    </row>
    <row r="543" spans="1:11" ht="45" customHeight="1" x14ac:dyDescent="0.25">
      <c r="A543" t="s">
        <v>2323</v>
      </c>
      <c r="B543" t="s">
        <v>2324</v>
      </c>
      <c r="C543" s="5" t="s">
        <v>9473</v>
      </c>
      <c r="D543">
        <f t="shared" si="32"/>
        <v>542</v>
      </c>
      <c r="E543" t="str">
        <f t="shared" si="33"/>
        <v>E4_2_1_75</v>
      </c>
      <c r="F543" s="11" t="s">
        <v>8190</v>
      </c>
      <c r="G543" s="11" t="s">
        <v>8190</v>
      </c>
      <c r="H543" s="11" t="s">
        <v>15275</v>
      </c>
      <c r="I543" s="11" t="s">
        <v>15896</v>
      </c>
      <c r="J543" s="12" t="str">
        <f t="shared" si="34"/>
        <v>(${Variables:E4_2_1_75_kcat} * E4_2_1_75 * C01024)/(${Variables:E4_2_1_75_km} + (E4_2_1_75 * C01024))</v>
      </c>
      <c r="K543" s="11" t="str">
        <f t="shared" si="35"/>
        <v>r542: C01024 -&gt; C00001 + C01051 | (${Variables:E4_2_1_75_kcat} * E4_2_1_75 * C01024)/(${Variables:E4_2_1_75_km} + (E4_2_1_75 * C01024))</v>
      </c>
    </row>
    <row r="544" spans="1:11" ht="45" customHeight="1" x14ac:dyDescent="0.25">
      <c r="A544" t="s">
        <v>2326</v>
      </c>
      <c r="B544" t="s">
        <v>2327</v>
      </c>
      <c r="C544" s="5" t="s">
        <v>9565</v>
      </c>
      <c r="D544">
        <f t="shared" si="32"/>
        <v>543</v>
      </c>
      <c r="E544" t="str">
        <f t="shared" si="33"/>
        <v>E1_8_7_1</v>
      </c>
      <c r="F544" s="11" t="s">
        <v>14181</v>
      </c>
      <c r="G544" s="11" t="s">
        <v>14784</v>
      </c>
      <c r="H544" s="11" t="s">
        <v>15386</v>
      </c>
      <c r="I544" s="11" t="s">
        <v>16007</v>
      </c>
      <c r="J544" s="12" t="str">
        <f t="shared" si="34"/>
        <v>(${Variables:E1_8_7_1_kcat} * E1_8_7_1 * C00001 * C00139 * C00283)/(${Variables:E1_8_7_1_km} + (E1_8_7_1 * C00001 * C00139 * C00283))</v>
      </c>
      <c r="K544" s="11" t="str">
        <f t="shared" si="35"/>
        <v>r543: C00001 + C00139 + C00283 -&gt; C00080 + C00094 + C00138 | (${Variables:E1_8_7_1_kcat} * E1_8_7_1 * C00001 * C00139 * C00283)/(${Variables:E1_8_7_1_km} + (E1_8_7_1 * C00001 * C00139 * C00283))</v>
      </c>
    </row>
    <row r="545" spans="1:11" ht="45" customHeight="1" x14ac:dyDescent="0.25">
      <c r="A545" t="s">
        <v>2326</v>
      </c>
      <c r="B545" t="s">
        <v>2327</v>
      </c>
      <c r="C545" s="5" t="s">
        <v>9565</v>
      </c>
      <c r="D545">
        <f t="shared" si="32"/>
        <v>544</v>
      </c>
      <c r="E545" t="str">
        <f t="shared" si="33"/>
        <v>E1_8_7_1</v>
      </c>
      <c r="F545" s="11" t="s">
        <v>14182</v>
      </c>
      <c r="G545" s="11" t="s">
        <v>14785</v>
      </c>
      <c r="H545" s="11" t="s">
        <v>15387</v>
      </c>
      <c r="I545" s="11" t="s">
        <v>16008</v>
      </c>
      <c r="J545" s="12" t="str">
        <f t="shared" si="34"/>
        <v>(${Variables:E1_8_7_1_kcat} * E1_8_7_1 * C00001 * C00139 * C01528)/(${Variables:E1_8_7_1_km} + (E1_8_7_1 * C00001 * C00139 * C01528))</v>
      </c>
      <c r="K545" s="11" t="str">
        <f t="shared" si="35"/>
        <v>r544: C00001 + C00139 + C01528 -&gt; C00080 + C00138 + C05684 | (${Variables:E1_8_7_1_kcat} * E1_8_7_1 * C00001 * C00139 * C01528)/(${Variables:E1_8_7_1_km} + (E1_8_7_1 * C00001 * C00139 * C01528))</v>
      </c>
    </row>
    <row r="546" spans="1:11" ht="45" customHeight="1" x14ac:dyDescent="0.25">
      <c r="A546" t="s">
        <v>2342</v>
      </c>
      <c r="B546" t="s">
        <v>2343</v>
      </c>
      <c r="C546" s="5" t="s">
        <v>9566</v>
      </c>
      <c r="D546">
        <f t="shared" si="32"/>
        <v>545</v>
      </c>
      <c r="E546" t="str">
        <f t="shared" si="33"/>
        <v>E2_5_1_3</v>
      </c>
      <c r="F546" s="11" t="s">
        <v>14183</v>
      </c>
      <c r="G546" s="11" t="s">
        <v>14786</v>
      </c>
      <c r="H546" s="11" t="s">
        <v>9088</v>
      </c>
      <c r="I546" s="11" t="s">
        <v>9287</v>
      </c>
      <c r="J546" s="12" t="str">
        <f t="shared" si="34"/>
        <v>(${Variables:E2_5_1_3_kcat} * E2_5_1_3 * C04327 * C04752)/(${Variables:E2_5_1_3_km} + (E2_5_1_3 * C04327 * C04752))</v>
      </c>
      <c r="K546" s="11" t="str">
        <f t="shared" si="35"/>
        <v>r545: C04327 + C04752 -&gt; C00013 + C01081 | (${Variables:E2_5_1_3_kcat} * E2_5_1_3 * C04327 * C04752)/(${Variables:E2_5_1_3_km} + (E2_5_1_3 * C04327 * C04752))</v>
      </c>
    </row>
    <row r="547" spans="1:11" ht="45" customHeight="1" x14ac:dyDescent="0.25">
      <c r="A547" t="s">
        <v>2342</v>
      </c>
      <c r="B547" t="s">
        <v>2343</v>
      </c>
      <c r="C547" s="5" t="s">
        <v>9566</v>
      </c>
      <c r="D547">
        <f t="shared" si="32"/>
        <v>546</v>
      </c>
      <c r="E547" t="str">
        <f t="shared" si="33"/>
        <v>E2_5_1_3</v>
      </c>
      <c r="F547" s="11" t="s">
        <v>8729</v>
      </c>
      <c r="G547" s="11" t="s">
        <v>8895</v>
      </c>
      <c r="H547" s="11" t="s">
        <v>15388</v>
      </c>
      <c r="I547" s="11" t="s">
        <v>16009</v>
      </c>
      <c r="J547" s="12" t="str">
        <f t="shared" si="34"/>
        <v>(${Variables:E2_5_1_3_kcat} * E2_5_1_3 * C04752 * C20247)/(${Variables:E2_5_1_3_km} + (E2_5_1_3 * C04752 * C20247))</v>
      </c>
      <c r="K547" s="11" t="str">
        <f t="shared" si="35"/>
        <v>r546: C04752 + C20247 -&gt; C00011 + C00013 + C01081 | (${Variables:E2_5_1_3_kcat} * E2_5_1_3 * C04752 * C20247)/(${Variables:E2_5_1_3_km} + (E2_5_1_3 * C04752 * C20247))</v>
      </c>
    </row>
    <row r="548" spans="1:11" ht="45" customHeight="1" x14ac:dyDescent="0.25">
      <c r="A548" t="s">
        <v>2342</v>
      </c>
      <c r="B548" t="s">
        <v>2343</v>
      </c>
      <c r="C548" s="5" t="s">
        <v>9566</v>
      </c>
      <c r="D548">
        <f t="shared" si="32"/>
        <v>547</v>
      </c>
      <c r="E548" t="str">
        <f t="shared" si="33"/>
        <v>E2_5_1_3</v>
      </c>
      <c r="F548" s="11" t="s">
        <v>8730</v>
      </c>
      <c r="G548" s="11" t="s">
        <v>8896</v>
      </c>
      <c r="H548" s="11" t="s">
        <v>15388</v>
      </c>
      <c r="I548" s="11" t="s">
        <v>16009</v>
      </c>
      <c r="J548" s="12" t="str">
        <f t="shared" si="34"/>
        <v>(${Variables:E2_5_1_3_kcat} * E2_5_1_3 * C04752 * C20246)/(${Variables:E2_5_1_3_km} + (E2_5_1_3 * C04752 * C20246))</v>
      </c>
      <c r="K548" s="11" t="str">
        <f t="shared" si="35"/>
        <v>r547: C04752 + C20246 -&gt; C00011 + C00013 + C01081 | (${Variables:E2_5_1_3_kcat} * E2_5_1_3 * C04752 * C20246)/(${Variables:E2_5_1_3_km} + (E2_5_1_3 * C04752 * C20246))</v>
      </c>
    </row>
    <row r="549" spans="1:11" ht="45" customHeight="1" x14ac:dyDescent="0.25">
      <c r="A549" t="s">
        <v>2351</v>
      </c>
      <c r="B549" t="s">
        <v>2352</v>
      </c>
      <c r="C549" s="5" t="s">
        <v>9567</v>
      </c>
      <c r="D549">
        <f t="shared" si="32"/>
        <v>548</v>
      </c>
      <c r="E549" t="str">
        <f t="shared" si="33"/>
        <v>E1_4_3_19</v>
      </c>
      <c r="F549" s="11" t="s">
        <v>14184</v>
      </c>
      <c r="G549" s="11" t="s">
        <v>14787</v>
      </c>
      <c r="H549" s="11" t="s">
        <v>15389</v>
      </c>
      <c r="I549" s="11" t="s">
        <v>16010</v>
      </c>
      <c r="J549" s="12" t="str">
        <f t="shared" si="34"/>
        <v>(${Variables:E1_4_3_19_kcat} * E1_4_3_19 * C00001 * C00007 * C00037)/(${Variables:E1_4_3_19_km} + (E1_4_3_19 * C00001 * C00007 * C00037))</v>
      </c>
      <c r="K549" s="11" t="str">
        <f t="shared" si="35"/>
        <v>r548: C00001 + C00007 + C00037 -&gt; C00014 + C00027 + C00048 | (${Variables:E1_4_3_19_kcat} * E1_4_3_19 * C00001 * C00007 * C00037)/(${Variables:E1_4_3_19_km} + (E1_4_3_19 * C00001 * C00007 * C00037))</v>
      </c>
    </row>
    <row r="550" spans="1:11" ht="45" customHeight="1" x14ac:dyDescent="0.25">
      <c r="A550" t="s">
        <v>2351</v>
      </c>
      <c r="B550" t="s">
        <v>2352</v>
      </c>
      <c r="C550" s="5" t="s">
        <v>9567</v>
      </c>
      <c r="D550">
        <f t="shared" si="32"/>
        <v>549</v>
      </c>
      <c r="E550" t="str">
        <f t="shared" si="33"/>
        <v>E1_4_3_19</v>
      </c>
      <c r="F550" s="11" t="s">
        <v>14185</v>
      </c>
      <c r="G550" s="11" t="s">
        <v>14788</v>
      </c>
      <c r="H550" s="11" t="s">
        <v>15390</v>
      </c>
      <c r="I550" s="11" t="s">
        <v>16011</v>
      </c>
      <c r="J550" s="12" t="str">
        <f t="shared" si="34"/>
        <v>(${Variables:E1_4_3_19_kcat} * E1_4_3_19 * C00007 * C00037)/(${Variables:E1_4_3_19_km} + (E1_4_3_19 * C00007 * C00037))</v>
      </c>
      <c r="K550" s="11" t="str">
        <f t="shared" si="35"/>
        <v>r549: C00007 + C00037 -&gt; C00027 + C15809 | (${Variables:E1_4_3_19_kcat} * E1_4_3_19 * C00007 * C00037)/(${Variables:E1_4_3_19_km} + (E1_4_3_19 * C00007 * C00037))</v>
      </c>
    </row>
    <row r="551" spans="1:11" ht="45" customHeight="1" x14ac:dyDescent="0.25">
      <c r="A551" t="s">
        <v>2351</v>
      </c>
      <c r="B551" t="s">
        <v>2352</v>
      </c>
      <c r="C551" s="5" t="s">
        <v>9567</v>
      </c>
      <c r="D551">
        <f t="shared" si="32"/>
        <v>550</v>
      </c>
      <c r="E551" t="str">
        <f t="shared" si="33"/>
        <v>E1_4_3_19</v>
      </c>
      <c r="F551" s="11" t="s">
        <v>14186</v>
      </c>
      <c r="G551" s="11" t="s">
        <v>14789</v>
      </c>
      <c r="H551" s="11" t="s">
        <v>15391</v>
      </c>
      <c r="I551" s="11" t="s">
        <v>16012</v>
      </c>
      <c r="J551" s="12" t="str">
        <f t="shared" si="34"/>
        <v>(${Variables:E1_4_3_19_kcat} * E1_4_3_19 * C00001 * C15809)/(${Variables:E1_4_3_19_km} + (E1_4_3_19 * C00001 * C15809))</v>
      </c>
      <c r="K551" s="11" t="str">
        <f t="shared" si="35"/>
        <v>r550: C00001 + C15809 -&gt; C00014 + C00048 | (${Variables:E1_4_3_19_kcat} * E1_4_3_19 * C00001 * C15809)/(${Variables:E1_4_3_19_km} + (E1_4_3_19 * C00001 * C15809))</v>
      </c>
    </row>
    <row r="552" spans="1:11" ht="45" customHeight="1" x14ac:dyDescent="0.25">
      <c r="A552" t="s">
        <v>2351</v>
      </c>
      <c r="B552" t="s">
        <v>2352</v>
      </c>
      <c r="C552" s="5" t="s">
        <v>9567</v>
      </c>
      <c r="D552">
        <f t="shared" si="32"/>
        <v>551</v>
      </c>
      <c r="E552" t="str">
        <f t="shared" si="33"/>
        <v>E1_4_3_19</v>
      </c>
      <c r="F552" s="11" t="s">
        <v>14187</v>
      </c>
      <c r="G552" s="11" t="s">
        <v>14790</v>
      </c>
      <c r="H552" s="11" t="s">
        <v>15392</v>
      </c>
      <c r="I552" s="11" t="s">
        <v>16013</v>
      </c>
      <c r="J552" s="12" t="str">
        <f t="shared" si="34"/>
        <v>(${Variables:E1_4_3_19_kcat} * E1_4_3_19 * C00001 * C00007 * C00133)/(${Variables:E1_4_3_19_km} + (E1_4_3_19 * C00001 * C00007 * C00133))</v>
      </c>
      <c r="K552" s="11" t="str">
        <f t="shared" si="35"/>
        <v>r551: C00001 + C00007 + C00133 -&gt; C00014 + C00022 + C00027 | (${Variables:E1_4_3_19_kcat} * E1_4_3_19 * C00001 * C00007 * C00133)/(${Variables:E1_4_3_19_km} + (E1_4_3_19 * C00001 * C00007 * C00133))</v>
      </c>
    </row>
    <row r="553" spans="1:11" ht="45" customHeight="1" x14ac:dyDescent="0.25">
      <c r="A553" t="s">
        <v>2351</v>
      </c>
      <c r="B553" t="s">
        <v>2352</v>
      </c>
      <c r="C553" s="5" t="s">
        <v>9567</v>
      </c>
      <c r="D553">
        <f t="shared" si="32"/>
        <v>552</v>
      </c>
      <c r="E553" t="str">
        <f t="shared" si="33"/>
        <v>E1_4_3_19</v>
      </c>
      <c r="F553" s="11" t="s">
        <v>14188</v>
      </c>
      <c r="G553" s="11" t="s">
        <v>14791</v>
      </c>
      <c r="H553" s="11" t="s">
        <v>15393</v>
      </c>
      <c r="I553" s="11" t="s">
        <v>16014</v>
      </c>
      <c r="J553" s="12" t="str">
        <f t="shared" si="34"/>
        <v>(${Variables:E1_4_3_19_kcat} * E1_4_3_19 * C00001 * C00007 * C00213)/(${Variables:E1_4_3_19_km} + (E1_4_3_19 * C00001 * C00007 * C00213))</v>
      </c>
      <c r="K553" s="11" t="str">
        <f t="shared" si="35"/>
        <v>r552: C00001 + C00007 + C00213 -&gt; C00027 + C00048 + C00218 | (${Variables:E1_4_3_19_kcat} * E1_4_3_19 * C00001 * C00007 * C00213)/(${Variables:E1_4_3_19_km} + (E1_4_3_19 * C00001 * C00007 * C00213))</v>
      </c>
    </row>
    <row r="554" spans="1:11" ht="45" customHeight="1" x14ac:dyDescent="0.25">
      <c r="A554" t="s">
        <v>2351</v>
      </c>
      <c r="B554" t="s">
        <v>2352</v>
      </c>
      <c r="C554" s="5" t="s">
        <v>9567</v>
      </c>
      <c r="D554">
        <f t="shared" si="32"/>
        <v>553</v>
      </c>
      <c r="E554" t="str">
        <f t="shared" si="33"/>
        <v>E1_4_3_19</v>
      </c>
      <c r="F554" s="11" t="s">
        <v>14189</v>
      </c>
      <c r="G554" s="11" t="s">
        <v>14792</v>
      </c>
      <c r="H554" s="11" t="s">
        <v>15394</v>
      </c>
      <c r="I554" s="11" t="s">
        <v>16015</v>
      </c>
      <c r="J554" s="12" t="str">
        <f t="shared" si="34"/>
        <v>(${Variables:E1_4_3_19_kcat} * E1_4_3_19 * C00001 * C00007 * C11735)/(${Variables:E1_4_3_19_km} + (E1_4_3_19 * C00001 * C00007 * C11735))</v>
      </c>
      <c r="K554" s="11" t="str">
        <f t="shared" si="35"/>
        <v>r553: C00001 + C00007 + C11735 -&gt; C00027 + C00048 + C00797 | (${Variables:E1_4_3_19_kcat} * E1_4_3_19 * C00001 * C00007 * C11735)/(${Variables:E1_4_3_19_km} + (E1_4_3_19 * C00001 * C00007 * C11735))</v>
      </c>
    </row>
    <row r="555" spans="1:11" ht="45" customHeight="1" x14ac:dyDescent="0.25">
      <c r="A555" t="s">
        <v>2354</v>
      </c>
      <c r="B555" t="s">
        <v>2355</v>
      </c>
      <c r="C555" s="5" t="s">
        <v>9568</v>
      </c>
      <c r="D555">
        <f t="shared" si="32"/>
        <v>554</v>
      </c>
      <c r="E555" t="str">
        <f t="shared" si="33"/>
        <v>E4_1_99_17</v>
      </c>
      <c r="F555" s="11" t="s">
        <v>14190</v>
      </c>
      <c r="G555" s="11" t="s">
        <v>14793</v>
      </c>
      <c r="H555" s="11" t="s">
        <v>15395</v>
      </c>
      <c r="I555" s="11" t="s">
        <v>16016</v>
      </c>
      <c r="J555" s="12" t="str">
        <f t="shared" si="34"/>
        <v>(${Variables:E4_1_99_17_kcat} * E4_1_99_17 * C00019 * C03373)/(${Variables:E4_1_99_17_km} + (E4_1_99_17 * C00019 * C03373))</v>
      </c>
      <c r="K555" s="11" t="str">
        <f t="shared" si="35"/>
        <v>r554: C00019 + C03373 -&gt; C00058 + C00073 + C00237 + C04556 + C05198 | (${Variables:E4_1_99_17_kcat} * E4_1_99_17 * C00019 * C03373)/(${Variables:E4_1_99_17_km} + (E4_1_99_17 * C00019 * C03373))</v>
      </c>
    </row>
    <row r="556" spans="1:11" ht="45" customHeight="1" x14ac:dyDescent="0.25">
      <c r="A556" t="s">
        <v>2357</v>
      </c>
      <c r="B556" t="s">
        <v>2358</v>
      </c>
      <c r="C556" s="5" t="s">
        <v>9569</v>
      </c>
      <c r="D556">
        <f t="shared" si="32"/>
        <v>555</v>
      </c>
      <c r="E556" t="str">
        <f t="shared" si="33"/>
        <v>E2_7_4_7</v>
      </c>
      <c r="F556" s="11" t="s">
        <v>8731</v>
      </c>
      <c r="G556" s="11" t="s">
        <v>8897</v>
      </c>
      <c r="H556" s="11" t="s">
        <v>9089</v>
      </c>
      <c r="I556" s="11" t="s">
        <v>9288</v>
      </c>
      <c r="J556" s="12" t="str">
        <f t="shared" si="34"/>
        <v>(${Variables:E2_7_4_7_kcat} * E2_7_4_7 * C00002 * C04556)/(${Variables:E2_7_4_7_km} + (E2_7_4_7 * C00002 * C04556))</v>
      </c>
      <c r="K556" s="11" t="str">
        <f t="shared" si="35"/>
        <v>r555: C00002 + C04556 -&gt; C00008 + C04752 | (${Variables:E2_7_4_7_kcat} * E2_7_4_7 * C00002 * C04556)/(${Variables:E2_7_4_7_km} + (E2_7_4_7 * C00002 * C04556))</v>
      </c>
    </row>
    <row r="557" spans="1:11" ht="45" customHeight="1" x14ac:dyDescent="0.25">
      <c r="A557" t="s">
        <v>2379</v>
      </c>
      <c r="B557" t="s">
        <v>2380</v>
      </c>
      <c r="C557" s="5" t="s">
        <v>9570</v>
      </c>
      <c r="D557">
        <f t="shared" si="32"/>
        <v>556</v>
      </c>
      <c r="E557" t="str">
        <f t="shared" si="33"/>
        <v>E5_3_1_8</v>
      </c>
      <c r="F557" s="11" t="s">
        <v>8250</v>
      </c>
      <c r="G557" s="11" t="s">
        <v>8250</v>
      </c>
      <c r="H557" s="11" t="s">
        <v>8523</v>
      </c>
      <c r="I557" s="11" t="s">
        <v>8523</v>
      </c>
      <c r="J557" s="12" t="str">
        <f t="shared" si="34"/>
        <v>(${Variables:E5_3_1_8_kcat} * E5_3_1_8 * C00275)/(${Variables:E5_3_1_8_km} + (E5_3_1_8 * C00275))</v>
      </c>
      <c r="K557" s="11" t="str">
        <f t="shared" si="35"/>
        <v>r556: C00275 -&gt; C00085 | (${Variables:E5_3_1_8_kcat} * E5_3_1_8 * C00275)/(${Variables:E5_3_1_8_km} + (E5_3_1_8 * C00275))</v>
      </c>
    </row>
    <row r="558" spans="1:11" ht="45" customHeight="1" x14ac:dyDescent="0.25">
      <c r="A558" t="s">
        <v>2379</v>
      </c>
      <c r="B558" t="s">
        <v>2380</v>
      </c>
      <c r="C558" s="5" t="s">
        <v>9570</v>
      </c>
      <c r="D558">
        <f t="shared" si="32"/>
        <v>557</v>
      </c>
      <c r="E558" t="str">
        <f t="shared" si="33"/>
        <v>E5_3_1_8</v>
      </c>
      <c r="F558" s="11" t="s">
        <v>8250</v>
      </c>
      <c r="G558" s="11" t="s">
        <v>8250</v>
      </c>
      <c r="H558" s="11" t="s">
        <v>8524</v>
      </c>
      <c r="I558" s="11" t="s">
        <v>8524</v>
      </c>
      <c r="J558" s="12" t="str">
        <f t="shared" si="34"/>
        <v>(${Variables:E5_3_1_8_kcat} * E5_3_1_8 * C00275)/(${Variables:E5_3_1_8_km} + (E5_3_1_8 * C00275))</v>
      </c>
      <c r="K558" s="11" t="str">
        <f t="shared" si="35"/>
        <v>r557: C00275 -&gt; C05345 | (${Variables:E5_3_1_8_kcat} * E5_3_1_8 * C00275)/(${Variables:E5_3_1_8_km} + (E5_3_1_8 * C00275))</v>
      </c>
    </row>
    <row r="559" spans="1:11" ht="45" customHeight="1" x14ac:dyDescent="0.25">
      <c r="A559" t="s">
        <v>2381</v>
      </c>
      <c r="B559" t="s">
        <v>2382</v>
      </c>
      <c r="C559" s="5" t="s">
        <v>9505</v>
      </c>
      <c r="D559">
        <f t="shared" si="32"/>
        <v>558</v>
      </c>
      <c r="E559" t="str">
        <f t="shared" si="33"/>
        <v>E5_4_2_10</v>
      </c>
      <c r="F559" s="11" t="s">
        <v>8209</v>
      </c>
      <c r="G559" s="11" t="s">
        <v>8209</v>
      </c>
      <c r="H559" s="11" t="s">
        <v>8487</v>
      </c>
      <c r="I559" s="11" t="s">
        <v>8487</v>
      </c>
      <c r="J559" s="12" t="str">
        <f t="shared" si="34"/>
        <v>(${Variables:E5_4_2_10_kcat} * E5_4_2_10 * C06156)/(${Variables:E5_4_2_10_km} + (E5_4_2_10 * C06156))</v>
      </c>
      <c r="K559" s="11" t="str">
        <f t="shared" si="35"/>
        <v>r558: C06156 -&gt; C00352 | (${Variables:E5_4_2_10_kcat} * E5_4_2_10 * C06156)/(${Variables:E5_4_2_10_km} + (E5_4_2_10 * C06156))</v>
      </c>
    </row>
    <row r="560" spans="1:11" ht="45" customHeight="1" x14ac:dyDescent="0.25">
      <c r="A560" t="s">
        <v>2383</v>
      </c>
      <c r="B560" t="s">
        <v>2384</v>
      </c>
      <c r="C560" s="5" t="s">
        <v>9438</v>
      </c>
      <c r="D560">
        <f t="shared" si="32"/>
        <v>559</v>
      </c>
      <c r="E560" t="str">
        <f t="shared" si="33"/>
        <v>E2_7_7_22</v>
      </c>
      <c r="F560" s="11" t="s">
        <v>8683</v>
      </c>
      <c r="G560" s="11" t="s">
        <v>8849</v>
      </c>
      <c r="H560" s="11" t="s">
        <v>9020</v>
      </c>
      <c r="I560" s="11" t="s">
        <v>9219</v>
      </c>
      <c r="J560" s="12" t="str">
        <f t="shared" si="34"/>
        <v>(${Variables:E2_7_7_22_kcat} * E2_7_7_22 * C00035 * C00636)/(${Variables:E2_7_7_22_km} + (E2_7_7_22 * C00035 * C00636))</v>
      </c>
      <c r="K560" s="11" t="str">
        <f t="shared" si="35"/>
        <v>r559: C00035 + C00636 -&gt; C00009 + C00096 | (${Variables:E2_7_7_22_kcat} * E2_7_7_22 * C00035 * C00636)/(${Variables:E2_7_7_22_km} + (E2_7_7_22 * C00035 * C00636))</v>
      </c>
    </row>
    <row r="561" spans="1:11" ht="45" customHeight="1" x14ac:dyDescent="0.25">
      <c r="A561" t="s">
        <v>2395</v>
      </c>
      <c r="B561" t="s">
        <v>2396</v>
      </c>
      <c r="C561" s="5" t="s">
        <v>9402</v>
      </c>
      <c r="D561">
        <f t="shared" si="32"/>
        <v>560</v>
      </c>
      <c r="E561" t="str">
        <f t="shared" si="33"/>
        <v>E1_3_8_1</v>
      </c>
      <c r="F561" s="11" t="s">
        <v>13971</v>
      </c>
      <c r="G561" s="11" t="s">
        <v>14574</v>
      </c>
      <c r="H561" s="11" t="s">
        <v>15163</v>
      </c>
      <c r="I561" s="11" t="s">
        <v>15784</v>
      </c>
      <c r="J561" s="12" t="str">
        <f t="shared" si="34"/>
        <v>(${Variables:E1_3_8_1_kcat} * E1_3_8_1 * C04253 * C20675)/(${Variables:E1_3_8_1_km} + (E1_3_8_1 * C04253 * C20675))</v>
      </c>
      <c r="K561" s="11" t="str">
        <f t="shared" si="35"/>
        <v>r560: C04253 + C20675 -&gt; C04570 + C20676 | (${Variables:E1_3_8_1_kcat} * E1_3_8_1 * C04253 * C20675)/(${Variables:E1_3_8_1_km} + (E1_3_8_1 * C04253 * C20675))</v>
      </c>
    </row>
    <row r="562" spans="1:11" ht="45" customHeight="1" x14ac:dyDescent="0.25">
      <c r="A562" t="s">
        <v>2395</v>
      </c>
      <c r="B562" t="s">
        <v>2396</v>
      </c>
      <c r="C562" s="5" t="s">
        <v>9402</v>
      </c>
      <c r="D562">
        <f t="shared" si="32"/>
        <v>561</v>
      </c>
      <c r="E562" t="str">
        <f t="shared" si="33"/>
        <v>E1_3_8_1</v>
      </c>
      <c r="F562" s="11" t="s">
        <v>13972</v>
      </c>
      <c r="G562" s="11" t="s">
        <v>14575</v>
      </c>
      <c r="H562" s="11" t="s">
        <v>15164</v>
      </c>
      <c r="I562" s="11" t="s">
        <v>15785</v>
      </c>
      <c r="J562" s="12" t="str">
        <f t="shared" si="34"/>
        <v>(${Variables:E1_3_8_1_kcat} * E1_3_8_1 * C00016 * C00136)/(${Variables:E1_3_8_1_km} + (E1_3_8_1 * C00016 * C00136))</v>
      </c>
      <c r="K562" s="11" t="str">
        <f t="shared" si="35"/>
        <v>r561: C00016 + C00136 -&gt; C00877 + C01352 | (${Variables:E1_3_8_1_kcat} * E1_3_8_1 * C00016 * C00136)/(${Variables:E1_3_8_1_km} + (E1_3_8_1 * C00016 * C00136))</v>
      </c>
    </row>
    <row r="563" spans="1:11" ht="45" customHeight="1" x14ac:dyDescent="0.25">
      <c r="A563" t="s">
        <v>2395</v>
      </c>
      <c r="B563" t="s">
        <v>2396</v>
      </c>
      <c r="C563" s="5" t="s">
        <v>9402</v>
      </c>
      <c r="D563">
        <f t="shared" si="32"/>
        <v>562</v>
      </c>
      <c r="E563" t="str">
        <f t="shared" si="33"/>
        <v>E1_3_8_1</v>
      </c>
      <c r="F563" s="11" t="s">
        <v>13973</v>
      </c>
      <c r="G563" s="11" t="s">
        <v>14576</v>
      </c>
      <c r="H563" s="11" t="s">
        <v>15165</v>
      </c>
      <c r="I563" s="11" t="s">
        <v>15786</v>
      </c>
      <c r="J563" s="12" t="str">
        <f t="shared" si="34"/>
        <v>(${Variables:E1_3_8_1_kcat} * E1_3_8_1 * C00016 * C05270)/(${Variables:E1_3_8_1_km} + (E1_3_8_1 * C00016 * C05270))</v>
      </c>
      <c r="K563" s="11" t="str">
        <f t="shared" si="35"/>
        <v>r562: C00016 + C05270 -&gt; C01352 + C05271 | (${Variables:E1_3_8_1_kcat} * E1_3_8_1 * C00016 * C05270)/(${Variables:E1_3_8_1_km} + (E1_3_8_1 * C00016 * C05270))</v>
      </c>
    </row>
    <row r="564" spans="1:11" ht="45" customHeight="1" x14ac:dyDescent="0.25">
      <c r="A564" t="s">
        <v>2395</v>
      </c>
      <c r="B564" t="s">
        <v>2396</v>
      </c>
      <c r="C564" s="5" t="s">
        <v>9402</v>
      </c>
      <c r="D564">
        <f t="shared" si="32"/>
        <v>563</v>
      </c>
      <c r="E564" t="str">
        <f t="shared" si="33"/>
        <v>E1_3_8_1</v>
      </c>
      <c r="F564" s="11" t="s">
        <v>13974</v>
      </c>
      <c r="G564" s="11" t="s">
        <v>14577</v>
      </c>
      <c r="H564" s="11" t="s">
        <v>15166</v>
      </c>
      <c r="I564" s="11" t="s">
        <v>15787</v>
      </c>
      <c r="J564" s="12" t="str">
        <f t="shared" si="34"/>
        <v>(${Variables:E1_3_8_1_kcat} * E1_3_8_1 * C00028 * C00630)/(${Variables:E1_3_8_1_km} + (E1_3_8_1 * C00028 * C00630))</v>
      </c>
      <c r="K564" s="11" t="str">
        <f t="shared" si="35"/>
        <v>r563: C00028 + C00630 -&gt; C00030 + C03460 | (${Variables:E1_3_8_1_kcat} * E1_3_8_1 * C00028 * C00630)/(${Variables:E1_3_8_1_km} + (E1_3_8_1 * C00028 * C00630))</v>
      </c>
    </row>
    <row r="565" spans="1:11" ht="45" customHeight="1" x14ac:dyDescent="0.25">
      <c r="A565" t="s">
        <v>2395</v>
      </c>
      <c r="B565" t="s">
        <v>2396</v>
      </c>
      <c r="C565" s="5" t="s">
        <v>9402</v>
      </c>
      <c r="D565">
        <f t="shared" si="32"/>
        <v>564</v>
      </c>
      <c r="E565" t="str">
        <f t="shared" si="33"/>
        <v>E1_3_8_1</v>
      </c>
      <c r="F565" s="11" t="s">
        <v>13975</v>
      </c>
      <c r="G565" s="11" t="s">
        <v>14578</v>
      </c>
      <c r="H565" s="11" t="s">
        <v>15167</v>
      </c>
      <c r="I565" s="11" t="s">
        <v>15788</v>
      </c>
      <c r="J565" s="12" t="str">
        <f t="shared" si="34"/>
        <v>(${Variables:E1_3_8_1_kcat} * E1_3_8_1 * C00028 * C15980)/(${Variables:E1_3_8_1_km} + (E1_3_8_1 * C00028 * C15980))</v>
      </c>
      <c r="K565" s="11" t="str">
        <f t="shared" si="35"/>
        <v>r564: C00028 + C15980 -&gt; C00030 + C03345 | (${Variables:E1_3_8_1_kcat} * E1_3_8_1 * C00028 * C15980)/(${Variables:E1_3_8_1_km} + (E1_3_8_1 * C00028 * C15980))</v>
      </c>
    </row>
    <row r="566" spans="1:11" ht="45" customHeight="1" x14ac:dyDescent="0.25">
      <c r="A566" t="s">
        <v>2395</v>
      </c>
      <c r="B566" t="s">
        <v>2396</v>
      </c>
      <c r="C566" s="5" t="s">
        <v>9402</v>
      </c>
      <c r="D566">
        <f t="shared" si="32"/>
        <v>565</v>
      </c>
      <c r="E566" t="str">
        <f t="shared" si="33"/>
        <v>E1_3_8_1</v>
      </c>
      <c r="F566" s="11" t="s">
        <v>13976</v>
      </c>
      <c r="G566" s="11" t="s">
        <v>14579</v>
      </c>
      <c r="H566" s="11" t="s">
        <v>15168</v>
      </c>
      <c r="I566" s="11" t="s">
        <v>15789</v>
      </c>
      <c r="J566" s="12" t="str">
        <f t="shared" si="34"/>
        <v>(${Variables:E1_3_8_1_kcat} * E1_3_8_1 * C00100 * C04253)/(${Variables:E1_3_8_1_km} + (E1_3_8_1 * C00100 * C04253))</v>
      </c>
      <c r="K566" s="11" t="str">
        <f t="shared" si="35"/>
        <v>r565: C00100 + C04253 -&gt; C00894 + C04570 | (${Variables:E1_3_8_1_kcat} * E1_3_8_1 * C00100 * C04253)/(${Variables:E1_3_8_1_km} + (E1_3_8_1 * C00100 * C04253))</v>
      </c>
    </row>
    <row r="567" spans="1:11" ht="45" customHeight="1" x14ac:dyDescent="0.25">
      <c r="A567" t="s">
        <v>2407</v>
      </c>
      <c r="B567" t="s">
        <v>2408</v>
      </c>
      <c r="C567" s="5" t="s">
        <v>9507</v>
      </c>
      <c r="D567">
        <f t="shared" si="32"/>
        <v>566</v>
      </c>
      <c r="E567" t="str">
        <f t="shared" si="33"/>
        <v>E6_2_1_3</v>
      </c>
      <c r="F567" s="11" t="s">
        <v>14103</v>
      </c>
      <c r="G567" s="11" t="s">
        <v>14706</v>
      </c>
      <c r="H567" s="11" t="s">
        <v>15304</v>
      </c>
      <c r="I567" s="11" t="s">
        <v>15925</v>
      </c>
      <c r="J567" s="12" t="str">
        <f t="shared" si="34"/>
        <v>(${Variables:E6_2_1_3_kcat} * E6_2_1_3 * C00002 * C00010 * C00638)/(${Variables:E6_2_1_3_km} + (E6_2_1_3 * C00002 * C00010 * C00638))</v>
      </c>
      <c r="K567" s="11" t="str">
        <f t="shared" si="35"/>
        <v>r566: C00002 + C00010 + C00638 -&gt; C00013 + C00020 + C02843 | (${Variables:E6_2_1_3_kcat} * E6_2_1_3 * C00002 * C00010 * C00638)/(${Variables:E6_2_1_3_km} + (E6_2_1_3 * C00002 * C00010 * C00638))</v>
      </c>
    </row>
    <row r="568" spans="1:11" ht="45" customHeight="1" x14ac:dyDescent="0.25">
      <c r="A568" t="s">
        <v>2407</v>
      </c>
      <c r="B568" t="s">
        <v>2408</v>
      </c>
      <c r="C568" s="5" t="s">
        <v>9507</v>
      </c>
      <c r="D568">
        <f t="shared" si="32"/>
        <v>567</v>
      </c>
      <c r="E568" t="str">
        <f t="shared" si="33"/>
        <v>E6_2_1_3</v>
      </c>
      <c r="F568" s="11" t="s">
        <v>14104</v>
      </c>
      <c r="G568" s="11" t="s">
        <v>14707</v>
      </c>
      <c r="H568" s="11" t="s">
        <v>15305</v>
      </c>
      <c r="I568" s="11" t="s">
        <v>15926</v>
      </c>
      <c r="J568" s="12" t="str">
        <f t="shared" si="34"/>
        <v>(${Variables:E6_2_1_3_kcat} * E6_2_1_3 * C00002 * C00010 * C00249)/(${Variables:E6_2_1_3_km} + (E6_2_1_3 * C00002 * C00010 * C00249))</v>
      </c>
      <c r="K568" s="11" t="str">
        <f t="shared" si="35"/>
        <v>r567: C00002 + C00010 + C00249 -&gt; C00013 + C00020 + C00154 | (${Variables:E6_2_1_3_kcat} * E6_2_1_3 * C00002 * C00010 * C00249)/(${Variables:E6_2_1_3_km} + (E6_2_1_3 * C00002 * C00010 * C00249))</v>
      </c>
    </row>
    <row r="569" spans="1:11" ht="45" customHeight="1" x14ac:dyDescent="0.25">
      <c r="A569" t="s">
        <v>2425</v>
      </c>
      <c r="B569" t="s">
        <v>2426</v>
      </c>
      <c r="C569" s="5" t="s">
        <v>9553</v>
      </c>
      <c r="D569">
        <f t="shared" si="32"/>
        <v>568</v>
      </c>
      <c r="E569" t="str">
        <f t="shared" si="33"/>
        <v>E2_7_7_62</v>
      </c>
      <c r="F569" s="11" t="s">
        <v>14168</v>
      </c>
      <c r="G569" s="11" t="s">
        <v>14771</v>
      </c>
      <c r="H569" s="11" t="s">
        <v>15371</v>
      </c>
      <c r="I569" s="11" t="s">
        <v>15992</v>
      </c>
      <c r="J569" s="12" t="str">
        <f t="shared" si="34"/>
        <v>(${Variables:E2_7_7_62_kcat} * E2_7_7_62 * C00044 * C06509)/(${Variables:E2_7_7_62_km} + (E2_7_7_62 * C00044 * C06509))</v>
      </c>
      <c r="K569" s="11" t="str">
        <f t="shared" si="35"/>
        <v>r568: C00044 + C06509 -&gt; C00013 + C06510 | (${Variables:E2_7_7_62_kcat} * E2_7_7_62 * C00044 * C06509)/(${Variables:E2_7_7_62_km} + (E2_7_7_62 * C00044 * C06509))</v>
      </c>
    </row>
    <row r="570" spans="1:11" ht="45" customHeight="1" x14ac:dyDescent="0.25">
      <c r="A570" t="s">
        <v>2433</v>
      </c>
      <c r="B570" t="s">
        <v>2434</v>
      </c>
      <c r="C570" s="5" t="s">
        <v>9508</v>
      </c>
      <c r="D570">
        <f t="shared" si="32"/>
        <v>569</v>
      </c>
      <c r="E570" t="str">
        <f t="shared" si="33"/>
        <v>E1_1_1_100</v>
      </c>
      <c r="F570" s="11" t="s">
        <v>14105</v>
      </c>
      <c r="G570" s="11" t="s">
        <v>14708</v>
      </c>
      <c r="H570" s="11" t="s">
        <v>15306</v>
      </c>
      <c r="I570" s="11" t="s">
        <v>15927</v>
      </c>
      <c r="J570" s="12" t="str">
        <f t="shared" si="34"/>
        <v>(${Variables:E1_1_1_100_kcat} * E1_1_1_100 * C00006 * C01271)/(${Variables:E1_1_1_100_km} + (E1_1_1_100 * C00006 * C01271))</v>
      </c>
      <c r="K570" s="11" t="str">
        <f t="shared" si="35"/>
        <v>r569: C00006 + C01271 -&gt; C00005 + C00080 + C00685 | (${Variables:E1_1_1_100_kcat} * E1_1_1_100 * C00006 * C01271)/(${Variables:E1_1_1_100_km} + (E1_1_1_100 * C00006 * C01271))</v>
      </c>
    </row>
    <row r="571" spans="1:11" ht="45" customHeight="1" x14ac:dyDescent="0.25">
      <c r="A571" t="s">
        <v>2433</v>
      </c>
      <c r="B571" t="s">
        <v>2434</v>
      </c>
      <c r="C571" s="5" t="s">
        <v>9508</v>
      </c>
      <c r="D571">
        <f t="shared" si="32"/>
        <v>570</v>
      </c>
      <c r="E571" t="str">
        <f t="shared" si="33"/>
        <v>E1_1_1_100</v>
      </c>
      <c r="F571" s="11" t="s">
        <v>14106</v>
      </c>
      <c r="G571" s="11" t="s">
        <v>14709</v>
      </c>
      <c r="H571" s="11" t="s">
        <v>15307</v>
      </c>
      <c r="I571" s="11" t="s">
        <v>15928</v>
      </c>
      <c r="J571" s="12" t="str">
        <f t="shared" si="34"/>
        <v>(${Variables:E1_1_1_100_kcat} * E1_1_1_100 * C00006 * C04618)/(${Variables:E1_1_1_100_km} + (E1_1_1_100 * C00006 * C04618))</v>
      </c>
      <c r="K571" s="11" t="str">
        <f t="shared" si="35"/>
        <v>r570: C00006 + C04618 -&gt; C00005 + C00080 + C05744 | (${Variables:E1_1_1_100_kcat} * E1_1_1_100 * C00006 * C04618)/(${Variables:E1_1_1_100_km} + (E1_1_1_100 * C00006 * C04618))</v>
      </c>
    </row>
    <row r="572" spans="1:11" ht="45" customHeight="1" x14ac:dyDescent="0.25">
      <c r="A572" t="s">
        <v>2433</v>
      </c>
      <c r="B572" t="s">
        <v>2434</v>
      </c>
      <c r="C572" s="5" t="s">
        <v>9508</v>
      </c>
      <c r="D572">
        <f t="shared" si="32"/>
        <v>571</v>
      </c>
      <c r="E572" t="str">
        <f t="shared" si="33"/>
        <v>E1_1_1_100</v>
      </c>
      <c r="F572" s="11" t="s">
        <v>14107</v>
      </c>
      <c r="G572" s="11" t="s">
        <v>14710</v>
      </c>
      <c r="H572" s="11" t="s">
        <v>15308</v>
      </c>
      <c r="I572" s="11" t="s">
        <v>15929</v>
      </c>
      <c r="J572" s="12" t="str">
        <f t="shared" si="34"/>
        <v>(${Variables:E1_1_1_100_kcat} * E1_1_1_100 * C00006 * C04619)/(${Variables:E1_1_1_100_km} + (E1_1_1_100 * C00006 * C04619))</v>
      </c>
      <c r="K572" s="11" t="str">
        <f t="shared" si="35"/>
        <v>r571: C00006 + C04619 -&gt; C00005 + C05753 | (${Variables:E1_1_1_100_kcat} * E1_1_1_100 * C00006 * C04619)/(${Variables:E1_1_1_100_km} + (E1_1_1_100 * C00006 * C04619))</v>
      </c>
    </row>
    <row r="573" spans="1:11" ht="45" customHeight="1" x14ac:dyDescent="0.25">
      <c r="A573" t="s">
        <v>2433</v>
      </c>
      <c r="B573" t="s">
        <v>2434</v>
      </c>
      <c r="C573" s="5" t="s">
        <v>9508</v>
      </c>
      <c r="D573">
        <f t="shared" si="32"/>
        <v>572</v>
      </c>
      <c r="E573" t="str">
        <f t="shared" si="33"/>
        <v>E1_1_1_100</v>
      </c>
      <c r="F573" s="11" t="s">
        <v>14108</v>
      </c>
      <c r="G573" s="11" t="s">
        <v>14711</v>
      </c>
      <c r="H573" s="11" t="s">
        <v>15309</v>
      </c>
      <c r="I573" s="11" t="s">
        <v>15930</v>
      </c>
      <c r="J573" s="12" t="str">
        <f t="shared" si="34"/>
        <v>(${Variables:E1_1_1_100_kcat} * E1_1_1_100 * C00006 * C04620)/(${Variables:E1_1_1_100_km} + (E1_1_1_100 * C00006 * C04620))</v>
      </c>
      <c r="K573" s="11" t="str">
        <f t="shared" si="35"/>
        <v>r572: C00006 + C04620 -&gt; C00005 + C00080 + C05750 | (${Variables:E1_1_1_100_kcat} * E1_1_1_100 * C00006 * C04620)/(${Variables:E1_1_1_100_km} + (E1_1_1_100 * C00006 * C04620))</v>
      </c>
    </row>
    <row r="574" spans="1:11" ht="45" customHeight="1" x14ac:dyDescent="0.25">
      <c r="A574" t="s">
        <v>2433</v>
      </c>
      <c r="B574" t="s">
        <v>2434</v>
      </c>
      <c r="C574" s="5" t="s">
        <v>9508</v>
      </c>
      <c r="D574">
        <f t="shared" si="32"/>
        <v>573</v>
      </c>
      <c r="E574" t="str">
        <f t="shared" si="33"/>
        <v>E1_1_1_100</v>
      </c>
      <c r="F574" s="11" t="s">
        <v>14109</v>
      </c>
      <c r="G574" s="11" t="s">
        <v>14712</v>
      </c>
      <c r="H574" s="11" t="s">
        <v>15310</v>
      </c>
      <c r="I574" s="11" t="s">
        <v>15931</v>
      </c>
      <c r="J574" s="12" t="str">
        <f t="shared" si="34"/>
        <v>(${Variables:E1_1_1_100_kcat} * E1_1_1_100 * C00006 * C04633)/(${Variables:E1_1_1_100_km} + (E1_1_1_100 * C00006 * C04633))</v>
      </c>
      <c r="K574" s="11" t="str">
        <f t="shared" si="35"/>
        <v>r573: C00006 + C04633 -&gt; C00005 + C00080 + C05762 | (${Variables:E1_1_1_100_kcat} * E1_1_1_100 * C00006 * C04633)/(${Variables:E1_1_1_100_km} + (E1_1_1_100 * C00006 * C04633))</v>
      </c>
    </row>
    <row r="575" spans="1:11" ht="45" customHeight="1" x14ac:dyDescent="0.25">
      <c r="A575" t="s">
        <v>2433</v>
      </c>
      <c r="B575" t="s">
        <v>2434</v>
      </c>
      <c r="C575" s="5" t="s">
        <v>9508</v>
      </c>
      <c r="D575">
        <f t="shared" si="32"/>
        <v>574</v>
      </c>
      <c r="E575" t="str">
        <f t="shared" si="33"/>
        <v>E1_1_1_100</v>
      </c>
      <c r="F575" s="11" t="s">
        <v>14110</v>
      </c>
      <c r="G575" s="11" t="s">
        <v>14713</v>
      </c>
      <c r="H575" s="11" t="s">
        <v>15311</v>
      </c>
      <c r="I575" s="11" t="s">
        <v>15932</v>
      </c>
      <c r="J575" s="12" t="str">
        <f t="shared" si="34"/>
        <v>(${Variables:E1_1_1_100_kcat} * E1_1_1_100 * C00006 * C04688)/(${Variables:E1_1_1_100_km} + (E1_1_1_100 * C00006 * C04688))</v>
      </c>
      <c r="K575" s="11" t="str">
        <f t="shared" si="35"/>
        <v>r574: C00006 + C04688 -&gt; C00005 + C00080 + C05759 | (${Variables:E1_1_1_100_kcat} * E1_1_1_100 * C00006 * C04688)/(${Variables:E1_1_1_100_km} + (E1_1_1_100 * C00006 * C04688))</v>
      </c>
    </row>
    <row r="576" spans="1:11" ht="45" customHeight="1" x14ac:dyDescent="0.25">
      <c r="A576" t="s">
        <v>2433</v>
      </c>
      <c r="B576" t="s">
        <v>2434</v>
      </c>
      <c r="C576" s="5" t="s">
        <v>9508</v>
      </c>
      <c r="D576">
        <f t="shared" si="32"/>
        <v>575</v>
      </c>
      <c r="E576" t="str">
        <f t="shared" si="33"/>
        <v>E1_1_1_100</v>
      </c>
      <c r="F576" s="11" t="s">
        <v>14111</v>
      </c>
      <c r="G576" s="11" t="s">
        <v>14714</v>
      </c>
      <c r="H576" s="11" t="s">
        <v>15312</v>
      </c>
      <c r="I576" s="11" t="s">
        <v>15933</v>
      </c>
      <c r="J576" s="12" t="str">
        <f t="shared" si="34"/>
        <v>(${Variables:E1_1_1_100_kcat} * E1_1_1_100 * C00006 * C05747)/(${Variables:E1_1_1_100_km} + (E1_1_1_100 * C00006 * C05747))</v>
      </c>
      <c r="K576" s="11" t="str">
        <f t="shared" si="35"/>
        <v>r575: C00006 + C05747 -&gt; C00005 + C00080 + C05746 | (${Variables:E1_1_1_100_kcat} * E1_1_1_100 * C00006 * C05747)/(${Variables:E1_1_1_100_km} + (E1_1_1_100 * C00006 * C05747))</v>
      </c>
    </row>
    <row r="577" spans="1:11" ht="45" customHeight="1" x14ac:dyDescent="0.25">
      <c r="A577" t="s">
        <v>2433</v>
      </c>
      <c r="B577" t="s">
        <v>2434</v>
      </c>
      <c r="C577" s="5" t="s">
        <v>9508</v>
      </c>
      <c r="D577">
        <f t="shared" si="32"/>
        <v>576</v>
      </c>
      <c r="E577" t="str">
        <f t="shared" si="33"/>
        <v>E1_1_1_100</v>
      </c>
      <c r="F577" s="11" t="s">
        <v>14112</v>
      </c>
      <c r="G577" s="11" t="s">
        <v>14715</v>
      </c>
      <c r="H577" s="11" t="s">
        <v>15313</v>
      </c>
      <c r="I577" s="11" t="s">
        <v>15934</v>
      </c>
      <c r="J577" s="12" t="str">
        <f t="shared" si="34"/>
        <v>(${Variables:E1_1_1_100_kcat} * E1_1_1_100 * C00006 * C05757)/(${Variables:E1_1_1_100_km} + (E1_1_1_100 * C00006 * C05757))</v>
      </c>
      <c r="K577" s="11" t="str">
        <f t="shared" si="35"/>
        <v>r576: C00006 + C05757 -&gt; C00005 + C00080 + C05756 | (${Variables:E1_1_1_100_kcat} * E1_1_1_100 * C00006 * C05757)/(${Variables:E1_1_1_100_km} + (E1_1_1_100 * C00006 * C05757))</v>
      </c>
    </row>
    <row r="578" spans="1:11" ht="45" customHeight="1" x14ac:dyDescent="0.25">
      <c r="A578" t="s">
        <v>2433</v>
      </c>
      <c r="B578" t="s">
        <v>2434</v>
      </c>
      <c r="C578" s="5" t="s">
        <v>9508</v>
      </c>
      <c r="D578">
        <f t="shared" si="32"/>
        <v>577</v>
      </c>
      <c r="E578" t="str">
        <f t="shared" si="33"/>
        <v>E1_1_1_100</v>
      </c>
      <c r="F578" s="11" t="s">
        <v>14113</v>
      </c>
      <c r="G578" s="11" t="s">
        <v>14716</v>
      </c>
      <c r="H578" s="11" t="s">
        <v>15314</v>
      </c>
      <c r="I578" s="11" t="s">
        <v>15935</v>
      </c>
      <c r="J578" s="12" t="str">
        <f t="shared" si="34"/>
        <v>(${Variables:E1_1_1_100_kcat} * E1_1_1_100 * C00005 * C00080 * C16219)/(${Variables:E1_1_1_100_km} + (E1_1_1_100 * C00005 * C00080 * C16219))</v>
      </c>
      <c r="K578" s="11" t="str">
        <f t="shared" si="35"/>
        <v>r577: C00005 + C00080 + C16219 -&gt; C00006 + C16220 | (${Variables:E1_1_1_100_kcat} * E1_1_1_100 * C00005 * C00080 * C16219)/(${Variables:E1_1_1_100_km} + (E1_1_1_100 * C00005 * C00080 * C16219))</v>
      </c>
    </row>
    <row r="579" spans="1:11" ht="45" customHeight="1" x14ac:dyDescent="0.25">
      <c r="A579" t="s">
        <v>2433</v>
      </c>
      <c r="B579" t="s">
        <v>2434</v>
      </c>
      <c r="C579" s="5" t="s">
        <v>9508</v>
      </c>
      <c r="D579">
        <f t="shared" ref="D579:D642" si="36">ROW()-1</f>
        <v>578</v>
      </c>
      <c r="E579" t="str">
        <f t="shared" ref="E579:E642" si="37">_xlfn.CONCAT("E", C579)</f>
        <v>E1_1_1_100</v>
      </c>
      <c r="F579" s="11" t="s">
        <v>14114</v>
      </c>
      <c r="G579" s="11" t="s">
        <v>14717</v>
      </c>
      <c r="H579" s="11" t="s">
        <v>15315</v>
      </c>
      <c r="I579" s="11" t="s">
        <v>15936</v>
      </c>
      <c r="J579" s="12" t="str">
        <f t="shared" ref="J579:J642" si="38">CONCATENATE("(${Variables:",E579,"_kcat","} * ",E579," * ",G579,")","/(${Variables:",E579,"_km","} + (",E579," * ",G579,"))")</f>
        <v>(${Variables:E1_1_1_100_kcat} * E1_1_1_100 * C00005 * C00080 * C20372)/(${Variables:E1_1_1_100_km} + (E1_1_1_100 * C00005 * C00080 * C20372))</v>
      </c>
      <c r="K579" s="11" t="str">
        <f t="shared" ref="K579:K642" si="39">CONCATENATE("r",D579,": ",F579," -&gt; ",H579," | ",J579)</f>
        <v>r578: C00005 + C00080 + C20372 -&gt; C00006 + C20373 | (${Variables:E1_1_1_100_kcat} * E1_1_1_100 * C00005 * C00080 * C20372)/(${Variables:E1_1_1_100_km} + (E1_1_1_100 * C00005 * C00080 * C20372))</v>
      </c>
    </row>
    <row r="580" spans="1:11" ht="45" customHeight="1" x14ac:dyDescent="0.25">
      <c r="A580" t="s">
        <v>2433</v>
      </c>
      <c r="B580" t="s">
        <v>2434</v>
      </c>
      <c r="C580" s="5" t="s">
        <v>9508</v>
      </c>
      <c r="D580">
        <f t="shared" si="36"/>
        <v>579</v>
      </c>
      <c r="E580" t="str">
        <f t="shared" si="37"/>
        <v>E1_1_1_100</v>
      </c>
      <c r="F580" s="11" t="s">
        <v>14115</v>
      </c>
      <c r="G580" s="11" t="s">
        <v>14718</v>
      </c>
      <c r="H580" s="11" t="s">
        <v>15316</v>
      </c>
      <c r="I580" s="11" t="s">
        <v>15937</v>
      </c>
      <c r="J580" s="12" t="str">
        <f t="shared" si="38"/>
        <v>(${Variables:E1_1_1_100_kcat} * E1_1_1_100 * C00005 * C00080 * C20376)/(${Variables:E1_1_1_100_km} + (E1_1_1_100 * C00005 * C00080 * C20376))</v>
      </c>
      <c r="K580" s="11" t="str">
        <f t="shared" si="39"/>
        <v>r579: C00005 + C00080 + C20376 -&gt; C00006 + C20377 | (${Variables:E1_1_1_100_kcat} * E1_1_1_100 * C00005 * C00080 * C20376)/(${Variables:E1_1_1_100_km} + (E1_1_1_100 * C00005 * C00080 * C20376))</v>
      </c>
    </row>
    <row r="581" spans="1:11" ht="45" customHeight="1" x14ac:dyDescent="0.25">
      <c r="A581" t="s">
        <v>2453</v>
      </c>
      <c r="B581" t="s">
        <v>2454</v>
      </c>
      <c r="C581" s="5" t="s">
        <v>9571</v>
      </c>
      <c r="D581">
        <f t="shared" si="36"/>
        <v>580</v>
      </c>
      <c r="E581" t="str">
        <f t="shared" si="37"/>
        <v>E6_2_1_26</v>
      </c>
      <c r="F581" s="11" t="s">
        <v>14191</v>
      </c>
      <c r="G581" s="11" t="s">
        <v>14794</v>
      </c>
      <c r="H581" s="11" t="s">
        <v>15396</v>
      </c>
      <c r="I581" s="11" t="s">
        <v>16017</v>
      </c>
      <c r="J581" s="12" t="str">
        <f t="shared" si="38"/>
        <v>(${Variables:E6_2_1_26_kcat} * E6_2_1_26 * C00002 * C00010 * C02730)/(${Variables:E6_2_1_26_km} + (E6_2_1_26 * C00002 * C00010 * C02730))</v>
      </c>
      <c r="K581" s="11" t="str">
        <f t="shared" si="39"/>
        <v>r580: C00002 + C00010 + C02730 -&gt; C00013 + C00020 + C03160 | (${Variables:E6_2_1_26_kcat} * E6_2_1_26 * C00002 * C00010 * C02730)/(${Variables:E6_2_1_26_km} + (E6_2_1_26 * C00002 * C00010 * C02730))</v>
      </c>
    </row>
    <row r="582" spans="1:11" ht="45" customHeight="1" x14ac:dyDescent="0.25">
      <c r="A582" t="s">
        <v>2456</v>
      </c>
      <c r="B582" t="s">
        <v>2457</v>
      </c>
      <c r="C582" s="5" t="s">
        <v>9572</v>
      </c>
      <c r="D582">
        <f t="shared" si="36"/>
        <v>581</v>
      </c>
      <c r="E582" t="str">
        <f t="shared" si="37"/>
        <v>E3_5_1_68</v>
      </c>
      <c r="F582" s="11" t="s">
        <v>14192</v>
      </c>
      <c r="G582" s="11" t="s">
        <v>14795</v>
      </c>
      <c r="H582" s="11" t="s">
        <v>15397</v>
      </c>
      <c r="I582" s="11" t="s">
        <v>16018</v>
      </c>
      <c r="J582" s="12" t="str">
        <f t="shared" si="38"/>
        <v>(${Variables:E3_5_1_68_kcat} * E3_5_1_68 * C00001 * C01045)/(${Variables:E3_5_1_68_km} + (E3_5_1_68 * C00001 * C01045))</v>
      </c>
      <c r="K582" s="11" t="str">
        <f t="shared" si="39"/>
        <v>r581: C00001 + C01045 -&gt; C00025 + C00058 | (${Variables:E3_5_1_68_kcat} * E3_5_1_68 * C00001 * C01045)/(${Variables:E3_5_1_68_km} + (E3_5_1_68 * C00001 * C01045))</v>
      </c>
    </row>
    <row r="583" spans="1:11" ht="45" customHeight="1" x14ac:dyDescent="0.25">
      <c r="A583" t="s">
        <v>2461</v>
      </c>
      <c r="B583" t="s">
        <v>2462</v>
      </c>
      <c r="C583" s="5" t="s">
        <v>9573</v>
      </c>
      <c r="D583">
        <f t="shared" si="36"/>
        <v>582</v>
      </c>
      <c r="E583" t="str">
        <f t="shared" si="37"/>
        <v>E2_3_1_8</v>
      </c>
      <c r="F583" s="11" t="s">
        <v>14193</v>
      </c>
      <c r="G583" s="11" t="s">
        <v>14796</v>
      </c>
      <c r="H583" s="11" t="s">
        <v>9090</v>
      </c>
      <c r="I583" s="11" t="s">
        <v>9289</v>
      </c>
      <c r="J583" s="12" t="str">
        <f t="shared" si="38"/>
        <v>(${Variables:E2_3_1_8_kcat} * E2_3_1_8 * C00009 * C00024)/(${Variables:E2_3_1_8_km} + (E2_3_1_8 * C00009 * C00024))</v>
      </c>
      <c r="K583" s="11" t="str">
        <f t="shared" si="39"/>
        <v>r582: C00009 + C00024 -&gt; C00010 + C00227 | (${Variables:E2_3_1_8_kcat} * E2_3_1_8 * C00009 * C00024)/(${Variables:E2_3_1_8_km} + (E2_3_1_8 * C00009 * C00024))</v>
      </c>
    </row>
    <row r="584" spans="1:11" ht="45" customHeight="1" x14ac:dyDescent="0.25">
      <c r="A584" t="s">
        <v>2461</v>
      </c>
      <c r="B584" t="s">
        <v>2462</v>
      </c>
      <c r="C584" s="5" t="s">
        <v>9573</v>
      </c>
      <c r="D584">
        <f t="shared" si="36"/>
        <v>583</v>
      </c>
      <c r="E584" t="str">
        <f t="shared" si="37"/>
        <v>E2_3_1_8</v>
      </c>
      <c r="F584" s="11" t="s">
        <v>14194</v>
      </c>
      <c r="G584" s="11" t="s">
        <v>14797</v>
      </c>
      <c r="H584" s="11" t="s">
        <v>15398</v>
      </c>
      <c r="I584" s="11" t="s">
        <v>16019</v>
      </c>
      <c r="J584" s="12" t="str">
        <f t="shared" si="38"/>
        <v>(${Variables:E2_3_1_8_kcat} * E2_3_1_8 * C00009 * C00100)/(${Variables:E2_3_1_8_km} + (E2_3_1_8 * C00009 * C00100))</v>
      </c>
      <c r="K584" s="11" t="str">
        <f t="shared" si="39"/>
        <v>r583: C00009 + C00100 -&gt; C00010 + C02876 | (${Variables:E2_3_1_8_kcat} * E2_3_1_8 * C00009 * C00100)/(${Variables:E2_3_1_8_km} + (E2_3_1_8 * C00009 * C00100))</v>
      </c>
    </row>
    <row r="585" spans="1:11" ht="45" customHeight="1" x14ac:dyDescent="0.25">
      <c r="A585" t="s">
        <v>2476</v>
      </c>
      <c r="B585" t="s">
        <v>2477</v>
      </c>
      <c r="C585" s="5" t="s">
        <v>9574</v>
      </c>
      <c r="D585">
        <f t="shared" si="36"/>
        <v>584</v>
      </c>
      <c r="E585" t="str">
        <f t="shared" si="37"/>
        <v>E1_1_1_30</v>
      </c>
      <c r="F585" s="11" t="s">
        <v>14195</v>
      </c>
      <c r="G585" s="11" t="s">
        <v>14798</v>
      </c>
      <c r="H585" s="11" t="s">
        <v>15399</v>
      </c>
      <c r="I585" s="11" t="s">
        <v>16020</v>
      </c>
      <c r="J585" s="12" t="str">
        <f t="shared" si="38"/>
        <v>(${Variables:E1_1_1_30_kcat} * E1_1_1_30 * C00003 * C01089)/(${Variables:E1_1_1_30_km} + (E1_1_1_30 * C00003 * C01089))</v>
      </c>
      <c r="K585" s="11" t="str">
        <f t="shared" si="39"/>
        <v>r584: C00003 + C01089 -&gt; C00004 + C00080 + C00164 | (${Variables:E1_1_1_30_kcat} * E1_1_1_30 * C00003 * C01089)/(${Variables:E1_1_1_30_km} + (E1_1_1_30 * C00003 * C01089))</v>
      </c>
    </row>
    <row r="586" spans="1:11" ht="45" customHeight="1" x14ac:dyDescent="0.25">
      <c r="A586" t="s">
        <v>2482</v>
      </c>
      <c r="B586" t="s">
        <v>2483</v>
      </c>
      <c r="C586" s="5" t="s">
        <v>9575</v>
      </c>
      <c r="D586">
        <f t="shared" si="36"/>
        <v>585</v>
      </c>
      <c r="E586" t="str">
        <f t="shared" si="37"/>
        <v>E4_6_1_1</v>
      </c>
      <c r="F586" s="11" t="s">
        <v>8251</v>
      </c>
      <c r="G586" s="11" t="s">
        <v>8251</v>
      </c>
      <c r="H586" s="11" t="s">
        <v>15400</v>
      </c>
      <c r="I586" s="11" t="s">
        <v>16021</v>
      </c>
      <c r="J586" s="12" t="str">
        <f t="shared" si="38"/>
        <v>(${Variables:E4_6_1_1_kcat} * E4_6_1_1 * C00002)/(${Variables:E4_6_1_1_km} + (E4_6_1_1 * C00002))</v>
      </c>
      <c r="K586" s="11" t="str">
        <f t="shared" si="39"/>
        <v>r585: C00002 -&gt; C00013 + C00575 | (${Variables:E4_6_1_1_kcat} * E4_6_1_1 * C00002)/(${Variables:E4_6_1_1_km} + (E4_6_1_1 * C00002))</v>
      </c>
    </row>
    <row r="587" spans="1:11" ht="45" customHeight="1" x14ac:dyDescent="0.25">
      <c r="A587" t="s">
        <v>2482</v>
      </c>
      <c r="B587" t="s">
        <v>2483</v>
      </c>
      <c r="C587" s="5" t="s">
        <v>9575</v>
      </c>
      <c r="D587">
        <f t="shared" si="36"/>
        <v>586</v>
      </c>
      <c r="E587" t="str">
        <f t="shared" si="37"/>
        <v>E4_6_1_1</v>
      </c>
      <c r="F587" s="11" t="s">
        <v>8252</v>
      </c>
      <c r="G587" s="11" t="s">
        <v>8252</v>
      </c>
      <c r="H587" s="11" t="s">
        <v>15401</v>
      </c>
      <c r="I587" s="11" t="s">
        <v>16022</v>
      </c>
      <c r="J587" s="12" t="str">
        <f t="shared" si="38"/>
        <v>(${Variables:E4_6_1_1_kcat} * E4_6_1_1 * C00044)/(${Variables:E4_6_1_1_km} + (E4_6_1_1 * C00044))</v>
      </c>
      <c r="K587" s="11" t="str">
        <f t="shared" si="39"/>
        <v>r586: C00044 -&gt; C00013 + C00942 | (${Variables:E4_6_1_1_kcat} * E4_6_1_1 * C00044)/(${Variables:E4_6_1_1_km} + (E4_6_1_1 * C00044))</v>
      </c>
    </row>
    <row r="588" spans="1:11" ht="45" customHeight="1" x14ac:dyDescent="0.25">
      <c r="A588" t="s">
        <v>2502</v>
      </c>
      <c r="B588" t="s">
        <v>2503</v>
      </c>
      <c r="C588" s="5" t="s">
        <v>9392</v>
      </c>
      <c r="D588">
        <f t="shared" si="36"/>
        <v>587</v>
      </c>
      <c r="E588" t="str">
        <f t="shared" si="37"/>
        <v>E3_1_3_5</v>
      </c>
      <c r="F588" s="11" t="s">
        <v>13948</v>
      </c>
      <c r="G588" s="11" t="s">
        <v>14551</v>
      </c>
      <c r="H588" s="11" t="s">
        <v>15151</v>
      </c>
      <c r="I588" s="11" t="s">
        <v>15772</v>
      </c>
      <c r="J588" s="12" t="str">
        <f t="shared" si="38"/>
        <v>(${Variables:E3_1_3_5_kcat} * E3_1_3_5 * C00001 * C02520)/(${Variables:E3_1_3_5_km} + (E3_1_3_5 * C00001 * C02520))</v>
      </c>
      <c r="K588" s="11" t="str">
        <f t="shared" si="39"/>
        <v>r587: C00001 + C02520 -&gt; C00009 + C00911 | (${Variables:E3_1_3_5_kcat} * E3_1_3_5 * C00001 * C02520)/(${Variables:E3_1_3_5_km} + (E3_1_3_5 * C00001 * C02520))</v>
      </c>
    </row>
    <row r="589" spans="1:11" ht="45" customHeight="1" x14ac:dyDescent="0.25">
      <c r="A589" t="s">
        <v>2502</v>
      </c>
      <c r="B589" t="s">
        <v>2503</v>
      </c>
      <c r="C589" s="5" t="s">
        <v>9392</v>
      </c>
      <c r="D589">
        <f t="shared" si="36"/>
        <v>588</v>
      </c>
      <c r="E589" t="str">
        <f t="shared" si="37"/>
        <v>E3_1_3_5</v>
      </c>
      <c r="F589" s="11" t="s">
        <v>13949</v>
      </c>
      <c r="G589" s="11" t="s">
        <v>14552</v>
      </c>
      <c r="H589" s="11" t="s">
        <v>14092</v>
      </c>
      <c r="I589" s="11" t="s">
        <v>14695</v>
      </c>
      <c r="J589" s="12" t="str">
        <f t="shared" si="38"/>
        <v>(${Variables:E3_1_3_5_kcat} * E3_1_3_5 * C00001 * C00020)/(${Variables:E3_1_3_5_km} + (E3_1_3_5 * C00001 * C00020))</v>
      </c>
      <c r="K589" s="11" t="str">
        <f t="shared" si="39"/>
        <v>r588: C00001 + C00020 -&gt; C00009 + C00212 | (${Variables:E3_1_3_5_kcat} * E3_1_3_5 * C00001 * C00020)/(${Variables:E3_1_3_5_km} + (E3_1_3_5 * C00001 * C00020))</v>
      </c>
    </row>
    <row r="590" spans="1:11" ht="45" customHeight="1" x14ac:dyDescent="0.25">
      <c r="A590" t="s">
        <v>2502</v>
      </c>
      <c r="B590" t="s">
        <v>2503</v>
      </c>
      <c r="C590" s="5" t="s">
        <v>9392</v>
      </c>
      <c r="D590">
        <f t="shared" si="36"/>
        <v>589</v>
      </c>
      <c r="E590" t="str">
        <f t="shared" si="37"/>
        <v>E3_1_3_5</v>
      </c>
      <c r="F590" s="11" t="s">
        <v>13950</v>
      </c>
      <c r="G590" s="11" t="s">
        <v>14553</v>
      </c>
      <c r="H590" s="11" t="s">
        <v>14013</v>
      </c>
      <c r="I590" s="11" t="s">
        <v>14616</v>
      </c>
      <c r="J590" s="12" t="str">
        <f t="shared" si="38"/>
        <v>(${Variables:E3_1_3_5_kcat} * E3_1_3_5 * C00001 * C00055)/(${Variables:E3_1_3_5_km} + (E3_1_3_5 * C00001 * C00055))</v>
      </c>
      <c r="K590" s="11" t="str">
        <f t="shared" si="39"/>
        <v>r589: C00001 + C00055 -&gt; C00009 + C00475 | (${Variables:E3_1_3_5_kcat} * E3_1_3_5 * C00001 * C00055)/(${Variables:E3_1_3_5_km} + (E3_1_3_5 * C00001 * C00055))</v>
      </c>
    </row>
    <row r="591" spans="1:11" ht="45" customHeight="1" x14ac:dyDescent="0.25">
      <c r="A591" t="s">
        <v>2502</v>
      </c>
      <c r="B591" t="s">
        <v>2503</v>
      </c>
      <c r="C591" s="5" t="s">
        <v>9392</v>
      </c>
      <c r="D591">
        <f t="shared" si="36"/>
        <v>590</v>
      </c>
      <c r="E591" t="str">
        <f t="shared" si="37"/>
        <v>E3_1_3_5</v>
      </c>
      <c r="F591" s="11" t="s">
        <v>13951</v>
      </c>
      <c r="G591" s="11" t="s">
        <v>14554</v>
      </c>
      <c r="H591" s="11" t="s">
        <v>14012</v>
      </c>
      <c r="I591" s="11" t="s">
        <v>14615</v>
      </c>
      <c r="J591" s="12" t="str">
        <f t="shared" si="38"/>
        <v>(${Variables:E3_1_3_5_kcat} * E3_1_3_5 * C00001 * C00105)/(${Variables:E3_1_3_5_km} + (E3_1_3_5 * C00001 * C00105))</v>
      </c>
      <c r="K591" s="11" t="str">
        <f t="shared" si="39"/>
        <v>r590: C00001 + C00105 -&gt; C00009 + C00299 | (${Variables:E3_1_3_5_kcat} * E3_1_3_5 * C00001 * C00105)/(${Variables:E3_1_3_5_km} + (E3_1_3_5 * C00001 * C00105))</v>
      </c>
    </row>
    <row r="592" spans="1:11" ht="45" customHeight="1" x14ac:dyDescent="0.25">
      <c r="A592" t="s">
        <v>2502</v>
      </c>
      <c r="B592" t="s">
        <v>2503</v>
      </c>
      <c r="C592" s="5" t="s">
        <v>9392</v>
      </c>
      <c r="D592">
        <f t="shared" si="36"/>
        <v>591</v>
      </c>
      <c r="E592" t="str">
        <f t="shared" si="37"/>
        <v>E3_1_3_5</v>
      </c>
      <c r="F592" s="11" t="s">
        <v>13952</v>
      </c>
      <c r="G592" s="11" t="s">
        <v>14555</v>
      </c>
      <c r="H592" s="11" t="s">
        <v>14093</v>
      </c>
      <c r="I592" s="11" t="s">
        <v>14696</v>
      </c>
      <c r="J592" s="12" t="str">
        <f t="shared" si="38"/>
        <v>(${Variables:E3_1_3_5_kcat} * E3_1_3_5 * C00001 * C00130)/(${Variables:E3_1_3_5_km} + (E3_1_3_5 * C00001 * C00130))</v>
      </c>
      <c r="K592" s="11" t="str">
        <f t="shared" si="39"/>
        <v>r591: C00001 + C00130 -&gt; C00009 + C00294 | (${Variables:E3_1_3_5_kcat} * E3_1_3_5 * C00001 * C00130)/(${Variables:E3_1_3_5_km} + (E3_1_3_5 * C00001 * C00130))</v>
      </c>
    </row>
    <row r="593" spans="1:11" ht="45" customHeight="1" x14ac:dyDescent="0.25">
      <c r="A593" t="s">
        <v>2502</v>
      </c>
      <c r="B593" t="s">
        <v>2503</v>
      </c>
      <c r="C593" s="5" t="s">
        <v>9392</v>
      </c>
      <c r="D593">
        <f t="shared" si="36"/>
        <v>592</v>
      </c>
      <c r="E593" t="str">
        <f t="shared" si="37"/>
        <v>E3_1_3_5</v>
      </c>
      <c r="F593" s="11" t="s">
        <v>13953</v>
      </c>
      <c r="G593" s="11" t="s">
        <v>14556</v>
      </c>
      <c r="H593" s="11" t="s">
        <v>14094</v>
      </c>
      <c r="I593" s="11" t="s">
        <v>14697</v>
      </c>
      <c r="J593" s="12" t="str">
        <f t="shared" si="38"/>
        <v>(${Variables:E3_1_3_5_kcat} * E3_1_3_5 * C00001 * C00144)/(${Variables:E3_1_3_5_km} + (E3_1_3_5 * C00001 * C00144))</v>
      </c>
      <c r="K593" s="11" t="str">
        <f t="shared" si="39"/>
        <v>r592: C00001 + C00144 -&gt; C00009 + C00387 | (${Variables:E3_1_3_5_kcat} * E3_1_3_5 * C00001 * C00144)/(${Variables:E3_1_3_5_km} + (E3_1_3_5 * C00001 * C00144))</v>
      </c>
    </row>
    <row r="594" spans="1:11" ht="45" customHeight="1" x14ac:dyDescent="0.25">
      <c r="A594" t="s">
        <v>2502</v>
      </c>
      <c r="B594" t="s">
        <v>2503</v>
      </c>
      <c r="C594" s="5" t="s">
        <v>9392</v>
      </c>
      <c r="D594">
        <f t="shared" si="36"/>
        <v>593</v>
      </c>
      <c r="E594" t="str">
        <f t="shared" si="37"/>
        <v>E3_1_3_5</v>
      </c>
      <c r="F594" s="11" t="s">
        <v>13954</v>
      </c>
      <c r="G594" s="11" t="s">
        <v>14557</v>
      </c>
      <c r="H594" s="11" t="s">
        <v>14100</v>
      </c>
      <c r="I594" s="11" t="s">
        <v>14703</v>
      </c>
      <c r="J594" s="12" t="str">
        <f t="shared" si="38"/>
        <v>(${Variables:E3_1_3_5_kcat} * E3_1_3_5 * C00001 * C00455)/(${Variables:E3_1_3_5_km} + (E3_1_3_5 * C00001 * C00455))</v>
      </c>
      <c r="K594" s="11" t="str">
        <f t="shared" si="39"/>
        <v>r593: C00001 + C00455 -&gt; C00009 + C03150 | (${Variables:E3_1_3_5_kcat} * E3_1_3_5 * C00001 * C00455)/(${Variables:E3_1_3_5_km} + (E3_1_3_5 * C00001 * C00455))</v>
      </c>
    </row>
    <row r="595" spans="1:11" ht="45" customHeight="1" x14ac:dyDescent="0.25">
      <c r="A595" t="s">
        <v>2502</v>
      </c>
      <c r="B595" t="s">
        <v>2503</v>
      </c>
      <c r="C595" s="5" t="s">
        <v>9392</v>
      </c>
      <c r="D595">
        <f t="shared" si="36"/>
        <v>594</v>
      </c>
      <c r="E595" t="str">
        <f t="shared" si="37"/>
        <v>E3_1_3_5</v>
      </c>
      <c r="F595" s="11" t="s">
        <v>13955</v>
      </c>
      <c r="G595" s="11" t="s">
        <v>14558</v>
      </c>
      <c r="H595" s="11" t="s">
        <v>14095</v>
      </c>
      <c r="I595" s="11" t="s">
        <v>14698</v>
      </c>
      <c r="J595" s="12" t="str">
        <f t="shared" si="38"/>
        <v>(${Variables:E3_1_3_5_kcat} * E3_1_3_5 * C00001 * C00655)/(${Variables:E3_1_3_5_km} + (E3_1_3_5 * C00001 * C00655))</v>
      </c>
      <c r="K595" s="11" t="str">
        <f t="shared" si="39"/>
        <v>r594: C00001 + C00655 -&gt; C00009 + C01762 | (${Variables:E3_1_3_5_kcat} * E3_1_3_5 * C00001 * C00655)/(${Variables:E3_1_3_5_km} + (E3_1_3_5 * C00001 * C00655))</v>
      </c>
    </row>
    <row r="596" spans="1:11" ht="45" customHeight="1" x14ac:dyDescent="0.25">
      <c r="A596" t="s">
        <v>2502</v>
      </c>
      <c r="B596" t="s">
        <v>2503</v>
      </c>
      <c r="C596" s="5" t="s">
        <v>9392</v>
      </c>
      <c r="D596">
        <f t="shared" si="36"/>
        <v>595</v>
      </c>
      <c r="E596" t="str">
        <f t="shared" si="37"/>
        <v>E3_1_3_5</v>
      </c>
      <c r="F596" s="11" t="s">
        <v>13956</v>
      </c>
      <c r="G596" s="11" t="s">
        <v>14559</v>
      </c>
      <c r="H596" s="11" t="s">
        <v>14101</v>
      </c>
      <c r="I596" s="11" t="s">
        <v>14704</v>
      </c>
      <c r="J596" s="12" t="str">
        <f t="shared" si="38"/>
        <v>(${Variables:E3_1_3_5_kcat} * E3_1_3_5 * C00001 * C01185)/(${Variables:E3_1_3_5_km} + (E3_1_3_5 * C00001 * C01185))</v>
      </c>
      <c r="K596" s="11" t="str">
        <f t="shared" si="39"/>
        <v>r595: C00001 + C01185 -&gt; C00009 + C05841 | (${Variables:E3_1_3_5_kcat} * E3_1_3_5 * C00001 * C01185)/(${Variables:E3_1_3_5_km} + (E3_1_3_5 * C00001 * C01185))</v>
      </c>
    </row>
    <row r="597" spans="1:11" ht="45" customHeight="1" x14ac:dyDescent="0.25">
      <c r="A597" t="s">
        <v>2502</v>
      </c>
      <c r="B597" t="s">
        <v>2503</v>
      </c>
      <c r="C597" s="5" t="s">
        <v>9392</v>
      </c>
      <c r="D597">
        <f t="shared" si="36"/>
        <v>596</v>
      </c>
      <c r="E597" t="str">
        <f t="shared" si="37"/>
        <v>E3_1_3_5</v>
      </c>
      <c r="F597" s="11" t="s">
        <v>13957</v>
      </c>
      <c r="G597" s="11" t="s">
        <v>14560</v>
      </c>
      <c r="H597" s="11" t="s">
        <v>14011</v>
      </c>
      <c r="I597" s="11" t="s">
        <v>14614</v>
      </c>
      <c r="J597" s="12" t="str">
        <f t="shared" si="38"/>
        <v>(${Variables:E3_1_3_5_kcat} * E3_1_3_5 * C00001 * C00364)/(${Variables:E3_1_3_5_km} + (E3_1_3_5 * C00001 * C00364))</v>
      </c>
      <c r="K597" s="11" t="str">
        <f t="shared" si="39"/>
        <v>r596: C00001 + C00364 -&gt; C00009 + C00214 | (${Variables:E3_1_3_5_kcat} * E3_1_3_5 * C00001 * C00364)/(${Variables:E3_1_3_5_km} + (E3_1_3_5 * C00001 * C00364))</v>
      </c>
    </row>
    <row r="598" spans="1:11" ht="45" customHeight="1" x14ac:dyDescent="0.25">
      <c r="A598" t="s">
        <v>2502</v>
      </c>
      <c r="B598" t="s">
        <v>2503</v>
      </c>
      <c r="C598" s="5" t="s">
        <v>9392</v>
      </c>
      <c r="D598">
        <f t="shared" si="36"/>
        <v>597</v>
      </c>
      <c r="E598" t="str">
        <f t="shared" si="37"/>
        <v>E3_1_3_5</v>
      </c>
      <c r="F598" s="11" t="s">
        <v>13958</v>
      </c>
      <c r="G598" s="11" t="s">
        <v>14561</v>
      </c>
      <c r="H598" s="11" t="s">
        <v>15152</v>
      </c>
      <c r="I598" s="11" t="s">
        <v>15773</v>
      </c>
      <c r="J598" s="12" t="str">
        <f t="shared" si="38"/>
        <v>(${Variables:E3_1_3_5_kcat} * E3_1_3_5 * C00001 * C00239)/(${Variables:E3_1_3_5_km} + (E3_1_3_5 * C00001 * C00239))</v>
      </c>
      <c r="K598" s="11" t="str">
        <f t="shared" si="39"/>
        <v>r597: C00001 + C00239 -&gt; C00009 + C00881 | (${Variables:E3_1_3_5_kcat} * E3_1_3_5 * C00001 * C00239)/(${Variables:E3_1_3_5_km} + (E3_1_3_5 * C00001 * C00239))</v>
      </c>
    </row>
    <row r="599" spans="1:11" ht="45" customHeight="1" x14ac:dyDescent="0.25">
      <c r="A599" t="s">
        <v>2502</v>
      </c>
      <c r="B599" t="s">
        <v>2503</v>
      </c>
      <c r="C599" s="5" t="s">
        <v>9392</v>
      </c>
      <c r="D599">
        <f t="shared" si="36"/>
        <v>598</v>
      </c>
      <c r="E599" t="str">
        <f t="shared" si="37"/>
        <v>E3_1_3_5</v>
      </c>
      <c r="F599" s="11" t="s">
        <v>13959</v>
      </c>
      <c r="G599" s="11" t="s">
        <v>14562</v>
      </c>
      <c r="H599" s="11" t="s">
        <v>14097</v>
      </c>
      <c r="I599" s="11" t="s">
        <v>14700</v>
      </c>
      <c r="J599" s="12" t="str">
        <f t="shared" si="38"/>
        <v>(${Variables:E3_1_3_5_kcat} * E3_1_3_5 * C00001 * C00362)/(${Variables:E3_1_3_5_km} + (E3_1_3_5 * C00001 * C00362))</v>
      </c>
      <c r="K599" s="11" t="str">
        <f t="shared" si="39"/>
        <v>r598: C00001 + C00362 -&gt; C00009 + C00330 | (${Variables:E3_1_3_5_kcat} * E3_1_3_5 * C00001 * C00362)/(${Variables:E3_1_3_5_km} + (E3_1_3_5 * C00001 * C00362))</v>
      </c>
    </row>
    <row r="600" spans="1:11" ht="45" customHeight="1" x14ac:dyDescent="0.25">
      <c r="A600" t="s">
        <v>2502</v>
      </c>
      <c r="B600" t="s">
        <v>2503</v>
      </c>
      <c r="C600" s="5" t="s">
        <v>9392</v>
      </c>
      <c r="D600">
        <f t="shared" si="36"/>
        <v>599</v>
      </c>
      <c r="E600" t="str">
        <f t="shared" si="37"/>
        <v>E3_1_3_5</v>
      </c>
      <c r="F600" s="11" t="s">
        <v>13960</v>
      </c>
      <c r="G600" s="11" t="s">
        <v>14563</v>
      </c>
      <c r="H600" s="11" t="s">
        <v>14098</v>
      </c>
      <c r="I600" s="11" t="s">
        <v>14701</v>
      </c>
      <c r="J600" s="12" t="str">
        <f t="shared" si="38"/>
        <v>(${Variables:E3_1_3_5_kcat} * E3_1_3_5 * C00001 * C00360)/(${Variables:E3_1_3_5_km} + (E3_1_3_5 * C00001 * C00360))</v>
      </c>
      <c r="K600" s="11" t="str">
        <f t="shared" si="39"/>
        <v>r599: C00001 + C00360 -&gt; C00009 + C00559 | (${Variables:E3_1_3_5_kcat} * E3_1_3_5 * C00001 * C00360)/(${Variables:E3_1_3_5_km} + (E3_1_3_5 * C00001 * C00360))</v>
      </c>
    </row>
    <row r="601" spans="1:11" ht="45" customHeight="1" x14ac:dyDescent="0.25">
      <c r="A601" t="s">
        <v>2502</v>
      </c>
      <c r="B601" t="s">
        <v>2503</v>
      </c>
      <c r="C601" s="5" t="s">
        <v>9392</v>
      </c>
      <c r="D601">
        <f t="shared" si="36"/>
        <v>600</v>
      </c>
      <c r="E601" t="str">
        <f t="shared" si="37"/>
        <v>E3_1_3_5</v>
      </c>
      <c r="F601" s="11" t="s">
        <v>13961</v>
      </c>
      <c r="G601" s="11" t="s">
        <v>14564</v>
      </c>
      <c r="H601" s="11" t="s">
        <v>14014</v>
      </c>
      <c r="I601" s="11" t="s">
        <v>14617</v>
      </c>
      <c r="J601" s="12" t="str">
        <f t="shared" si="38"/>
        <v>(${Variables:E3_1_3_5_kcat} * E3_1_3_5 * C00001 * C00365)/(${Variables:E3_1_3_5_km} + (E3_1_3_5 * C00001 * C00365))</v>
      </c>
      <c r="K601" s="11" t="str">
        <f t="shared" si="39"/>
        <v>r600: C00001 + C00365 -&gt; C00009 + C00526 | (${Variables:E3_1_3_5_kcat} * E3_1_3_5 * C00001 * C00365)/(${Variables:E3_1_3_5_km} + (E3_1_3_5 * C00001 * C00365))</v>
      </c>
    </row>
    <row r="602" spans="1:11" ht="45" customHeight="1" x14ac:dyDescent="0.25">
      <c r="A602" t="s">
        <v>2502</v>
      </c>
      <c r="B602" t="s">
        <v>2503</v>
      </c>
      <c r="C602" s="5" t="s">
        <v>9392</v>
      </c>
      <c r="D602">
        <f t="shared" si="36"/>
        <v>601</v>
      </c>
      <c r="E602" t="str">
        <f t="shared" si="37"/>
        <v>E3_1_3_5</v>
      </c>
      <c r="F602" s="11" t="s">
        <v>13962</v>
      </c>
      <c r="G602" s="11" t="s">
        <v>14565</v>
      </c>
      <c r="H602" s="11" t="s">
        <v>14099</v>
      </c>
      <c r="I602" s="11" t="s">
        <v>14702</v>
      </c>
      <c r="J602" s="12" t="str">
        <f t="shared" si="38"/>
        <v>(${Variables:E3_1_3_5_kcat} * E3_1_3_5 * C00001 * C06196)/(${Variables:E3_1_3_5_km} + (E3_1_3_5 * C00001 * C06196))</v>
      </c>
      <c r="K602" s="11" t="str">
        <f t="shared" si="39"/>
        <v>r601: C00001 + C06196 -&gt; C00009 + C05512 | (${Variables:E3_1_3_5_kcat} * E3_1_3_5 * C00001 * C06196)/(${Variables:E3_1_3_5_km} + (E3_1_3_5 * C00001 * C06196))</v>
      </c>
    </row>
    <row r="603" spans="1:11" ht="45" customHeight="1" x14ac:dyDescent="0.25">
      <c r="A603" t="s">
        <v>2508</v>
      </c>
      <c r="B603" t="s">
        <v>2509</v>
      </c>
      <c r="C603" s="5" t="s">
        <v>9576</v>
      </c>
      <c r="D603">
        <f t="shared" si="36"/>
        <v>602</v>
      </c>
      <c r="E603" t="str">
        <f t="shared" si="37"/>
        <v>E3_1_3_1</v>
      </c>
      <c r="F603" s="11" t="s">
        <v>14196</v>
      </c>
      <c r="G603" s="11" t="s">
        <v>14799</v>
      </c>
      <c r="H603" s="11" t="s">
        <v>15402</v>
      </c>
      <c r="I603" s="11" t="s">
        <v>16023</v>
      </c>
      <c r="J603" s="12" t="str">
        <f t="shared" si="38"/>
        <v>(${Variables:E3_1_3_1_kcat} * E3_1_3_1 * C00001 * C01153)/(${Variables:E3_1_3_1_km} + (E3_1_3_1 * C00001 * C01153))</v>
      </c>
      <c r="K603" s="11" t="str">
        <f t="shared" si="39"/>
        <v>r602: C00001 + C01153 -&gt; C00009 + C00069 | (${Variables:E3_1_3_1_kcat} * E3_1_3_1 * C00001 * C01153)/(${Variables:E3_1_3_1_km} + (E3_1_3_1 * C00001 * C01153))</v>
      </c>
    </row>
    <row r="604" spans="1:11" ht="45" customHeight="1" x14ac:dyDescent="0.25">
      <c r="A604" t="s">
        <v>2508</v>
      </c>
      <c r="B604" t="s">
        <v>2509</v>
      </c>
      <c r="C604" s="5" t="s">
        <v>9576</v>
      </c>
      <c r="D604">
        <f t="shared" si="36"/>
        <v>603</v>
      </c>
      <c r="E604" t="str">
        <f t="shared" si="37"/>
        <v>E3_1_3_1</v>
      </c>
      <c r="F604" s="11" t="s">
        <v>14197</v>
      </c>
      <c r="G604" s="11" t="s">
        <v>14800</v>
      </c>
      <c r="H604" s="11" t="s">
        <v>15403</v>
      </c>
      <c r="I604" s="11" t="s">
        <v>16024</v>
      </c>
      <c r="J604" s="12" t="str">
        <f t="shared" si="38"/>
        <v>(${Variables:E3_1_3_1_kcat} * E3_1_3_1 * C00001 * C01081)/(${Variables:E3_1_3_1_km} + (E3_1_3_1 * C00001 * C01081))</v>
      </c>
      <c r="K604" s="11" t="str">
        <f t="shared" si="39"/>
        <v>r603: C00001 + C01081 -&gt; C00009 + C00378 | (${Variables:E3_1_3_1_kcat} * E3_1_3_1 * C00001 * C01081)/(${Variables:E3_1_3_1_km} + (E3_1_3_1 * C00001 * C01081))</v>
      </c>
    </row>
    <row r="605" spans="1:11" ht="45" customHeight="1" x14ac:dyDescent="0.25">
      <c r="A605" t="s">
        <v>2508</v>
      </c>
      <c r="B605" t="s">
        <v>2509</v>
      </c>
      <c r="C605" s="5" t="s">
        <v>9576</v>
      </c>
      <c r="D605">
        <f t="shared" si="36"/>
        <v>604</v>
      </c>
      <c r="E605" t="str">
        <f t="shared" si="37"/>
        <v>E3_1_3_1</v>
      </c>
      <c r="F605" s="11" t="s">
        <v>14198</v>
      </c>
      <c r="G605" s="11" t="s">
        <v>14801</v>
      </c>
      <c r="H605" s="11" t="s">
        <v>15404</v>
      </c>
      <c r="I605" s="11" t="s">
        <v>16025</v>
      </c>
      <c r="J605" s="12" t="str">
        <f t="shared" si="38"/>
        <v>(${Variables:E3_1_3_1_kcat} * E3_1_3_1 * C00001 * C03360)/(${Variables:E3_1_3_1_km} + (E3_1_3_1 * C00001 * C03360))</v>
      </c>
      <c r="K605" s="11" t="str">
        <f t="shared" si="39"/>
        <v>r604: C00001 + C03360 -&gt; C00009 + C00870 | (${Variables:E3_1_3_1_kcat} * E3_1_3_1 * C00001 * C03360)/(${Variables:E3_1_3_1_km} + (E3_1_3_1 * C00001 * C03360))</v>
      </c>
    </row>
    <row r="606" spans="1:11" ht="45" customHeight="1" x14ac:dyDescent="0.25">
      <c r="A606" t="s">
        <v>2508</v>
      </c>
      <c r="B606" t="s">
        <v>2509</v>
      </c>
      <c r="C606" s="5" t="s">
        <v>9576</v>
      </c>
      <c r="D606">
        <f t="shared" si="36"/>
        <v>605</v>
      </c>
      <c r="E606" t="str">
        <f t="shared" si="37"/>
        <v>E3_1_3_1</v>
      </c>
      <c r="F606" s="11" t="s">
        <v>14199</v>
      </c>
      <c r="G606" s="11" t="s">
        <v>14802</v>
      </c>
      <c r="H606" s="11" t="s">
        <v>15405</v>
      </c>
      <c r="I606" s="11" t="s">
        <v>16026</v>
      </c>
      <c r="J606" s="12" t="str">
        <f t="shared" si="38"/>
        <v>(${Variables:E3_1_3_1_kcat} * E3_1_3_1 * C00001 * C00111)/(${Variables:E3_1_3_1_km} + (E3_1_3_1 * C00001 * C00111))</v>
      </c>
      <c r="K606" s="11" t="str">
        <f t="shared" si="39"/>
        <v>r605: C00001 + C00111 -&gt; C00009 + C00184 | (${Variables:E3_1_3_1_kcat} * E3_1_3_1 * C00001 * C00111)/(${Variables:E3_1_3_1_km} + (E3_1_3_1 * C00001 * C00111))</v>
      </c>
    </row>
    <row r="607" spans="1:11" ht="45" customHeight="1" x14ac:dyDescent="0.25">
      <c r="A607" t="s">
        <v>2508</v>
      </c>
      <c r="B607" t="s">
        <v>2509</v>
      </c>
      <c r="C607" s="5" t="s">
        <v>9576</v>
      </c>
      <c r="D607">
        <f t="shared" si="36"/>
        <v>606</v>
      </c>
      <c r="E607" t="str">
        <f t="shared" si="37"/>
        <v>E3_1_3_1</v>
      </c>
      <c r="F607" s="11" t="s">
        <v>14200</v>
      </c>
      <c r="G607" s="11" t="s">
        <v>14803</v>
      </c>
      <c r="H607" s="11" t="s">
        <v>15406</v>
      </c>
      <c r="I607" s="11" t="s">
        <v>16027</v>
      </c>
      <c r="J607" s="12" t="str">
        <f t="shared" si="38"/>
        <v>(${Variables:E3_1_3_1_kcat} * E3_1_3_1 * C00001 * C04895)/(${Variables:E3_1_3_1_km} + (E3_1_3_1 * C00001 * C04895))</v>
      </c>
      <c r="K607" s="11" t="str">
        <f t="shared" si="39"/>
        <v>r606: C00001 + C04895 -&gt; C00009 + C04874 | (${Variables:E3_1_3_1_kcat} * E3_1_3_1 * C00001 * C04895)/(${Variables:E3_1_3_1_km} + (E3_1_3_1 * C00001 * C04895))</v>
      </c>
    </row>
    <row r="608" spans="1:11" ht="45" customHeight="1" x14ac:dyDescent="0.25">
      <c r="A608" t="s">
        <v>2515</v>
      </c>
      <c r="B608" t="s">
        <v>2516</v>
      </c>
      <c r="C608" s="5" t="s">
        <v>9461</v>
      </c>
      <c r="D608">
        <f t="shared" si="36"/>
        <v>607</v>
      </c>
      <c r="E608" t="str">
        <f t="shared" si="37"/>
        <v>E1_1_1_95</v>
      </c>
      <c r="F608" s="11" t="s">
        <v>14044</v>
      </c>
      <c r="G608" s="11" t="s">
        <v>14647</v>
      </c>
      <c r="H608" s="11" t="s">
        <v>15258</v>
      </c>
      <c r="I608" s="11" t="s">
        <v>15879</v>
      </c>
      <c r="J608" s="12" t="str">
        <f t="shared" si="38"/>
        <v>(${Variables:E1_1_1_95_kcat} * E1_1_1_95 * C00003 * C00197)/(${Variables:E1_1_1_95_km} + (E1_1_1_95 * C00003 * C00197))</v>
      </c>
      <c r="K608" s="11" t="str">
        <f t="shared" si="39"/>
        <v>r607: C00003 + C00197 -&gt; C00004 + C00080 + C03232 | (${Variables:E1_1_1_95_kcat} * E1_1_1_95 * C00003 * C00197)/(${Variables:E1_1_1_95_km} + (E1_1_1_95 * C00003 * C00197))</v>
      </c>
    </row>
    <row r="609" spans="1:11" ht="45" customHeight="1" x14ac:dyDescent="0.25">
      <c r="A609" t="s">
        <v>2515</v>
      </c>
      <c r="B609" t="s">
        <v>2516</v>
      </c>
      <c r="C609" s="5" t="s">
        <v>9461</v>
      </c>
      <c r="D609">
        <f t="shared" si="36"/>
        <v>608</v>
      </c>
      <c r="E609" t="str">
        <f t="shared" si="37"/>
        <v>E1_1_1_95</v>
      </c>
      <c r="F609" s="11" t="s">
        <v>14045</v>
      </c>
      <c r="G609" s="11" t="s">
        <v>14648</v>
      </c>
      <c r="H609" s="11" t="s">
        <v>15259</v>
      </c>
      <c r="I609" s="11" t="s">
        <v>15880</v>
      </c>
      <c r="J609" s="12" t="str">
        <f t="shared" si="38"/>
        <v>(${Variables:E1_1_1_95_kcat} * E1_1_1_95 * C00003 * C02630)/(${Variables:E1_1_1_95_km} + (E1_1_1_95 * C00003 * C02630))</v>
      </c>
      <c r="K609" s="11" t="str">
        <f t="shared" si="39"/>
        <v>r608: C00003 + C02630 -&gt; C00004 + C00026 + C00080 | (${Variables:E1_1_1_95_kcat} * E1_1_1_95 * C00003 * C02630)/(${Variables:E1_1_1_95_km} + (E1_1_1_95 * C00003 * C02630))</v>
      </c>
    </row>
    <row r="610" spans="1:11" ht="45" customHeight="1" x14ac:dyDescent="0.25">
      <c r="A610" t="s">
        <v>2529</v>
      </c>
      <c r="B610" t="s">
        <v>2530</v>
      </c>
      <c r="C610" s="5" t="s">
        <v>9507</v>
      </c>
      <c r="D610">
        <f t="shared" si="36"/>
        <v>609</v>
      </c>
      <c r="E610" t="str">
        <f t="shared" si="37"/>
        <v>E6_2_1_3</v>
      </c>
      <c r="F610" s="11" t="s">
        <v>14103</v>
      </c>
      <c r="G610" s="11" t="s">
        <v>14706</v>
      </c>
      <c r="H610" s="11" t="s">
        <v>15304</v>
      </c>
      <c r="I610" s="11" t="s">
        <v>15925</v>
      </c>
      <c r="J610" s="12" t="str">
        <f t="shared" si="38"/>
        <v>(${Variables:E6_2_1_3_kcat} * E6_2_1_3 * C00002 * C00010 * C00638)/(${Variables:E6_2_1_3_km} + (E6_2_1_3 * C00002 * C00010 * C00638))</v>
      </c>
      <c r="K610" s="11" t="str">
        <f t="shared" si="39"/>
        <v>r609: C00002 + C00010 + C00638 -&gt; C00013 + C00020 + C02843 | (${Variables:E6_2_1_3_kcat} * E6_2_1_3 * C00002 * C00010 * C00638)/(${Variables:E6_2_1_3_km} + (E6_2_1_3 * C00002 * C00010 * C00638))</v>
      </c>
    </row>
    <row r="611" spans="1:11" ht="45" customHeight="1" x14ac:dyDescent="0.25">
      <c r="A611" t="s">
        <v>2529</v>
      </c>
      <c r="B611" t="s">
        <v>2530</v>
      </c>
      <c r="C611" s="5" t="s">
        <v>9507</v>
      </c>
      <c r="D611">
        <f t="shared" si="36"/>
        <v>610</v>
      </c>
      <c r="E611" t="str">
        <f t="shared" si="37"/>
        <v>E6_2_1_3</v>
      </c>
      <c r="F611" s="11" t="s">
        <v>14104</v>
      </c>
      <c r="G611" s="11" t="s">
        <v>14707</v>
      </c>
      <c r="H611" s="11" t="s">
        <v>15305</v>
      </c>
      <c r="I611" s="11" t="s">
        <v>15926</v>
      </c>
      <c r="J611" s="12" t="str">
        <f t="shared" si="38"/>
        <v>(${Variables:E6_2_1_3_kcat} * E6_2_1_3 * C00002 * C00010 * C00249)/(${Variables:E6_2_1_3_km} + (E6_2_1_3 * C00002 * C00010 * C00249))</v>
      </c>
      <c r="K611" s="11" t="str">
        <f t="shared" si="39"/>
        <v>r610: C00002 + C00010 + C00249 -&gt; C00013 + C00020 + C00154 | (${Variables:E6_2_1_3_kcat} * E6_2_1_3 * C00002 * C00010 * C00249)/(${Variables:E6_2_1_3_km} + (E6_2_1_3 * C00002 * C00010 * C00249))</v>
      </c>
    </row>
    <row r="612" spans="1:11" ht="45" customHeight="1" x14ac:dyDescent="0.25">
      <c r="A612" t="s">
        <v>2548</v>
      </c>
      <c r="B612" t="s">
        <v>2549</v>
      </c>
      <c r="C612" s="5" t="s">
        <v>9402</v>
      </c>
      <c r="D612">
        <f t="shared" si="36"/>
        <v>611</v>
      </c>
      <c r="E612" t="str">
        <f t="shared" si="37"/>
        <v>E1_3_8_1</v>
      </c>
      <c r="F612" s="11" t="s">
        <v>13971</v>
      </c>
      <c r="G612" s="11" t="s">
        <v>14574</v>
      </c>
      <c r="H612" s="11" t="s">
        <v>15163</v>
      </c>
      <c r="I612" s="11" t="s">
        <v>15784</v>
      </c>
      <c r="J612" s="12" t="str">
        <f t="shared" si="38"/>
        <v>(${Variables:E1_3_8_1_kcat} * E1_3_8_1 * C04253 * C20675)/(${Variables:E1_3_8_1_km} + (E1_3_8_1 * C04253 * C20675))</v>
      </c>
      <c r="K612" s="11" t="str">
        <f t="shared" si="39"/>
        <v>r611: C04253 + C20675 -&gt; C04570 + C20676 | (${Variables:E1_3_8_1_kcat} * E1_3_8_1 * C04253 * C20675)/(${Variables:E1_3_8_1_km} + (E1_3_8_1 * C04253 * C20675))</v>
      </c>
    </row>
    <row r="613" spans="1:11" ht="45" customHeight="1" x14ac:dyDescent="0.25">
      <c r="A613" t="s">
        <v>2548</v>
      </c>
      <c r="B613" t="s">
        <v>2549</v>
      </c>
      <c r="C613" s="5" t="s">
        <v>9402</v>
      </c>
      <c r="D613">
        <f t="shared" si="36"/>
        <v>612</v>
      </c>
      <c r="E613" t="str">
        <f t="shared" si="37"/>
        <v>E1_3_8_1</v>
      </c>
      <c r="F613" s="11" t="s">
        <v>13972</v>
      </c>
      <c r="G613" s="11" t="s">
        <v>14575</v>
      </c>
      <c r="H613" s="11" t="s">
        <v>15164</v>
      </c>
      <c r="I613" s="11" t="s">
        <v>15785</v>
      </c>
      <c r="J613" s="12" t="str">
        <f t="shared" si="38"/>
        <v>(${Variables:E1_3_8_1_kcat} * E1_3_8_1 * C00016 * C00136)/(${Variables:E1_3_8_1_km} + (E1_3_8_1 * C00016 * C00136))</v>
      </c>
      <c r="K613" s="11" t="str">
        <f t="shared" si="39"/>
        <v>r612: C00016 + C00136 -&gt; C00877 + C01352 | (${Variables:E1_3_8_1_kcat} * E1_3_8_1 * C00016 * C00136)/(${Variables:E1_3_8_1_km} + (E1_3_8_1 * C00016 * C00136))</v>
      </c>
    </row>
    <row r="614" spans="1:11" ht="45" customHeight="1" x14ac:dyDescent="0.25">
      <c r="A614" t="s">
        <v>2548</v>
      </c>
      <c r="B614" t="s">
        <v>2549</v>
      </c>
      <c r="C614" s="5" t="s">
        <v>9402</v>
      </c>
      <c r="D614">
        <f t="shared" si="36"/>
        <v>613</v>
      </c>
      <c r="E614" t="str">
        <f t="shared" si="37"/>
        <v>E1_3_8_1</v>
      </c>
      <c r="F614" s="11" t="s">
        <v>13973</v>
      </c>
      <c r="G614" s="11" t="s">
        <v>14576</v>
      </c>
      <c r="H614" s="11" t="s">
        <v>15165</v>
      </c>
      <c r="I614" s="11" t="s">
        <v>15786</v>
      </c>
      <c r="J614" s="12" t="str">
        <f t="shared" si="38"/>
        <v>(${Variables:E1_3_8_1_kcat} * E1_3_8_1 * C00016 * C05270)/(${Variables:E1_3_8_1_km} + (E1_3_8_1 * C00016 * C05270))</v>
      </c>
      <c r="K614" s="11" t="str">
        <f t="shared" si="39"/>
        <v>r613: C00016 + C05270 -&gt; C01352 + C05271 | (${Variables:E1_3_8_1_kcat} * E1_3_8_1 * C00016 * C05270)/(${Variables:E1_3_8_1_km} + (E1_3_8_1 * C00016 * C05270))</v>
      </c>
    </row>
    <row r="615" spans="1:11" ht="45" customHeight="1" x14ac:dyDescent="0.25">
      <c r="A615" t="s">
        <v>2548</v>
      </c>
      <c r="B615" t="s">
        <v>2549</v>
      </c>
      <c r="C615" s="5" t="s">
        <v>9402</v>
      </c>
      <c r="D615">
        <f t="shared" si="36"/>
        <v>614</v>
      </c>
      <c r="E615" t="str">
        <f t="shared" si="37"/>
        <v>E1_3_8_1</v>
      </c>
      <c r="F615" s="11" t="s">
        <v>13974</v>
      </c>
      <c r="G615" s="11" t="s">
        <v>14577</v>
      </c>
      <c r="H615" s="11" t="s">
        <v>15166</v>
      </c>
      <c r="I615" s="11" t="s">
        <v>15787</v>
      </c>
      <c r="J615" s="12" t="str">
        <f t="shared" si="38"/>
        <v>(${Variables:E1_3_8_1_kcat} * E1_3_8_1 * C00028 * C00630)/(${Variables:E1_3_8_1_km} + (E1_3_8_1 * C00028 * C00630))</v>
      </c>
      <c r="K615" s="11" t="str">
        <f t="shared" si="39"/>
        <v>r614: C00028 + C00630 -&gt; C00030 + C03460 | (${Variables:E1_3_8_1_kcat} * E1_3_8_1 * C00028 * C00630)/(${Variables:E1_3_8_1_km} + (E1_3_8_1 * C00028 * C00630))</v>
      </c>
    </row>
    <row r="616" spans="1:11" ht="45" customHeight="1" x14ac:dyDescent="0.25">
      <c r="A616" t="s">
        <v>2548</v>
      </c>
      <c r="B616" t="s">
        <v>2549</v>
      </c>
      <c r="C616" s="5" t="s">
        <v>9402</v>
      </c>
      <c r="D616">
        <f t="shared" si="36"/>
        <v>615</v>
      </c>
      <c r="E616" t="str">
        <f t="shared" si="37"/>
        <v>E1_3_8_1</v>
      </c>
      <c r="F616" s="11" t="s">
        <v>13975</v>
      </c>
      <c r="G616" s="11" t="s">
        <v>14578</v>
      </c>
      <c r="H616" s="11" t="s">
        <v>15167</v>
      </c>
      <c r="I616" s="11" t="s">
        <v>15788</v>
      </c>
      <c r="J616" s="12" t="str">
        <f t="shared" si="38"/>
        <v>(${Variables:E1_3_8_1_kcat} * E1_3_8_1 * C00028 * C15980)/(${Variables:E1_3_8_1_km} + (E1_3_8_1 * C00028 * C15980))</v>
      </c>
      <c r="K616" s="11" t="str">
        <f t="shared" si="39"/>
        <v>r615: C00028 + C15980 -&gt; C00030 + C03345 | (${Variables:E1_3_8_1_kcat} * E1_3_8_1 * C00028 * C15980)/(${Variables:E1_3_8_1_km} + (E1_3_8_1 * C00028 * C15980))</v>
      </c>
    </row>
    <row r="617" spans="1:11" ht="45" customHeight="1" x14ac:dyDescent="0.25">
      <c r="A617" t="s">
        <v>2548</v>
      </c>
      <c r="B617" t="s">
        <v>2549</v>
      </c>
      <c r="C617" s="5" t="s">
        <v>9402</v>
      </c>
      <c r="D617">
        <f t="shared" si="36"/>
        <v>616</v>
      </c>
      <c r="E617" t="str">
        <f t="shared" si="37"/>
        <v>E1_3_8_1</v>
      </c>
      <c r="F617" s="11" t="s">
        <v>13976</v>
      </c>
      <c r="G617" s="11" t="s">
        <v>14579</v>
      </c>
      <c r="H617" s="11" t="s">
        <v>15168</v>
      </c>
      <c r="I617" s="11" t="s">
        <v>15789</v>
      </c>
      <c r="J617" s="12" t="str">
        <f t="shared" si="38"/>
        <v>(${Variables:E1_3_8_1_kcat} * E1_3_8_1 * C00100 * C04253)/(${Variables:E1_3_8_1_km} + (E1_3_8_1 * C00100 * C04253))</v>
      </c>
      <c r="K617" s="11" t="str">
        <f t="shared" si="39"/>
        <v>r616: C00100 + C04253 -&gt; C00894 + C04570 | (${Variables:E1_3_8_1_kcat} * E1_3_8_1 * C00100 * C04253)/(${Variables:E1_3_8_1_km} + (E1_3_8_1 * C00100 * C04253))</v>
      </c>
    </row>
    <row r="618" spans="1:11" ht="45" customHeight="1" x14ac:dyDescent="0.25">
      <c r="A618" t="s">
        <v>2553</v>
      </c>
      <c r="B618" t="s">
        <v>2554</v>
      </c>
      <c r="C618" s="5" t="s">
        <v>9508</v>
      </c>
      <c r="D618">
        <f t="shared" si="36"/>
        <v>617</v>
      </c>
      <c r="E618" t="str">
        <f t="shared" si="37"/>
        <v>E1_1_1_100</v>
      </c>
      <c r="F618" s="11" t="s">
        <v>14105</v>
      </c>
      <c r="G618" s="11" t="s">
        <v>14708</v>
      </c>
      <c r="H618" s="11" t="s">
        <v>15306</v>
      </c>
      <c r="I618" s="11" t="s">
        <v>15927</v>
      </c>
      <c r="J618" s="12" t="str">
        <f t="shared" si="38"/>
        <v>(${Variables:E1_1_1_100_kcat} * E1_1_1_100 * C00006 * C01271)/(${Variables:E1_1_1_100_km} + (E1_1_1_100 * C00006 * C01271))</v>
      </c>
      <c r="K618" s="11" t="str">
        <f t="shared" si="39"/>
        <v>r617: C00006 + C01271 -&gt; C00005 + C00080 + C00685 | (${Variables:E1_1_1_100_kcat} * E1_1_1_100 * C00006 * C01271)/(${Variables:E1_1_1_100_km} + (E1_1_1_100 * C00006 * C01271))</v>
      </c>
    </row>
    <row r="619" spans="1:11" ht="45" customHeight="1" x14ac:dyDescent="0.25">
      <c r="A619" t="s">
        <v>2553</v>
      </c>
      <c r="B619" t="s">
        <v>2554</v>
      </c>
      <c r="C619" s="5" t="s">
        <v>9508</v>
      </c>
      <c r="D619">
        <f t="shared" si="36"/>
        <v>618</v>
      </c>
      <c r="E619" t="str">
        <f t="shared" si="37"/>
        <v>E1_1_1_100</v>
      </c>
      <c r="F619" s="11" t="s">
        <v>14106</v>
      </c>
      <c r="G619" s="11" t="s">
        <v>14709</v>
      </c>
      <c r="H619" s="11" t="s">
        <v>15307</v>
      </c>
      <c r="I619" s="11" t="s">
        <v>15928</v>
      </c>
      <c r="J619" s="12" t="str">
        <f t="shared" si="38"/>
        <v>(${Variables:E1_1_1_100_kcat} * E1_1_1_100 * C00006 * C04618)/(${Variables:E1_1_1_100_km} + (E1_1_1_100 * C00006 * C04618))</v>
      </c>
      <c r="K619" s="11" t="str">
        <f t="shared" si="39"/>
        <v>r618: C00006 + C04618 -&gt; C00005 + C00080 + C05744 | (${Variables:E1_1_1_100_kcat} * E1_1_1_100 * C00006 * C04618)/(${Variables:E1_1_1_100_km} + (E1_1_1_100 * C00006 * C04618))</v>
      </c>
    </row>
    <row r="620" spans="1:11" ht="45" customHeight="1" x14ac:dyDescent="0.25">
      <c r="A620" t="s">
        <v>2553</v>
      </c>
      <c r="B620" t="s">
        <v>2554</v>
      </c>
      <c r="C620" s="5" t="s">
        <v>9508</v>
      </c>
      <c r="D620">
        <f t="shared" si="36"/>
        <v>619</v>
      </c>
      <c r="E620" t="str">
        <f t="shared" si="37"/>
        <v>E1_1_1_100</v>
      </c>
      <c r="F620" s="11" t="s">
        <v>14107</v>
      </c>
      <c r="G620" s="11" t="s">
        <v>14710</v>
      </c>
      <c r="H620" s="11" t="s">
        <v>15308</v>
      </c>
      <c r="I620" s="11" t="s">
        <v>15929</v>
      </c>
      <c r="J620" s="12" t="str">
        <f t="shared" si="38"/>
        <v>(${Variables:E1_1_1_100_kcat} * E1_1_1_100 * C00006 * C04619)/(${Variables:E1_1_1_100_km} + (E1_1_1_100 * C00006 * C04619))</v>
      </c>
      <c r="K620" s="11" t="str">
        <f t="shared" si="39"/>
        <v>r619: C00006 + C04619 -&gt; C00005 + C05753 | (${Variables:E1_1_1_100_kcat} * E1_1_1_100 * C00006 * C04619)/(${Variables:E1_1_1_100_km} + (E1_1_1_100 * C00006 * C04619))</v>
      </c>
    </row>
    <row r="621" spans="1:11" ht="45" customHeight="1" x14ac:dyDescent="0.25">
      <c r="A621" t="s">
        <v>2553</v>
      </c>
      <c r="B621" t="s">
        <v>2554</v>
      </c>
      <c r="C621" s="5" t="s">
        <v>9508</v>
      </c>
      <c r="D621">
        <f t="shared" si="36"/>
        <v>620</v>
      </c>
      <c r="E621" t="str">
        <f t="shared" si="37"/>
        <v>E1_1_1_100</v>
      </c>
      <c r="F621" s="11" t="s">
        <v>14108</v>
      </c>
      <c r="G621" s="11" t="s">
        <v>14711</v>
      </c>
      <c r="H621" s="11" t="s">
        <v>15309</v>
      </c>
      <c r="I621" s="11" t="s">
        <v>15930</v>
      </c>
      <c r="J621" s="12" t="str">
        <f t="shared" si="38"/>
        <v>(${Variables:E1_1_1_100_kcat} * E1_1_1_100 * C00006 * C04620)/(${Variables:E1_1_1_100_km} + (E1_1_1_100 * C00006 * C04620))</v>
      </c>
      <c r="K621" s="11" t="str">
        <f t="shared" si="39"/>
        <v>r620: C00006 + C04620 -&gt; C00005 + C00080 + C05750 | (${Variables:E1_1_1_100_kcat} * E1_1_1_100 * C00006 * C04620)/(${Variables:E1_1_1_100_km} + (E1_1_1_100 * C00006 * C04620))</v>
      </c>
    </row>
    <row r="622" spans="1:11" ht="45" customHeight="1" x14ac:dyDescent="0.25">
      <c r="A622" t="s">
        <v>2553</v>
      </c>
      <c r="B622" t="s">
        <v>2554</v>
      </c>
      <c r="C622" s="5" t="s">
        <v>9508</v>
      </c>
      <c r="D622">
        <f t="shared" si="36"/>
        <v>621</v>
      </c>
      <c r="E622" t="str">
        <f t="shared" si="37"/>
        <v>E1_1_1_100</v>
      </c>
      <c r="F622" s="11" t="s">
        <v>14109</v>
      </c>
      <c r="G622" s="11" t="s">
        <v>14712</v>
      </c>
      <c r="H622" s="11" t="s">
        <v>15310</v>
      </c>
      <c r="I622" s="11" t="s">
        <v>15931</v>
      </c>
      <c r="J622" s="12" t="str">
        <f t="shared" si="38"/>
        <v>(${Variables:E1_1_1_100_kcat} * E1_1_1_100 * C00006 * C04633)/(${Variables:E1_1_1_100_km} + (E1_1_1_100 * C00006 * C04633))</v>
      </c>
      <c r="K622" s="11" t="str">
        <f t="shared" si="39"/>
        <v>r621: C00006 + C04633 -&gt; C00005 + C00080 + C05762 | (${Variables:E1_1_1_100_kcat} * E1_1_1_100 * C00006 * C04633)/(${Variables:E1_1_1_100_km} + (E1_1_1_100 * C00006 * C04633))</v>
      </c>
    </row>
    <row r="623" spans="1:11" ht="45" customHeight="1" x14ac:dyDescent="0.25">
      <c r="A623" t="s">
        <v>2553</v>
      </c>
      <c r="B623" t="s">
        <v>2554</v>
      </c>
      <c r="C623" s="5" t="s">
        <v>9508</v>
      </c>
      <c r="D623">
        <f t="shared" si="36"/>
        <v>622</v>
      </c>
      <c r="E623" t="str">
        <f t="shared" si="37"/>
        <v>E1_1_1_100</v>
      </c>
      <c r="F623" s="11" t="s">
        <v>14110</v>
      </c>
      <c r="G623" s="11" t="s">
        <v>14713</v>
      </c>
      <c r="H623" s="11" t="s">
        <v>15311</v>
      </c>
      <c r="I623" s="11" t="s">
        <v>15932</v>
      </c>
      <c r="J623" s="12" t="str">
        <f t="shared" si="38"/>
        <v>(${Variables:E1_1_1_100_kcat} * E1_1_1_100 * C00006 * C04688)/(${Variables:E1_1_1_100_km} + (E1_1_1_100 * C00006 * C04688))</v>
      </c>
      <c r="K623" s="11" t="str">
        <f t="shared" si="39"/>
        <v>r622: C00006 + C04688 -&gt; C00005 + C00080 + C05759 | (${Variables:E1_1_1_100_kcat} * E1_1_1_100 * C00006 * C04688)/(${Variables:E1_1_1_100_km} + (E1_1_1_100 * C00006 * C04688))</v>
      </c>
    </row>
    <row r="624" spans="1:11" ht="45" customHeight="1" x14ac:dyDescent="0.25">
      <c r="A624" t="s">
        <v>2553</v>
      </c>
      <c r="B624" t="s">
        <v>2554</v>
      </c>
      <c r="C624" s="5" t="s">
        <v>9508</v>
      </c>
      <c r="D624">
        <f t="shared" si="36"/>
        <v>623</v>
      </c>
      <c r="E624" t="str">
        <f t="shared" si="37"/>
        <v>E1_1_1_100</v>
      </c>
      <c r="F624" s="11" t="s">
        <v>14111</v>
      </c>
      <c r="G624" s="11" t="s">
        <v>14714</v>
      </c>
      <c r="H624" s="11" t="s">
        <v>15312</v>
      </c>
      <c r="I624" s="11" t="s">
        <v>15933</v>
      </c>
      <c r="J624" s="12" t="str">
        <f t="shared" si="38"/>
        <v>(${Variables:E1_1_1_100_kcat} * E1_1_1_100 * C00006 * C05747)/(${Variables:E1_1_1_100_km} + (E1_1_1_100 * C00006 * C05747))</v>
      </c>
      <c r="K624" s="11" t="str">
        <f t="shared" si="39"/>
        <v>r623: C00006 + C05747 -&gt; C00005 + C00080 + C05746 | (${Variables:E1_1_1_100_kcat} * E1_1_1_100 * C00006 * C05747)/(${Variables:E1_1_1_100_km} + (E1_1_1_100 * C00006 * C05747))</v>
      </c>
    </row>
    <row r="625" spans="1:11" ht="45" customHeight="1" x14ac:dyDescent="0.25">
      <c r="A625" t="s">
        <v>2553</v>
      </c>
      <c r="B625" t="s">
        <v>2554</v>
      </c>
      <c r="C625" s="5" t="s">
        <v>9508</v>
      </c>
      <c r="D625">
        <f t="shared" si="36"/>
        <v>624</v>
      </c>
      <c r="E625" t="str">
        <f t="shared" si="37"/>
        <v>E1_1_1_100</v>
      </c>
      <c r="F625" s="11" t="s">
        <v>14112</v>
      </c>
      <c r="G625" s="11" t="s">
        <v>14715</v>
      </c>
      <c r="H625" s="11" t="s">
        <v>15313</v>
      </c>
      <c r="I625" s="11" t="s">
        <v>15934</v>
      </c>
      <c r="J625" s="12" t="str">
        <f t="shared" si="38"/>
        <v>(${Variables:E1_1_1_100_kcat} * E1_1_1_100 * C00006 * C05757)/(${Variables:E1_1_1_100_km} + (E1_1_1_100 * C00006 * C05757))</v>
      </c>
      <c r="K625" s="11" t="str">
        <f t="shared" si="39"/>
        <v>r624: C00006 + C05757 -&gt; C00005 + C00080 + C05756 | (${Variables:E1_1_1_100_kcat} * E1_1_1_100 * C00006 * C05757)/(${Variables:E1_1_1_100_km} + (E1_1_1_100 * C00006 * C05757))</v>
      </c>
    </row>
    <row r="626" spans="1:11" ht="45" customHeight="1" x14ac:dyDescent="0.25">
      <c r="A626" t="s">
        <v>2553</v>
      </c>
      <c r="B626" t="s">
        <v>2554</v>
      </c>
      <c r="C626" s="5" t="s">
        <v>9508</v>
      </c>
      <c r="D626">
        <f t="shared" si="36"/>
        <v>625</v>
      </c>
      <c r="E626" t="str">
        <f t="shared" si="37"/>
        <v>E1_1_1_100</v>
      </c>
      <c r="F626" s="11" t="s">
        <v>14113</v>
      </c>
      <c r="G626" s="11" t="s">
        <v>14716</v>
      </c>
      <c r="H626" s="11" t="s">
        <v>15314</v>
      </c>
      <c r="I626" s="11" t="s">
        <v>15935</v>
      </c>
      <c r="J626" s="12" t="str">
        <f t="shared" si="38"/>
        <v>(${Variables:E1_1_1_100_kcat} * E1_1_1_100 * C00005 * C00080 * C16219)/(${Variables:E1_1_1_100_km} + (E1_1_1_100 * C00005 * C00080 * C16219))</v>
      </c>
      <c r="K626" s="11" t="str">
        <f t="shared" si="39"/>
        <v>r625: C00005 + C00080 + C16219 -&gt; C00006 + C16220 | (${Variables:E1_1_1_100_kcat} * E1_1_1_100 * C00005 * C00080 * C16219)/(${Variables:E1_1_1_100_km} + (E1_1_1_100 * C00005 * C00080 * C16219))</v>
      </c>
    </row>
    <row r="627" spans="1:11" ht="45" customHeight="1" x14ac:dyDescent="0.25">
      <c r="A627" t="s">
        <v>2553</v>
      </c>
      <c r="B627" t="s">
        <v>2554</v>
      </c>
      <c r="C627" s="5" t="s">
        <v>9508</v>
      </c>
      <c r="D627">
        <f t="shared" si="36"/>
        <v>626</v>
      </c>
      <c r="E627" t="str">
        <f t="shared" si="37"/>
        <v>E1_1_1_100</v>
      </c>
      <c r="F627" s="11" t="s">
        <v>14114</v>
      </c>
      <c r="G627" s="11" t="s">
        <v>14717</v>
      </c>
      <c r="H627" s="11" t="s">
        <v>15315</v>
      </c>
      <c r="I627" s="11" t="s">
        <v>15936</v>
      </c>
      <c r="J627" s="12" t="str">
        <f t="shared" si="38"/>
        <v>(${Variables:E1_1_1_100_kcat} * E1_1_1_100 * C00005 * C00080 * C20372)/(${Variables:E1_1_1_100_km} + (E1_1_1_100 * C00005 * C00080 * C20372))</v>
      </c>
      <c r="K627" s="11" t="str">
        <f t="shared" si="39"/>
        <v>r626: C00005 + C00080 + C20372 -&gt; C00006 + C20373 | (${Variables:E1_1_1_100_kcat} * E1_1_1_100 * C00005 * C00080 * C20372)/(${Variables:E1_1_1_100_km} + (E1_1_1_100 * C00005 * C00080 * C20372))</v>
      </c>
    </row>
    <row r="628" spans="1:11" ht="45" customHeight="1" x14ac:dyDescent="0.25">
      <c r="A628" t="s">
        <v>2553</v>
      </c>
      <c r="B628" t="s">
        <v>2554</v>
      </c>
      <c r="C628" s="5" t="s">
        <v>9508</v>
      </c>
      <c r="D628">
        <f t="shared" si="36"/>
        <v>627</v>
      </c>
      <c r="E628" t="str">
        <f t="shared" si="37"/>
        <v>E1_1_1_100</v>
      </c>
      <c r="F628" s="11" t="s">
        <v>14115</v>
      </c>
      <c r="G628" s="11" t="s">
        <v>14718</v>
      </c>
      <c r="H628" s="11" t="s">
        <v>15316</v>
      </c>
      <c r="I628" s="11" t="s">
        <v>15937</v>
      </c>
      <c r="J628" s="12" t="str">
        <f t="shared" si="38"/>
        <v>(${Variables:E1_1_1_100_kcat} * E1_1_1_100 * C00005 * C00080 * C20376)/(${Variables:E1_1_1_100_km} + (E1_1_1_100 * C00005 * C00080 * C20376))</v>
      </c>
      <c r="K628" s="11" t="str">
        <f t="shared" si="39"/>
        <v>r627: C00005 + C00080 + C20376 -&gt; C00006 + C20377 | (${Variables:E1_1_1_100_kcat} * E1_1_1_100 * C00005 * C00080 * C20376)/(${Variables:E1_1_1_100_km} + (E1_1_1_100 * C00005 * C00080 * C20376))</v>
      </c>
    </row>
    <row r="629" spans="1:11" ht="45" customHeight="1" x14ac:dyDescent="0.25">
      <c r="A629" t="s">
        <v>2569</v>
      </c>
      <c r="B629" t="s">
        <v>2570</v>
      </c>
      <c r="C629" s="5" t="s">
        <v>9577</v>
      </c>
      <c r="D629">
        <f t="shared" si="36"/>
        <v>628</v>
      </c>
      <c r="E629" t="str">
        <f t="shared" si="37"/>
        <v>E2_7_1_4</v>
      </c>
      <c r="F629" s="11" t="s">
        <v>8732</v>
      </c>
      <c r="G629" s="11" t="s">
        <v>8898</v>
      </c>
      <c r="H629" s="11" t="s">
        <v>9091</v>
      </c>
      <c r="I629" s="11" t="s">
        <v>9290</v>
      </c>
      <c r="J629" s="12" t="str">
        <f t="shared" si="38"/>
        <v>(${Variables:E2_7_1_4_kcat} * E2_7_1_4 * C00002 * C00095)/(${Variables:E2_7_1_4_km} + (E2_7_1_4 * C00002 * C00095))</v>
      </c>
      <c r="K629" s="11" t="str">
        <f t="shared" si="39"/>
        <v>r628: C00002 + C00095 -&gt; C00008 + C00085 | (${Variables:E2_7_1_4_kcat} * E2_7_1_4 * C00002 * C00095)/(${Variables:E2_7_1_4_km} + (E2_7_1_4 * C00002 * C00095))</v>
      </c>
    </row>
    <row r="630" spans="1:11" ht="45" customHeight="1" x14ac:dyDescent="0.25">
      <c r="A630" t="s">
        <v>2569</v>
      </c>
      <c r="B630" t="s">
        <v>2570</v>
      </c>
      <c r="C630" s="5" t="s">
        <v>9577</v>
      </c>
      <c r="D630">
        <f t="shared" si="36"/>
        <v>629</v>
      </c>
      <c r="E630" t="str">
        <f t="shared" si="37"/>
        <v>E2_7_1_4</v>
      </c>
      <c r="F630" s="11" t="s">
        <v>8732</v>
      </c>
      <c r="G630" s="11" t="s">
        <v>8898</v>
      </c>
      <c r="H630" s="11" t="s">
        <v>9092</v>
      </c>
      <c r="I630" s="11" t="s">
        <v>9291</v>
      </c>
      <c r="J630" s="12" t="str">
        <f t="shared" si="38"/>
        <v>(${Variables:E2_7_1_4_kcat} * E2_7_1_4 * C00002 * C00095)/(${Variables:E2_7_1_4_km} + (E2_7_1_4 * C00002 * C00095))</v>
      </c>
      <c r="K630" s="11" t="str">
        <f t="shared" si="39"/>
        <v>r629: C00002 + C00095 -&gt; C00008 + C05345 | (${Variables:E2_7_1_4_kcat} * E2_7_1_4 * C00002 * C00095)/(${Variables:E2_7_1_4_km} + (E2_7_1_4 * C00002 * C00095))</v>
      </c>
    </row>
    <row r="631" spans="1:11" ht="45" customHeight="1" x14ac:dyDescent="0.25">
      <c r="A631" t="s">
        <v>2569</v>
      </c>
      <c r="B631" t="s">
        <v>2570</v>
      </c>
      <c r="C631" s="5" t="s">
        <v>9577</v>
      </c>
      <c r="D631">
        <f t="shared" si="36"/>
        <v>630</v>
      </c>
      <c r="E631" t="str">
        <f t="shared" si="37"/>
        <v>E2_7_1_4</v>
      </c>
      <c r="F631" s="11" t="s">
        <v>8733</v>
      </c>
      <c r="G631" s="11" t="s">
        <v>8899</v>
      </c>
      <c r="H631" s="11" t="s">
        <v>9092</v>
      </c>
      <c r="I631" s="11" t="s">
        <v>9291</v>
      </c>
      <c r="J631" s="12" t="str">
        <f t="shared" si="38"/>
        <v>(${Variables:E2_7_1_4_kcat} * E2_7_1_4 * C00002 * C02336)/(${Variables:E2_7_1_4_km} + (E2_7_1_4 * C00002 * C02336))</v>
      </c>
      <c r="K631" s="11" t="str">
        <f t="shared" si="39"/>
        <v>r630: C00002 + C02336 -&gt; C00008 + C05345 | (${Variables:E2_7_1_4_kcat} * E2_7_1_4 * C00002 * C02336)/(${Variables:E2_7_1_4_km} + (E2_7_1_4 * C00002 * C02336))</v>
      </c>
    </row>
    <row r="632" spans="1:11" ht="45" customHeight="1" x14ac:dyDescent="0.25">
      <c r="A632" t="s">
        <v>2607</v>
      </c>
      <c r="B632" t="s">
        <v>2608</v>
      </c>
      <c r="C632" s="5" t="s">
        <v>9578</v>
      </c>
      <c r="D632">
        <f t="shared" si="36"/>
        <v>631</v>
      </c>
      <c r="E632" t="str">
        <f t="shared" si="37"/>
        <v>E1_2_1_3</v>
      </c>
      <c r="F632" s="11" t="s">
        <v>14201</v>
      </c>
      <c r="G632" s="11" t="s">
        <v>14804</v>
      </c>
      <c r="H632" s="11" t="s">
        <v>15407</v>
      </c>
      <c r="I632" s="11" t="s">
        <v>16028</v>
      </c>
      <c r="J632" s="12" t="str">
        <f t="shared" si="38"/>
        <v>(${Variables:E1_2_1_3_kcat} * E1_2_1_3 * C00001 * C00003 * C00071)/(${Variables:E1_2_1_3_km} + (E1_2_1_3 * C00001 * C00003 * C00071))</v>
      </c>
      <c r="K632" s="11" t="str">
        <f t="shared" si="39"/>
        <v>r631: C00001 + C00003 + C00071 -&gt; C00004 + C00060 + C00080 | (${Variables:E1_2_1_3_kcat} * E1_2_1_3 * C00001 * C00003 * C00071)/(${Variables:E1_2_1_3_km} + (E1_2_1_3 * C00001 * C00003 * C00071))</v>
      </c>
    </row>
    <row r="633" spans="1:11" ht="45" customHeight="1" x14ac:dyDescent="0.25">
      <c r="A633" t="s">
        <v>2607</v>
      </c>
      <c r="B633" t="s">
        <v>2608</v>
      </c>
      <c r="C633" s="5" t="s">
        <v>9578</v>
      </c>
      <c r="D633">
        <f t="shared" si="36"/>
        <v>632</v>
      </c>
      <c r="E633" t="str">
        <f t="shared" si="37"/>
        <v>E1_2_1_3</v>
      </c>
      <c r="F633" s="11" t="s">
        <v>14201</v>
      </c>
      <c r="G633" s="11" t="s">
        <v>14804</v>
      </c>
      <c r="H633" s="11" t="s">
        <v>15408</v>
      </c>
      <c r="I633" s="11" t="s">
        <v>16029</v>
      </c>
      <c r="J633" s="12" t="str">
        <f t="shared" si="38"/>
        <v>(${Variables:E1_2_1_3_kcat} * E1_2_1_3 * C00001 * C00003 * C00071)/(${Variables:E1_2_1_3_km} + (E1_2_1_3 * C00001 * C00003 * C00071))</v>
      </c>
      <c r="K633" s="11" t="str">
        <f t="shared" si="39"/>
        <v>r632: C00001 + C00003 + C00071 -&gt; C00004 + C00080 + C00162 | (${Variables:E1_2_1_3_kcat} * E1_2_1_3 * C00001 * C00003 * C00071)/(${Variables:E1_2_1_3_km} + (E1_2_1_3 * C00001 * C00003 * C00071))</v>
      </c>
    </row>
    <row r="634" spans="1:11" ht="45" customHeight="1" x14ac:dyDescent="0.25">
      <c r="A634" t="s">
        <v>2607</v>
      </c>
      <c r="B634" t="s">
        <v>2608</v>
      </c>
      <c r="C634" s="5" t="s">
        <v>9578</v>
      </c>
      <c r="D634">
        <f t="shared" si="36"/>
        <v>633</v>
      </c>
      <c r="E634" t="str">
        <f t="shared" si="37"/>
        <v>E1_2_1_3</v>
      </c>
      <c r="F634" s="11" t="s">
        <v>14202</v>
      </c>
      <c r="G634" s="11" t="s">
        <v>14805</v>
      </c>
      <c r="H634" s="11" t="s">
        <v>15409</v>
      </c>
      <c r="I634" s="11" t="s">
        <v>16030</v>
      </c>
      <c r="J634" s="12" t="str">
        <f t="shared" si="38"/>
        <v>(${Variables:E1_2_1_3_kcat} * E1_2_1_3 * C00001 * C00003 * C00084)/(${Variables:E1_2_1_3_km} + (E1_2_1_3 * C00001 * C00003 * C00084))</v>
      </c>
      <c r="K634" s="11" t="str">
        <f t="shared" si="39"/>
        <v>r633: C00001 + C00003 + C00084 -&gt; C00004 + C00033 + C00080 | (${Variables:E1_2_1_3_kcat} * E1_2_1_3 * C00001 * C00003 * C00084)/(${Variables:E1_2_1_3_km} + (E1_2_1_3 * C00001 * C00003 * C00084))</v>
      </c>
    </row>
    <row r="635" spans="1:11" ht="45" customHeight="1" x14ac:dyDescent="0.25">
      <c r="A635" t="s">
        <v>2607</v>
      </c>
      <c r="B635" t="s">
        <v>2608</v>
      </c>
      <c r="C635" s="5" t="s">
        <v>9578</v>
      </c>
      <c r="D635">
        <f t="shared" si="36"/>
        <v>634</v>
      </c>
      <c r="E635" t="str">
        <f t="shared" si="37"/>
        <v>E1_2_1_3</v>
      </c>
      <c r="F635" s="11" t="s">
        <v>14203</v>
      </c>
      <c r="G635" s="11" t="s">
        <v>14806</v>
      </c>
      <c r="H635" s="11" t="s">
        <v>15410</v>
      </c>
      <c r="I635" s="11" t="s">
        <v>16031</v>
      </c>
      <c r="J635" s="12" t="str">
        <f t="shared" si="38"/>
        <v>(${Variables:E1_2_1_3_kcat} * E1_2_1_3 * C00001 * C00003 * C05665)/(${Variables:E1_2_1_3_km} + (E1_2_1_3 * C00001 * C00003 * C05665))</v>
      </c>
      <c r="K635" s="11" t="str">
        <f t="shared" si="39"/>
        <v>r634: C00001 + C00003 + C05665 -&gt; C00004 + C00080 + C00099 | (${Variables:E1_2_1_3_kcat} * E1_2_1_3 * C00001 * C00003 * C05665)/(${Variables:E1_2_1_3_km} + (E1_2_1_3 * C00001 * C00003 * C05665))</v>
      </c>
    </row>
    <row r="636" spans="1:11" ht="45" customHeight="1" x14ac:dyDescent="0.25">
      <c r="A636" t="s">
        <v>2607</v>
      </c>
      <c r="B636" t="s">
        <v>2608</v>
      </c>
      <c r="C636" s="5" t="s">
        <v>9578</v>
      </c>
      <c r="D636">
        <f t="shared" si="36"/>
        <v>635</v>
      </c>
      <c r="E636" t="str">
        <f t="shared" si="37"/>
        <v>E1_2_1_3</v>
      </c>
      <c r="F636" s="11" t="s">
        <v>14204</v>
      </c>
      <c r="G636" s="11" t="s">
        <v>14807</v>
      </c>
      <c r="H636" s="11" t="s">
        <v>15411</v>
      </c>
      <c r="I636" s="11" t="s">
        <v>16032</v>
      </c>
      <c r="J636" s="12" t="str">
        <f t="shared" si="38"/>
        <v>(${Variables:E1_2_1_3_kcat} * E1_2_1_3 * C00001 * C00003 * C00577)/(${Variables:E1_2_1_3_km} + (E1_2_1_3 * C00001 * C00003 * C00577))</v>
      </c>
      <c r="K636" s="11" t="str">
        <f t="shared" si="39"/>
        <v>r635: C00001 + C00003 + C00577 -&gt; C00004 + C00080 + C00258 | (${Variables:E1_2_1_3_kcat} * E1_2_1_3 * C00001 * C00003 * C00577)/(${Variables:E1_2_1_3_km} + (E1_2_1_3 * C00001 * C00003 * C00577))</v>
      </c>
    </row>
    <row r="637" spans="1:11" ht="45" customHeight="1" x14ac:dyDescent="0.25">
      <c r="A637" t="s">
        <v>2607</v>
      </c>
      <c r="B637" t="s">
        <v>2608</v>
      </c>
      <c r="C637" s="5" t="s">
        <v>9578</v>
      </c>
      <c r="D637">
        <f t="shared" si="36"/>
        <v>636</v>
      </c>
      <c r="E637" t="str">
        <f t="shared" si="37"/>
        <v>E1_2_1_3</v>
      </c>
      <c r="F637" s="11" t="s">
        <v>14205</v>
      </c>
      <c r="G637" s="11" t="s">
        <v>14808</v>
      </c>
      <c r="H637" s="11" t="s">
        <v>15412</v>
      </c>
      <c r="I637" s="11" t="s">
        <v>16033</v>
      </c>
      <c r="J637" s="12" t="str">
        <f t="shared" si="38"/>
        <v>(${Variables:E1_2_1_3_kcat} * E1_2_1_3 * C00001 * C00003 * C00555)/(${Variables:E1_2_1_3_km} + (E1_2_1_3 * C00001 * C00003 * C00555))</v>
      </c>
      <c r="K637" s="11" t="str">
        <f t="shared" si="39"/>
        <v>r636: C00001 + C00003 + C00555 -&gt; C00004 + C00080 + C00334 | (${Variables:E1_2_1_3_kcat} * E1_2_1_3 * C00001 * C00003 * C00555)/(${Variables:E1_2_1_3_km} + (E1_2_1_3 * C00001 * C00003 * C00555))</v>
      </c>
    </row>
    <row r="638" spans="1:11" ht="45" customHeight="1" x14ac:dyDescent="0.25">
      <c r="A638" t="s">
        <v>2607</v>
      </c>
      <c r="B638" t="s">
        <v>2608</v>
      </c>
      <c r="C638" s="5" t="s">
        <v>9578</v>
      </c>
      <c r="D638">
        <f t="shared" si="36"/>
        <v>637</v>
      </c>
      <c r="E638" t="str">
        <f t="shared" si="37"/>
        <v>E1_2_1_3</v>
      </c>
      <c r="F638" s="11" t="s">
        <v>14206</v>
      </c>
      <c r="G638" s="11" t="s">
        <v>14809</v>
      </c>
      <c r="H638" s="11" t="s">
        <v>15413</v>
      </c>
      <c r="I638" s="11" t="s">
        <v>16034</v>
      </c>
      <c r="J638" s="12" t="str">
        <f t="shared" si="38"/>
        <v>(${Variables:E1_2_1_3_kcat} * E1_2_1_3 * C00001 * C00003 * C00637)/(${Variables:E1_2_1_3_km} + (E1_2_1_3 * C00001 * C00003 * C00637))</v>
      </c>
      <c r="K638" s="11" t="str">
        <f t="shared" si="39"/>
        <v>r637: C00001 + C00003 + C00637 -&gt; C00004 + C00080 + C00954 | (${Variables:E1_2_1_3_kcat} * E1_2_1_3 * C00001 * C00003 * C00637)/(${Variables:E1_2_1_3_km} + (E1_2_1_3 * C00001 * C00003 * C00637))</v>
      </c>
    </row>
    <row r="639" spans="1:11" ht="45" customHeight="1" x14ac:dyDescent="0.25">
      <c r="A639" t="s">
        <v>2607</v>
      </c>
      <c r="B639" t="s">
        <v>2608</v>
      </c>
      <c r="C639" s="5" t="s">
        <v>9578</v>
      </c>
      <c r="D639">
        <f t="shared" si="36"/>
        <v>638</v>
      </c>
      <c r="E639" t="str">
        <f t="shared" si="37"/>
        <v>E1_2_1_3</v>
      </c>
      <c r="F639" s="11" t="s">
        <v>14207</v>
      </c>
      <c r="G639" s="11" t="s">
        <v>14810</v>
      </c>
      <c r="H639" s="11" t="s">
        <v>15414</v>
      </c>
      <c r="I639" s="11" t="s">
        <v>16035</v>
      </c>
      <c r="J639" s="12" t="str">
        <f t="shared" si="38"/>
        <v>(${Variables:E1_2_1_3_kcat} * E1_2_1_3 * C00001 * C00003 * C05985)/(${Variables:E1_2_1_3_km} + (E1_2_1_3 * C00001 * C00003 * C05985))</v>
      </c>
      <c r="K639" s="11" t="str">
        <f t="shared" si="39"/>
        <v>r638: C00001 + C00003 + C05985 -&gt; C00004 + C00080 + C00804 | (${Variables:E1_2_1_3_kcat} * E1_2_1_3 * C00001 * C00003 * C05985)/(${Variables:E1_2_1_3_km} + (E1_2_1_3 * C00001 * C00003 * C05985))</v>
      </c>
    </row>
    <row r="640" spans="1:11" ht="45" customHeight="1" x14ac:dyDescent="0.25">
      <c r="A640" t="s">
        <v>2607</v>
      </c>
      <c r="B640" t="s">
        <v>2608</v>
      </c>
      <c r="C640" s="5" t="s">
        <v>9578</v>
      </c>
      <c r="D640">
        <f t="shared" si="36"/>
        <v>639</v>
      </c>
      <c r="E640" t="str">
        <f t="shared" si="37"/>
        <v>E1_2_1_3</v>
      </c>
      <c r="F640" s="11" t="s">
        <v>14208</v>
      </c>
      <c r="G640" s="11" t="s">
        <v>14811</v>
      </c>
      <c r="H640" s="11" t="s">
        <v>15415</v>
      </c>
      <c r="I640" s="11" t="s">
        <v>16036</v>
      </c>
      <c r="J640" s="12" t="str">
        <f t="shared" si="38"/>
        <v>(${Variables:E1_2_1_3_kcat} * E1_2_1_3 * C00001 * C00003 * C01149)/(${Variables:E1_2_1_3_km} + (E1_2_1_3 * C00001 * C00003 * C01149))</v>
      </c>
      <c r="K640" s="11" t="str">
        <f t="shared" si="39"/>
        <v>r639: C00001 + C00003 + C01149 -&gt; C00004 + C00080 + C01181 | (${Variables:E1_2_1_3_kcat} * E1_2_1_3 * C00001 * C00003 * C01149)/(${Variables:E1_2_1_3_km} + (E1_2_1_3 * C00001 * C00003 * C01149))</v>
      </c>
    </row>
    <row r="641" spans="1:11" ht="45" customHeight="1" x14ac:dyDescent="0.25">
      <c r="A641" t="s">
        <v>2607</v>
      </c>
      <c r="B641" t="s">
        <v>2608</v>
      </c>
      <c r="C641" s="5" t="s">
        <v>9578</v>
      </c>
      <c r="D641">
        <f t="shared" si="36"/>
        <v>640</v>
      </c>
      <c r="E641" t="str">
        <f t="shared" si="37"/>
        <v>E1_2_1_3</v>
      </c>
      <c r="F641" s="11" t="s">
        <v>14209</v>
      </c>
      <c r="G641" s="11" t="s">
        <v>14812</v>
      </c>
      <c r="H641" s="11" t="s">
        <v>15416</v>
      </c>
      <c r="I641" s="11" t="s">
        <v>16037</v>
      </c>
      <c r="J641" s="12" t="str">
        <f t="shared" si="38"/>
        <v>(${Variables:E1_2_1_3_kcat} * E1_2_1_3 * C00001 * C00003 * C06002)/(${Variables:E1_2_1_3_km} + (E1_2_1_3 * C00001 * C00003 * C06002))</v>
      </c>
      <c r="K641" s="11" t="str">
        <f t="shared" si="39"/>
        <v>r640: C00001 + C00003 + C06002 -&gt; C00004 + C00080 + C02170 | (${Variables:E1_2_1_3_kcat} * E1_2_1_3 * C00001 * C00003 * C06002)/(${Variables:E1_2_1_3_km} + (E1_2_1_3 * C00001 * C00003 * C06002))</v>
      </c>
    </row>
    <row r="642" spans="1:11" ht="45" customHeight="1" x14ac:dyDescent="0.25">
      <c r="A642" t="s">
        <v>2607</v>
      </c>
      <c r="B642" t="s">
        <v>2608</v>
      </c>
      <c r="C642" s="5" t="s">
        <v>9578</v>
      </c>
      <c r="D642">
        <f t="shared" si="36"/>
        <v>641</v>
      </c>
      <c r="E642" t="str">
        <f t="shared" si="37"/>
        <v>E1_2_1_3</v>
      </c>
      <c r="F642" s="11" t="s">
        <v>14210</v>
      </c>
      <c r="G642" s="11" t="s">
        <v>14813</v>
      </c>
      <c r="H642" s="11" t="s">
        <v>15417</v>
      </c>
      <c r="I642" s="11" t="s">
        <v>16038</v>
      </c>
      <c r="J642" s="12" t="str">
        <f t="shared" si="38"/>
        <v>(${Variables:E1_2_1_3_kcat} * E1_2_1_3 * C00001 * C00003 * C05130)/(${Variables:E1_2_1_3_km} + (E1_2_1_3 * C00001 * C00003 * C05130))</v>
      </c>
      <c r="K642" s="11" t="str">
        <f t="shared" si="39"/>
        <v>r641: C00001 + C00003 + C05130 -&gt; C00004 + C00080 + C02835 | (${Variables:E1_2_1_3_kcat} * E1_2_1_3 * C00001 * C00003 * C05130)/(${Variables:E1_2_1_3_km} + (E1_2_1_3 * C00001 * C00003 * C05130))</v>
      </c>
    </row>
    <row r="643" spans="1:11" ht="45" customHeight="1" x14ac:dyDescent="0.25">
      <c r="A643" t="s">
        <v>2607</v>
      </c>
      <c r="B643" t="s">
        <v>2608</v>
      </c>
      <c r="C643" s="5" t="s">
        <v>9578</v>
      </c>
      <c r="D643">
        <f t="shared" ref="D643:D706" si="40">ROW()-1</f>
        <v>642</v>
      </c>
      <c r="E643" t="str">
        <f t="shared" ref="E643:E706" si="41">_xlfn.CONCAT("E", C643)</f>
        <v>E1_2_1_3</v>
      </c>
      <c r="F643" s="11" t="s">
        <v>14211</v>
      </c>
      <c r="G643" s="11" t="s">
        <v>14814</v>
      </c>
      <c r="H643" s="11" t="s">
        <v>15418</v>
      </c>
      <c r="I643" s="11" t="s">
        <v>16039</v>
      </c>
      <c r="J643" s="12" t="str">
        <f t="shared" ref="J643:J706" si="42">CONCATENATE("(${Variables:",E643,"_kcat","} * ",E643," * ",G643,")","/(${Variables:",E643,"_km","} + (",E643," * ",G643,"))")</f>
        <v>(${Variables:E1_2_1_3_kcat} * E1_2_1_3 * C00001 * C00003 * C05445)/(${Variables:E1_2_1_3_km} + (E1_2_1_3 * C00001 * C00003 * C05445))</v>
      </c>
      <c r="K643" s="11" t="str">
        <f t="shared" ref="K643:K706" si="43">CONCATENATE("r",D643,": ",F643," -&gt; ",H643," | ",J643)</f>
        <v>r642: C00001 + C00003 + C05445 -&gt; C00004 + C00080 + C04554 | (${Variables:E1_2_1_3_kcat} * E1_2_1_3 * C00001 * C00003 * C05445)/(${Variables:E1_2_1_3_km} + (E1_2_1_3 * C00001 * C00003 * C05445))</v>
      </c>
    </row>
    <row r="644" spans="1:11" ht="45" customHeight="1" x14ac:dyDescent="0.25">
      <c r="A644" t="s">
        <v>2607</v>
      </c>
      <c r="B644" t="s">
        <v>2608</v>
      </c>
      <c r="C644" s="5" t="s">
        <v>9578</v>
      </c>
      <c r="D644">
        <f t="shared" si="40"/>
        <v>643</v>
      </c>
      <c r="E644" t="str">
        <f t="shared" si="41"/>
        <v>E1_2_1_3</v>
      </c>
      <c r="F644" s="11" t="s">
        <v>14212</v>
      </c>
      <c r="G644" s="11" t="s">
        <v>14815</v>
      </c>
      <c r="H644" s="11" t="s">
        <v>15419</v>
      </c>
      <c r="I644" s="11" t="s">
        <v>16040</v>
      </c>
      <c r="J644" s="12" t="str">
        <f t="shared" si="42"/>
        <v>(${Variables:E1_2_1_3_kcat} * E1_2_1_3 * C00001 * C00003 * C05634)/(${Variables:E1_2_1_3_km} + (E1_2_1_3 * C00001 * C00003 * C05634))</v>
      </c>
      <c r="K644" s="11" t="str">
        <f t="shared" si="43"/>
        <v>r643: C00001 + C00003 + C05634 -&gt; C00004 + C00080 + C05635 | (${Variables:E1_2_1_3_kcat} * E1_2_1_3 * C00001 * C00003 * C05634)/(${Variables:E1_2_1_3_km} + (E1_2_1_3 * C00001 * C00003 * C05634))</v>
      </c>
    </row>
    <row r="645" spans="1:11" ht="45" customHeight="1" x14ac:dyDescent="0.25">
      <c r="A645" t="s">
        <v>2607</v>
      </c>
      <c r="B645" t="s">
        <v>2608</v>
      </c>
      <c r="C645" s="5" t="s">
        <v>9578</v>
      </c>
      <c r="D645">
        <f t="shared" si="40"/>
        <v>644</v>
      </c>
      <c r="E645" t="str">
        <f t="shared" si="41"/>
        <v>E1_2_1_3</v>
      </c>
      <c r="F645" s="11" t="s">
        <v>14213</v>
      </c>
      <c r="G645" s="11" t="s">
        <v>14816</v>
      </c>
      <c r="H645" s="11" t="s">
        <v>15420</v>
      </c>
      <c r="I645" s="11" t="s">
        <v>16041</v>
      </c>
      <c r="J645" s="12" t="str">
        <f t="shared" si="42"/>
        <v>(${Variables:E1_2_1_3_kcat} * E1_2_1_3 * C00001 * C00003 * C05936)/(${Variables:E1_2_1_3_km} + (E1_2_1_3 * C00001 * C00003 * C05936))</v>
      </c>
      <c r="K645" s="11" t="str">
        <f t="shared" si="43"/>
        <v>r644: C00001 + C00003 + C05936 -&gt; C00004 + C00080 + C02946 | (${Variables:E1_2_1_3_kcat} * E1_2_1_3 * C00001 * C00003 * C05936)/(${Variables:E1_2_1_3_km} + (E1_2_1_3 * C00001 * C00003 * C05936))</v>
      </c>
    </row>
    <row r="646" spans="1:11" ht="45" customHeight="1" x14ac:dyDescent="0.25">
      <c r="A646" t="s">
        <v>2607</v>
      </c>
      <c r="B646" t="s">
        <v>2608</v>
      </c>
      <c r="C646" s="5" t="s">
        <v>9578</v>
      </c>
      <c r="D646">
        <f t="shared" si="40"/>
        <v>645</v>
      </c>
      <c r="E646" t="str">
        <f t="shared" si="41"/>
        <v>E1_2_1_3</v>
      </c>
      <c r="F646" s="11" t="s">
        <v>14214</v>
      </c>
      <c r="G646" s="11" t="s">
        <v>14817</v>
      </c>
      <c r="H646" s="11" t="s">
        <v>15421</v>
      </c>
      <c r="I646" s="11" t="s">
        <v>16042</v>
      </c>
      <c r="J646" s="12" t="str">
        <f t="shared" si="42"/>
        <v>(${Variables:E1_2_1_3_kcat} * E1_2_1_3 * C00001 * C00003 * C06754)/(${Variables:E1_2_1_3_km} + (E1_2_1_3 * C00001 * C00003 * C06754))</v>
      </c>
      <c r="K646" s="11" t="str">
        <f t="shared" si="43"/>
        <v>r645: C00001 + C00003 + C06754 -&gt; C00004 + C00080 + C06755 | (${Variables:E1_2_1_3_kcat} * E1_2_1_3 * C00001 * C00003 * C06754)/(${Variables:E1_2_1_3_km} + (E1_2_1_3 * C00001 * C00003 * C06754))</v>
      </c>
    </row>
    <row r="647" spans="1:11" ht="45" customHeight="1" x14ac:dyDescent="0.25">
      <c r="A647" t="s">
        <v>2607</v>
      </c>
      <c r="B647" t="s">
        <v>2608</v>
      </c>
      <c r="C647" s="5" t="s">
        <v>9578</v>
      </c>
      <c r="D647">
        <f t="shared" si="40"/>
        <v>646</v>
      </c>
      <c r="E647" t="str">
        <f t="shared" si="41"/>
        <v>E1_2_1_3</v>
      </c>
      <c r="F647" s="11" t="s">
        <v>14215</v>
      </c>
      <c r="G647" s="11" t="s">
        <v>14818</v>
      </c>
      <c r="H647" s="11" t="s">
        <v>15422</v>
      </c>
      <c r="I647" s="11" t="s">
        <v>16043</v>
      </c>
      <c r="J647" s="12" t="str">
        <f t="shared" si="42"/>
        <v>(${Variables:E1_2_1_3_kcat} * E1_2_1_3 * C00001 * C00003 * C02576)/(${Variables:E1_2_1_3_km} + (E1_2_1_3 * C00001 * C00003 * C02576))</v>
      </c>
      <c r="K647" s="11" t="str">
        <f t="shared" si="43"/>
        <v>r646: C00001 + C00003 + C02576 -&gt; C00004 + C00080 + C11924 | (${Variables:E1_2_1_3_kcat} * E1_2_1_3 * C00001 * C00003 * C02576)/(${Variables:E1_2_1_3_km} + (E1_2_1_3 * C00001 * C00003 * C02576))</v>
      </c>
    </row>
    <row r="648" spans="1:11" ht="45" customHeight="1" x14ac:dyDescent="0.25">
      <c r="A648" t="s">
        <v>2607</v>
      </c>
      <c r="B648" t="s">
        <v>2608</v>
      </c>
      <c r="C648" s="5" t="s">
        <v>9578</v>
      </c>
      <c r="D648">
        <f t="shared" si="40"/>
        <v>647</v>
      </c>
      <c r="E648" t="str">
        <f t="shared" si="41"/>
        <v>E1_2_1_3</v>
      </c>
      <c r="F648" s="11" t="s">
        <v>14216</v>
      </c>
      <c r="G648" s="11" t="s">
        <v>14819</v>
      </c>
      <c r="H648" s="11" t="s">
        <v>15423</v>
      </c>
      <c r="I648" s="11" t="s">
        <v>16044</v>
      </c>
      <c r="J648" s="12" t="str">
        <f t="shared" si="42"/>
        <v>(${Variables:E1_2_1_3_kcat} * E1_2_1_3 * C00001 * C00003 * C03461)/(${Variables:E1_2_1_3_km} + (E1_2_1_3 * C00001 * C00003 * C03461))</v>
      </c>
      <c r="K648" s="11" t="str">
        <f t="shared" si="43"/>
        <v>r647: C00001 + C00003 + C03461 -&gt; C00004 + C00080 + C16502 | (${Variables:E1_2_1_3_kcat} * E1_2_1_3 * C00001 * C00003 * C03461)/(${Variables:E1_2_1_3_km} + (E1_2_1_3 * C00001 * C00003 * C03461))</v>
      </c>
    </row>
    <row r="649" spans="1:11" ht="45" customHeight="1" x14ac:dyDescent="0.25">
      <c r="A649" t="s">
        <v>2607</v>
      </c>
      <c r="B649" t="s">
        <v>2608</v>
      </c>
      <c r="C649" s="5" t="s">
        <v>9578</v>
      </c>
      <c r="D649">
        <f t="shared" si="40"/>
        <v>648</v>
      </c>
      <c r="E649" t="str">
        <f t="shared" si="41"/>
        <v>E1_2_1_3</v>
      </c>
      <c r="F649" s="11" t="s">
        <v>14217</v>
      </c>
      <c r="G649" s="11" t="s">
        <v>14820</v>
      </c>
      <c r="H649" s="11" t="s">
        <v>15424</v>
      </c>
      <c r="I649" s="11" t="s">
        <v>16045</v>
      </c>
      <c r="J649" s="12" t="str">
        <f t="shared" si="42"/>
        <v>(${Variables:E1_2_1_3_kcat} * E1_2_1_3 * C00001 * C00006 * C00433)/(${Variables:E1_2_1_3_km} + (E1_2_1_3 * C00001 * C00006 * C00433))</v>
      </c>
      <c r="K649" s="11" t="str">
        <f t="shared" si="43"/>
        <v>r648: C00001 + C00006 + C00433 -&gt; C00005 + C00026 + C00080 | (${Variables:E1_2_1_3_kcat} * E1_2_1_3 * C00001 * C00006 * C00433)/(${Variables:E1_2_1_3_km} + (E1_2_1_3 * C00001 * C00006 * C00433))</v>
      </c>
    </row>
    <row r="650" spans="1:11" ht="45" customHeight="1" x14ac:dyDescent="0.25">
      <c r="A650" t="s">
        <v>2607</v>
      </c>
      <c r="B650" t="s">
        <v>2608</v>
      </c>
      <c r="C650" s="5" t="s">
        <v>9578</v>
      </c>
      <c r="D650">
        <f t="shared" si="40"/>
        <v>649</v>
      </c>
      <c r="E650" t="str">
        <f t="shared" si="41"/>
        <v>E1_2_1_3</v>
      </c>
      <c r="F650" s="11" t="s">
        <v>14218</v>
      </c>
      <c r="G650" s="11" t="s">
        <v>14821</v>
      </c>
      <c r="H650" s="11" t="s">
        <v>15425</v>
      </c>
      <c r="I650" s="11" t="s">
        <v>16046</v>
      </c>
      <c r="J650" s="12" t="str">
        <f t="shared" si="42"/>
        <v>(${Variables:E1_2_1_3_kcat} * E1_2_1_3 * C00001 * C00006 * C00555)/(${Variables:E1_2_1_3_km} + (E1_2_1_3 * C00001 * C00006 * C00555))</v>
      </c>
      <c r="K650" s="11" t="str">
        <f t="shared" si="43"/>
        <v>r649: C00001 + C00006 + C00555 -&gt; C00005 + C00080 + C00334 | (${Variables:E1_2_1_3_kcat} * E1_2_1_3 * C00001 * C00006 * C00555)/(${Variables:E1_2_1_3_km} + (E1_2_1_3 * C00001 * C00006 * C00555))</v>
      </c>
    </row>
    <row r="651" spans="1:11" ht="45" customHeight="1" x14ac:dyDescent="0.25">
      <c r="A651" t="s">
        <v>2607</v>
      </c>
      <c r="B651" t="s">
        <v>2608</v>
      </c>
      <c r="C651" s="5" t="s">
        <v>9578</v>
      </c>
      <c r="D651">
        <f t="shared" si="40"/>
        <v>650</v>
      </c>
      <c r="E651" t="str">
        <f t="shared" si="41"/>
        <v>E1_2_1_3</v>
      </c>
      <c r="F651" s="11" t="s">
        <v>14219</v>
      </c>
      <c r="G651" s="11" t="s">
        <v>14822</v>
      </c>
      <c r="H651" s="11" t="s">
        <v>15426</v>
      </c>
      <c r="I651" s="11" t="s">
        <v>16047</v>
      </c>
      <c r="J651" s="12" t="str">
        <f t="shared" si="42"/>
        <v>(${Variables:E1_2_1_3_kcat} * E1_2_1_3 * C00001 * C00003 * C02670)/(${Variables:E1_2_1_3_km} + (E1_2_1_3 * C00001 * C00003 * C02670))</v>
      </c>
      <c r="K651" s="11" t="str">
        <f t="shared" si="43"/>
        <v>r650: C00001 + C00003 + C02670 -&gt; C00004 + C00080 + C00818 | (${Variables:E1_2_1_3_kcat} * E1_2_1_3 * C00001 * C00003 * C02670)/(${Variables:E1_2_1_3_km} + (E1_2_1_3 * C00001 * C00003 * C02670))</v>
      </c>
    </row>
    <row r="652" spans="1:11" ht="45" customHeight="1" x14ac:dyDescent="0.25">
      <c r="A652" t="s">
        <v>2607</v>
      </c>
      <c r="B652" t="s">
        <v>2608</v>
      </c>
      <c r="C652" s="5" t="s">
        <v>9578</v>
      </c>
      <c r="D652">
        <f t="shared" si="40"/>
        <v>651</v>
      </c>
      <c r="E652" t="str">
        <f t="shared" si="41"/>
        <v>E1_2_1_3</v>
      </c>
      <c r="F652" s="11" t="s">
        <v>14220</v>
      </c>
      <c r="G652" s="11" t="s">
        <v>14823</v>
      </c>
      <c r="H652" s="11" t="s">
        <v>15427</v>
      </c>
      <c r="I652" s="11" t="s">
        <v>16048</v>
      </c>
      <c r="J652" s="12" t="str">
        <f t="shared" si="42"/>
        <v>(${Variables:E1_2_1_3_kcat} * E1_2_1_3 * C00001 * C06613)/(${Variables:E1_2_1_3_km} + (E1_2_1_3 * C00001 * C06613))</v>
      </c>
      <c r="K652" s="11" t="str">
        <f t="shared" si="43"/>
        <v>r651: C00001 + C06613 -&gt; C00080 + C06614 | (${Variables:E1_2_1_3_kcat} * E1_2_1_3 * C00001 * C06613)/(${Variables:E1_2_1_3_km} + (E1_2_1_3 * C00001 * C06613))</v>
      </c>
    </row>
    <row r="653" spans="1:11" ht="45" customHeight="1" x14ac:dyDescent="0.25">
      <c r="A653" t="s">
        <v>2607</v>
      </c>
      <c r="B653" t="s">
        <v>2608</v>
      </c>
      <c r="C653" s="5" t="s">
        <v>9578</v>
      </c>
      <c r="D653">
        <f t="shared" si="40"/>
        <v>652</v>
      </c>
      <c r="E653" t="str">
        <f t="shared" si="41"/>
        <v>E1_2_1_3</v>
      </c>
      <c r="F653" s="11" t="s">
        <v>14221</v>
      </c>
      <c r="G653" s="11" t="s">
        <v>14824</v>
      </c>
      <c r="H653" s="11" t="s">
        <v>15428</v>
      </c>
      <c r="I653" s="11" t="s">
        <v>16049</v>
      </c>
      <c r="J653" s="12" t="str">
        <f t="shared" si="42"/>
        <v>(${Variables:E1_2_1_3_kcat} * E1_2_1_3 * C00001 * C16348)/(${Variables:E1_2_1_3_km} + (E1_2_1_3 * C00001 * C16348))</v>
      </c>
      <c r="K653" s="11" t="str">
        <f t="shared" si="43"/>
        <v>r652: C00001 + C16348 -&gt; C00080 + C06615 | (${Variables:E1_2_1_3_kcat} * E1_2_1_3 * C00001 * C16348)/(${Variables:E1_2_1_3_km} + (E1_2_1_3 * C00001 * C16348))</v>
      </c>
    </row>
    <row r="654" spans="1:11" ht="45" customHeight="1" x14ac:dyDescent="0.25">
      <c r="A654" t="s">
        <v>2614</v>
      </c>
      <c r="B654" t="s">
        <v>2615</v>
      </c>
      <c r="C654" s="5" t="s">
        <v>9579</v>
      </c>
      <c r="D654">
        <f t="shared" si="40"/>
        <v>653</v>
      </c>
      <c r="E654" t="str">
        <f t="shared" si="41"/>
        <v>E6_2_1_30</v>
      </c>
      <c r="F654" s="11" t="s">
        <v>14222</v>
      </c>
      <c r="G654" s="11" t="s">
        <v>14825</v>
      </c>
      <c r="H654" s="11" t="s">
        <v>15429</v>
      </c>
      <c r="I654" s="11" t="s">
        <v>16050</v>
      </c>
      <c r="J654" s="12" t="str">
        <f t="shared" si="42"/>
        <v>(${Variables:E6_2_1_30_kcat} * E6_2_1_30 * C00002 * C00010 * C07086)/(${Variables:E6_2_1_30_km} + (E6_2_1_30 * C00002 * C00010 * C07086))</v>
      </c>
      <c r="K654" s="11" t="str">
        <f t="shared" si="43"/>
        <v>r653: C00002 + C00010 + C07086 -&gt; C00013 + C00020 + C00582 | (${Variables:E6_2_1_30_kcat} * E6_2_1_30 * C00002 * C00010 * C07086)/(${Variables:E6_2_1_30_km} + (E6_2_1_30 * C00002 * C00010 * C07086))</v>
      </c>
    </row>
    <row r="655" spans="1:11" ht="45" customHeight="1" x14ac:dyDescent="0.25">
      <c r="A655" t="s">
        <v>2628</v>
      </c>
      <c r="B655" t="s">
        <v>2629</v>
      </c>
      <c r="C655" s="5" t="s">
        <v>9580</v>
      </c>
      <c r="D655">
        <f t="shared" si="40"/>
        <v>654</v>
      </c>
      <c r="E655" t="str">
        <f t="shared" si="41"/>
        <v>E1_13_11_15</v>
      </c>
      <c r="F655" s="11" t="s">
        <v>14223</v>
      </c>
      <c r="G655" s="11" t="s">
        <v>14826</v>
      </c>
      <c r="H655" s="11" t="s">
        <v>8528</v>
      </c>
      <c r="I655" s="11" t="s">
        <v>8528</v>
      </c>
      <c r="J655" s="12" t="str">
        <f t="shared" si="42"/>
        <v>(${Variables:E1_13_11_15_kcat} * E1_13_11_15 * C00007 * C01161)/(${Variables:E1_13_11_15_km} + (E1_13_11_15 * C00007 * C01161))</v>
      </c>
      <c r="K655" s="11" t="str">
        <f t="shared" si="43"/>
        <v>r654: C00007 + C01161 -&gt; C04642 | (${Variables:E1_13_11_15_kcat} * E1_13_11_15 * C00007 * C01161)/(${Variables:E1_13_11_15_km} + (E1_13_11_15 * C00007 * C01161))</v>
      </c>
    </row>
    <row r="656" spans="1:11" ht="45" customHeight="1" x14ac:dyDescent="0.25">
      <c r="A656" t="s">
        <v>2634</v>
      </c>
      <c r="B656" t="s">
        <v>2635</v>
      </c>
      <c r="C656" s="5" t="s">
        <v>9581</v>
      </c>
      <c r="D656">
        <f t="shared" si="40"/>
        <v>655</v>
      </c>
      <c r="E656" t="str">
        <f t="shared" si="41"/>
        <v>E1_14_14_9</v>
      </c>
      <c r="F656" s="11" t="s">
        <v>14224</v>
      </c>
      <c r="G656" s="11" t="s">
        <v>14827</v>
      </c>
      <c r="H656" s="11" t="s">
        <v>15430</v>
      </c>
      <c r="I656" s="11" t="s">
        <v>16051</v>
      </c>
      <c r="J656" s="12" t="str">
        <f t="shared" si="42"/>
        <v>(${Variables:E1_14_14_9_kcat} * E1_14_14_9 * C00004 * C00007 * C00080 * C00642)/(${Variables:E1_14_14_9_km} + (E1_14_14_9 * C00004 * C00007 * C00080 * C00642))</v>
      </c>
      <c r="K656" s="11" t="str">
        <f t="shared" si="43"/>
        <v>r655: C00004 + C00007 + C00080 + C00642 -&gt; C00001 + C00003 + C01161 | (${Variables:E1_14_14_9_kcat} * E1_14_14_9 * C00004 * C00007 * C00080 * C00642)/(${Variables:E1_14_14_9_km} + (E1_14_14_9 * C00004 * C00007 * C00080 * C00642))</v>
      </c>
    </row>
    <row r="657" spans="1:11" ht="45" customHeight="1" x14ac:dyDescent="0.25">
      <c r="A657" t="s">
        <v>2634</v>
      </c>
      <c r="B657" t="s">
        <v>2635</v>
      </c>
      <c r="C657" s="5" t="s">
        <v>9581</v>
      </c>
      <c r="D657">
        <f t="shared" si="40"/>
        <v>656</v>
      </c>
      <c r="E657" t="str">
        <f t="shared" si="41"/>
        <v>E1_14_14_9</v>
      </c>
      <c r="F657" s="11" t="s">
        <v>14225</v>
      </c>
      <c r="G657" s="11" t="s">
        <v>14828</v>
      </c>
      <c r="H657" s="11" t="s">
        <v>15430</v>
      </c>
      <c r="I657" s="11" t="s">
        <v>16051</v>
      </c>
      <c r="J657" s="12" t="str">
        <f t="shared" si="42"/>
        <v>(${Variables:E1_14_14_9_kcat} * E1_14_14_9 * C00004 * C00007 * C00080 * C05593)/(${Variables:E1_14_14_9_km} + (E1_14_14_9 * C00004 * C00007 * C00080 * C05593))</v>
      </c>
      <c r="K657" s="11" t="str">
        <f t="shared" si="43"/>
        <v>r656: C00004 + C00007 + C00080 + C05593 -&gt; C00001 + C00003 + C01161 | (${Variables:E1_14_14_9_kcat} * E1_14_14_9 * C00004 * C00007 * C00080 * C05593)/(${Variables:E1_14_14_9_km} + (E1_14_14_9 * C00004 * C00007 * C00080 * C05593))</v>
      </c>
    </row>
    <row r="658" spans="1:11" ht="45" customHeight="1" x14ac:dyDescent="0.25">
      <c r="A658" t="s">
        <v>2637</v>
      </c>
      <c r="B658" t="s">
        <v>2638</v>
      </c>
      <c r="C658" s="5" t="s">
        <v>9582</v>
      </c>
      <c r="D658">
        <f t="shared" si="40"/>
        <v>657</v>
      </c>
      <c r="E658" t="str">
        <f t="shared" si="41"/>
        <v>E1_2_1_60</v>
      </c>
      <c r="F658" s="11" t="s">
        <v>14226</v>
      </c>
      <c r="G658" s="11" t="s">
        <v>14829</v>
      </c>
      <c r="H658" s="11" t="s">
        <v>15431</v>
      </c>
      <c r="I658" s="11" t="s">
        <v>16052</v>
      </c>
      <c r="J658" s="12" t="str">
        <f t="shared" si="42"/>
        <v>(${Variables:E1_2_1_60_kcat} * E1_2_1_60 * C00001 * C00003 * C04642)/(${Variables:E1_2_1_60_km} + (E1_2_1_60 * C00001 * C00003 * C04642))</v>
      </c>
      <c r="K658" s="11" t="str">
        <f t="shared" si="43"/>
        <v>r657: C00001 + C00003 + C04642 -&gt; C00004 + C00080 + C04186 | (${Variables:E1_2_1_60_kcat} * E1_2_1_60 * C00001 * C00003 * C04642)/(${Variables:E1_2_1_60_km} + (E1_2_1_60 * C00001 * C00003 * C04642))</v>
      </c>
    </row>
    <row r="659" spans="1:11" ht="45" customHeight="1" x14ac:dyDescent="0.25">
      <c r="A659" t="s">
        <v>2640</v>
      </c>
      <c r="B659" t="s">
        <v>2641</v>
      </c>
      <c r="C659" s="5" t="s">
        <v>9583</v>
      </c>
      <c r="D659">
        <f t="shared" si="40"/>
        <v>658</v>
      </c>
      <c r="E659" t="str">
        <f t="shared" si="41"/>
        <v>E4_1_1_68</v>
      </c>
      <c r="F659" s="11" t="s">
        <v>8255</v>
      </c>
      <c r="G659" s="11" t="s">
        <v>8255</v>
      </c>
      <c r="H659" s="11" t="s">
        <v>15432</v>
      </c>
      <c r="I659" s="11" t="s">
        <v>16053</v>
      </c>
      <c r="J659" s="12" t="str">
        <f t="shared" si="42"/>
        <v>(${Variables:E4_1_1_68_kcat} * E4_1_1_68 * C04052)/(${Variables:E4_1_1_68_km} + (E4_1_1_68 * C04052))</v>
      </c>
      <c r="K659" s="11" t="str">
        <f t="shared" si="43"/>
        <v>r658: C04052 -&gt; C00011 + C03063 | (${Variables:E4_1_1_68_kcat} * E4_1_1_68 * C04052)/(${Variables:E4_1_1_68_km} + (E4_1_1_68 * C04052))</v>
      </c>
    </row>
    <row r="660" spans="1:11" ht="45" customHeight="1" x14ac:dyDescent="0.25">
      <c r="A660" t="s">
        <v>2640</v>
      </c>
      <c r="B660" t="s">
        <v>2641</v>
      </c>
      <c r="C660" s="5" t="s">
        <v>9583</v>
      </c>
      <c r="D660">
        <f t="shared" si="40"/>
        <v>659</v>
      </c>
      <c r="E660" t="str">
        <f t="shared" si="41"/>
        <v>E4_1_1_68</v>
      </c>
      <c r="F660" s="11" t="s">
        <v>8255</v>
      </c>
      <c r="G660" s="11" t="s">
        <v>8255</v>
      </c>
      <c r="H660" s="11" t="s">
        <v>15433</v>
      </c>
      <c r="I660" s="11" t="s">
        <v>16054</v>
      </c>
      <c r="J660" s="12" t="str">
        <f t="shared" si="42"/>
        <v>(${Variables:E4_1_1_68_kcat} * E4_1_1_68 * C04052)/(${Variables:E4_1_1_68_km} + (E4_1_1_68 * C04052))</v>
      </c>
      <c r="K660" s="11" t="str">
        <f t="shared" si="43"/>
        <v>r659: C04052 -&gt; C00011 + C05600 | (${Variables:E4_1_1_68_kcat} * E4_1_1_68 * C04052)/(${Variables:E4_1_1_68_km} + (E4_1_1_68 * C04052))</v>
      </c>
    </row>
    <row r="661" spans="1:11" ht="45" customHeight="1" x14ac:dyDescent="0.25">
      <c r="A661" t="s">
        <v>2643</v>
      </c>
      <c r="B661" t="s">
        <v>2644</v>
      </c>
      <c r="C661" s="5" t="s">
        <v>9584</v>
      </c>
      <c r="D661">
        <f t="shared" si="40"/>
        <v>660</v>
      </c>
      <c r="E661" t="str">
        <f t="shared" si="41"/>
        <v>E4_3_3_7</v>
      </c>
      <c r="F661" s="11" t="s">
        <v>14227</v>
      </c>
      <c r="G661" s="11" t="s">
        <v>14830</v>
      </c>
      <c r="H661" s="11" t="s">
        <v>15434</v>
      </c>
      <c r="I661" s="11" t="s">
        <v>16055</v>
      </c>
      <c r="J661" s="12" t="str">
        <f t="shared" si="42"/>
        <v>(${Variables:E4_3_3_7_kcat} * E4_3_3_7 * C00022 * C00441)/(${Variables:E4_3_3_7_km} + (E4_3_3_7 * C00022 * C00441))</v>
      </c>
      <c r="K661" s="11" t="str">
        <f t="shared" si="43"/>
        <v>r660: C00022 + C00441 -&gt; C00001 + C20258 | (${Variables:E4_3_3_7_kcat} * E4_3_3_7 * C00022 * C00441)/(${Variables:E4_3_3_7_km} + (E4_3_3_7 * C00022 * C00441))</v>
      </c>
    </row>
    <row r="662" spans="1:11" ht="45" customHeight="1" x14ac:dyDescent="0.25">
      <c r="A662" t="s">
        <v>2647</v>
      </c>
      <c r="B662" t="s">
        <v>2648</v>
      </c>
      <c r="C662" s="5" t="s">
        <v>9562</v>
      </c>
      <c r="D662">
        <f t="shared" si="40"/>
        <v>661</v>
      </c>
      <c r="E662" t="str">
        <f t="shared" si="41"/>
        <v>E2_1_1_107</v>
      </c>
      <c r="F662" s="11" t="s">
        <v>8725</v>
      </c>
      <c r="G662" s="11" t="s">
        <v>8891</v>
      </c>
      <c r="H662" s="11" t="s">
        <v>9084</v>
      </c>
      <c r="I662" s="11" t="s">
        <v>9283</v>
      </c>
      <c r="J662" s="12" t="str">
        <f t="shared" si="42"/>
        <v>(${Variables:E2_1_1_107_kcat} * E2_1_1_107 * C00019 * C01051)/(${Variables:E2_1_1_107_km} + (E2_1_1_107 * C00019 * C01051))</v>
      </c>
      <c r="K662" s="11" t="str">
        <f t="shared" si="43"/>
        <v>r661: C00019 + C01051 -&gt; C00021 + C02463 | (${Variables:E2_1_1_107_kcat} * E2_1_1_107 * C00019 * C01051)/(${Variables:E2_1_1_107_km} + (E2_1_1_107 * C00019 * C01051))</v>
      </c>
    </row>
    <row r="663" spans="1:11" ht="45" customHeight="1" x14ac:dyDescent="0.25">
      <c r="A663" t="s">
        <v>2647</v>
      </c>
      <c r="B663" t="s">
        <v>2648</v>
      </c>
      <c r="C663" s="5" t="s">
        <v>9562</v>
      </c>
      <c r="D663">
        <f t="shared" si="40"/>
        <v>662</v>
      </c>
      <c r="E663" t="str">
        <f t="shared" si="41"/>
        <v>E2_1_1_107</v>
      </c>
      <c r="F663" s="11" t="s">
        <v>8725</v>
      </c>
      <c r="G663" s="11" t="s">
        <v>8891</v>
      </c>
      <c r="H663" s="11" t="s">
        <v>9085</v>
      </c>
      <c r="I663" s="11" t="s">
        <v>9284</v>
      </c>
      <c r="J663" s="12" t="str">
        <f t="shared" si="42"/>
        <v>(${Variables:E2_1_1_107_kcat} * E2_1_1_107 * C00019 * C01051)/(${Variables:E2_1_1_107_km} + (E2_1_1_107 * C00019 * C01051))</v>
      </c>
      <c r="K663" s="11" t="str">
        <f t="shared" si="43"/>
        <v>r662: C00019 + C01051 -&gt; C00021 + C15527 | (${Variables:E2_1_1_107_kcat} * E2_1_1_107 * C00019 * C01051)/(${Variables:E2_1_1_107_km} + (E2_1_1_107 * C00019 * C01051))</v>
      </c>
    </row>
    <row r="664" spans="1:11" ht="45" customHeight="1" x14ac:dyDescent="0.25">
      <c r="A664" t="s">
        <v>2647</v>
      </c>
      <c r="B664" t="s">
        <v>2648</v>
      </c>
      <c r="C664" s="5" t="s">
        <v>9562</v>
      </c>
      <c r="D664">
        <f t="shared" si="40"/>
        <v>663</v>
      </c>
      <c r="E664" t="str">
        <f t="shared" si="41"/>
        <v>E2_1_1_107</v>
      </c>
      <c r="F664" s="11" t="s">
        <v>8726</v>
      </c>
      <c r="G664" s="11" t="s">
        <v>8892</v>
      </c>
      <c r="H664" s="11" t="s">
        <v>9084</v>
      </c>
      <c r="I664" s="11" t="s">
        <v>9283</v>
      </c>
      <c r="J664" s="12" t="str">
        <f t="shared" si="42"/>
        <v>(${Variables:E2_1_1_107_kcat} * E2_1_1_107 * C00019 * C15527)/(${Variables:E2_1_1_107_km} + (E2_1_1_107 * C00019 * C15527))</v>
      </c>
      <c r="K664" s="11" t="str">
        <f t="shared" si="43"/>
        <v>r663: C00019 + C15527 -&gt; C00021 + C02463 | (${Variables:E2_1_1_107_kcat} * E2_1_1_107 * C00019 * C15527)/(${Variables:E2_1_1_107_km} + (E2_1_1_107 * C00019 * C15527))</v>
      </c>
    </row>
    <row r="665" spans="1:11" ht="45" customHeight="1" x14ac:dyDescent="0.25">
      <c r="A665" t="s">
        <v>2647</v>
      </c>
      <c r="B665" t="s">
        <v>2648</v>
      </c>
      <c r="C665" s="5" t="s">
        <v>9562</v>
      </c>
      <c r="D665">
        <f t="shared" si="40"/>
        <v>664</v>
      </c>
      <c r="E665" t="str">
        <f t="shared" si="41"/>
        <v>E2_1_1_107</v>
      </c>
      <c r="F665" s="11" t="s">
        <v>8727</v>
      </c>
      <c r="G665" s="11" t="s">
        <v>8893</v>
      </c>
      <c r="H665" s="11" t="s">
        <v>9086</v>
      </c>
      <c r="I665" s="11" t="s">
        <v>9285</v>
      </c>
      <c r="J665" s="12" t="str">
        <f t="shared" si="42"/>
        <v>(${Variables:E2_1_1_107_kcat} * E2_1_1_107 * C00019 * C02469)/(${Variables:E2_1_1_107_km} + (E2_1_1_107 * C00019 * C02469))</v>
      </c>
      <c r="K665" s="11" t="str">
        <f t="shared" si="43"/>
        <v>r664: C00019 + C02469 -&gt; C00021 + C05778 | (${Variables:E2_1_1_107_kcat} * E2_1_1_107 * C00019 * C02469)/(${Variables:E2_1_1_107_km} + (E2_1_1_107 * C00019 * C02469))</v>
      </c>
    </row>
    <row r="666" spans="1:11" ht="45" customHeight="1" x14ac:dyDescent="0.25">
      <c r="A666" t="s">
        <v>2652</v>
      </c>
      <c r="B666" t="s">
        <v>2653</v>
      </c>
      <c r="C666" s="5" t="s">
        <v>9585</v>
      </c>
      <c r="D666">
        <f t="shared" si="40"/>
        <v>665</v>
      </c>
      <c r="E666" t="str">
        <f t="shared" si="41"/>
        <v>E4_99_1_3</v>
      </c>
      <c r="F666" s="11" t="s">
        <v>14228</v>
      </c>
      <c r="G666" s="11" t="s">
        <v>14831</v>
      </c>
      <c r="H666" s="11" t="s">
        <v>15435</v>
      </c>
      <c r="I666" s="11" t="s">
        <v>16056</v>
      </c>
      <c r="J666" s="12" t="str">
        <f t="shared" si="42"/>
        <v>(${Variables:E4_99_1_3_kcat} * E4_99_1_3 * C00175 * C05778)/(${Variables:E4_99_1_3_km} + (E4_99_1_3 * C00175 * C05778))</v>
      </c>
      <c r="K666" s="11" t="str">
        <f t="shared" si="43"/>
        <v>r665: C00175 + C05778 -&gt; C00080 + C11538 | (${Variables:E4_99_1_3_kcat} * E4_99_1_3 * C00175 * C05778)/(${Variables:E4_99_1_3_km} + (E4_99_1_3 * C00175 * C05778))</v>
      </c>
    </row>
    <row r="667" spans="1:11" ht="45" customHeight="1" x14ac:dyDescent="0.25">
      <c r="A667" t="s">
        <v>2661</v>
      </c>
      <c r="B667" t="s">
        <v>2662</v>
      </c>
      <c r="C667" s="5" t="s">
        <v>9586</v>
      </c>
      <c r="D667">
        <f t="shared" si="40"/>
        <v>666</v>
      </c>
      <c r="E667" t="str">
        <f t="shared" si="41"/>
        <v>E2_1_1_133</v>
      </c>
      <c r="F667" s="11" t="s">
        <v>8734</v>
      </c>
      <c r="G667" s="11" t="s">
        <v>8900</v>
      </c>
      <c r="H667" s="11" t="s">
        <v>9093</v>
      </c>
      <c r="I667" s="11" t="s">
        <v>9292</v>
      </c>
      <c r="J667" s="12" t="str">
        <f t="shared" si="42"/>
        <v>(${Variables:E2_1_1_133_kcat} * E2_1_1_133 * C00019 * C06407)/(${Variables:E2_1_1_133_km} + (E2_1_1_133 * C00019 * C06407))</v>
      </c>
      <c r="K667" s="11" t="str">
        <f t="shared" si="43"/>
        <v>r666: C00019 + C06407 -&gt; C00021 + C06416 | (${Variables:E2_1_1_133_kcat} * E2_1_1_133 * C00019 * C06407)/(${Variables:E2_1_1_133_km} + (E2_1_1_133 * C00019 * C06407))</v>
      </c>
    </row>
    <row r="668" spans="1:11" ht="45" customHeight="1" x14ac:dyDescent="0.25">
      <c r="A668" t="s">
        <v>2664</v>
      </c>
      <c r="B668" t="s">
        <v>2665</v>
      </c>
      <c r="C668" s="5" t="s">
        <v>9587</v>
      </c>
      <c r="D668">
        <f t="shared" si="40"/>
        <v>667</v>
      </c>
      <c r="E668" t="str">
        <f t="shared" si="41"/>
        <v>E2_1_1_130</v>
      </c>
      <c r="F668" s="11" t="s">
        <v>8735</v>
      </c>
      <c r="G668" s="11" t="s">
        <v>8901</v>
      </c>
      <c r="H668" s="11" t="s">
        <v>15436</v>
      </c>
      <c r="I668" s="11" t="s">
        <v>16057</v>
      </c>
      <c r="J668" s="12" t="str">
        <f t="shared" si="42"/>
        <v>(${Variables:E2_1_1_130_kcat} * E2_1_1_130 * C00019 * C02463)/(${Variables:E2_1_1_130_km} + (E2_1_1_130 * C00019 * C02463))</v>
      </c>
      <c r="K668" s="11" t="str">
        <f t="shared" si="43"/>
        <v>r667: C00019 + C02463 -&gt; C00021 + C00080 + C05772 | (${Variables:E2_1_1_130_kcat} * E2_1_1_130 * C00019 * C02463)/(${Variables:E2_1_1_130_km} + (E2_1_1_130 * C00019 * C02463))</v>
      </c>
    </row>
    <row r="669" spans="1:11" ht="45" customHeight="1" x14ac:dyDescent="0.25">
      <c r="A669" t="s">
        <v>2670</v>
      </c>
      <c r="B669" t="s">
        <v>2671</v>
      </c>
      <c r="C669" s="5" t="s">
        <v>9588</v>
      </c>
      <c r="D669">
        <f t="shared" si="40"/>
        <v>668</v>
      </c>
      <c r="E669" t="str">
        <f t="shared" si="41"/>
        <v>E5_4_99_61</v>
      </c>
      <c r="F669" s="11" t="s">
        <v>8258</v>
      </c>
      <c r="G669" s="11" t="s">
        <v>8258</v>
      </c>
      <c r="H669" s="11" t="s">
        <v>8530</v>
      </c>
      <c r="I669" s="11" t="s">
        <v>8530</v>
      </c>
      <c r="J669" s="12" t="str">
        <f t="shared" si="42"/>
        <v>(${Variables:E5_4_99_61_kcat} * E5_4_99_61 * C06408)/(${Variables:E5_4_99_61_km} + (E5_4_99_61 * C06408))</v>
      </c>
      <c r="K669" s="11" t="str">
        <f t="shared" si="43"/>
        <v>r668: C06408 -&gt; C06399 | (${Variables:E5_4_99_61_kcat} * E5_4_99_61 * C06408)/(${Variables:E5_4_99_61_km} + (E5_4_99_61 * C06408))</v>
      </c>
    </row>
    <row r="670" spans="1:11" ht="45" customHeight="1" x14ac:dyDescent="0.25">
      <c r="A670" t="s">
        <v>2678</v>
      </c>
      <c r="B670" t="s">
        <v>2679</v>
      </c>
      <c r="C670" s="5" t="s">
        <v>9537</v>
      </c>
      <c r="D670">
        <f t="shared" si="40"/>
        <v>669</v>
      </c>
      <c r="E670" t="str">
        <f t="shared" si="41"/>
        <v>E2_3_1_9</v>
      </c>
      <c r="F670" s="11" t="s">
        <v>8227</v>
      </c>
      <c r="G670" s="11" t="s">
        <v>8227</v>
      </c>
      <c r="H670" s="11" t="s">
        <v>9075</v>
      </c>
      <c r="I670" s="11" t="s">
        <v>9274</v>
      </c>
      <c r="J670" s="12" t="str">
        <f t="shared" si="42"/>
        <v>(${Variables:E2_3_1_9_kcat} * E2_3_1_9 * C00024)/(${Variables:E2_3_1_9_km} + (E2_3_1_9 * C00024))</v>
      </c>
      <c r="K670" s="11" t="str">
        <f t="shared" si="43"/>
        <v>r669: C00024 -&gt; C00010 + C00332 | (${Variables:E2_3_1_9_kcat} * E2_3_1_9 * C00024)/(${Variables:E2_3_1_9_km} + (E2_3_1_9 * C00024))</v>
      </c>
    </row>
    <row r="671" spans="1:11" ht="45" customHeight="1" x14ac:dyDescent="0.25">
      <c r="A671" t="s">
        <v>2678</v>
      </c>
      <c r="B671" t="s">
        <v>2679</v>
      </c>
      <c r="C671" s="5" t="s">
        <v>9537</v>
      </c>
      <c r="D671">
        <f t="shared" si="40"/>
        <v>670</v>
      </c>
      <c r="E671" t="str">
        <f t="shared" si="41"/>
        <v>E2_3_1_9</v>
      </c>
      <c r="F671" s="11" t="s">
        <v>14141</v>
      </c>
      <c r="G671" s="11" t="s">
        <v>14744</v>
      </c>
      <c r="H671" s="11" t="s">
        <v>9076</v>
      </c>
      <c r="I671" s="11" t="s">
        <v>9275</v>
      </c>
      <c r="J671" s="12" t="str">
        <f t="shared" si="42"/>
        <v>(${Variables:E2_3_1_9_kcat} * E2_3_1_9 * C00024 * C00100)/(${Variables:E2_3_1_9_km} + (E2_3_1_9 * C00024 * C00100))</v>
      </c>
      <c r="K671" s="11" t="str">
        <f t="shared" si="43"/>
        <v>r670: C00024 + C00100 -&gt; C00010 + C03344 | (${Variables:E2_3_1_9_kcat} * E2_3_1_9 * C00024 * C00100)/(${Variables:E2_3_1_9_km} + (E2_3_1_9 * C00024 * C00100))</v>
      </c>
    </row>
    <row r="672" spans="1:11" ht="45" customHeight="1" x14ac:dyDescent="0.25">
      <c r="A672" t="s">
        <v>2678</v>
      </c>
      <c r="B672" t="s">
        <v>2679</v>
      </c>
      <c r="C672" s="5" t="s">
        <v>9537</v>
      </c>
      <c r="D672">
        <f t="shared" si="40"/>
        <v>671</v>
      </c>
      <c r="E672" t="str">
        <f t="shared" si="41"/>
        <v>E2_3_1_9</v>
      </c>
      <c r="F672" s="11" t="s">
        <v>8716</v>
      </c>
      <c r="G672" s="11" t="s">
        <v>8882</v>
      </c>
      <c r="H672" s="11" t="s">
        <v>9077</v>
      </c>
      <c r="I672" s="11" t="s">
        <v>9276</v>
      </c>
      <c r="J672" s="12" t="str">
        <f t="shared" si="42"/>
        <v>(${Variables:E2_3_1_9_kcat} * E2_3_1_9 * C00024 * C00136)/(${Variables:E2_3_1_9_km} + (E2_3_1_9 * C00024 * C00136))</v>
      </c>
      <c r="K672" s="11" t="str">
        <f t="shared" si="43"/>
        <v>r671: C00024 + C00136 -&gt; C00010 + C05269 | (${Variables:E2_3_1_9_kcat} * E2_3_1_9 * C00024 * C00136)/(${Variables:E2_3_1_9_km} + (E2_3_1_9 * C00024 * C00136))</v>
      </c>
    </row>
    <row r="673" spans="1:11" ht="45" customHeight="1" x14ac:dyDescent="0.25">
      <c r="A673" t="s">
        <v>2681</v>
      </c>
      <c r="B673" t="s">
        <v>2682</v>
      </c>
      <c r="C673" s="5" t="s">
        <v>9589</v>
      </c>
      <c r="D673">
        <f t="shared" si="40"/>
        <v>672</v>
      </c>
      <c r="E673" t="str">
        <f t="shared" si="41"/>
        <v>E1_4_3_16</v>
      </c>
      <c r="F673" s="11" t="s">
        <v>14229</v>
      </c>
      <c r="G673" s="11" t="s">
        <v>14832</v>
      </c>
      <c r="H673" s="11" t="s">
        <v>15437</v>
      </c>
      <c r="I673" s="11" t="s">
        <v>16058</v>
      </c>
      <c r="J673" s="12" t="str">
        <f t="shared" si="42"/>
        <v>(${Variables:E1_4_3_16_kcat} * E1_4_3_16 * C00007 * C00049)/(${Variables:E1_4_3_16_km} + (E1_4_3_16 * C00007 * C00049))</v>
      </c>
      <c r="K673" s="11" t="str">
        <f t="shared" si="43"/>
        <v>r672: C00007 + C00049 -&gt; C00027 + C05840 | (${Variables:E1_4_3_16_kcat} * E1_4_3_16 * C00007 * C00049)/(${Variables:E1_4_3_16_km} + (E1_4_3_16 * C00007 * C00049))</v>
      </c>
    </row>
    <row r="674" spans="1:11" ht="45" customHeight="1" x14ac:dyDescent="0.25">
      <c r="A674" t="s">
        <v>2681</v>
      </c>
      <c r="B674" t="s">
        <v>2682</v>
      </c>
      <c r="C674" s="5" t="s">
        <v>9589</v>
      </c>
      <c r="D674">
        <f t="shared" si="40"/>
        <v>673</v>
      </c>
      <c r="E674" t="str">
        <f t="shared" si="41"/>
        <v>E1_4_3_16</v>
      </c>
      <c r="F674" s="11" t="s">
        <v>14230</v>
      </c>
      <c r="G674" s="11" t="s">
        <v>14833</v>
      </c>
      <c r="H674" s="11" t="s">
        <v>15438</v>
      </c>
      <c r="I674" s="11" t="s">
        <v>16059</v>
      </c>
      <c r="J674" s="12" t="str">
        <f t="shared" si="42"/>
        <v>(${Variables:E1_4_3_16_kcat} * E1_4_3_16 * C00001 * C00007 * C00049)/(${Variables:E1_4_3_16_km} + (E1_4_3_16 * C00001 * C00007 * C00049))</v>
      </c>
      <c r="K674" s="11" t="str">
        <f t="shared" si="43"/>
        <v>r673: C00001 + C00007 + C00049 -&gt; C00014 + C00027 + C00036 | (${Variables:E1_4_3_16_kcat} * E1_4_3_16 * C00001 * C00007 * C00049)/(${Variables:E1_4_3_16_km} + (E1_4_3_16 * C00001 * C00007 * C00049))</v>
      </c>
    </row>
    <row r="675" spans="1:11" ht="45" customHeight="1" x14ac:dyDescent="0.25">
      <c r="A675" t="s">
        <v>2684</v>
      </c>
      <c r="B675" t="s">
        <v>2685</v>
      </c>
      <c r="C675" s="5" t="s">
        <v>9590</v>
      </c>
      <c r="D675">
        <f t="shared" si="40"/>
        <v>674</v>
      </c>
      <c r="E675" t="str">
        <f t="shared" si="41"/>
        <v>E2_5_1_72</v>
      </c>
      <c r="F675" s="11" t="s">
        <v>14231</v>
      </c>
      <c r="G675" s="11" t="s">
        <v>14834</v>
      </c>
      <c r="H675" s="11" t="s">
        <v>15439</v>
      </c>
      <c r="I675" s="11" t="s">
        <v>16060</v>
      </c>
      <c r="J675" s="12" t="str">
        <f t="shared" si="42"/>
        <v>(${Variables:E2_5_1_72_kcat} * E2_5_1_72 * C00001 * C00009 * C03722)/(${Variables:E2_5_1_72_km} + (E2_5_1_72 * C00001 * C00009 * C03722))</v>
      </c>
      <c r="K675" s="11" t="str">
        <f t="shared" si="43"/>
        <v>r674: C00001 + C00009 + C03722 -&gt; C00111 + C05840 | (${Variables:E2_5_1_72_kcat} * E2_5_1_72 * C00001 * C00009 * C03722)/(${Variables:E2_5_1_72_km} + (E2_5_1_72 * C00001 * C00009 * C03722))</v>
      </c>
    </row>
    <row r="676" spans="1:11" ht="45" customHeight="1" x14ac:dyDescent="0.25">
      <c r="A676" t="s">
        <v>2692</v>
      </c>
      <c r="B676" t="s">
        <v>2693</v>
      </c>
      <c r="C676" s="5" t="s">
        <v>9591</v>
      </c>
      <c r="D676">
        <f t="shared" si="40"/>
        <v>675</v>
      </c>
      <c r="E676" t="str">
        <f t="shared" si="41"/>
        <v>E2_4_2_19</v>
      </c>
      <c r="F676" s="11" t="s">
        <v>14232</v>
      </c>
      <c r="G676" s="11" t="s">
        <v>14835</v>
      </c>
      <c r="H676" s="11" t="s">
        <v>15440</v>
      </c>
      <c r="I676" s="11" t="s">
        <v>16061</v>
      </c>
      <c r="J676" s="12" t="str">
        <f t="shared" si="42"/>
        <v>(${Variables:E2_4_2_19_kcat} * E2_4_2_19 * C00011 * C00013 * C01185)/(${Variables:E2_4_2_19_km} + (E2_4_2_19 * C00011 * C00013 * C01185))</v>
      </c>
      <c r="K676" s="11" t="str">
        <f t="shared" si="43"/>
        <v>r675: C00011 + C00013 + C01185 -&gt; C00119 + C03722 | (${Variables:E2_4_2_19_kcat} * E2_4_2_19 * C00011 * C00013 * C01185)/(${Variables:E2_4_2_19_km} + (E2_4_2_19 * C00011 * C00013 * C01185))</v>
      </c>
    </row>
    <row r="677" spans="1:11" ht="45" customHeight="1" x14ac:dyDescent="0.25">
      <c r="A677" t="s">
        <v>2694</v>
      </c>
      <c r="B677" t="s">
        <v>2695</v>
      </c>
      <c r="C677" s="5" t="s">
        <v>9481</v>
      </c>
      <c r="D677">
        <f t="shared" si="40"/>
        <v>676</v>
      </c>
      <c r="E677" t="str">
        <f t="shared" si="41"/>
        <v>E2_7_4_9</v>
      </c>
      <c r="F677" s="11" t="s">
        <v>8696</v>
      </c>
      <c r="G677" s="11" t="s">
        <v>8862</v>
      </c>
      <c r="H677" s="11" t="s">
        <v>9042</v>
      </c>
      <c r="I677" s="11" t="s">
        <v>9241</v>
      </c>
      <c r="J677" s="12" t="str">
        <f t="shared" si="42"/>
        <v>(${Variables:E2_7_4_9_kcat} * E2_7_4_9 * C00002 * C00364)/(${Variables:E2_7_4_9_km} + (E2_7_4_9 * C00002 * C00364))</v>
      </c>
      <c r="K677" s="11" t="str">
        <f t="shared" si="43"/>
        <v>r676: C00002 + C00364 -&gt; C00008 + C00363 | (${Variables:E2_7_4_9_kcat} * E2_7_4_9 * C00002 * C00364)/(${Variables:E2_7_4_9_km} + (E2_7_4_9 * C00002 * C00364))</v>
      </c>
    </row>
    <row r="678" spans="1:11" ht="45" customHeight="1" x14ac:dyDescent="0.25">
      <c r="A678" t="s">
        <v>2694</v>
      </c>
      <c r="B678" t="s">
        <v>2695</v>
      </c>
      <c r="C678" s="5" t="s">
        <v>9481</v>
      </c>
      <c r="D678">
        <f t="shared" si="40"/>
        <v>677</v>
      </c>
      <c r="E678" t="str">
        <f t="shared" si="41"/>
        <v>E2_7_4_9</v>
      </c>
      <c r="F678" s="11" t="s">
        <v>8697</v>
      </c>
      <c r="G678" s="11" t="s">
        <v>8863</v>
      </c>
      <c r="H678" s="11" t="s">
        <v>9043</v>
      </c>
      <c r="I678" s="11" t="s">
        <v>9242</v>
      </c>
      <c r="J678" s="12" t="str">
        <f t="shared" si="42"/>
        <v>(${Variables:E2_7_4_9_kcat} * E2_7_4_9 * C00002 * C00365)/(${Variables:E2_7_4_9_km} + (E2_7_4_9 * C00002 * C00365))</v>
      </c>
      <c r="K678" s="11" t="str">
        <f t="shared" si="43"/>
        <v>r677: C00002 + C00365 -&gt; C00008 + C01346 | (${Variables:E2_7_4_9_kcat} * E2_7_4_9 * C00002 * C00365)/(${Variables:E2_7_4_9_km} + (E2_7_4_9 * C00002 * C00365))</v>
      </c>
    </row>
    <row r="679" spans="1:11" ht="45" customHeight="1" x14ac:dyDescent="0.25">
      <c r="A679" t="s">
        <v>2697</v>
      </c>
      <c r="B679" t="s">
        <v>2698</v>
      </c>
      <c r="C679" s="5" t="s">
        <v>9592</v>
      </c>
      <c r="D679">
        <f t="shared" si="40"/>
        <v>678</v>
      </c>
      <c r="E679" t="str">
        <f t="shared" si="41"/>
        <v>E3_5_1_54</v>
      </c>
      <c r="F679" s="11" t="s">
        <v>14233</v>
      </c>
      <c r="G679" s="11" t="s">
        <v>14836</v>
      </c>
      <c r="H679" s="11" t="s">
        <v>9094</v>
      </c>
      <c r="I679" s="11" t="s">
        <v>9293</v>
      </c>
      <c r="J679" s="12" t="str">
        <f t="shared" si="42"/>
        <v>(${Variables:E3_5_1_54_kcat} * E3_5_1_54 * C00001 * C01010)/(${Variables:E3_5_1_54_km} + (E3_5_1_54 * C00001 * C01010))</v>
      </c>
      <c r="K679" s="11" t="str">
        <f t="shared" si="43"/>
        <v>r678: C00001 + C01010 -&gt; C00011 + C00014 | (${Variables:E3_5_1_54_kcat} * E3_5_1_54 * C00001 * C01010)/(${Variables:E3_5_1_54_km} + (E3_5_1_54 * C00001 * C01010))</v>
      </c>
    </row>
    <row r="680" spans="1:11" ht="45" customHeight="1" x14ac:dyDescent="0.25">
      <c r="A680" t="s">
        <v>2700</v>
      </c>
      <c r="B680" t="s">
        <v>2701</v>
      </c>
      <c r="C680" s="5" t="s">
        <v>9593</v>
      </c>
      <c r="D680">
        <f t="shared" si="40"/>
        <v>679</v>
      </c>
      <c r="E680" t="str">
        <f t="shared" si="41"/>
        <v>E1_3_8_7</v>
      </c>
      <c r="F680" s="11" t="s">
        <v>8736</v>
      </c>
      <c r="G680" s="11" t="s">
        <v>8902</v>
      </c>
      <c r="H680" s="11" t="s">
        <v>9095</v>
      </c>
      <c r="I680" s="11" t="s">
        <v>9294</v>
      </c>
      <c r="J680" s="12" t="str">
        <f t="shared" si="42"/>
        <v>(${Variables:E1_3_8_7_kcat} * E1_3_8_7 * C00040 * C04253)/(${Variables:E1_3_8_7_km} + (E1_3_8_7 * C00040 * C04253))</v>
      </c>
      <c r="K680" s="11" t="str">
        <f t="shared" si="43"/>
        <v>r679: C00040 + C04253 -&gt; C00605 + C04570 | (${Variables:E1_3_8_7_kcat} * E1_3_8_7 * C00040 * C04253)/(${Variables:E1_3_8_7_km} + (E1_3_8_7 * C00040 * C04253))</v>
      </c>
    </row>
    <row r="681" spans="1:11" ht="45" customHeight="1" x14ac:dyDescent="0.25">
      <c r="A681" t="s">
        <v>2700</v>
      </c>
      <c r="B681" t="s">
        <v>2701</v>
      </c>
      <c r="C681" s="5" t="s">
        <v>9593</v>
      </c>
      <c r="D681">
        <f t="shared" si="40"/>
        <v>680</v>
      </c>
      <c r="E681" t="str">
        <f t="shared" si="41"/>
        <v>E1_3_8_7</v>
      </c>
      <c r="F681" s="11" t="s">
        <v>13972</v>
      </c>
      <c r="G681" s="11" t="s">
        <v>14575</v>
      </c>
      <c r="H681" s="11" t="s">
        <v>15164</v>
      </c>
      <c r="I681" s="11" t="s">
        <v>15785</v>
      </c>
      <c r="J681" s="12" t="str">
        <f t="shared" si="42"/>
        <v>(${Variables:E1_3_8_7_kcat} * E1_3_8_7 * C00016 * C00136)/(${Variables:E1_3_8_7_km} + (E1_3_8_7 * C00016 * C00136))</v>
      </c>
      <c r="K681" s="11" t="str">
        <f t="shared" si="43"/>
        <v>r680: C00016 + C00136 -&gt; C00877 + C01352 | (${Variables:E1_3_8_7_kcat} * E1_3_8_7 * C00016 * C00136)/(${Variables:E1_3_8_7_km} + (E1_3_8_7 * C00016 * C00136))</v>
      </c>
    </row>
    <row r="682" spans="1:11" ht="45" customHeight="1" x14ac:dyDescent="0.25">
      <c r="A682" t="s">
        <v>2700</v>
      </c>
      <c r="B682" t="s">
        <v>2701</v>
      </c>
      <c r="C682" s="5" t="s">
        <v>9593</v>
      </c>
      <c r="D682">
        <f t="shared" si="40"/>
        <v>681</v>
      </c>
      <c r="E682" t="str">
        <f t="shared" si="41"/>
        <v>E1_3_8_7</v>
      </c>
      <c r="F682" s="11" t="s">
        <v>14234</v>
      </c>
      <c r="G682" s="11" t="s">
        <v>14837</v>
      </c>
      <c r="H682" s="11" t="s">
        <v>15441</v>
      </c>
      <c r="I682" s="11" t="s">
        <v>16062</v>
      </c>
      <c r="J682" s="12" t="str">
        <f t="shared" si="42"/>
        <v>(${Variables:E1_3_8_7_kcat} * E1_3_8_7 * C00016 * C00154)/(${Variables:E1_3_8_7_km} + (E1_3_8_7 * C00016 * C00154))</v>
      </c>
      <c r="K682" s="11" t="str">
        <f t="shared" si="43"/>
        <v>r681: C00016 + C00154 -&gt; C01352 + C05272 | (${Variables:E1_3_8_7_kcat} * E1_3_8_7 * C00016 * C00154)/(${Variables:E1_3_8_7_km} + (E1_3_8_7 * C00016 * C00154))</v>
      </c>
    </row>
    <row r="683" spans="1:11" ht="45" customHeight="1" x14ac:dyDescent="0.25">
      <c r="A683" t="s">
        <v>2700</v>
      </c>
      <c r="B683" t="s">
        <v>2701</v>
      </c>
      <c r="C683" s="5" t="s">
        <v>9593</v>
      </c>
      <c r="D683">
        <f t="shared" si="40"/>
        <v>682</v>
      </c>
      <c r="E683" t="str">
        <f t="shared" si="41"/>
        <v>E1_3_8_7</v>
      </c>
      <c r="F683" s="11" t="s">
        <v>14235</v>
      </c>
      <c r="G683" s="11" t="s">
        <v>14838</v>
      </c>
      <c r="H683" s="11" t="s">
        <v>15442</v>
      </c>
      <c r="I683" s="11" t="s">
        <v>16063</v>
      </c>
      <c r="J683" s="12" t="str">
        <f t="shared" si="42"/>
        <v>(${Variables:E1_3_8_7_kcat} * E1_3_8_7 * C00016 * C01944)/(${Variables:E1_3_8_7_km} + (E1_3_8_7 * C00016 * C01944))</v>
      </c>
      <c r="K683" s="11" t="str">
        <f t="shared" si="43"/>
        <v>r682: C00016 + C01944 -&gt; C01352 + C05276 | (${Variables:E1_3_8_7_kcat} * E1_3_8_7 * C00016 * C01944)/(${Variables:E1_3_8_7_km} + (E1_3_8_7 * C00016 * C01944))</v>
      </c>
    </row>
    <row r="684" spans="1:11" ht="45" customHeight="1" x14ac:dyDescent="0.25">
      <c r="A684" t="s">
        <v>2700</v>
      </c>
      <c r="B684" t="s">
        <v>2701</v>
      </c>
      <c r="C684" s="5" t="s">
        <v>9593</v>
      </c>
      <c r="D684">
        <f t="shared" si="40"/>
        <v>683</v>
      </c>
      <c r="E684" t="str">
        <f t="shared" si="41"/>
        <v>E1_3_8_7</v>
      </c>
      <c r="F684" s="11" t="s">
        <v>14236</v>
      </c>
      <c r="G684" s="11" t="s">
        <v>14839</v>
      </c>
      <c r="H684" s="11" t="s">
        <v>15443</v>
      </c>
      <c r="I684" s="11" t="s">
        <v>16064</v>
      </c>
      <c r="J684" s="12" t="str">
        <f t="shared" si="42"/>
        <v>(${Variables:E1_3_8_7_kcat} * E1_3_8_7 * C00016 * C01832)/(${Variables:E1_3_8_7_km} + (E1_3_8_7 * C00016 * C01832))</v>
      </c>
      <c r="K684" s="11" t="str">
        <f t="shared" si="43"/>
        <v>r683: C00016 + C01832 -&gt; C01352 + C03221 | (${Variables:E1_3_8_7_kcat} * E1_3_8_7 * C00016 * C01832)/(${Variables:E1_3_8_7_km} + (E1_3_8_7 * C00016 * C01832))</v>
      </c>
    </row>
    <row r="685" spans="1:11" ht="45" customHeight="1" x14ac:dyDescent="0.25">
      <c r="A685" t="s">
        <v>2700</v>
      </c>
      <c r="B685" t="s">
        <v>2701</v>
      </c>
      <c r="C685" s="5" t="s">
        <v>9593</v>
      </c>
      <c r="D685">
        <f t="shared" si="40"/>
        <v>684</v>
      </c>
      <c r="E685" t="str">
        <f t="shared" si="41"/>
        <v>E1_3_8_7</v>
      </c>
      <c r="F685" s="11" t="s">
        <v>14237</v>
      </c>
      <c r="G685" s="11" t="s">
        <v>14840</v>
      </c>
      <c r="H685" s="11" t="s">
        <v>15444</v>
      </c>
      <c r="I685" s="11" t="s">
        <v>16065</v>
      </c>
      <c r="J685" s="12" t="str">
        <f t="shared" si="42"/>
        <v>(${Variables:E1_3_8_7_kcat} * E1_3_8_7 * C00016 * C02593)/(${Variables:E1_3_8_7_km} + (E1_3_8_7 * C00016 * C02593))</v>
      </c>
      <c r="K685" s="11" t="str">
        <f t="shared" si="43"/>
        <v>r684: C00016 + C02593 -&gt; C01352 + C05273 | (${Variables:E1_3_8_7_kcat} * E1_3_8_7 * C00016 * C02593)/(${Variables:E1_3_8_7_km} + (E1_3_8_7 * C00016 * C02593))</v>
      </c>
    </row>
    <row r="686" spans="1:11" ht="45" customHeight="1" x14ac:dyDescent="0.25">
      <c r="A686" t="s">
        <v>2700</v>
      </c>
      <c r="B686" t="s">
        <v>2701</v>
      </c>
      <c r="C686" s="5" t="s">
        <v>9593</v>
      </c>
      <c r="D686">
        <f t="shared" si="40"/>
        <v>685</v>
      </c>
      <c r="E686" t="str">
        <f t="shared" si="41"/>
        <v>E1_3_8_7</v>
      </c>
      <c r="F686" s="11" t="s">
        <v>14238</v>
      </c>
      <c r="G686" s="11" t="s">
        <v>14841</v>
      </c>
      <c r="H686" s="11" t="s">
        <v>15445</v>
      </c>
      <c r="I686" s="11" t="s">
        <v>16066</v>
      </c>
      <c r="J686" s="12" t="str">
        <f t="shared" si="42"/>
        <v>(${Variables:E1_3_8_7_kcat} * E1_3_8_7 * C00016 * C02939)/(${Variables:E1_3_8_7_km} + (E1_3_8_7 * C00016 * C02939))</v>
      </c>
      <c r="K686" s="11" t="str">
        <f t="shared" si="43"/>
        <v>r685: C00016 + C02939 -&gt; C01352 + C03069 | (${Variables:E1_3_8_7_kcat} * E1_3_8_7 * C00016 * C02939)/(${Variables:E1_3_8_7_km} + (E1_3_8_7 * C00016 * C02939))</v>
      </c>
    </row>
    <row r="687" spans="1:11" ht="45" customHeight="1" x14ac:dyDescent="0.25">
      <c r="A687" t="s">
        <v>2700</v>
      </c>
      <c r="B687" t="s">
        <v>2701</v>
      </c>
      <c r="C687" s="5" t="s">
        <v>9593</v>
      </c>
      <c r="D687">
        <f t="shared" si="40"/>
        <v>686</v>
      </c>
      <c r="E687" t="str">
        <f t="shared" si="41"/>
        <v>E1_3_8_7</v>
      </c>
      <c r="F687" s="11" t="s">
        <v>13973</v>
      </c>
      <c r="G687" s="11" t="s">
        <v>14576</v>
      </c>
      <c r="H687" s="11" t="s">
        <v>15165</v>
      </c>
      <c r="I687" s="11" t="s">
        <v>15786</v>
      </c>
      <c r="J687" s="12" t="str">
        <f t="shared" si="42"/>
        <v>(${Variables:E1_3_8_7_kcat} * E1_3_8_7 * C00016 * C05270)/(${Variables:E1_3_8_7_km} + (E1_3_8_7 * C00016 * C05270))</v>
      </c>
      <c r="K687" s="11" t="str">
        <f t="shared" si="43"/>
        <v>r686: C00016 + C05270 -&gt; C01352 + C05271 | (${Variables:E1_3_8_7_kcat} * E1_3_8_7 * C00016 * C05270)/(${Variables:E1_3_8_7_km} + (E1_3_8_7 * C00016 * C05270))</v>
      </c>
    </row>
    <row r="688" spans="1:11" ht="45" customHeight="1" x14ac:dyDescent="0.25">
      <c r="A688" t="s">
        <v>2700</v>
      </c>
      <c r="B688" t="s">
        <v>2701</v>
      </c>
      <c r="C688" s="5" t="s">
        <v>9593</v>
      </c>
      <c r="D688">
        <f t="shared" si="40"/>
        <v>687</v>
      </c>
      <c r="E688" t="str">
        <f t="shared" si="41"/>
        <v>E1_3_8_7</v>
      </c>
      <c r="F688" s="11" t="s">
        <v>14239</v>
      </c>
      <c r="G688" s="11" t="s">
        <v>14842</v>
      </c>
      <c r="H688" s="11" t="s">
        <v>15446</v>
      </c>
      <c r="I688" s="11" t="s">
        <v>16067</v>
      </c>
      <c r="J688" s="12" t="str">
        <f t="shared" si="42"/>
        <v>(${Variables:E1_3_8_7_kcat} * E1_3_8_7 * C00016 * C05274)/(${Variables:E1_3_8_7_km} + (E1_3_8_7 * C00016 * C05274))</v>
      </c>
      <c r="K688" s="11" t="str">
        <f t="shared" si="43"/>
        <v>r687: C00016 + C05274 -&gt; C01352 + C05275 | (${Variables:E1_3_8_7_kcat} * E1_3_8_7 * C00016 * C05274)/(${Variables:E1_3_8_7_km} + (E1_3_8_7 * C00016 * C05274))</v>
      </c>
    </row>
    <row r="689" spans="1:11" ht="45" customHeight="1" x14ac:dyDescent="0.25">
      <c r="A689" t="s">
        <v>2700</v>
      </c>
      <c r="B689" t="s">
        <v>2701</v>
      </c>
      <c r="C689" s="5" t="s">
        <v>9593</v>
      </c>
      <c r="D689">
        <f t="shared" si="40"/>
        <v>688</v>
      </c>
      <c r="E689" t="str">
        <f t="shared" si="41"/>
        <v>E1_3_8_7</v>
      </c>
      <c r="F689" s="11" t="s">
        <v>13974</v>
      </c>
      <c r="G689" s="11" t="s">
        <v>14577</v>
      </c>
      <c r="H689" s="11" t="s">
        <v>15166</v>
      </c>
      <c r="I689" s="11" t="s">
        <v>15787</v>
      </c>
      <c r="J689" s="12" t="str">
        <f t="shared" si="42"/>
        <v>(${Variables:E1_3_8_7_kcat} * E1_3_8_7 * C00028 * C00630)/(${Variables:E1_3_8_7_km} + (E1_3_8_7 * C00028 * C00630))</v>
      </c>
      <c r="K689" s="11" t="str">
        <f t="shared" si="43"/>
        <v>r688: C00028 + C00630 -&gt; C00030 + C03460 | (${Variables:E1_3_8_7_kcat} * E1_3_8_7 * C00028 * C00630)/(${Variables:E1_3_8_7_km} + (E1_3_8_7 * C00028 * C00630))</v>
      </c>
    </row>
    <row r="690" spans="1:11" ht="45" customHeight="1" x14ac:dyDescent="0.25">
      <c r="A690" t="s">
        <v>2700</v>
      </c>
      <c r="B690" t="s">
        <v>2701</v>
      </c>
      <c r="C690" s="5" t="s">
        <v>9593</v>
      </c>
      <c r="D690">
        <f t="shared" si="40"/>
        <v>689</v>
      </c>
      <c r="E690" t="str">
        <f t="shared" si="41"/>
        <v>E1_3_8_7</v>
      </c>
      <c r="F690" s="11" t="s">
        <v>13975</v>
      </c>
      <c r="G690" s="11" t="s">
        <v>14578</v>
      </c>
      <c r="H690" s="11" t="s">
        <v>15167</v>
      </c>
      <c r="I690" s="11" t="s">
        <v>15788</v>
      </c>
      <c r="J690" s="12" t="str">
        <f t="shared" si="42"/>
        <v>(${Variables:E1_3_8_7_kcat} * E1_3_8_7 * C00028 * C15980)/(${Variables:E1_3_8_7_km} + (E1_3_8_7 * C00028 * C15980))</v>
      </c>
      <c r="K690" s="11" t="str">
        <f t="shared" si="43"/>
        <v>r689: C00028 + C15980 -&gt; C00030 + C03345 | (${Variables:E1_3_8_7_kcat} * E1_3_8_7 * C00028 * C15980)/(${Variables:E1_3_8_7_km} + (E1_3_8_7 * C00028 * C15980))</v>
      </c>
    </row>
    <row r="691" spans="1:11" ht="45" customHeight="1" x14ac:dyDescent="0.25">
      <c r="A691" t="s">
        <v>2703</v>
      </c>
      <c r="B691" t="s">
        <v>2704</v>
      </c>
      <c r="C691" s="5" t="s">
        <v>9594</v>
      </c>
      <c r="D691">
        <f t="shared" si="40"/>
        <v>690</v>
      </c>
      <c r="E691" t="str">
        <f t="shared" si="41"/>
        <v>E1_2_7_5</v>
      </c>
      <c r="F691" s="11" t="s">
        <v>14240</v>
      </c>
      <c r="G691" s="11" t="s">
        <v>14843</v>
      </c>
      <c r="H691" s="11" t="s">
        <v>15447</v>
      </c>
      <c r="I691" s="11" t="s">
        <v>16068</v>
      </c>
      <c r="J691" s="12" t="str">
        <f t="shared" si="42"/>
        <v>(${Variables:E1_2_7_5_kcat} * E1_2_7_5 * C00001 * C00071 * C00139)/(${Variables:E1_2_7_5_km} + (E1_2_7_5 * C00001 * C00071 * C00139))</v>
      </c>
      <c r="K691" s="11" t="str">
        <f t="shared" si="43"/>
        <v>r690: C00001 + C00071 + C00139 -&gt; C00060 + C00080 + C00138 | (${Variables:E1_2_7_5_kcat} * E1_2_7_5 * C00001 * C00071 * C00139)/(${Variables:E1_2_7_5_km} + (E1_2_7_5 * C00001 * C00071 * C00139))</v>
      </c>
    </row>
    <row r="692" spans="1:11" ht="45" customHeight="1" x14ac:dyDescent="0.25">
      <c r="A692" t="s">
        <v>2703</v>
      </c>
      <c r="B692" t="s">
        <v>2704</v>
      </c>
      <c r="C692" s="5" t="s">
        <v>9594</v>
      </c>
      <c r="D692">
        <f t="shared" si="40"/>
        <v>691</v>
      </c>
      <c r="E692" t="str">
        <f t="shared" si="41"/>
        <v>E1_2_7_5</v>
      </c>
      <c r="F692" s="11" t="s">
        <v>14241</v>
      </c>
      <c r="G692" s="11" t="s">
        <v>14844</v>
      </c>
      <c r="H692" s="11" t="s">
        <v>15448</v>
      </c>
      <c r="I692" s="11" t="s">
        <v>16069</v>
      </c>
      <c r="J692" s="12" t="str">
        <f t="shared" si="42"/>
        <v>(${Variables:E1_2_7_5_kcat} * E1_2_7_5 * C00001 * C00139 * C00577)/(${Variables:E1_2_7_5_km} + (E1_2_7_5 * C00001 * C00139 * C00577))</v>
      </c>
      <c r="K692" s="11" t="str">
        <f t="shared" si="43"/>
        <v>r691: C00001 + C00139 + C00577 -&gt; C00080 + C00138 + C00258 | (${Variables:E1_2_7_5_kcat} * E1_2_7_5 * C00001 * C00139 * C00577)/(${Variables:E1_2_7_5_km} + (E1_2_7_5 * C00001 * C00139 * C00577))</v>
      </c>
    </row>
    <row r="693" spans="1:11" ht="45" customHeight="1" x14ac:dyDescent="0.25">
      <c r="A693" t="s">
        <v>2710</v>
      </c>
      <c r="B693" t="s">
        <v>2711</v>
      </c>
      <c r="C693" s="5" t="s">
        <v>9595</v>
      </c>
      <c r="D693">
        <f t="shared" si="40"/>
        <v>692</v>
      </c>
      <c r="E693" t="str">
        <f t="shared" si="41"/>
        <v>E5_3_3_2</v>
      </c>
      <c r="F693" s="11" t="s">
        <v>8260</v>
      </c>
      <c r="G693" s="11" t="s">
        <v>8260</v>
      </c>
      <c r="H693" s="11" t="s">
        <v>8533</v>
      </c>
      <c r="I693" s="11" t="s">
        <v>8533</v>
      </c>
      <c r="J693" s="12" t="str">
        <f t="shared" si="42"/>
        <v>(${Variables:E5_3_3_2_kcat} * E5_3_3_2 * C00129)/(${Variables:E5_3_3_2_km} + (E5_3_3_2 * C00129))</v>
      </c>
      <c r="K693" s="11" t="str">
        <f t="shared" si="43"/>
        <v>r692: C00129 -&gt; C00235 | (${Variables:E5_3_3_2_kcat} * E5_3_3_2 * C00129)/(${Variables:E5_3_3_2_km} + (E5_3_3_2 * C00129))</v>
      </c>
    </row>
    <row r="694" spans="1:11" ht="45" customHeight="1" x14ac:dyDescent="0.25">
      <c r="A694" t="s">
        <v>2713</v>
      </c>
      <c r="B694" t="s">
        <v>2714</v>
      </c>
      <c r="C694" s="5" t="s">
        <v>9596</v>
      </c>
      <c r="D694">
        <f t="shared" si="40"/>
        <v>693</v>
      </c>
      <c r="E694" t="str">
        <f t="shared" si="41"/>
        <v>E2_6_1_18</v>
      </c>
      <c r="F694" s="11" t="s">
        <v>8737</v>
      </c>
      <c r="G694" s="11" t="s">
        <v>8903</v>
      </c>
      <c r="H694" s="11" t="s">
        <v>9096</v>
      </c>
      <c r="I694" s="11" t="s">
        <v>9295</v>
      </c>
      <c r="J694" s="12" t="str">
        <f t="shared" si="42"/>
        <v>(${Variables:E2_6_1_18_kcat} * E2_6_1_18 * C00041 * C00222)/(${Variables:E2_6_1_18_km} + (E2_6_1_18 * C00041 * C00222))</v>
      </c>
      <c r="K694" s="11" t="str">
        <f t="shared" si="43"/>
        <v>r693: C00041 + C00222 -&gt; C00022 + C00099 | (${Variables:E2_6_1_18_kcat} * E2_6_1_18 * C00041 * C00222)/(${Variables:E2_6_1_18_km} + (E2_6_1_18 * C00041 * C00222))</v>
      </c>
    </row>
    <row r="695" spans="1:11" ht="45" customHeight="1" x14ac:dyDescent="0.25">
      <c r="A695" t="s">
        <v>2713</v>
      </c>
      <c r="B695" t="s">
        <v>2714</v>
      </c>
      <c r="C695" s="5" t="s">
        <v>9596</v>
      </c>
      <c r="D695">
        <f t="shared" si="40"/>
        <v>694</v>
      </c>
      <c r="E695" t="str">
        <f t="shared" si="41"/>
        <v>E2_6_1_18</v>
      </c>
      <c r="F695" s="11" t="s">
        <v>8738</v>
      </c>
      <c r="G695" s="11" t="s">
        <v>8904</v>
      </c>
      <c r="H695" s="11" t="s">
        <v>9097</v>
      </c>
      <c r="I695" s="11" t="s">
        <v>9296</v>
      </c>
      <c r="J695" s="12" t="str">
        <f t="shared" si="42"/>
        <v>(${Variables:E2_6_1_18_kcat} * E2_6_1_18 * C00041 * C06002)/(${Variables:E2_6_1_18_km} + (E2_6_1_18 * C00041 * C06002))</v>
      </c>
      <c r="K695" s="11" t="str">
        <f t="shared" si="43"/>
        <v>r694: C00041 + C06002 -&gt; C00022 + C03284 | (${Variables:E2_6_1_18_kcat} * E2_6_1_18 * C00041 * C06002)/(${Variables:E2_6_1_18_km} + (E2_6_1_18 * C00041 * C06002))</v>
      </c>
    </row>
    <row r="696" spans="1:11" ht="45" customHeight="1" x14ac:dyDescent="0.25">
      <c r="A696" t="s">
        <v>2725</v>
      </c>
      <c r="B696" t="s">
        <v>2726</v>
      </c>
      <c r="C696" s="5" t="s">
        <v>9597</v>
      </c>
      <c r="D696">
        <f t="shared" si="40"/>
        <v>695</v>
      </c>
      <c r="E696" t="str">
        <f t="shared" si="41"/>
        <v>E2_7_1_6</v>
      </c>
      <c r="F696" s="11" t="s">
        <v>8739</v>
      </c>
      <c r="G696" s="11" t="s">
        <v>8905</v>
      </c>
      <c r="H696" s="11" t="s">
        <v>9098</v>
      </c>
      <c r="I696" s="11" t="s">
        <v>9297</v>
      </c>
      <c r="J696" s="12" t="str">
        <f t="shared" si="42"/>
        <v>(${Variables:E2_7_1_6_kcat} * E2_7_1_6 * C00002 * C00984)/(${Variables:E2_7_1_6_km} + (E2_7_1_6 * C00002 * C00984))</v>
      </c>
      <c r="K696" s="11" t="str">
        <f t="shared" si="43"/>
        <v>r695: C00002 + C00984 -&gt; C00008 + C00446 | (${Variables:E2_7_1_6_kcat} * E2_7_1_6 * C00002 * C00984)/(${Variables:E2_7_1_6_km} + (E2_7_1_6 * C00002 * C00984))</v>
      </c>
    </row>
    <row r="697" spans="1:11" ht="45" customHeight="1" x14ac:dyDescent="0.25">
      <c r="A697" t="s">
        <v>2743</v>
      </c>
      <c r="B697" t="s">
        <v>2744</v>
      </c>
      <c r="C697" s="5" t="s">
        <v>9402</v>
      </c>
      <c r="D697">
        <f t="shared" si="40"/>
        <v>696</v>
      </c>
      <c r="E697" t="str">
        <f t="shared" si="41"/>
        <v>E1_3_8_1</v>
      </c>
      <c r="F697" s="11" t="s">
        <v>13971</v>
      </c>
      <c r="G697" s="11" t="s">
        <v>14574</v>
      </c>
      <c r="H697" s="11" t="s">
        <v>15163</v>
      </c>
      <c r="I697" s="11" t="s">
        <v>15784</v>
      </c>
      <c r="J697" s="12" t="str">
        <f t="shared" si="42"/>
        <v>(${Variables:E1_3_8_1_kcat} * E1_3_8_1 * C04253 * C20675)/(${Variables:E1_3_8_1_km} + (E1_3_8_1 * C04253 * C20675))</v>
      </c>
      <c r="K697" s="11" t="str">
        <f t="shared" si="43"/>
        <v>r696: C04253 + C20675 -&gt; C04570 + C20676 | (${Variables:E1_3_8_1_kcat} * E1_3_8_1 * C04253 * C20675)/(${Variables:E1_3_8_1_km} + (E1_3_8_1 * C04253 * C20675))</v>
      </c>
    </row>
    <row r="698" spans="1:11" ht="45" customHeight="1" x14ac:dyDescent="0.25">
      <c r="A698" t="s">
        <v>2743</v>
      </c>
      <c r="B698" t="s">
        <v>2744</v>
      </c>
      <c r="C698" s="5" t="s">
        <v>9402</v>
      </c>
      <c r="D698">
        <f t="shared" si="40"/>
        <v>697</v>
      </c>
      <c r="E698" t="str">
        <f t="shared" si="41"/>
        <v>E1_3_8_1</v>
      </c>
      <c r="F698" s="11" t="s">
        <v>13972</v>
      </c>
      <c r="G698" s="11" t="s">
        <v>14575</v>
      </c>
      <c r="H698" s="11" t="s">
        <v>15164</v>
      </c>
      <c r="I698" s="11" t="s">
        <v>15785</v>
      </c>
      <c r="J698" s="12" t="str">
        <f t="shared" si="42"/>
        <v>(${Variables:E1_3_8_1_kcat} * E1_3_8_1 * C00016 * C00136)/(${Variables:E1_3_8_1_km} + (E1_3_8_1 * C00016 * C00136))</v>
      </c>
      <c r="K698" s="11" t="str">
        <f t="shared" si="43"/>
        <v>r697: C00016 + C00136 -&gt; C00877 + C01352 | (${Variables:E1_3_8_1_kcat} * E1_3_8_1 * C00016 * C00136)/(${Variables:E1_3_8_1_km} + (E1_3_8_1 * C00016 * C00136))</v>
      </c>
    </row>
    <row r="699" spans="1:11" ht="45" customHeight="1" x14ac:dyDescent="0.25">
      <c r="A699" t="s">
        <v>2743</v>
      </c>
      <c r="B699" t="s">
        <v>2744</v>
      </c>
      <c r="C699" s="5" t="s">
        <v>9402</v>
      </c>
      <c r="D699">
        <f t="shared" si="40"/>
        <v>698</v>
      </c>
      <c r="E699" t="str">
        <f t="shared" si="41"/>
        <v>E1_3_8_1</v>
      </c>
      <c r="F699" s="11" t="s">
        <v>13973</v>
      </c>
      <c r="G699" s="11" t="s">
        <v>14576</v>
      </c>
      <c r="H699" s="11" t="s">
        <v>15165</v>
      </c>
      <c r="I699" s="11" t="s">
        <v>15786</v>
      </c>
      <c r="J699" s="12" t="str">
        <f t="shared" si="42"/>
        <v>(${Variables:E1_3_8_1_kcat} * E1_3_8_1 * C00016 * C05270)/(${Variables:E1_3_8_1_km} + (E1_3_8_1 * C00016 * C05270))</v>
      </c>
      <c r="K699" s="11" t="str">
        <f t="shared" si="43"/>
        <v>r698: C00016 + C05270 -&gt; C01352 + C05271 | (${Variables:E1_3_8_1_kcat} * E1_3_8_1 * C00016 * C05270)/(${Variables:E1_3_8_1_km} + (E1_3_8_1 * C00016 * C05270))</v>
      </c>
    </row>
    <row r="700" spans="1:11" ht="45" customHeight="1" x14ac:dyDescent="0.25">
      <c r="A700" t="s">
        <v>2743</v>
      </c>
      <c r="B700" t="s">
        <v>2744</v>
      </c>
      <c r="C700" s="5" t="s">
        <v>9402</v>
      </c>
      <c r="D700">
        <f t="shared" si="40"/>
        <v>699</v>
      </c>
      <c r="E700" t="str">
        <f t="shared" si="41"/>
        <v>E1_3_8_1</v>
      </c>
      <c r="F700" s="11" t="s">
        <v>13974</v>
      </c>
      <c r="G700" s="11" t="s">
        <v>14577</v>
      </c>
      <c r="H700" s="11" t="s">
        <v>15166</v>
      </c>
      <c r="I700" s="11" t="s">
        <v>15787</v>
      </c>
      <c r="J700" s="12" t="str">
        <f t="shared" si="42"/>
        <v>(${Variables:E1_3_8_1_kcat} * E1_3_8_1 * C00028 * C00630)/(${Variables:E1_3_8_1_km} + (E1_3_8_1 * C00028 * C00630))</v>
      </c>
      <c r="K700" s="11" t="str">
        <f t="shared" si="43"/>
        <v>r699: C00028 + C00630 -&gt; C00030 + C03460 | (${Variables:E1_3_8_1_kcat} * E1_3_8_1 * C00028 * C00630)/(${Variables:E1_3_8_1_km} + (E1_3_8_1 * C00028 * C00630))</v>
      </c>
    </row>
    <row r="701" spans="1:11" ht="45" customHeight="1" x14ac:dyDescent="0.25">
      <c r="A701" t="s">
        <v>2743</v>
      </c>
      <c r="B701" t="s">
        <v>2744</v>
      </c>
      <c r="C701" s="5" t="s">
        <v>9402</v>
      </c>
      <c r="D701">
        <f t="shared" si="40"/>
        <v>700</v>
      </c>
      <c r="E701" t="str">
        <f t="shared" si="41"/>
        <v>E1_3_8_1</v>
      </c>
      <c r="F701" s="11" t="s">
        <v>13975</v>
      </c>
      <c r="G701" s="11" t="s">
        <v>14578</v>
      </c>
      <c r="H701" s="11" t="s">
        <v>15167</v>
      </c>
      <c r="I701" s="11" t="s">
        <v>15788</v>
      </c>
      <c r="J701" s="12" t="str">
        <f t="shared" si="42"/>
        <v>(${Variables:E1_3_8_1_kcat} * E1_3_8_1 * C00028 * C15980)/(${Variables:E1_3_8_1_km} + (E1_3_8_1 * C00028 * C15980))</v>
      </c>
      <c r="K701" s="11" t="str">
        <f t="shared" si="43"/>
        <v>r700: C00028 + C15980 -&gt; C00030 + C03345 | (${Variables:E1_3_8_1_kcat} * E1_3_8_1 * C00028 * C15980)/(${Variables:E1_3_8_1_km} + (E1_3_8_1 * C00028 * C15980))</v>
      </c>
    </row>
    <row r="702" spans="1:11" ht="45" customHeight="1" x14ac:dyDescent="0.25">
      <c r="A702" t="s">
        <v>2743</v>
      </c>
      <c r="B702" t="s">
        <v>2744</v>
      </c>
      <c r="C702" s="5" t="s">
        <v>9402</v>
      </c>
      <c r="D702">
        <f t="shared" si="40"/>
        <v>701</v>
      </c>
      <c r="E702" t="str">
        <f t="shared" si="41"/>
        <v>E1_3_8_1</v>
      </c>
      <c r="F702" s="11" t="s">
        <v>13976</v>
      </c>
      <c r="G702" s="11" t="s">
        <v>14579</v>
      </c>
      <c r="H702" s="11" t="s">
        <v>15168</v>
      </c>
      <c r="I702" s="11" t="s">
        <v>15789</v>
      </c>
      <c r="J702" s="12" t="str">
        <f t="shared" si="42"/>
        <v>(${Variables:E1_3_8_1_kcat} * E1_3_8_1 * C00100 * C04253)/(${Variables:E1_3_8_1_km} + (E1_3_8_1 * C00100 * C04253))</v>
      </c>
      <c r="K702" s="11" t="str">
        <f t="shared" si="43"/>
        <v>r701: C00100 + C04253 -&gt; C00894 + C04570 | (${Variables:E1_3_8_1_kcat} * E1_3_8_1 * C00100 * C04253)/(${Variables:E1_3_8_1_km} + (E1_3_8_1 * C00100 * C04253))</v>
      </c>
    </row>
    <row r="703" spans="1:11" ht="45" customHeight="1" x14ac:dyDescent="0.25">
      <c r="A703" t="s">
        <v>2753</v>
      </c>
      <c r="B703" t="s">
        <v>2754</v>
      </c>
      <c r="C703" s="5" t="s">
        <v>9431</v>
      </c>
      <c r="D703">
        <f t="shared" si="40"/>
        <v>702</v>
      </c>
      <c r="E703" t="str">
        <f t="shared" si="41"/>
        <v>E6_4_1_2</v>
      </c>
      <c r="F703" s="11" t="s">
        <v>8682</v>
      </c>
      <c r="G703" s="11" t="s">
        <v>8848</v>
      </c>
      <c r="H703" s="11" t="s">
        <v>9018</v>
      </c>
      <c r="I703" s="11" t="s">
        <v>9217</v>
      </c>
      <c r="J703" s="12" t="str">
        <f t="shared" si="42"/>
        <v>(${Variables:E6_4_1_2_kcat} * E6_4_1_2 * C00002 * C00024 * C00288)/(${Variables:E6_4_1_2_km} + (E6_4_1_2 * C00002 * C00024 * C00288))</v>
      </c>
      <c r="K703" s="11" t="str">
        <f t="shared" si="43"/>
        <v>r702: C00002 + C00024 + C00288 -&gt; C00008 + C00009 + C00083 | (${Variables:E6_4_1_2_kcat} * E6_4_1_2 * C00002 * C00024 * C00288)/(${Variables:E6_4_1_2_km} + (E6_4_1_2 * C00002 * C00024 * C00288))</v>
      </c>
    </row>
    <row r="704" spans="1:11" ht="45" customHeight="1" x14ac:dyDescent="0.25">
      <c r="A704" t="s">
        <v>2769</v>
      </c>
      <c r="B704" t="s">
        <v>2770</v>
      </c>
      <c r="C704" s="5" t="s">
        <v>9598</v>
      </c>
      <c r="D704">
        <f t="shared" si="40"/>
        <v>703</v>
      </c>
      <c r="E704" t="str">
        <f t="shared" si="41"/>
        <v>E2_5_1_49</v>
      </c>
      <c r="F704" s="11" t="s">
        <v>14242</v>
      </c>
      <c r="G704" s="11" t="s">
        <v>14845</v>
      </c>
      <c r="H704" s="11" t="s">
        <v>15449</v>
      </c>
      <c r="I704" s="11" t="s">
        <v>16070</v>
      </c>
      <c r="J704" s="12" t="str">
        <f t="shared" si="42"/>
        <v>(${Variables:E2_5_1_49_kcat} * E2_5_1_49 * C00409 * C01077)/(${Variables:E2_5_1_49_km} + (E2_5_1_49 * C00409 * C01077))</v>
      </c>
      <c r="K704" s="11" t="str">
        <f t="shared" si="43"/>
        <v>r703: C00409 + C01077 -&gt; C00033 + C00073 | (${Variables:E2_5_1_49_kcat} * E2_5_1_49 * C00409 * C01077)/(${Variables:E2_5_1_49_km} + (E2_5_1_49 * C00409 * C01077))</v>
      </c>
    </row>
    <row r="705" spans="1:11" ht="45" customHeight="1" x14ac:dyDescent="0.25">
      <c r="A705" t="s">
        <v>2769</v>
      </c>
      <c r="B705" t="s">
        <v>2770</v>
      </c>
      <c r="C705" s="5" t="s">
        <v>9598</v>
      </c>
      <c r="D705">
        <f t="shared" si="40"/>
        <v>704</v>
      </c>
      <c r="E705" t="str">
        <f t="shared" si="41"/>
        <v>E2_5_1_49</v>
      </c>
      <c r="F705" s="11" t="s">
        <v>14243</v>
      </c>
      <c r="G705" s="11" t="s">
        <v>14846</v>
      </c>
      <c r="H705" s="11" t="s">
        <v>15450</v>
      </c>
      <c r="I705" s="11" t="s">
        <v>16071</v>
      </c>
      <c r="J705" s="12" t="str">
        <f t="shared" si="42"/>
        <v>(${Variables:E2_5_1_49_kcat} * E2_5_1_49 * C00283 * C01077)/(${Variables:E2_5_1_49_km} + (E2_5_1_49 * C00283 * C01077))</v>
      </c>
      <c r="K705" s="11" t="str">
        <f t="shared" si="43"/>
        <v>r704: C00283 + C01077 -&gt; C00033 + C00155 | (${Variables:E2_5_1_49_kcat} * E2_5_1_49 * C00283 * C01077)/(${Variables:E2_5_1_49_km} + (E2_5_1_49 * C00283 * C01077))</v>
      </c>
    </row>
    <row r="706" spans="1:11" ht="45" customHeight="1" x14ac:dyDescent="0.25">
      <c r="A706" t="s">
        <v>2769</v>
      </c>
      <c r="B706" t="s">
        <v>2770</v>
      </c>
      <c r="C706" s="5" t="s">
        <v>9598</v>
      </c>
      <c r="D706">
        <f t="shared" si="40"/>
        <v>705</v>
      </c>
      <c r="E706" t="str">
        <f t="shared" si="41"/>
        <v>E2_5_1_49</v>
      </c>
      <c r="F706" s="11" t="s">
        <v>13946</v>
      </c>
      <c r="G706" s="11" t="s">
        <v>14549</v>
      </c>
      <c r="H706" s="11" t="s">
        <v>15149</v>
      </c>
      <c r="I706" s="11" t="s">
        <v>15770</v>
      </c>
      <c r="J706" s="12" t="str">
        <f t="shared" si="42"/>
        <v>(${Variables:E2_5_1_49_kcat} * E2_5_1_49 * C00080 * C00320 * C00342 * C00979)/(${Variables:E2_5_1_49_km} + (E2_5_1_49 * C00080 * C00320 * C00342 * C00979))</v>
      </c>
      <c r="K706" s="11" t="str">
        <f t="shared" si="43"/>
        <v>r705: C00080 + C00320 + C00342 + C00979 -&gt; C00033 + C00094 + C00097 + C00343 | (${Variables:E2_5_1_49_kcat} * E2_5_1_49 * C00080 * C00320 * C00342 * C00979)/(${Variables:E2_5_1_49_km} + (E2_5_1_49 * C00080 * C00320 * C00342 * C00979))</v>
      </c>
    </row>
    <row r="707" spans="1:11" ht="45" customHeight="1" x14ac:dyDescent="0.25">
      <c r="A707" t="s">
        <v>2786</v>
      </c>
      <c r="B707" t="s">
        <v>2787</v>
      </c>
      <c r="C707" s="5" t="s">
        <v>9599</v>
      </c>
      <c r="D707">
        <f t="shared" ref="D707:D770" si="44">ROW()-1</f>
        <v>706</v>
      </c>
      <c r="E707" t="str">
        <f t="shared" ref="E707:E770" si="45">_xlfn.CONCAT("E", C707)</f>
        <v>E6_1_1_16</v>
      </c>
      <c r="F707" s="11" t="s">
        <v>8740</v>
      </c>
      <c r="G707" s="11" t="s">
        <v>8906</v>
      </c>
      <c r="H707" s="11" t="s">
        <v>15451</v>
      </c>
      <c r="I707" s="11" t="s">
        <v>16072</v>
      </c>
      <c r="J707" s="12" t="str">
        <f t="shared" ref="J707:J770" si="46">CONCATENATE("(${Variables:",E707,"_kcat","} * ",E707," * ",G707,")","/(${Variables:",E707,"_km","} + (",E707," * ",G707,"))")</f>
        <v>(${Variables:E6_1_1_16_kcat} * E6_1_1_16 * C00002 * C00097 * C01639)/(${Variables:E6_1_1_16_km} + (E6_1_1_16 * C00002 * C00097 * C01639))</v>
      </c>
      <c r="K707" s="11" t="str">
        <f t="shared" ref="K707:K770" si="47">CONCATENATE("r",D707,": ",F707," -&gt; ",H707," | ",J707)</f>
        <v>r706: C00002 + C00097 + C01639 -&gt; C00013 + C00020 + C03125 | (${Variables:E6_1_1_16_kcat} * E6_1_1_16 * C00002 * C00097 * C01639)/(${Variables:E6_1_1_16_km} + (E6_1_1_16 * C00002 * C00097 * C01639))</v>
      </c>
    </row>
    <row r="708" spans="1:11" ht="45" customHeight="1" x14ac:dyDescent="0.25">
      <c r="A708" t="s">
        <v>2789</v>
      </c>
      <c r="B708" t="s">
        <v>2790</v>
      </c>
      <c r="C708" s="5" t="s">
        <v>9402</v>
      </c>
      <c r="D708">
        <f t="shared" si="44"/>
        <v>707</v>
      </c>
      <c r="E708" t="str">
        <f t="shared" si="45"/>
        <v>E1_3_8_1</v>
      </c>
      <c r="F708" s="11" t="s">
        <v>13971</v>
      </c>
      <c r="G708" s="11" t="s">
        <v>14574</v>
      </c>
      <c r="H708" s="11" t="s">
        <v>15163</v>
      </c>
      <c r="I708" s="11" t="s">
        <v>15784</v>
      </c>
      <c r="J708" s="12" t="str">
        <f t="shared" si="46"/>
        <v>(${Variables:E1_3_8_1_kcat} * E1_3_8_1 * C04253 * C20675)/(${Variables:E1_3_8_1_km} + (E1_3_8_1 * C04253 * C20675))</v>
      </c>
      <c r="K708" s="11" t="str">
        <f t="shared" si="47"/>
        <v>r707: C04253 + C20675 -&gt; C04570 + C20676 | (${Variables:E1_3_8_1_kcat} * E1_3_8_1 * C04253 * C20675)/(${Variables:E1_3_8_1_km} + (E1_3_8_1 * C04253 * C20675))</v>
      </c>
    </row>
    <row r="709" spans="1:11" ht="45" customHeight="1" x14ac:dyDescent="0.25">
      <c r="A709" t="s">
        <v>2789</v>
      </c>
      <c r="B709" t="s">
        <v>2790</v>
      </c>
      <c r="C709" s="5" t="s">
        <v>9402</v>
      </c>
      <c r="D709">
        <f t="shared" si="44"/>
        <v>708</v>
      </c>
      <c r="E709" t="str">
        <f t="shared" si="45"/>
        <v>E1_3_8_1</v>
      </c>
      <c r="F709" s="11" t="s">
        <v>13972</v>
      </c>
      <c r="G709" s="11" t="s">
        <v>14575</v>
      </c>
      <c r="H709" s="11" t="s">
        <v>15164</v>
      </c>
      <c r="I709" s="11" t="s">
        <v>15785</v>
      </c>
      <c r="J709" s="12" t="str">
        <f t="shared" si="46"/>
        <v>(${Variables:E1_3_8_1_kcat} * E1_3_8_1 * C00016 * C00136)/(${Variables:E1_3_8_1_km} + (E1_3_8_1 * C00016 * C00136))</v>
      </c>
      <c r="K709" s="11" t="str">
        <f t="shared" si="47"/>
        <v>r708: C00016 + C00136 -&gt; C00877 + C01352 | (${Variables:E1_3_8_1_kcat} * E1_3_8_1 * C00016 * C00136)/(${Variables:E1_3_8_1_km} + (E1_3_8_1 * C00016 * C00136))</v>
      </c>
    </row>
    <row r="710" spans="1:11" ht="45" customHeight="1" x14ac:dyDescent="0.25">
      <c r="A710" t="s">
        <v>2789</v>
      </c>
      <c r="B710" t="s">
        <v>2790</v>
      </c>
      <c r="C710" s="5" t="s">
        <v>9402</v>
      </c>
      <c r="D710">
        <f t="shared" si="44"/>
        <v>709</v>
      </c>
      <c r="E710" t="str">
        <f t="shared" si="45"/>
        <v>E1_3_8_1</v>
      </c>
      <c r="F710" s="11" t="s">
        <v>13973</v>
      </c>
      <c r="G710" s="11" t="s">
        <v>14576</v>
      </c>
      <c r="H710" s="11" t="s">
        <v>15165</v>
      </c>
      <c r="I710" s="11" t="s">
        <v>15786</v>
      </c>
      <c r="J710" s="12" t="str">
        <f t="shared" si="46"/>
        <v>(${Variables:E1_3_8_1_kcat} * E1_3_8_1 * C00016 * C05270)/(${Variables:E1_3_8_1_km} + (E1_3_8_1 * C00016 * C05270))</v>
      </c>
      <c r="K710" s="11" t="str">
        <f t="shared" si="47"/>
        <v>r709: C00016 + C05270 -&gt; C01352 + C05271 | (${Variables:E1_3_8_1_kcat} * E1_3_8_1 * C00016 * C05270)/(${Variables:E1_3_8_1_km} + (E1_3_8_1 * C00016 * C05270))</v>
      </c>
    </row>
    <row r="711" spans="1:11" ht="45" customHeight="1" x14ac:dyDescent="0.25">
      <c r="A711" t="s">
        <v>2789</v>
      </c>
      <c r="B711" t="s">
        <v>2790</v>
      </c>
      <c r="C711" s="5" t="s">
        <v>9402</v>
      </c>
      <c r="D711">
        <f t="shared" si="44"/>
        <v>710</v>
      </c>
      <c r="E711" t="str">
        <f t="shared" si="45"/>
        <v>E1_3_8_1</v>
      </c>
      <c r="F711" s="11" t="s">
        <v>13974</v>
      </c>
      <c r="G711" s="11" t="s">
        <v>14577</v>
      </c>
      <c r="H711" s="11" t="s">
        <v>15166</v>
      </c>
      <c r="I711" s="11" t="s">
        <v>15787</v>
      </c>
      <c r="J711" s="12" t="str">
        <f t="shared" si="46"/>
        <v>(${Variables:E1_3_8_1_kcat} * E1_3_8_1 * C00028 * C00630)/(${Variables:E1_3_8_1_km} + (E1_3_8_1 * C00028 * C00630))</v>
      </c>
      <c r="K711" s="11" t="str">
        <f t="shared" si="47"/>
        <v>r710: C00028 + C00630 -&gt; C00030 + C03460 | (${Variables:E1_3_8_1_kcat} * E1_3_8_1 * C00028 * C00630)/(${Variables:E1_3_8_1_km} + (E1_3_8_1 * C00028 * C00630))</v>
      </c>
    </row>
    <row r="712" spans="1:11" ht="45" customHeight="1" x14ac:dyDescent="0.25">
      <c r="A712" t="s">
        <v>2789</v>
      </c>
      <c r="B712" t="s">
        <v>2790</v>
      </c>
      <c r="C712" s="5" t="s">
        <v>9402</v>
      </c>
      <c r="D712">
        <f t="shared" si="44"/>
        <v>711</v>
      </c>
      <c r="E712" t="str">
        <f t="shared" si="45"/>
        <v>E1_3_8_1</v>
      </c>
      <c r="F712" s="11" t="s">
        <v>13975</v>
      </c>
      <c r="G712" s="11" t="s">
        <v>14578</v>
      </c>
      <c r="H712" s="11" t="s">
        <v>15167</v>
      </c>
      <c r="I712" s="11" t="s">
        <v>15788</v>
      </c>
      <c r="J712" s="12" t="str">
        <f t="shared" si="46"/>
        <v>(${Variables:E1_3_8_1_kcat} * E1_3_8_1 * C00028 * C15980)/(${Variables:E1_3_8_1_km} + (E1_3_8_1 * C00028 * C15980))</v>
      </c>
      <c r="K712" s="11" t="str">
        <f t="shared" si="47"/>
        <v>r711: C00028 + C15980 -&gt; C00030 + C03345 | (${Variables:E1_3_8_1_kcat} * E1_3_8_1 * C00028 * C15980)/(${Variables:E1_3_8_1_km} + (E1_3_8_1 * C00028 * C15980))</v>
      </c>
    </row>
    <row r="713" spans="1:11" ht="45" customHeight="1" x14ac:dyDescent="0.25">
      <c r="A713" t="s">
        <v>2789</v>
      </c>
      <c r="B713" t="s">
        <v>2790</v>
      </c>
      <c r="C713" s="5" t="s">
        <v>9402</v>
      </c>
      <c r="D713">
        <f t="shared" si="44"/>
        <v>712</v>
      </c>
      <c r="E713" t="str">
        <f t="shared" si="45"/>
        <v>E1_3_8_1</v>
      </c>
      <c r="F713" s="11" t="s">
        <v>13976</v>
      </c>
      <c r="G713" s="11" t="s">
        <v>14579</v>
      </c>
      <c r="H713" s="11" t="s">
        <v>15168</v>
      </c>
      <c r="I713" s="11" t="s">
        <v>15789</v>
      </c>
      <c r="J713" s="12" t="str">
        <f t="shared" si="46"/>
        <v>(${Variables:E1_3_8_1_kcat} * E1_3_8_1 * C00100 * C04253)/(${Variables:E1_3_8_1_km} + (E1_3_8_1 * C00100 * C04253))</v>
      </c>
      <c r="K713" s="11" t="str">
        <f t="shared" si="47"/>
        <v>r712: C00100 + C04253 -&gt; C00894 + C04570 | (${Variables:E1_3_8_1_kcat} * E1_3_8_1 * C00100 * C04253)/(${Variables:E1_3_8_1_km} + (E1_3_8_1 * C00100 * C04253))</v>
      </c>
    </row>
    <row r="714" spans="1:11" ht="45" customHeight="1" x14ac:dyDescent="0.25">
      <c r="A714" t="s">
        <v>2791</v>
      </c>
      <c r="B714" t="s">
        <v>2792</v>
      </c>
      <c r="C714" s="5" t="s">
        <v>9537</v>
      </c>
      <c r="D714">
        <f t="shared" si="44"/>
        <v>713</v>
      </c>
      <c r="E714" t="str">
        <f t="shared" si="45"/>
        <v>E2_3_1_9</v>
      </c>
      <c r="F714" s="11" t="s">
        <v>8227</v>
      </c>
      <c r="G714" s="11" t="s">
        <v>8227</v>
      </c>
      <c r="H714" s="11" t="s">
        <v>9075</v>
      </c>
      <c r="I714" s="11" t="s">
        <v>9274</v>
      </c>
      <c r="J714" s="12" t="str">
        <f t="shared" si="46"/>
        <v>(${Variables:E2_3_1_9_kcat} * E2_3_1_9 * C00024)/(${Variables:E2_3_1_9_km} + (E2_3_1_9 * C00024))</v>
      </c>
      <c r="K714" s="11" t="str">
        <f t="shared" si="47"/>
        <v>r713: C00024 -&gt; C00010 + C00332 | (${Variables:E2_3_1_9_kcat} * E2_3_1_9 * C00024)/(${Variables:E2_3_1_9_km} + (E2_3_1_9 * C00024))</v>
      </c>
    </row>
    <row r="715" spans="1:11" ht="45" customHeight="1" x14ac:dyDescent="0.25">
      <c r="A715" t="s">
        <v>2791</v>
      </c>
      <c r="B715" t="s">
        <v>2792</v>
      </c>
      <c r="C715" s="5" t="s">
        <v>9537</v>
      </c>
      <c r="D715">
        <f t="shared" si="44"/>
        <v>714</v>
      </c>
      <c r="E715" t="str">
        <f t="shared" si="45"/>
        <v>E2_3_1_9</v>
      </c>
      <c r="F715" s="11" t="s">
        <v>14141</v>
      </c>
      <c r="G715" s="11" t="s">
        <v>14744</v>
      </c>
      <c r="H715" s="11" t="s">
        <v>9076</v>
      </c>
      <c r="I715" s="11" t="s">
        <v>9275</v>
      </c>
      <c r="J715" s="12" t="str">
        <f t="shared" si="46"/>
        <v>(${Variables:E2_3_1_9_kcat} * E2_3_1_9 * C00024 * C00100)/(${Variables:E2_3_1_9_km} + (E2_3_1_9 * C00024 * C00100))</v>
      </c>
      <c r="K715" s="11" t="str">
        <f t="shared" si="47"/>
        <v>r714: C00024 + C00100 -&gt; C00010 + C03344 | (${Variables:E2_3_1_9_kcat} * E2_3_1_9 * C00024 * C00100)/(${Variables:E2_3_1_9_km} + (E2_3_1_9 * C00024 * C00100))</v>
      </c>
    </row>
    <row r="716" spans="1:11" ht="45" customHeight="1" x14ac:dyDescent="0.25">
      <c r="A716" t="s">
        <v>2791</v>
      </c>
      <c r="B716" t="s">
        <v>2792</v>
      </c>
      <c r="C716" s="5" t="s">
        <v>9537</v>
      </c>
      <c r="D716">
        <f t="shared" si="44"/>
        <v>715</v>
      </c>
      <c r="E716" t="str">
        <f t="shared" si="45"/>
        <v>E2_3_1_9</v>
      </c>
      <c r="F716" s="11" t="s">
        <v>8716</v>
      </c>
      <c r="G716" s="11" t="s">
        <v>8882</v>
      </c>
      <c r="H716" s="11" t="s">
        <v>9077</v>
      </c>
      <c r="I716" s="11" t="s">
        <v>9276</v>
      </c>
      <c r="J716" s="12" t="str">
        <f t="shared" si="46"/>
        <v>(${Variables:E2_3_1_9_kcat} * E2_3_1_9 * C00024 * C00136)/(${Variables:E2_3_1_9_km} + (E2_3_1_9 * C00024 * C00136))</v>
      </c>
      <c r="K716" s="11" t="str">
        <f t="shared" si="47"/>
        <v>r715: C00024 + C00136 -&gt; C00010 + C05269 | (${Variables:E2_3_1_9_kcat} * E2_3_1_9 * C00024 * C00136)/(${Variables:E2_3_1_9_km} + (E2_3_1_9 * C00024 * C00136))</v>
      </c>
    </row>
    <row r="717" spans="1:11" ht="45" customHeight="1" x14ac:dyDescent="0.25">
      <c r="A717" t="s">
        <v>2794</v>
      </c>
      <c r="B717" t="s">
        <v>2795</v>
      </c>
      <c r="C717" s="5" t="s">
        <v>9538</v>
      </c>
      <c r="D717">
        <f t="shared" si="44"/>
        <v>716</v>
      </c>
      <c r="E717" t="str">
        <f t="shared" si="45"/>
        <v>E1_1_1_35</v>
      </c>
      <c r="F717" s="11" t="s">
        <v>14142</v>
      </c>
      <c r="G717" s="11" t="s">
        <v>14745</v>
      </c>
      <c r="H717" s="11" t="s">
        <v>15343</v>
      </c>
      <c r="I717" s="11" t="s">
        <v>15964</v>
      </c>
      <c r="J717" s="12" t="str">
        <f t="shared" si="46"/>
        <v>(${Variables:E1_1_1_35_kcat} * E1_1_1_35 * C00003 * C00640)/(${Variables:E1_1_1_35_km} + (E1_1_1_35 * C00003 * C00640))</v>
      </c>
      <c r="K717" s="11" t="str">
        <f t="shared" si="47"/>
        <v>r716: C00003 + C00640 -&gt; C00004 + C00080 + C00264 | (${Variables:E1_1_1_35_kcat} * E1_1_1_35 * C00003 * C00640)/(${Variables:E1_1_1_35_km} + (E1_1_1_35 * C00003 * C00640))</v>
      </c>
    </row>
    <row r="718" spans="1:11" ht="45" customHeight="1" x14ac:dyDescent="0.25">
      <c r="A718" t="s">
        <v>2794</v>
      </c>
      <c r="B718" t="s">
        <v>2795</v>
      </c>
      <c r="C718" s="5" t="s">
        <v>9538</v>
      </c>
      <c r="D718">
        <f t="shared" si="44"/>
        <v>717</v>
      </c>
      <c r="E718" t="str">
        <f t="shared" si="45"/>
        <v>E1_1_1_35</v>
      </c>
      <c r="F718" s="11" t="s">
        <v>14143</v>
      </c>
      <c r="G718" s="11" t="s">
        <v>14746</v>
      </c>
      <c r="H718" s="11" t="s">
        <v>15344</v>
      </c>
      <c r="I718" s="11" t="s">
        <v>15965</v>
      </c>
      <c r="J718" s="12" t="str">
        <f t="shared" si="46"/>
        <v>(${Variables:E1_1_1_35_kcat} * E1_1_1_35 * C00003 * C01144)/(${Variables:E1_1_1_35_km} + (E1_1_1_35 * C00003 * C01144))</v>
      </c>
      <c r="K718" s="11" t="str">
        <f t="shared" si="47"/>
        <v>r717: C00003 + C01144 -&gt; C00004 + C00080 + C00332 | (${Variables:E1_1_1_35_kcat} * E1_1_1_35 * C00003 * C01144)/(${Variables:E1_1_1_35_km} + (E1_1_1_35 * C00003 * C01144))</v>
      </c>
    </row>
    <row r="719" spans="1:11" ht="45" customHeight="1" x14ac:dyDescent="0.25">
      <c r="A719" t="s">
        <v>2794</v>
      </c>
      <c r="B719" t="s">
        <v>2795</v>
      </c>
      <c r="C719" s="5" t="s">
        <v>9538</v>
      </c>
      <c r="D719">
        <f t="shared" si="44"/>
        <v>718</v>
      </c>
      <c r="E719" t="str">
        <f t="shared" si="45"/>
        <v>E1_1_1_35</v>
      </c>
      <c r="F719" s="11" t="s">
        <v>14144</v>
      </c>
      <c r="G719" s="11" t="s">
        <v>14747</v>
      </c>
      <c r="H719" s="11" t="s">
        <v>15345</v>
      </c>
      <c r="I719" s="11" t="s">
        <v>15966</v>
      </c>
      <c r="J719" s="12" t="str">
        <f t="shared" si="46"/>
        <v>(${Variables:E1_1_1_35_kcat} * E1_1_1_35 * C00003 * C04405)/(${Variables:E1_1_1_35_km} + (E1_1_1_35 * C00003 * C04405))</v>
      </c>
      <c r="K719" s="11" t="str">
        <f t="shared" si="47"/>
        <v>r718: C00003 + C04405 -&gt; C00004 + C00080 + C03344 | (${Variables:E1_1_1_35_kcat} * E1_1_1_35 * C00003 * C04405)/(${Variables:E1_1_1_35_km} + (E1_1_1_35 * C00003 * C04405))</v>
      </c>
    </row>
    <row r="720" spans="1:11" ht="45" customHeight="1" x14ac:dyDescent="0.25">
      <c r="A720" t="s">
        <v>2794</v>
      </c>
      <c r="B720" t="s">
        <v>2795</v>
      </c>
      <c r="C720" s="5" t="s">
        <v>9538</v>
      </c>
      <c r="D720">
        <f t="shared" si="44"/>
        <v>719</v>
      </c>
      <c r="E720" t="str">
        <f t="shared" si="45"/>
        <v>E1_1_1_35</v>
      </c>
      <c r="F720" s="11" t="s">
        <v>14145</v>
      </c>
      <c r="G720" s="11" t="s">
        <v>14748</v>
      </c>
      <c r="H720" s="11" t="s">
        <v>15346</v>
      </c>
      <c r="I720" s="11" t="s">
        <v>15967</v>
      </c>
      <c r="J720" s="12" t="str">
        <f t="shared" si="46"/>
        <v>(${Variables:E1_1_1_35_kcat} * E1_1_1_35 * C00003 * C05258)/(${Variables:E1_1_1_35_km} + (E1_1_1_35 * C00003 * C05258))</v>
      </c>
      <c r="K720" s="11" t="str">
        <f t="shared" si="47"/>
        <v>r719: C00003 + C05258 -&gt; C00004 + C00080 + C05259 | (${Variables:E1_1_1_35_kcat} * E1_1_1_35 * C00003 * C05258)/(${Variables:E1_1_1_35_km} + (E1_1_1_35 * C00003 * C05258))</v>
      </c>
    </row>
    <row r="721" spans="1:11" ht="45" customHeight="1" x14ac:dyDescent="0.25">
      <c r="A721" t="s">
        <v>2794</v>
      </c>
      <c r="B721" t="s">
        <v>2795</v>
      </c>
      <c r="C721" s="5" t="s">
        <v>9538</v>
      </c>
      <c r="D721">
        <f t="shared" si="44"/>
        <v>720</v>
      </c>
      <c r="E721" t="str">
        <f t="shared" si="45"/>
        <v>E1_1_1_35</v>
      </c>
      <c r="F721" s="11" t="s">
        <v>14146</v>
      </c>
      <c r="G721" s="11" t="s">
        <v>14749</v>
      </c>
      <c r="H721" s="11" t="s">
        <v>15347</v>
      </c>
      <c r="I721" s="11" t="s">
        <v>15968</v>
      </c>
      <c r="J721" s="12" t="str">
        <f t="shared" si="46"/>
        <v>(${Variables:E1_1_1_35_kcat} * E1_1_1_35 * C00003 * C05260)/(${Variables:E1_1_1_35_km} + (E1_1_1_35 * C00003 * C05260))</v>
      </c>
      <c r="K721" s="11" t="str">
        <f t="shared" si="47"/>
        <v>r720: C00003 + C05260 -&gt; C00004 + C05261 | (${Variables:E1_1_1_35_kcat} * E1_1_1_35 * C00003 * C05260)/(${Variables:E1_1_1_35_km} + (E1_1_1_35 * C00003 * C05260))</v>
      </c>
    </row>
    <row r="722" spans="1:11" ht="45" customHeight="1" x14ac:dyDescent="0.25">
      <c r="A722" t="s">
        <v>2794</v>
      </c>
      <c r="B722" t="s">
        <v>2795</v>
      </c>
      <c r="C722" s="5" t="s">
        <v>9538</v>
      </c>
      <c r="D722">
        <f t="shared" si="44"/>
        <v>721</v>
      </c>
      <c r="E722" t="str">
        <f t="shared" si="45"/>
        <v>E1_1_1_35</v>
      </c>
      <c r="F722" s="11" t="s">
        <v>14147</v>
      </c>
      <c r="G722" s="11" t="s">
        <v>14750</v>
      </c>
      <c r="H722" s="11" t="s">
        <v>15348</v>
      </c>
      <c r="I722" s="11" t="s">
        <v>15969</v>
      </c>
      <c r="J722" s="12" t="str">
        <f t="shared" si="46"/>
        <v>(${Variables:E1_1_1_35_kcat} * E1_1_1_35 * C00003 * C05262)/(${Variables:E1_1_1_35_km} + (E1_1_1_35 * C00003 * C05262))</v>
      </c>
      <c r="K722" s="11" t="str">
        <f t="shared" si="47"/>
        <v>r721: C00003 + C05262 -&gt; C00004 + C00080 + C05263 | (${Variables:E1_1_1_35_kcat} * E1_1_1_35 * C00003 * C05262)/(${Variables:E1_1_1_35_km} + (E1_1_1_35 * C00003 * C05262))</v>
      </c>
    </row>
    <row r="723" spans="1:11" ht="45" customHeight="1" x14ac:dyDescent="0.25">
      <c r="A723" t="s">
        <v>2794</v>
      </c>
      <c r="B723" t="s">
        <v>2795</v>
      </c>
      <c r="C723" s="5" t="s">
        <v>9538</v>
      </c>
      <c r="D723">
        <f t="shared" si="44"/>
        <v>722</v>
      </c>
      <c r="E723" t="str">
        <f t="shared" si="45"/>
        <v>E1_1_1_35</v>
      </c>
      <c r="F723" s="11" t="s">
        <v>14148</v>
      </c>
      <c r="G723" s="11" t="s">
        <v>14751</v>
      </c>
      <c r="H723" s="11" t="s">
        <v>15349</v>
      </c>
      <c r="I723" s="11" t="s">
        <v>15970</v>
      </c>
      <c r="J723" s="12" t="str">
        <f t="shared" si="46"/>
        <v>(${Variables:E1_1_1_35_kcat} * E1_1_1_35 * C00003 * C05264)/(${Variables:E1_1_1_35_km} + (E1_1_1_35 * C00003 * C05264))</v>
      </c>
      <c r="K723" s="11" t="str">
        <f t="shared" si="47"/>
        <v>r722: C00003 + C05264 -&gt; C00004 + C00080 + C05265 | (${Variables:E1_1_1_35_kcat} * E1_1_1_35 * C00003 * C05264)/(${Variables:E1_1_1_35_km} + (E1_1_1_35 * C00003 * C05264))</v>
      </c>
    </row>
    <row r="724" spans="1:11" ht="45" customHeight="1" x14ac:dyDescent="0.25">
      <c r="A724" t="s">
        <v>2794</v>
      </c>
      <c r="B724" t="s">
        <v>2795</v>
      </c>
      <c r="C724" s="5" t="s">
        <v>9538</v>
      </c>
      <c r="D724">
        <f t="shared" si="44"/>
        <v>723</v>
      </c>
      <c r="E724" t="str">
        <f t="shared" si="45"/>
        <v>E1_1_1_35</v>
      </c>
      <c r="F724" s="11" t="s">
        <v>14149</v>
      </c>
      <c r="G724" s="11" t="s">
        <v>14752</v>
      </c>
      <c r="H724" s="11" t="s">
        <v>15350</v>
      </c>
      <c r="I724" s="11" t="s">
        <v>15971</v>
      </c>
      <c r="J724" s="12" t="str">
        <f t="shared" si="46"/>
        <v>(${Variables:E1_1_1_35_kcat} * E1_1_1_35 * C00003 * C05266)/(${Variables:E1_1_1_35_km} + (E1_1_1_35 * C00003 * C05266))</v>
      </c>
      <c r="K724" s="11" t="str">
        <f t="shared" si="47"/>
        <v>r723: C00003 + C05266 -&gt; C00004 + C00080 + C05267 | (${Variables:E1_1_1_35_kcat} * E1_1_1_35 * C00003 * C05266)/(${Variables:E1_1_1_35_km} + (E1_1_1_35 * C00003 * C05266))</v>
      </c>
    </row>
    <row r="725" spans="1:11" ht="45" customHeight="1" x14ac:dyDescent="0.25">
      <c r="A725" t="s">
        <v>2794</v>
      </c>
      <c r="B725" t="s">
        <v>2795</v>
      </c>
      <c r="C725" s="5" t="s">
        <v>9538</v>
      </c>
      <c r="D725">
        <f t="shared" si="44"/>
        <v>724</v>
      </c>
      <c r="E725" t="str">
        <f t="shared" si="45"/>
        <v>E1_1_1_35</v>
      </c>
      <c r="F725" s="11" t="s">
        <v>14150</v>
      </c>
      <c r="G725" s="11" t="s">
        <v>14753</v>
      </c>
      <c r="H725" s="11" t="s">
        <v>15351</v>
      </c>
      <c r="I725" s="11" t="s">
        <v>15972</v>
      </c>
      <c r="J725" s="12" t="str">
        <f t="shared" si="46"/>
        <v>(${Variables:E1_1_1_35_kcat} * E1_1_1_35 * C00003 * C05268)/(${Variables:E1_1_1_35_km} + (E1_1_1_35 * C00003 * C05268))</v>
      </c>
      <c r="K725" s="11" t="str">
        <f t="shared" si="47"/>
        <v>r724: C00003 + C05268 -&gt; C00004 + C00080 + C05269 | (${Variables:E1_1_1_35_kcat} * E1_1_1_35 * C00003 * C05268)/(${Variables:E1_1_1_35_km} + (E1_1_1_35 * C00003 * C05268))</v>
      </c>
    </row>
    <row r="726" spans="1:11" ht="45" customHeight="1" x14ac:dyDescent="0.25">
      <c r="A726" t="s">
        <v>2794</v>
      </c>
      <c r="B726" t="s">
        <v>2795</v>
      </c>
      <c r="C726" s="5" t="s">
        <v>9538</v>
      </c>
      <c r="D726">
        <f t="shared" si="44"/>
        <v>725</v>
      </c>
      <c r="E726" t="str">
        <f t="shared" si="45"/>
        <v>E1_1_1_35</v>
      </c>
      <c r="F726" s="11" t="s">
        <v>14151</v>
      </c>
      <c r="G726" s="11" t="s">
        <v>14754</v>
      </c>
      <c r="H726" s="11" t="s">
        <v>15352</v>
      </c>
      <c r="I726" s="11" t="s">
        <v>15973</v>
      </c>
      <c r="J726" s="12" t="str">
        <f t="shared" si="46"/>
        <v>(${Variables:E1_1_1_35_kcat} * E1_1_1_35 * C00003 * C14145)/(${Variables:E1_1_1_35_km} + (E1_1_1_35 * C00003 * C14145))</v>
      </c>
      <c r="K726" s="11" t="str">
        <f t="shared" si="47"/>
        <v>r725: C00003 + C14145 -&gt; C00004 + C00080 + C02232 | (${Variables:E1_1_1_35_kcat} * E1_1_1_35 * C00003 * C14145)/(${Variables:E1_1_1_35_km} + (E1_1_1_35 * C00003 * C14145))</v>
      </c>
    </row>
    <row r="727" spans="1:11" ht="45" customHeight="1" x14ac:dyDescent="0.25">
      <c r="A727" t="s">
        <v>2794</v>
      </c>
      <c r="B727" t="s">
        <v>2795</v>
      </c>
      <c r="C727" s="5" t="s">
        <v>9538</v>
      </c>
      <c r="D727">
        <f t="shared" si="44"/>
        <v>726</v>
      </c>
      <c r="E727" t="str">
        <f t="shared" si="45"/>
        <v>E1_1_1_35</v>
      </c>
      <c r="F727" s="11" t="s">
        <v>14152</v>
      </c>
      <c r="G727" s="11" t="s">
        <v>14755</v>
      </c>
      <c r="H727" s="11" t="s">
        <v>15353</v>
      </c>
      <c r="I727" s="11" t="s">
        <v>15974</v>
      </c>
      <c r="J727" s="12" t="str">
        <f t="shared" si="46"/>
        <v>(${Variables:E1_1_1_35_kcat} * E1_1_1_35 * C00003 * C16329)/(${Variables:E1_1_1_35_km} + (E1_1_1_35 * C00003 * C16329))</v>
      </c>
      <c r="K727" s="11" t="str">
        <f t="shared" si="47"/>
        <v>r726: C00003 + C16329 -&gt; C00004 + C00080 + C16330 | (${Variables:E1_1_1_35_kcat} * E1_1_1_35 * C00003 * C16329)/(${Variables:E1_1_1_35_km} + (E1_1_1_35 * C00003 * C16329))</v>
      </c>
    </row>
    <row r="728" spans="1:11" ht="45" customHeight="1" x14ac:dyDescent="0.25">
      <c r="A728" t="s">
        <v>2794</v>
      </c>
      <c r="B728" t="s">
        <v>2795</v>
      </c>
      <c r="C728" s="5" t="s">
        <v>9538</v>
      </c>
      <c r="D728">
        <f t="shared" si="44"/>
        <v>727</v>
      </c>
      <c r="E728" t="str">
        <f t="shared" si="45"/>
        <v>E1_1_1_35</v>
      </c>
      <c r="F728" s="11" t="s">
        <v>14153</v>
      </c>
      <c r="G728" s="11" t="s">
        <v>14756</v>
      </c>
      <c r="H728" s="11" t="s">
        <v>15354</v>
      </c>
      <c r="I728" s="11" t="s">
        <v>15975</v>
      </c>
      <c r="J728" s="12" t="str">
        <f t="shared" si="46"/>
        <v>(${Variables:E1_1_1_35_kcat} * E1_1_1_35 * C00003 * C16333)/(${Variables:E1_1_1_35_km} + (E1_1_1_35 * C00003 * C16333))</v>
      </c>
      <c r="K728" s="11" t="str">
        <f t="shared" si="47"/>
        <v>r727: C00003 + C16333 -&gt; C00004 + C00080 + C16334 | (${Variables:E1_1_1_35_kcat} * E1_1_1_35 * C00003 * C16333)/(${Variables:E1_1_1_35_km} + (E1_1_1_35 * C00003 * C16333))</v>
      </c>
    </row>
    <row r="729" spans="1:11" ht="45" customHeight="1" x14ac:dyDescent="0.25">
      <c r="A729" t="s">
        <v>2794</v>
      </c>
      <c r="B729" t="s">
        <v>2795</v>
      </c>
      <c r="C729" s="5" t="s">
        <v>9538</v>
      </c>
      <c r="D729">
        <f t="shared" si="44"/>
        <v>728</v>
      </c>
      <c r="E729" t="str">
        <f t="shared" si="45"/>
        <v>E1_1_1_35</v>
      </c>
      <c r="F729" s="11" t="s">
        <v>14154</v>
      </c>
      <c r="G729" s="11" t="s">
        <v>14757</v>
      </c>
      <c r="H729" s="11" t="s">
        <v>15355</v>
      </c>
      <c r="I729" s="11" t="s">
        <v>15976</v>
      </c>
      <c r="J729" s="12" t="str">
        <f t="shared" si="46"/>
        <v>(${Variables:E1_1_1_35_kcat} * E1_1_1_35 * C00003 * C16337)/(${Variables:E1_1_1_35_km} + (E1_1_1_35 * C00003 * C16337))</v>
      </c>
      <c r="K729" s="11" t="str">
        <f t="shared" si="47"/>
        <v>r728: C00003 + C16337 -&gt; C00004 + C00080 + C16338 | (${Variables:E1_1_1_35_kcat} * E1_1_1_35 * C00003 * C16337)/(${Variables:E1_1_1_35_km} + (E1_1_1_35 * C00003 * C16337))</v>
      </c>
    </row>
    <row r="730" spans="1:11" ht="45" customHeight="1" x14ac:dyDescent="0.25">
      <c r="A730" t="s">
        <v>2794</v>
      </c>
      <c r="B730" t="s">
        <v>2795</v>
      </c>
      <c r="C730" s="5" t="s">
        <v>9538</v>
      </c>
      <c r="D730">
        <f t="shared" si="44"/>
        <v>729</v>
      </c>
      <c r="E730" t="str">
        <f t="shared" si="45"/>
        <v>E1_1_1_35</v>
      </c>
      <c r="F730" s="11" t="s">
        <v>14155</v>
      </c>
      <c r="G730" s="11" t="s">
        <v>14758</v>
      </c>
      <c r="H730" s="11" t="s">
        <v>15356</v>
      </c>
      <c r="I730" s="11" t="s">
        <v>15977</v>
      </c>
      <c r="J730" s="12" t="str">
        <f t="shared" si="46"/>
        <v>(${Variables:E1_1_1_35_kcat} * E1_1_1_35 * C00003 * C06714)/(${Variables:E1_1_1_35_km} + (E1_1_1_35 * C00003 * C06714))</v>
      </c>
      <c r="K730" s="11" t="str">
        <f t="shared" si="47"/>
        <v>r729: C00003 + C06714 -&gt; C00004 + C00080 + C06715 | (${Variables:E1_1_1_35_kcat} * E1_1_1_35 * C00003 * C06714)/(${Variables:E1_1_1_35_km} + (E1_1_1_35 * C00003 * C06714))</v>
      </c>
    </row>
    <row r="731" spans="1:11" ht="45" customHeight="1" x14ac:dyDescent="0.25">
      <c r="A731" t="s">
        <v>2794</v>
      </c>
      <c r="B731" t="s">
        <v>2795</v>
      </c>
      <c r="C731" s="5" t="s">
        <v>9538</v>
      </c>
      <c r="D731">
        <f t="shared" si="44"/>
        <v>730</v>
      </c>
      <c r="E731" t="str">
        <f t="shared" si="45"/>
        <v>E1_1_1_35</v>
      </c>
      <c r="F731" s="11" t="s">
        <v>14156</v>
      </c>
      <c r="G731" s="11" t="s">
        <v>14759</v>
      </c>
      <c r="H731" s="11" t="s">
        <v>15357</v>
      </c>
      <c r="I731" s="11" t="s">
        <v>15978</v>
      </c>
      <c r="J731" s="12" t="str">
        <f t="shared" si="46"/>
        <v>(${Variables:E1_1_1_35_kcat} * E1_1_1_35 * C00003 * C16469)/(${Variables:E1_1_1_35_km} + (E1_1_1_35 * C00003 * C16469))</v>
      </c>
      <c r="K731" s="11" t="str">
        <f t="shared" si="47"/>
        <v>r730: C00003 + C16469 -&gt; C00004 + C00080 + C16471 | (${Variables:E1_1_1_35_kcat} * E1_1_1_35 * C00003 * C16469)/(${Variables:E1_1_1_35_km} + (E1_1_1_35 * C00003 * C16469))</v>
      </c>
    </row>
    <row r="732" spans="1:11" ht="45" customHeight="1" x14ac:dyDescent="0.25">
      <c r="A732" t="s">
        <v>2823</v>
      </c>
      <c r="B732" t="s">
        <v>2824</v>
      </c>
      <c r="C732" s="5" t="s">
        <v>9397</v>
      </c>
      <c r="D732">
        <f t="shared" si="44"/>
        <v>731</v>
      </c>
      <c r="E732" t="str">
        <f t="shared" si="45"/>
        <v>E6_3_5_6</v>
      </c>
      <c r="F732" s="11" t="s">
        <v>13965</v>
      </c>
      <c r="G732" s="11" t="s">
        <v>14568</v>
      </c>
      <c r="H732" s="11" t="s">
        <v>15156</v>
      </c>
      <c r="I732" s="11" t="s">
        <v>15777</v>
      </c>
      <c r="J732" s="12" t="str">
        <f t="shared" si="46"/>
        <v>(${Variables:E6_3_5_6_kcat} * E6_3_5_6 * C00008 * C00009 * C00025 * C03402)/(${Variables:E6_3_5_6_km} + (E6_3_5_6 * C00008 * C00009 * C00025 * C03402))</v>
      </c>
      <c r="K732" s="11" t="str">
        <f t="shared" si="47"/>
        <v>r731: C00008 + C00009 + C00025 + C03402 -&gt; C00001 + C00002 + C00064 + C06113 | (${Variables:E6_3_5_6_kcat} * E6_3_5_6 * C00008 * C00009 * C00025 * C03402)/(${Variables:E6_3_5_6_km} + (E6_3_5_6 * C00008 * C00009 * C00025 * C03402))</v>
      </c>
    </row>
    <row r="733" spans="1:11" ht="45" customHeight="1" x14ac:dyDescent="0.25">
      <c r="A733" t="s">
        <v>2826</v>
      </c>
      <c r="B733" t="s">
        <v>2827</v>
      </c>
      <c r="C733" s="5" t="s">
        <v>9600</v>
      </c>
      <c r="D733">
        <f t="shared" si="44"/>
        <v>732</v>
      </c>
      <c r="E733" t="str">
        <f t="shared" si="45"/>
        <v>E6_1_1_11</v>
      </c>
      <c r="F733" s="11" t="s">
        <v>8741</v>
      </c>
      <c r="G733" s="11" t="s">
        <v>8907</v>
      </c>
      <c r="H733" s="11" t="s">
        <v>15452</v>
      </c>
      <c r="I733" s="11" t="s">
        <v>16073</v>
      </c>
      <c r="J733" s="12" t="str">
        <f t="shared" si="46"/>
        <v>(${Variables:E6_1_1_11_kcat} * E6_1_1_11 * C00002 * C00065 * C01650)/(${Variables:E6_1_1_11_km} + (E6_1_1_11 * C00002 * C00065 * C01650))</v>
      </c>
      <c r="K733" s="11" t="str">
        <f t="shared" si="47"/>
        <v>r732: C00002 + C00065 + C01650 -&gt; C00013 + C00020 + C02553 | (${Variables:E6_1_1_11_kcat} * E6_1_1_11 * C00002 * C00065 * C01650)/(${Variables:E6_1_1_11_km} + (E6_1_1_11 * C00002 * C00065 * C01650))</v>
      </c>
    </row>
    <row r="734" spans="1:11" ht="45" customHeight="1" x14ac:dyDescent="0.25">
      <c r="A734" t="s">
        <v>2826</v>
      </c>
      <c r="B734" t="s">
        <v>2827</v>
      </c>
      <c r="C734" s="5" t="s">
        <v>9600</v>
      </c>
      <c r="D734">
        <f t="shared" si="44"/>
        <v>733</v>
      </c>
      <c r="E734" t="str">
        <f t="shared" si="45"/>
        <v>E6_1_1_11</v>
      </c>
      <c r="F734" s="11" t="s">
        <v>8742</v>
      </c>
      <c r="G734" s="11" t="s">
        <v>8908</v>
      </c>
      <c r="H734" s="11" t="s">
        <v>15453</v>
      </c>
      <c r="I734" s="11" t="s">
        <v>16074</v>
      </c>
      <c r="J734" s="12" t="str">
        <f t="shared" si="46"/>
        <v>(${Variables:E6_1_1_11_kcat} * E6_1_1_11 * C00002 * C00065 * C16636)/(${Variables:E6_1_1_11_km} + (E6_1_1_11 * C00002 * C00065 * C16636))</v>
      </c>
      <c r="K734" s="11" t="str">
        <f t="shared" si="47"/>
        <v>r733: C00002 + C00065 + C16636 -&gt; C00013 + C00020 + C06481 | (${Variables:E6_1_1_11_kcat} * E6_1_1_11 * C00002 * C00065 * C16636)/(${Variables:E6_1_1_11_km} + (E6_1_1_11 * C00002 * C00065 * C16636))</v>
      </c>
    </row>
    <row r="735" spans="1:11" ht="45" customHeight="1" x14ac:dyDescent="0.25">
      <c r="A735" t="s">
        <v>2834</v>
      </c>
      <c r="B735" t="s">
        <v>2835</v>
      </c>
      <c r="C735" s="5" t="s">
        <v>9601</v>
      </c>
      <c r="D735">
        <f t="shared" si="44"/>
        <v>734</v>
      </c>
      <c r="E735" t="str">
        <f t="shared" si="45"/>
        <v>E3_5_4_28</v>
      </c>
      <c r="F735" s="11" t="s">
        <v>14244</v>
      </c>
      <c r="G735" s="11" t="s">
        <v>14847</v>
      </c>
      <c r="H735" s="11" t="s">
        <v>15454</v>
      </c>
      <c r="I735" s="11" t="s">
        <v>16075</v>
      </c>
      <c r="J735" s="12" t="str">
        <f t="shared" si="46"/>
        <v>(${Variables:E3_5_4_28_kcat} * E3_5_4_28 * C00001 * C00021)/(${Variables:E3_5_4_28_km} + (E3_5_4_28 * C00001 * C00021))</v>
      </c>
      <c r="K735" s="11" t="str">
        <f t="shared" si="47"/>
        <v>r734: C00001 + C00021 -&gt; C00014 + C03431 | (${Variables:E3_5_4_28_kcat} * E3_5_4_28 * C00001 * C00021)/(${Variables:E3_5_4_28_km} + (E3_5_4_28 * C00001 * C00021))</v>
      </c>
    </row>
    <row r="736" spans="1:11" ht="45" customHeight="1" x14ac:dyDescent="0.25">
      <c r="A736" t="s">
        <v>2843</v>
      </c>
      <c r="B736" t="s">
        <v>2844</v>
      </c>
      <c r="C736" s="5" t="s">
        <v>9602</v>
      </c>
      <c r="D736">
        <f t="shared" si="44"/>
        <v>735</v>
      </c>
      <c r="E736" t="str">
        <f t="shared" si="45"/>
        <v>E5_4_99_5</v>
      </c>
      <c r="F736" s="11" t="s">
        <v>8267</v>
      </c>
      <c r="G736" s="11" t="s">
        <v>8267</v>
      </c>
      <c r="H736" s="11" t="s">
        <v>8537</v>
      </c>
      <c r="I736" s="11" t="s">
        <v>8537</v>
      </c>
      <c r="J736" s="12" t="str">
        <f t="shared" si="46"/>
        <v>(${Variables:E5_4_99_5_kcat} * E5_4_99_5 * C00251)/(${Variables:E5_4_99_5_km} + (E5_4_99_5 * C00251))</v>
      </c>
      <c r="K736" s="11" t="str">
        <f t="shared" si="47"/>
        <v>r735: C00251 -&gt; C00254 | (${Variables:E5_4_99_5_kcat} * E5_4_99_5 * C00251)/(${Variables:E5_4_99_5_km} + (E5_4_99_5 * C00251))</v>
      </c>
    </row>
    <row r="737" spans="1:11" ht="45" customHeight="1" x14ac:dyDescent="0.25">
      <c r="A737" t="s">
        <v>2848</v>
      </c>
      <c r="B737" t="s">
        <v>2849</v>
      </c>
      <c r="C737" s="5" t="s">
        <v>9603</v>
      </c>
      <c r="D737">
        <f t="shared" si="44"/>
        <v>736</v>
      </c>
      <c r="E737" t="str">
        <f t="shared" si="45"/>
        <v>E1_2_1_22</v>
      </c>
      <c r="F737" s="11" t="s">
        <v>14245</v>
      </c>
      <c r="G737" s="11" t="s">
        <v>14848</v>
      </c>
      <c r="H737" s="11" t="s">
        <v>15455</v>
      </c>
      <c r="I737" s="11" t="s">
        <v>16076</v>
      </c>
      <c r="J737" s="12" t="str">
        <f t="shared" si="46"/>
        <v>(${Variables:E1_2_1_22_kcat} * E1_2_1_22 * C00001 * C00003 * C00424)/(${Variables:E1_2_1_22_km} + (E1_2_1_22 * C00001 * C00003 * C00424))</v>
      </c>
      <c r="K737" s="11" t="str">
        <f t="shared" si="47"/>
        <v>r736: C00001 + C00003 + C00424 -&gt; C00004 + C00080 + C00186 | (${Variables:E1_2_1_22_kcat} * E1_2_1_22 * C00001 * C00003 * C00424)/(${Variables:E1_2_1_22_km} + (E1_2_1_22 * C00001 * C00003 * C00424))</v>
      </c>
    </row>
    <row r="738" spans="1:11" ht="45" customHeight="1" x14ac:dyDescent="0.25">
      <c r="A738" t="s">
        <v>2848</v>
      </c>
      <c r="B738" t="s">
        <v>2849</v>
      </c>
      <c r="C738" s="5" t="s">
        <v>9603</v>
      </c>
      <c r="D738">
        <f t="shared" si="44"/>
        <v>737</v>
      </c>
      <c r="E738" t="str">
        <f t="shared" si="45"/>
        <v>E1_2_1_22</v>
      </c>
      <c r="F738" s="11" t="s">
        <v>14246</v>
      </c>
      <c r="G738" s="11" t="s">
        <v>14849</v>
      </c>
      <c r="H738" s="11" t="s">
        <v>15335</v>
      </c>
      <c r="I738" s="11" t="s">
        <v>15956</v>
      </c>
      <c r="J738" s="12" t="str">
        <f t="shared" si="46"/>
        <v>(${Variables:E1_2_1_22_kcat} * E1_2_1_22 * C00001 * C00003 * C00546)/(${Variables:E1_2_1_22_km} + (E1_2_1_22 * C00001 * C00003 * C00546))</v>
      </c>
      <c r="K738" s="11" t="str">
        <f t="shared" si="47"/>
        <v>r737: C00001 + C00003 + C00546 -&gt; C00004 + C00022 + C00080 | (${Variables:E1_2_1_22_kcat} * E1_2_1_22 * C00001 * C00003 * C00546)/(${Variables:E1_2_1_22_km} + (E1_2_1_22 * C00001 * C00003 * C00546))</v>
      </c>
    </row>
    <row r="739" spans="1:11" ht="45" customHeight="1" x14ac:dyDescent="0.25">
      <c r="A739" t="s">
        <v>2851</v>
      </c>
      <c r="B739" t="s">
        <v>2852</v>
      </c>
      <c r="C739" s="5" t="s">
        <v>9604</v>
      </c>
      <c r="D739">
        <f t="shared" si="44"/>
        <v>738</v>
      </c>
      <c r="E739" t="str">
        <f t="shared" si="45"/>
        <v>E2_7_7_3</v>
      </c>
      <c r="F739" s="11" t="s">
        <v>8743</v>
      </c>
      <c r="G739" s="11" t="s">
        <v>8909</v>
      </c>
      <c r="H739" s="11" t="s">
        <v>9099</v>
      </c>
      <c r="I739" s="11" t="s">
        <v>9298</v>
      </c>
      <c r="J739" s="12" t="str">
        <f t="shared" si="46"/>
        <v>(${Variables:E2_7_7_3_kcat} * E2_7_7_3 * C00002 * C01134)/(${Variables:E2_7_7_3_km} + (E2_7_7_3 * C00002 * C01134))</v>
      </c>
      <c r="K739" s="11" t="str">
        <f t="shared" si="47"/>
        <v>r738: C00002 + C01134 -&gt; C00013 + C00882 | (${Variables:E2_7_7_3_kcat} * E2_7_7_3 * C00002 * C01134)/(${Variables:E2_7_7_3_km} + (E2_7_7_3 * C00002 * C01134))</v>
      </c>
    </row>
    <row r="740" spans="1:11" ht="45" customHeight="1" x14ac:dyDescent="0.25">
      <c r="A740" t="s">
        <v>2863</v>
      </c>
      <c r="B740" t="s">
        <v>2864</v>
      </c>
      <c r="C740" s="5" t="s">
        <v>9605</v>
      </c>
      <c r="D740">
        <f t="shared" si="44"/>
        <v>739</v>
      </c>
      <c r="E740" t="str">
        <f t="shared" si="45"/>
        <v>E2_5_1_48</v>
      </c>
      <c r="F740" s="11" t="s">
        <v>14247</v>
      </c>
      <c r="G740" s="11" t="s">
        <v>14850</v>
      </c>
      <c r="H740" s="11" t="s">
        <v>15456</v>
      </c>
      <c r="I740" s="11" t="s">
        <v>16077</v>
      </c>
      <c r="J740" s="12" t="str">
        <f t="shared" si="46"/>
        <v>(${Variables:E2_5_1_48_kcat} * E2_5_1_48 * C00097 * C01118)/(${Variables:E2_5_1_48_km} + (E2_5_1_48 * C00097 * C01118))</v>
      </c>
      <c r="K740" s="11" t="str">
        <f t="shared" si="47"/>
        <v>r739: C00097 + C01118 -&gt; C00042 + C02291 | (${Variables:E2_5_1_48_kcat} * E2_5_1_48 * C00097 * C01118)/(${Variables:E2_5_1_48_km} + (E2_5_1_48 * C00097 * C01118))</v>
      </c>
    </row>
    <row r="741" spans="1:11" ht="45" customHeight="1" x14ac:dyDescent="0.25">
      <c r="A741" t="s">
        <v>2863</v>
      </c>
      <c r="B741" t="s">
        <v>2864</v>
      </c>
      <c r="C741" s="5" t="s">
        <v>9605</v>
      </c>
      <c r="D741">
        <f t="shared" si="44"/>
        <v>740</v>
      </c>
      <c r="E741" t="str">
        <f t="shared" si="45"/>
        <v>E2_5_1_48</v>
      </c>
      <c r="F741" s="11" t="s">
        <v>14248</v>
      </c>
      <c r="G741" s="11" t="s">
        <v>14851</v>
      </c>
      <c r="H741" s="11" t="s">
        <v>15457</v>
      </c>
      <c r="I741" s="11" t="s">
        <v>16078</v>
      </c>
      <c r="J741" s="12" t="str">
        <f t="shared" si="46"/>
        <v>(${Variables:E2_5_1_48_kcat} * E2_5_1_48 * C00001 * C01118)/(${Variables:E2_5_1_48_km} + (E2_5_1_48 * C00001 * C01118))</v>
      </c>
      <c r="K741" s="11" t="str">
        <f t="shared" si="47"/>
        <v>r740: C00001 + C01118 -&gt; C00014 + C00042 + C00109 | (${Variables:E2_5_1_48_kcat} * E2_5_1_48 * C00001 * C01118)/(${Variables:E2_5_1_48_km} + (E2_5_1_48 * C00001 * C01118))</v>
      </c>
    </row>
    <row r="742" spans="1:11" ht="45" customHeight="1" x14ac:dyDescent="0.25">
      <c r="A742" t="s">
        <v>2863</v>
      </c>
      <c r="B742" t="s">
        <v>2864</v>
      </c>
      <c r="C742" s="5" t="s">
        <v>9605</v>
      </c>
      <c r="D742">
        <f t="shared" si="44"/>
        <v>741</v>
      </c>
      <c r="E742" t="str">
        <f t="shared" si="45"/>
        <v>E2_5_1_48</v>
      </c>
      <c r="F742" s="11" t="s">
        <v>14249</v>
      </c>
      <c r="G742" s="11" t="s">
        <v>14852</v>
      </c>
      <c r="H742" s="11" t="s">
        <v>15458</v>
      </c>
      <c r="I742" s="11" t="s">
        <v>16079</v>
      </c>
      <c r="J742" s="12" t="str">
        <f t="shared" si="46"/>
        <v>(${Variables:E2_5_1_48_kcat} * E2_5_1_48 * C00283 * C01118)/(${Variables:E2_5_1_48_km} + (E2_5_1_48 * C00283 * C01118))</v>
      </c>
      <c r="K742" s="11" t="str">
        <f t="shared" si="47"/>
        <v>r741: C00283 + C01118 -&gt; C00042 + C00155 | (${Variables:E2_5_1_48_kcat} * E2_5_1_48 * C00283 * C01118)/(${Variables:E2_5_1_48_km} + (E2_5_1_48 * C00283 * C01118))</v>
      </c>
    </row>
    <row r="743" spans="1:11" ht="45" customHeight="1" x14ac:dyDescent="0.25">
      <c r="A743" t="s">
        <v>2863</v>
      </c>
      <c r="B743" t="s">
        <v>2864</v>
      </c>
      <c r="C743" s="5" t="s">
        <v>9605</v>
      </c>
      <c r="D743">
        <f t="shared" si="44"/>
        <v>742</v>
      </c>
      <c r="E743" t="str">
        <f t="shared" si="45"/>
        <v>E2_5_1_48</v>
      </c>
      <c r="F743" s="11" t="s">
        <v>14250</v>
      </c>
      <c r="G743" s="11" t="s">
        <v>14853</v>
      </c>
      <c r="H743" s="11" t="s">
        <v>14247</v>
      </c>
      <c r="I743" s="11" t="s">
        <v>14850</v>
      </c>
      <c r="J743" s="12" t="str">
        <f t="shared" si="46"/>
        <v>(${Variables:E2_5_1_48_kcat} * E2_5_1_48 * C00042 * C00542)/(${Variables:E2_5_1_48_km} + (E2_5_1_48 * C00042 * C00542))</v>
      </c>
      <c r="K743" s="11" t="str">
        <f t="shared" si="47"/>
        <v>r742: C00042 + C00542 -&gt; C00097 + C01118 | (${Variables:E2_5_1_48_kcat} * E2_5_1_48 * C00042 * C00542)/(${Variables:E2_5_1_48_km} + (E2_5_1_48 * C00042 * C00542))</v>
      </c>
    </row>
    <row r="744" spans="1:11" ht="45" customHeight="1" x14ac:dyDescent="0.25">
      <c r="A744" t="s">
        <v>2863</v>
      </c>
      <c r="B744" t="s">
        <v>2864</v>
      </c>
      <c r="C744" s="5" t="s">
        <v>9605</v>
      </c>
      <c r="D744">
        <f t="shared" si="44"/>
        <v>743</v>
      </c>
      <c r="E744" t="str">
        <f t="shared" si="45"/>
        <v>E2_5_1_48</v>
      </c>
      <c r="F744" s="11" t="s">
        <v>14251</v>
      </c>
      <c r="G744" s="11" t="s">
        <v>14854</v>
      </c>
      <c r="H744" s="11" t="s">
        <v>15459</v>
      </c>
      <c r="I744" s="11" t="s">
        <v>16080</v>
      </c>
      <c r="J744" s="12" t="str">
        <f t="shared" si="46"/>
        <v>(${Variables:E2_5_1_48_kcat} * E2_5_1_48 * C00097 * C01077)/(${Variables:E2_5_1_48_km} + (E2_5_1_48 * C00097 * C01077))</v>
      </c>
      <c r="K744" s="11" t="str">
        <f t="shared" si="47"/>
        <v>r743: C00097 + C01077 -&gt; C00033 + C02291 | (${Variables:E2_5_1_48_kcat} * E2_5_1_48 * C00097 * C01077)/(${Variables:E2_5_1_48_km} + (E2_5_1_48 * C00097 * C01077))</v>
      </c>
    </row>
    <row r="745" spans="1:11" ht="45" customHeight="1" x14ac:dyDescent="0.25">
      <c r="A745" t="s">
        <v>2863</v>
      </c>
      <c r="B745" t="s">
        <v>2864</v>
      </c>
      <c r="C745" s="5" t="s">
        <v>9605</v>
      </c>
      <c r="D745">
        <f t="shared" si="44"/>
        <v>744</v>
      </c>
      <c r="E745" t="str">
        <f t="shared" si="45"/>
        <v>E2_5_1_48</v>
      </c>
      <c r="F745" s="11" t="s">
        <v>14252</v>
      </c>
      <c r="G745" s="11" t="s">
        <v>14855</v>
      </c>
      <c r="H745" s="11" t="s">
        <v>15460</v>
      </c>
      <c r="I745" s="11" t="s">
        <v>16081</v>
      </c>
      <c r="J745" s="12" t="str">
        <f t="shared" si="46"/>
        <v>(${Variables:E2_5_1_48_kcat} * E2_5_1_48 * C05688 * C05702)/(${Variables:E2_5_1_48_km} + (E2_5_1_48 * C05688 * C05702))</v>
      </c>
      <c r="K745" s="11" t="str">
        <f t="shared" si="47"/>
        <v>r744: C05688 + C05702 -&gt; C00009 + C05699 | (${Variables:E2_5_1_48_kcat} * E2_5_1_48 * C05688 * C05702)/(${Variables:E2_5_1_48_km} + (E2_5_1_48 * C05688 * C05702))</v>
      </c>
    </row>
    <row r="746" spans="1:11" ht="45" customHeight="1" x14ac:dyDescent="0.25">
      <c r="A746" t="s">
        <v>2863</v>
      </c>
      <c r="B746" t="s">
        <v>2864</v>
      </c>
      <c r="C746" s="5" t="s">
        <v>9605</v>
      </c>
      <c r="D746">
        <f t="shared" si="44"/>
        <v>745</v>
      </c>
      <c r="E746" t="str">
        <f t="shared" si="45"/>
        <v>E2_5_1_48</v>
      </c>
      <c r="F746" s="11" t="s">
        <v>8744</v>
      </c>
      <c r="G746" s="11" t="s">
        <v>8910</v>
      </c>
      <c r="H746" s="11" t="s">
        <v>15461</v>
      </c>
      <c r="I746" s="11" t="s">
        <v>16082</v>
      </c>
      <c r="J746" s="12" t="str">
        <f t="shared" si="46"/>
        <v>(${Variables:E2_5_1_48_kcat} * E2_5_1_48 * C01077 * C05688)/(${Variables:E2_5_1_48_km} + (E2_5_1_48 * C01077 * C05688))</v>
      </c>
      <c r="K746" s="11" t="str">
        <f t="shared" si="47"/>
        <v>r745: C01077 + C05688 -&gt; C00033 + C05699 | (${Variables:E2_5_1_48_kcat} * E2_5_1_48 * C01077 * C05688)/(${Variables:E2_5_1_48_km} + (E2_5_1_48 * C01077 * C05688))</v>
      </c>
    </row>
    <row r="747" spans="1:11" ht="45" customHeight="1" x14ac:dyDescent="0.25">
      <c r="A747" t="s">
        <v>2863</v>
      </c>
      <c r="B747" t="s">
        <v>2864</v>
      </c>
      <c r="C747" s="5" t="s">
        <v>9605</v>
      </c>
      <c r="D747">
        <f t="shared" si="44"/>
        <v>746</v>
      </c>
      <c r="E747" t="str">
        <f t="shared" si="45"/>
        <v>E2_5_1_48</v>
      </c>
      <c r="F747" s="11" t="s">
        <v>8745</v>
      </c>
      <c r="G747" s="11" t="s">
        <v>8911</v>
      </c>
      <c r="H747" s="11" t="s">
        <v>15462</v>
      </c>
      <c r="I747" s="11" t="s">
        <v>16083</v>
      </c>
      <c r="J747" s="12" t="str">
        <f t="shared" si="46"/>
        <v>(${Variables:E2_5_1_48_kcat} * E2_5_1_48 * C01118 * C05688)/(${Variables:E2_5_1_48_km} + (E2_5_1_48 * C01118 * C05688))</v>
      </c>
      <c r="K747" s="11" t="str">
        <f t="shared" si="47"/>
        <v>r746: C01118 + C05688 -&gt; C00042 + C05699 | (${Variables:E2_5_1_48_kcat} * E2_5_1_48 * C01118 * C05688)/(${Variables:E2_5_1_48_km} + (E2_5_1_48 * C01118 * C05688))</v>
      </c>
    </row>
    <row r="748" spans="1:11" ht="45" customHeight="1" x14ac:dyDescent="0.25">
      <c r="A748" t="s">
        <v>2866</v>
      </c>
      <c r="B748" t="s">
        <v>2867</v>
      </c>
      <c r="C748" s="5" t="s">
        <v>9606</v>
      </c>
      <c r="D748">
        <f t="shared" si="44"/>
        <v>747</v>
      </c>
      <c r="E748" t="str">
        <f t="shared" si="45"/>
        <v>E2_3_1_31</v>
      </c>
      <c r="F748" s="11" t="s">
        <v>8746</v>
      </c>
      <c r="G748" s="11" t="s">
        <v>8912</v>
      </c>
      <c r="H748" s="11" t="s">
        <v>9100</v>
      </c>
      <c r="I748" s="11" t="s">
        <v>9299</v>
      </c>
      <c r="J748" s="12" t="str">
        <f t="shared" si="46"/>
        <v>(${Variables:E2_3_1_31_kcat} * E2_3_1_31 * C00024 * C00263)/(${Variables:E2_3_1_31_km} + (E2_3_1_31 * C00024 * C00263))</v>
      </c>
      <c r="K748" s="11" t="str">
        <f t="shared" si="47"/>
        <v>r747: C00024 + C00263 -&gt; C00010 + C01077 | (${Variables:E2_3_1_31_kcat} * E2_3_1_31 * C00024 * C00263)/(${Variables:E2_3_1_31_km} + (E2_3_1_31 * C00024 * C00263))</v>
      </c>
    </row>
    <row r="749" spans="1:11" ht="45" customHeight="1" x14ac:dyDescent="0.25">
      <c r="A749" t="s">
        <v>2876</v>
      </c>
      <c r="B749" t="s">
        <v>2877</v>
      </c>
      <c r="C749" s="5" t="s">
        <v>9607</v>
      </c>
      <c r="D749">
        <f t="shared" si="44"/>
        <v>748</v>
      </c>
      <c r="E749" t="str">
        <f t="shared" si="45"/>
        <v>E5_4_3_8</v>
      </c>
      <c r="F749" s="11" t="s">
        <v>8194</v>
      </c>
      <c r="G749" s="11" t="s">
        <v>8194</v>
      </c>
      <c r="H749" s="11" t="s">
        <v>8540</v>
      </c>
      <c r="I749" s="11" t="s">
        <v>8540</v>
      </c>
      <c r="J749" s="12" t="str">
        <f t="shared" si="46"/>
        <v>(${Variables:E5_4_3_8_kcat} * E5_4_3_8 * C00430)/(${Variables:E5_4_3_8_km} + (E5_4_3_8 * C00430))</v>
      </c>
      <c r="K749" s="11" t="str">
        <f t="shared" si="47"/>
        <v>r748: C00430 -&gt; C03741 | (${Variables:E5_4_3_8_kcat} * E5_4_3_8 * C00430)/(${Variables:E5_4_3_8_km} + (E5_4_3_8 * C00430))</v>
      </c>
    </row>
    <row r="750" spans="1:11" ht="45" customHeight="1" x14ac:dyDescent="0.25">
      <c r="A750" t="s">
        <v>2885</v>
      </c>
      <c r="B750" t="s">
        <v>2886</v>
      </c>
      <c r="C750" s="5" t="s">
        <v>9608</v>
      </c>
      <c r="D750">
        <f t="shared" si="44"/>
        <v>749</v>
      </c>
      <c r="E750" t="str">
        <f t="shared" si="45"/>
        <v>E2_6_1_1</v>
      </c>
      <c r="F750" s="11" t="s">
        <v>14253</v>
      </c>
      <c r="G750" s="11" t="s">
        <v>14856</v>
      </c>
      <c r="H750" s="11" t="s">
        <v>15463</v>
      </c>
      <c r="I750" s="11" t="s">
        <v>16084</v>
      </c>
      <c r="J750" s="12" t="str">
        <f t="shared" si="46"/>
        <v>(${Variables:E2_6_1_1_kcat} * E2_6_1_1 * C00026 * C00049)/(${Variables:E2_6_1_1_km} + (E2_6_1_1 * C00026 * C00049))</v>
      </c>
      <c r="K750" s="11" t="str">
        <f t="shared" si="47"/>
        <v>r749: C00026 + C00049 -&gt; C00025 + C00036 | (${Variables:E2_6_1_1_kcat} * E2_6_1_1 * C00026 * C00049)/(${Variables:E2_6_1_1_km} + (E2_6_1_1 * C00026 * C00049))</v>
      </c>
    </row>
    <row r="751" spans="1:11" ht="45" customHeight="1" x14ac:dyDescent="0.25">
      <c r="A751" t="s">
        <v>2885</v>
      </c>
      <c r="B751" t="s">
        <v>2886</v>
      </c>
      <c r="C751" s="5" t="s">
        <v>9608</v>
      </c>
      <c r="D751">
        <f t="shared" si="44"/>
        <v>750</v>
      </c>
      <c r="E751" t="str">
        <f t="shared" si="45"/>
        <v>E2_6_1_1</v>
      </c>
      <c r="F751" s="11" t="s">
        <v>14254</v>
      </c>
      <c r="G751" s="11" t="s">
        <v>14857</v>
      </c>
      <c r="H751" s="11" t="s">
        <v>15464</v>
      </c>
      <c r="I751" s="11" t="s">
        <v>16085</v>
      </c>
      <c r="J751" s="12" t="str">
        <f t="shared" si="46"/>
        <v>(${Variables:E2_6_1_1_kcat} * E2_6_1_1 * C00026 * C00079)/(${Variables:E2_6_1_1_km} + (E2_6_1_1 * C00026 * C00079))</v>
      </c>
      <c r="K751" s="11" t="str">
        <f t="shared" si="47"/>
        <v>r750: C00026 + C00079 -&gt; C00025 + C00166 | (${Variables:E2_6_1_1_kcat} * E2_6_1_1 * C00026 * C00079)/(${Variables:E2_6_1_1_km} + (E2_6_1_1 * C00026 * C00079))</v>
      </c>
    </row>
    <row r="752" spans="1:11" ht="45" customHeight="1" x14ac:dyDescent="0.25">
      <c r="A752" t="s">
        <v>2885</v>
      </c>
      <c r="B752" t="s">
        <v>2886</v>
      </c>
      <c r="C752" s="5" t="s">
        <v>9608</v>
      </c>
      <c r="D752">
        <f t="shared" si="44"/>
        <v>751</v>
      </c>
      <c r="E752" t="str">
        <f t="shared" si="45"/>
        <v>E2_6_1_1</v>
      </c>
      <c r="F752" s="11" t="s">
        <v>14255</v>
      </c>
      <c r="G752" s="11" t="s">
        <v>14858</v>
      </c>
      <c r="H752" s="11" t="s">
        <v>15465</v>
      </c>
      <c r="I752" s="11" t="s">
        <v>16086</v>
      </c>
      <c r="J752" s="12" t="str">
        <f t="shared" si="46"/>
        <v>(${Variables:E2_6_1_1_kcat} * E2_6_1_1 * C00026 * C00082)/(${Variables:E2_6_1_1_km} + (E2_6_1_1 * C00026 * C00082))</v>
      </c>
      <c r="K752" s="11" t="str">
        <f t="shared" si="47"/>
        <v>r751: C00026 + C00082 -&gt; C00025 + C01179 | (${Variables:E2_6_1_1_kcat} * E2_6_1_1 * C00026 * C00082)/(${Variables:E2_6_1_1_km} + (E2_6_1_1 * C00026 * C00082))</v>
      </c>
    </row>
    <row r="753" spans="1:11" ht="45" customHeight="1" x14ac:dyDescent="0.25">
      <c r="A753" t="s">
        <v>2885</v>
      </c>
      <c r="B753" t="s">
        <v>2886</v>
      </c>
      <c r="C753" s="5" t="s">
        <v>9608</v>
      </c>
      <c r="D753">
        <f t="shared" si="44"/>
        <v>752</v>
      </c>
      <c r="E753" t="str">
        <f t="shared" si="45"/>
        <v>E2_6_1_1</v>
      </c>
      <c r="F753" s="11" t="s">
        <v>14256</v>
      </c>
      <c r="G753" s="11" t="s">
        <v>14859</v>
      </c>
      <c r="H753" s="11" t="s">
        <v>15466</v>
      </c>
      <c r="I753" s="11" t="s">
        <v>16087</v>
      </c>
      <c r="J753" s="12" t="str">
        <f t="shared" si="46"/>
        <v>(${Variables:E2_6_1_1_kcat} * E2_6_1_1 * C00026 * C00097)/(${Variables:E2_6_1_1_km} + (E2_6_1_1 * C00026 * C00097))</v>
      </c>
      <c r="K753" s="11" t="str">
        <f t="shared" si="47"/>
        <v>r752: C00026 + C00097 -&gt; C00025 + C00957 | (${Variables:E2_6_1_1_kcat} * E2_6_1_1 * C00026 * C00097)/(${Variables:E2_6_1_1_km} + (E2_6_1_1 * C00026 * C00097))</v>
      </c>
    </row>
    <row r="754" spans="1:11" ht="45" customHeight="1" x14ac:dyDescent="0.25">
      <c r="A754" t="s">
        <v>2885</v>
      </c>
      <c r="B754" t="s">
        <v>2886</v>
      </c>
      <c r="C754" s="5" t="s">
        <v>9608</v>
      </c>
      <c r="D754">
        <f t="shared" si="44"/>
        <v>753</v>
      </c>
      <c r="E754" t="str">
        <f t="shared" si="45"/>
        <v>E2_6_1_1</v>
      </c>
      <c r="F754" s="11" t="s">
        <v>14256</v>
      </c>
      <c r="G754" s="11" t="s">
        <v>14859</v>
      </c>
      <c r="H754" s="11" t="s">
        <v>15467</v>
      </c>
      <c r="I754" s="11" t="s">
        <v>16088</v>
      </c>
      <c r="J754" s="12" t="str">
        <f t="shared" si="46"/>
        <v>(${Variables:E2_6_1_1_kcat} * E2_6_1_1 * C00026 * C00097)/(${Variables:E2_6_1_1_km} + (E2_6_1_1 * C00026 * C00097))</v>
      </c>
      <c r="K754" s="11" t="str">
        <f t="shared" si="47"/>
        <v>r753: C00026 + C00097 -&gt; C00302 + C00957 | (${Variables:E2_6_1_1_kcat} * E2_6_1_1 * C00026 * C00097)/(${Variables:E2_6_1_1_km} + (E2_6_1_1 * C00026 * C00097))</v>
      </c>
    </row>
    <row r="755" spans="1:11" ht="45" customHeight="1" x14ac:dyDescent="0.25">
      <c r="A755" t="s">
        <v>2885</v>
      </c>
      <c r="B755" t="s">
        <v>2886</v>
      </c>
      <c r="C755" s="5" t="s">
        <v>9608</v>
      </c>
      <c r="D755">
        <f t="shared" si="44"/>
        <v>754</v>
      </c>
      <c r="E755" t="str">
        <f t="shared" si="45"/>
        <v>E2_6_1_1</v>
      </c>
      <c r="F755" s="11" t="s">
        <v>14257</v>
      </c>
      <c r="G755" s="11" t="s">
        <v>14860</v>
      </c>
      <c r="H755" s="11" t="s">
        <v>15468</v>
      </c>
      <c r="I755" s="11" t="s">
        <v>16089</v>
      </c>
      <c r="J755" s="12" t="str">
        <f t="shared" si="46"/>
        <v>(${Variables:E2_6_1_1_kcat} * E2_6_1_1 * C00026 * C00506)/(${Variables:E2_6_1_1_km} + (E2_6_1_1 * C00026 * C00506))</v>
      </c>
      <c r="K755" s="11" t="str">
        <f t="shared" si="47"/>
        <v>r754: C00026 + C00506 -&gt; C00025 + C05528 | (${Variables:E2_6_1_1_kcat} * E2_6_1_1 * C00026 * C00506)/(${Variables:E2_6_1_1_km} + (E2_6_1_1 * C00026 * C00506))</v>
      </c>
    </row>
    <row r="756" spans="1:11" ht="45" customHeight="1" x14ac:dyDescent="0.25">
      <c r="A756" t="s">
        <v>2885</v>
      </c>
      <c r="B756" t="s">
        <v>2886</v>
      </c>
      <c r="C756" s="5" t="s">
        <v>9608</v>
      </c>
      <c r="D756">
        <f t="shared" si="44"/>
        <v>755</v>
      </c>
      <c r="E756" t="str">
        <f t="shared" si="45"/>
        <v>E2_6_1_1</v>
      </c>
      <c r="F756" s="11" t="s">
        <v>14258</v>
      </c>
      <c r="G756" s="11" t="s">
        <v>14861</v>
      </c>
      <c r="H756" s="11" t="s">
        <v>15469</v>
      </c>
      <c r="I756" s="11" t="s">
        <v>16090</v>
      </c>
      <c r="J756" s="12" t="str">
        <f t="shared" si="46"/>
        <v>(${Variables:E2_6_1_1_kcat} * E2_6_1_1 * C00026 * C00606)/(${Variables:E2_6_1_1_km} + (E2_6_1_1 * C00026 * C00606))</v>
      </c>
      <c r="K756" s="11" t="str">
        <f t="shared" si="47"/>
        <v>r755: C00026 + C00606 -&gt; C00025 + C05527 | (${Variables:E2_6_1_1_kcat} * E2_6_1_1 * C00026 * C00606)/(${Variables:E2_6_1_1_km} + (E2_6_1_1 * C00026 * C00606))</v>
      </c>
    </row>
    <row r="757" spans="1:11" ht="45" customHeight="1" x14ac:dyDescent="0.25">
      <c r="A757" t="s">
        <v>2885</v>
      </c>
      <c r="B757" t="s">
        <v>2886</v>
      </c>
      <c r="C757" s="5" t="s">
        <v>9608</v>
      </c>
      <c r="D757">
        <f t="shared" si="44"/>
        <v>756</v>
      </c>
      <c r="E757" t="str">
        <f t="shared" si="45"/>
        <v>E2_6_1_1</v>
      </c>
      <c r="F757" s="11" t="s">
        <v>14259</v>
      </c>
      <c r="G757" s="11" t="s">
        <v>14862</v>
      </c>
      <c r="H757" s="11" t="s">
        <v>15470</v>
      </c>
      <c r="I757" s="11" t="s">
        <v>16091</v>
      </c>
      <c r="J757" s="12" t="str">
        <f t="shared" si="46"/>
        <v>(${Variables:E2_6_1_1_kcat} * E2_6_1_1 * C00026 * C05947)/(${Variables:E2_6_1_1_km} + (E2_6_1_1 * C00026 * C05947))</v>
      </c>
      <c r="K757" s="11" t="str">
        <f t="shared" si="47"/>
        <v>r756: C00026 + C05947 -&gt; C00025 + C05946 | (${Variables:E2_6_1_1_kcat} * E2_6_1_1 * C00026 * C05947)/(${Variables:E2_6_1_1_km} + (E2_6_1_1 * C00026 * C05947))</v>
      </c>
    </row>
    <row r="758" spans="1:11" ht="45" customHeight="1" x14ac:dyDescent="0.25">
      <c r="A758" t="s">
        <v>2888</v>
      </c>
      <c r="B758" t="s">
        <v>2889</v>
      </c>
      <c r="C758" s="5" t="s">
        <v>9609</v>
      </c>
      <c r="D758">
        <f t="shared" si="44"/>
        <v>757</v>
      </c>
      <c r="E758" t="str">
        <f t="shared" si="45"/>
        <v>E5_3_1_1</v>
      </c>
      <c r="F758" s="11" t="s">
        <v>8272</v>
      </c>
      <c r="G758" s="11" t="s">
        <v>8272</v>
      </c>
      <c r="H758" s="11" t="s">
        <v>8105</v>
      </c>
      <c r="I758" s="11" t="s">
        <v>8105</v>
      </c>
      <c r="J758" s="12" t="str">
        <f t="shared" si="46"/>
        <v>(${Variables:E5_3_1_1_kcat} * E5_3_1_1 * C00118)/(${Variables:E5_3_1_1_km} + (E5_3_1_1 * C00118))</v>
      </c>
      <c r="K758" s="11" t="str">
        <f t="shared" si="47"/>
        <v>r757: C00118 -&gt; C00111 | (${Variables:E5_3_1_1_kcat} * E5_3_1_1 * C00118)/(${Variables:E5_3_1_1_km} + (E5_3_1_1 * C00118))</v>
      </c>
    </row>
    <row r="759" spans="1:11" ht="45" customHeight="1" x14ac:dyDescent="0.25">
      <c r="A759" t="s">
        <v>2894</v>
      </c>
      <c r="B759" t="s">
        <v>2895</v>
      </c>
      <c r="C759" s="5" t="s">
        <v>9610</v>
      </c>
      <c r="D759">
        <f t="shared" si="44"/>
        <v>758</v>
      </c>
      <c r="E759" t="str">
        <f t="shared" si="45"/>
        <v>E2_7_2_3</v>
      </c>
      <c r="F759" s="11" t="s">
        <v>8747</v>
      </c>
      <c r="G759" s="11" t="s">
        <v>8913</v>
      </c>
      <c r="H759" s="11" t="s">
        <v>9101</v>
      </c>
      <c r="I759" s="11" t="s">
        <v>9300</v>
      </c>
      <c r="J759" s="12" t="str">
        <f t="shared" si="46"/>
        <v>(${Variables:E2_7_2_3_kcat} * E2_7_2_3 * C00002 * C00197)/(${Variables:E2_7_2_3_km} + (E2_7_2_3 * C00002 * C00197))</v>
      </c>
      <c r="K759" s="11" t="str">
        <f t="shared" si="47"/>
        <v>r758: C00002 + C00197 -&gt; C00008 + C00236 | (${Variables:E2_7_2_3_kcat} * E2_7_2_3 * C00002 * C00197)/(${Variables:E2_7_2_3_km} + (E2_7_2_3 * C00002 * C00197))</v>
      </c>
    </row>
    <row r="760" spans="1:11" ht="45" customHeight="1" x14ac:dyDescent="0.25">
      <c r="A760" t="s">
        <v>2897</v>
      </c>
      <c r="B760" t="s">
        <v>2898</v>
      </c>
      <c r="C760" s="5" t="s">
        <v>9611</v>
      </c>
      <c r="D760">
        <f t="shared" si="44"/>
        <v>759</v>
      </c>
      <c r="E760" t="str">
        <f t="shared" si="45"/>
        <v>E1_2_1_12</v>
      </c>
      <c r="F760" s="11" t="s">
        <v>14260</v>
      </c>
      <c r="G760" s="11" t="s">
        <v>14863</v>
      </c>
      <c r="H760" s="11" t="s">
        <v>15471</v>
      </c>
      <c r="I760" s="11" t="s">
        <v>16092</v>
      </c>
      <c r="J760" s="12" t="str">
        <f t="shared" si="46"/>
        <v>(${Variables:E1_2_1_12_kcat} * E1_2_1_12 * C00003 * C00009 * C00118)/(${Variables:E1_2_1_12_km} + (E1_2_1_12 * C00003 * C00009 * C00118))</v>
      </c>
      <c r="K760" s="11" t="str">
        <f t="shared" si="47"/>
        <v>r759: C00003 + C00009 + C00118 -&gt; C00004 + C00080 + C00236 | (${Variables:E1_2_1_12_kcat} * E1_2_1_12 * C00003 * C00009 * C00118)/(${Variables:E1_2_1_12_km} + (E1_2_1_12 * C00003 * C00009 * C00118))</v>
      </c>
    </row>
    <row r="761" spans="1:11" ht="45" customHeight="1" x14ac:dyDescent="0.25">
      <c r="A761" t="s">
        <v>2900</v>
      </c>
      <c r="B761" t="s">
        <v>2901</v>
      </c>
      <c r="C761" s="5" t="s">
        <v>9402</v>
      </c>
      <c r="D761">
        <f t="shared" si="44"/>
        <v>760</v>
      </c>
      <c r="E761" t="str">
        <f t="shared" si="45"/>
        <v>E1_3_8_1</v>
      </c>
      <c r="F761" s="11" t="s">
        <v>13971</v>
      </c>
      <c r="G761" s="11" t="s">
        <v>14574</v>
      </c>
      <c r="H761" s="11" t="s">
        <v>15163</v>
      </c>
      <c r="I761" s="11" t="s">
        <v>15784</v>
      </c>
      <c r="J761" s="12" t="str">
        <f t="shared" si="46"/>
        <v>(${Variables:E1_3_8_1_kcat} * E1_3_8_1 * C04253 * C20675)/(${Variables:E1_3_8_1_km} + (E1_3_8_1 * C04253 * C20675))</v>
      </c>
      <c r="K761" s="11" t="str">
        <f t="shared" si="47"/>
        <v>r760: C04253 + C20675 -&gt; C04570 + C20676 | (${Variables:E1_3_8_1_kcat} * E1_3_8_1 * C04253 * C20675)/(${Variables:E1_3_8_1_km} + (E1_3_8_1 * C04253 * C20675))</v>
      </c>
    </row>
    <row r="762" spans="1:11" ht="45" customHeight="1" x14ac:dyDescent="0.25">
      <c r="A762" t="s">
        <v>2900</v>
      </c>
      <c r="B762" t="s">
        <v>2901</v>
      </c>
      <c r="C762" s="5" t="s">
        <v>9402</v>
      </c>
      <c r="D762">
        <f t="shared" si="44"/>
        <v>761</v>
      </c>
      <c r="E762" t="str">
        <f t="shared" si="45"/>
        <v>E1_3_8_1</v>
      </c>
      <c r="F762" s="11" t="s">
        <v>13972</v>
      </c>
      <c r="G762" s="11" t="s">
        <v>14575</v>
      </c>
      <c r="H762" s="11" t="s">
        <v>15164</v>
      </c>
      <c r="I762" s="11" t="s">
        <v>15785</v>
      </c>
      <c r="J762" s="12" t="str">
        <f t="shared" si="46"/>
        <v>(${Variables:E1_3_8_1_kcat} * E1_3_8_1 * C00016 * C00136)/(${Variables:E1_3_8_1_km} + (E1_3_8_1 * C00016 * C00136))</v>
      </c>
      <c r="K762" s="11" t="str">
        <f t="shared" si="47"/>
        <v>r761: C00016 + C00136 -&gt; C00877 + C01352 | (${Variables:E1_3_8_1_kcat} * E1_3_8_1 * C00016 * C00136)/(${Variables:E1_3_8_1_km} + (E1_3_8_1 * C00016 * C00136))</v>
      </c>
    </row>
    <row r="763" spans="1:11" ht="45" customHeight="1" x14ac:dyDescent="0.25">
      <c r="A763" t="s">
        <v>2900</v>
      </c>
      <c r="B763" t="s">
        <v>2901</v>
      </c>
      <c r="C763" s="5" t="s">
        <v>9402</v>
      </c>
      <c r="D763">
        <f t="shared" si="44"/>
        <v>762</v>
      </c>
      <c r="E763" t="str">
        <f t="shared" si="45"/>
        <v>E1_3_8_1</v>
      </c>
      <c r="F763" s="11" t="s">
        <v>13973</v>
      </c>
      <c r="G763" s="11" t="s">
        <v>14576</v>
      </c>
      <c r="H763" s="11" t="s">
        <v>15165</v>
      </c>
      <c r="I763" s="11" t="s">
        <v>15786</v>
      </c>
      <c r="J763" s="12" t="str">
        <f t="shared" si="46"/>
        <v>(${Variables:E1_3_8_1_kcat} * E1_3_8_1 * C00016 * C05270)/(${Variables:E1_3_8_1_km} + (E1_3_8_1 * C00016 * C05270))</v>
      </c>
      <c r="K763" s="11" t="str">
        <f t="shared" si="47"/>
        <v>r762: C00016 + C05270 -&gt; C01352 + C05271 | (${Variables:E1_3_8_1_kcat} * E1_3_8_1 * C00016 * C05270)/(${Variables:E1_3_8_1_km} + (E1_3_8_1 * C00016 * C05270))</v>
      </c>
    </row>
    <row r="764" spans="1:11" ht="45" customHeight="1" x14ac:dyDescent="0.25">
      <c r="A764" t="s">
        <v>2900</v>
      </c>
      <c r="B764" t="s">
        <v>2901</v>
      </c>
      <c r="C764" s="5" t="s">
        <v>9402</v>
      </c>
      <c r="D764">
        <f t="shared" si="44"/>
        <v>763</v>
      </c>
      <c r="E764" t="str">
        <f t="shared" si="45"/>
        <v>E1_3_8_1</v>
      </c>
      <c r="F764" s="11" t="s">
        <v>13974</v>
      </c>
      <c r="G764" s="11" t="s">
        <v>14577</v>
      </c>
      <c r="H764" s="11" t="s">
        <v>15166</v>
      </c>
      <c r="I764" s="11" t="s">
        <v>15787</v>
      </c>
      <c r="J764" s="12" t="str">
        <f t="shared" si="46"/>
        <v>(${Variables:E1_3_8_1_kcat} * E1_3_8_1 * C00028 * C00630)/(${Variables:E1_3_8_1_km} + (E1_3_8_1 * C00028 * C00630))</v>
      </c>
      <c r="K764" s="11" t="str">
        <f t="shared" si="47"/>
        <v>r763: C00028 + C00630 -&gt; C00030 + C03460 | (${Variables:E1_3_8_1_kcat} * E1_3_8_1 * C00028 * C00630)/(${Variables:E1_3_8_1_km} + (E1_3_8_1 * C00028 * C00630))</v>
      </c>
    </row>
    <row r="765" spans="1:11" ht="45" customHeight="1" x14ac:dyDescent="0.25">
      <c r="A765" t="s">
        <v>2900</v>
      </c>
      <c r="B765" t="s">
        <v>2901</v>
      </c>
      <c r="C765" s="5" t="s">
        <v>9402</v>
      </c>
      <c r="D765">
        <f t="shared" si="44"/>
        <v>764</v>
      </c>
      <c r="E765" t="str">
        <f t="shared" si="45"/>
        <v>E1_3_8_1</v>
      </c>
      <c r="F765" s="11" t="s">
        <v>13975</v>
      </c>
      <c r="G765" s="11" t="s">
        <v>14578</v>
      </c>
      <c r="H765" s="11" t="s">
        <v>15167</v>
      </c>
      <c r="I765" s="11" t="s">
        <v>15788</v>
      </c>
      <c r="J765" s="12" t="str">
        <f t="shared" si="46"/>
        <v>(${Variables:E1_3_8_1_kcat} * E1_3_8_1 * C00028 * C15980)/(${Variables:E1_3_8_1_km} + (E1_3_8_1 * C00028 * C15980))</v>
      </c>
      <c r="K765" s="11" t="str">
        <f t="shared" si="47"/>
        <v>r764: C00028 + C15980 -&gt; C00030 + C03345 | (${Variables:E1_3_8_1_kcat} * E1_3_8_1 * C00028 * C15980)/(${Variables:E1_3_8_1_km} + (E1_3_8_1 * C00028 * C15980))</v>
      </c>
    </row>
    <row r="766" spans="1:11" ht="45" customHeight="1" x14ac:dyDescent="0.25">
      <c r="A766" t="s">
        <v>2900</v>
      </c>
      <c r="B766" t="s">
        <v>2901</v>
      </c>
      <c r="C766" s="5" t="s">
        <v>9402</v>
      </c>
      <c r="D766">
        <f t="shared" si="44"/>
        <v>765</v>
      </c>
      <c r="E766" t="str">
        <f t="shared" si="45"/>
        <v>E1_3_8_1</v>
      </c>
      <c r="F766" s="11" t="s">
        <v>13976</v>
      </c>
      <c r="G766" s="11" t="s">
        <v>14579</v>
      </c>
      <c r="H766" s="11" t="s">
        <v>15168</v>
      </c>
      <c r="I766" s="11" t="s">
        <v>15789</v>
      </c>
      <c r="J766" s="12" t="str">
        <f t="shared" si="46"/>
        <v>(${Variables:E1_3_8_1_kcat} * E1_3_8_1 * C00100 * C04253)/(${Variables:E1_3_8_1_km} + (E1_3_8_1 * C00100 * C04253))</v>
      </c>
      <c r="K766" s="11" t="str">
        <f t="shared" si="47"/>
        <v>r765: C00100 + C04253 -&gt; C00894 + C04570 | (${Variables:E1_3_8_1_kcat} * E1_3_8_1 * C00100 * C04253)/(${Variables:E1_3_8_1_km} + (E1_3_8_1 * C00100 * C04253))</v>
      </c>
    </row>
    <row r="767" spans="1:11" ht="45" customHeight="1" x14ac:dyDescent="0.25">
      <c r="A767" t="s">
        <v>2910</v>
      </c>
      <c r="B767" t="s">
        <v>2911</v>
      </c>
      <c r="C767" s="5" t="s">
        <v>9494</v>
      </c>
      <c r="D767">
        <f t="shared" si="44"/>
        <v>766</v>
      </c>
      <c r="E767" t="str">
        <f t="shared" si="45"/>
        <v>E3_5_1_28</v>
      </c>
      <c r="F767" s="11" t="s">
        <v>14081</v>
      </c>
      <c r="G767" s="11" t="s">
        <v>14684</v>
      </c>
      <c r="H767" s="11" t="s">
        <v>15295</v>
      </c>
      <c r="I767" s="11" t="s">
        <v>15916</v>
      </c>
      <c r="J767" s="12" t="str">
        <f t="shared" si="46"/>
        <v>(${Variables:E3_5_1_28_kcat} * E3_5_1_28 * C00001 * C02999)/(${Variables:E3_5_1_28_km} + (E3_5_1_28 * C00001 * C02999))</v>
      </c>
      <c r="K767" s="11" t="str">
        <f t="shared" si="47"/>
        <v>r766: C00001 + C02999 -&gt; C00041 + C02713 | (${Variables:E3_5_1_28_kcat} * E3_5_1_28 * C00001 * C02999)/(${Variables:E3_5_1_28_km} + (E3_5_1_28 * C00001 * C02999))</v>
      </c>
    </row>
    <row r="768" spans="1:11" ht="45" customHeight="1" x14ac:dyDescent="0.25">
      <c r="A768" t="s">
        <v>2923</v>
      </c>
      <c r="B768" t="s">
        <v>2924</v>
      </c>
      <c r="C768" s="5" t="s">
        <v>9605</v>
      </c>
      <c r="D768">
        <f t="shared" si="44"/>
        <v>767</v>
      </c>
      <c r="E768" t="str">
        <f t="shared" si="45"/>
        <v>E2_5_1_48</v>
      </c>
      <c r="F768" s="11" t="s">
        <v>14247</v>
      </c>
      <c r="G768" s="11" t="s">
        <v>14850</v>
      </c>
      <c r="H768" s="11" t="s">
        <v>15456</v>
      </c>
      <c r="I768" s="11" t="s">
        <v>16077</v>
      </c>
      <c r="J768" s="12" t="str">
        <f t="shared" si="46"/>
        <v>(${Variables:E2_5_1_48_kcat} * E2_5_1_48 * C00097 * C01118)/(${Variables:E2_5_1_48_km} + (E2_5_1_48 * C00097 * C01118))</v>
      </c>
      <c r="K768" s="11" t="str">
        <f t="shared" si="47"/>
        <v>r767: C00097 + C01118 -&gt; C00042 + C02291 | (${Variables:E2_5_1_48_kcat} * E2_5_1_48 * C00097 * C01118)/(${Variables:E2_5_1_48_km} + (E2_5_1_48 * C00097 * C01118))</v>
      </c>
    </row>
    <row r="769" spans="1:11" ht="45" customHeight="1" x14ac:dyDescent="0.25">
      <c r="A769" t="s">
        <v>2923</v>
      </c>
      <c r="B769" t="s">
        <v>2924</v>
      </c>
      <c r="C769" s="5" t="s">
        <v>9605</v>
      </c>
      <c r="D769">
        <f t="shared" si="44"/>
        <v>768</v>
      </c>
      <c r="E769" t="str">
        <f t="shared" si="45"/>
        <v>E2_5_1_48</v>
      </c>
      <c r="F769" s="11" t="s">
        <v>14248</v>
      </c>
      <c r="G769" s="11" t="s">
        <v>14851</v>
      </c>
      <c r="H769" s="11" t="s">
        <v>15457</v>
      </c>
      <c r="I769" s="11" t="s">
        <v>16078</v>
      </c>
      <c r="J769" s="12" t="str">
        <f t="shared" si="46"/>
        <v>(${Variables:E2_5_1_48_kcat} * E2_5_1_48 * C00001 * C01118)/(${Variables:E2_5_1_48_km} + (E2_5_1_48 * C00001 * C01118))</v>
      </c>
      <c r="K769" s="11" t="str">
        <f t="shared" si="47"/>
        <v>r768: C00001 + C01118 -&gt; C00014 + C00042 + C00109 | (${Variables:E2_5_1_48_kcat} * E2_5_1_48 * C00001 * C01118)/(${Variables:E2_5_1_48_km} + (E2_5_1_48 * C00001 * C01118))</v>
      </c>
    </row>
    <row r="770" spans="1:11" ht="45" customHeight="1" x14ac:dyDescent="0.25">
      <c r="A770" t="s">
        <v>2923</v>
      </c>
      <c r="B770" t="s">
        <v>2924</v>
      </c>
      <c r="C770" s="5" t="s">
        <v>9605</v>
      </c>
      <c r="D770">
        <f t="shared" si="44"/>
        <v>769</v>
      </c>
      <c r="E770" t="str">
        <f t="shared" si="45"/>
        <v>E2_5_1_48</v>
      </c>
      <c r="F770" s="11" t="s">
        <v>14249</v>
      </c>
      <c r="G770" s="11" t="s">
        <v>14852</v>
      </c>
      <c r="H770" s="11" t="s">
        <v>15458</v>
      </c>
      <c r="I770" s="11" t="s">
        <v>16079</v>
      </c>
      <c r="J770" s="12" t="str">
        <f t="shared" si="46"/>
        <v>(${Variables:E2_5_1_48_kcat} * E2_5_1_48 * C00283 * C01118)/(${Variables:E2_5_1_48_km} + (E2_5_1_48 * C00283 * C01118))</v>
      </c>
      <c r="K770" s="11" t="str">
        <f t="shared" si="47"/>
        <v>r769: C00283 + C01118 -&gt; C00042 + C00155 | (${Variables:E2_5_1_48_kcat} * E2_5_1_48 * C00283 * C01118)/(${Variables:E2_5_1_48_km} + (E2_5_1_48 * C00283 * C01118))</v>
      </c>
    </row>
    <row r="771" spans="1:11" ht="45" customHeight="1" x14ac:dyDescent="0.25">
      <c r="A771" t="s">
        <v>2923</v>
      </c>
      <c r="B771" t="s">
        <v>2924</v>
      </c>
      <c r="C771" s="5" t="s">
        <v>9605</v>
      </c>
      <c r="D771">
        <f t="shared" ref="D771:D834" si="48">ROW()-1</f>
        <v>770</v>
      </c>
      <c r="E771" t="str">
        <f t="shared" ref="E771:E834" si="49">_xlfn.CONCAT("E", C771)</f>
        <v>E2_5_1_48</v>
      </c>
      <c r="F771" s="11" t="s">
        <v>14250</v>
      </c>
      <c r="G771" s="11" t="s">
        <v>14853</v>
      </c>
      <c r="H771" s="11" t="s">
        <v>14247</v>
      </c>
      <c r="I771" s="11" t="s">
        <v>14850</v>
      </c>
      <c r="J771" s="12" t="str">
        <f t="shared" ref="J771:J834" si="50">CONCATENATE("(${Variables:",E771,"_kcat","} * ",E771," * ",G771,")","/(${Variables:",E771,"_km","} + (",E771," * ",G771,"))")</f>
        <v>(${Variables:E2_5_1_48_kcat} * E2_5_1_48 * C00042 * C00542)/(${Variables:E2_5_1_48_km} + (E2_5_1_48 * C00042 * C00542))</v>
      </c>
      <c r="K771" s="11" t="str">
        <f t="shared" ref="K771:K834" si="51">CONCATENATE("r",D771,": ",F771," -&gt; ",H771," | ",J771)</f>
        <v>r770: C00042 + C00542 -&gt; C00097 + C01118 | (${Variables:E2_5_1_48_kcat} * E2_5_1_48 * C00042 * C00542)/(${Variables:E2_5_1_48_km} + (E2_5_1_48 * C00042 * C00542))</v>
      </c>
    </row>
    <row r="772" spans="1:11" ht="45" customHeight="1" x14ac:dyDescent="0.25">
      <c r="A772" t="s">
        <v>2923</v>
      </c>
      <c r="B772" t="s">
        <v>2924</v>
      </c>
      <c r="C772" s="5" t="s">
        <v>9605</v>
      </c>
      <c r="D772">
        <f t="shared" si="48"/>
        <v>771</v>
      </c>
      <c r="E772" t="str">
        <f t="shared" si="49"/>
        <v>E2_5_1_48</v>
      </c>
      <c r="F772" s="11" t="s">
        <v>14251</v>
      </c>
      <c r="G772" s="11" t="s">
        <v>14854</v>
      </c>
      <c r="H772" s="11" t="s">
        <v>15459</v>
      </c>
      <c r="I772" s="11" t="s">
        <v>16080</v>
      </c>
      <c r="J772" s="12" t="str">
        <f t="shared" si="50"/>
        <v>(${Variables:E2_5_1_48_kcat} * E2_5_1_48 * C00097 * C01077)/(${Variables:E2_5_1_48_km} + (E2_5_1_48 * C00097 * C01077))</v>
      </c>
      <c r="K772" s="11" t="str">
        <f t="shared" si="51"/>
        <v>r771: C00097 + C01077 -&gt; C00033 + C02291 | (${Variables:E2_5_1_48_kcat} * E2_5_1_48 * C00097 * C01077)/(${Variables:E2_5_1_48_km} + (E2_5_1_48 * C00097 * C01077))</v>
      </c>
    </row>
    <row r="773" spans="1:11" ht="45" customHeight="1" x14ac:dyDescent="0.25">
      <c r="A773" t="s">
        <v>2923</v>
      </c>
      <c r="B773" t="s">
        <v>2924</v>
      </c>
      <c r="C773" s="5" t="s">
        <v>9605</v>
      </c>
      <c r="D773">
        <f t="shared" si="48"/>
        <v>772</v>
      </c>
      <c r="E773" t="str">
        <f t="shared" si="49"/>
        <v>E2_5_1_48</v>
      </c>
      <c r="F773" s="11" t="s">
        <v>14252</v>
      </c>
      <c r="G773" s="11" t="s">
        <v>14855</v>
      </c>
      <c r="H773" s="11" t="s">
        <v>15460</v>
      </c>
      <c r="I773" s="11" t="s">
        <v>16081</v>
      </c>
      <c r="J773" s="12" t="str">
        <f t="shared" si="50"/>
        <v>(${Variables:E2_5_1_48_kcat} * E2_5_1_48 * C05688 * C05702)/(${Variables:E2_5_1_48_km} + (E2_5_1_48 * C05688 * C05702))</v>
      </c>
      <c r="K773" s="11" t="str">
        <f t="shared" si="51"/>
        <v>r772: C05688 + C05702 -&gt; C00009 + C05699 | (${Variables:E2_5_1_48_kcat} * E2_5_1_48 * C05688 * C05702)/(${Variables:E2_5_1_48_km} + (E2_5_1_48 * C05688 * C05702))</v>
      </c>
    </row>
    <row r="774" spans="1:11" ht="45" customHeight="1" x14ac:dyDescent="0.25">
      <c r="A774" t="s">
        <v>2923</v>
      </c>
      <c r="B774" t="s">
        <v>2924</v>
      </c>
      <c r="C774" s="5" t="s">
        <v>9605</v>
      </c>
      <c r="D774">
        <f t="shared" si="48"/>
        <v>773</v>
      </c>
      <c r="E774" t="str">
        <f t="shared" si="49"/>
        <v>E2_5_1_48</v>
      </c>
      <c r="F774" s="11" t="s">
        <v>8744</v>
      </c>
      <c r="G774" s="11" t="s">
        <v>8910</v>
      </c>
      <c r="H774" s="11" t="s">
        <v>15461</v>
      </c>
      <c r="I774" s="11" t="s">
        <v>16082</v>
      </c>
      <c r="J774" s="12" t="str">
        <f t="shared" si="50"/>
        <v>(${Variables:E2_5_1_48_kcat} * E2_5_1_48 * C01077 * C05688)/(${Variables:E2_5_1_48_km} + (E2_5_1_48 * C01077 * C05688))</v>
      </c>
      <c r="K774" s="11" t="str">
        <f t="shared" si="51"/>
        <v>r773: C01077 + C05688 -&gt; C00033 + C05699 | (${Variables:E2_5_1_48_kcat} * E2_5_1_48 * C01077 * C05688)/(${Variables:E2_5_1_48_km} + (E2_5_1_48 * C01077 * C05688))</v>
      </c>
    </row>
    <row r="775" spans="1:11" ht="45" customHeight="1" x14ac:dyDescent="0.25">
      <c r="A775" t="s">
        <v>2923</v>
      </c>
      <c r="B775" t="s">
        <v>2924</v>
      </c>
      <c r="C775" s="5" t="s">
        <v>9605</v>
      </c>
      <c r="D775">
        <f t="shared" si="48"/>
        <v>774</v>
      </c>
      <c r="E775" t="str">
        <f t="shared" si="49"/>
        <v>E2_5_1_48</v>
      </c>
      <c r="F775" s="11" t="s">
        <v>8745</v>
      </c>
      <c r="G775" s="11" t="s">
        <v>8911</v>
      </c>
      <c r="H775" s="11" t="s">
        <v>15462</v>
      </c>
      <c r="I775" s="11" t="s">
        <v>16083</v>
      </c>
      <c r="J775" s="12" t="str">
        <f t="shared" si="50"/>
        <v>(${Variables:E2_5_1_48_kcat} * E2_5_1_48 * C01118 * C05688)/(${Variables:E2_5_1_48_km} + (E2_5_1_48 * C01118 * C05688))</v>
      </c>
      <c r="K775" s="11" t="str">
        <f t="shared" si="51"/>
        <v>r774: C01118 + C05688 -&gt; C00042 + C05699 | (${Variables:E2_5_1_48_kcat} * E2_5_1_48 * C01118 * C05688)/(${Variables:E2_5_1_48_km} + (E2_5_1_48 * C01118 * C05688))</v>
      </c>
    </row>
    <row r="776" spans="1:11" ht="45" customHeight="1" x14ac:dyDescent="0.25">
      <c r="A776" t="s">
        <v>2926</v>
      </c>
      <c r="B776" t="s">
        <v>2927</v>
      </c>
      <c r="C776" s="5" t="s">
        <v>9612</v>
      </c>
      <c r="D776">
        <f t="shared" si="48"/>
        <v>775</v>
      </c>
      <c r="E776" t="str">
        <f t="shared" si="49"/>
        <v>E2_8_1_1</v>
      </c>
      <c r="F776" s="11" t="s">
        <v>14261</v>
      </c>
      <c r="G776" s="11" t="s">
        <v>14864</v>
      </c>
      <c r="H776" s="11" t="s">
        <v>9102</v>
      </c>
      <c r="I776" s="11" t="s">
        <v>9301</v>
      </c>
      <c r="J776" s="12" t="str">
        <f t="shared" si="50"/>
        <v>(${Variables:E2_8_1_1_kcat} * E2_8_1_1 * C00177 * C00320)/(${Variables:E2_8_1_1_km} + (E2_8_1_1 * C00177 * C00320))</v>
      </c>
      <c r="K776" s="11" t="str">
        <f t="shared" si="51"/>
        <v>r775: C00177 + C00320 -&gt; C00094 + C01755 | (${Variables:E2_8_1_1_kcat} * E2_8_1_1 * C00177 * C00320)/(${Variables:E2_8_1_1_km} + (E2_8_1_1 * C00177 * C00320))</v>
      </c>
    </row>
    <row r="777" spans="1:11" ht="45" customHeight="1" x14ac:dyDescent="0.25">
      <c r="A777" t="s">
        <v>2929</v>
      </c>
      <c r="B777" t="s">
        <v>2930</v>
      </c>
      <c r="C777" s="5" t="s">
        <v>9513</v>
      </c>
      <c r="D777">
        <f t="shared" si="48"/>
        <v>776</v>
      </c>
      <c r="E777" t="str">
        <f t="shared" si="49"/>
        <v>E4_3_1_17</v>
      </c>
      <c r="F777" s="11" t="s">
        <v>8143</v>
      </c>
      <c r="G777" s="11" t="s">
        <v>8143</v>
      </c>
      <c r="H777" s="11" t="s">
        <v>15216</v>
      </c>
      <c r="I777" s="11" t="s">
        <v>15837</v>
      </c>
      <c r="J777" s="12" t="str">
        <f t="shared" si="50"/>
        <v>(${Variables:E4_3_1_17_kcat} * E4_3_1_17 * C00065)/(${Variables:E4_3_1_17_km} + (E4_3_1_17 * C00065))</v>
      </c>
      <c r="K777" s="11" t="str">
        <f t="shared" si="51"/>
        <v>r776: C00065 -&gt; C00014 + C00022 | (${Variables:E4_3_1_17_kcat} * E4_3_1_17 * C00065)/(${Variables:E4_3_1_17_km} + (E4_3_1_17 * C00065))</v>
      </c>
    </row>
    <row r="778" spans="1:11" ht="45" customHeight="1" x14ac:dyDescent="0.25">
      <c r="A778" t="s">
        <v>2929</v>
      </c>
      <c r="B778" t="s">
        <v>2930</v>
      </c>
      <c r="C778" s="5" t="s">
        <v>9513</v>
      </c>
      <c r="D778">
        <f t="shared" si="48"/>
        <v>777</v>
      </c>
      <c r="E778" t="str">
        <f t="shared" si="49"/>
        <v>E4_3_1_17</v>
      </c>
      <c r="F778" s="11" t="s">
        <v>8143</v>
      </c>
      <c r="G778" s="11" t="s">
        <v>8143</v>
      </c>
      <c r="H778" s="11" t="s">
        <v>15321</v>
      </c>
      <c r="I778" s="11" t="s">
        <v>15942</v>
      </c>
      <c r="J778" s="12" t="str">
        <f t="shared" si="50"/>
        <v>(${Variables:E4_3_1_17_kcat} * E4_3_1_17 * C00065)/(${Variables:E4_3_1_17_km} + (E4_3_1_17 * C00065))</v>
      </c>
      <c r="K778" s="11" t="str">
        <f t="shared" si="51"/>
        <v>r777: C00065 -&gt; C00001 + C02218 | (${Variables:E4_3_1_17_kcat} * E4_3_1_17 * C00065)/(${Variables:E4_3_1_17_km} + (E4_3_1_17 * C00065))</v>
      </c>
    </row>
    <row r="779" spans="1:11" ht="45" customHeight="1" x14ac:dyDescent="0.25">
      <c r="A779" t="s">
        <v>2929</v>
      </c>
      <c r="B779" t="s">
        <v>2930</v>
      </c>
      <c r="C779" s="5" t="s">
        <v>9513</v>
      </c>
      <c r="D779">
        <f t="shared" si="48"/>
        <v>778</v>
      </c>
      <c r="E779" t="str">
        <f t="shared" si="49"/>
        <v>E4_3_1_17</v>
      </c>
      <c r="F779" s="11" t="s">
        <v>14120</v>
      </c>
      <c r="G779" s="11" t="s">
        <v>14723</v>
      </c>
      <c r="H779" s="11" t="s">
        <v>15216</v>
      </c>
      <c r="I779" s="11" t="s">
        <v>15837</v>
      </c>
      <c r="J779" s="12" t="str">
        <f t="shared" si="50"/>
        <v>(${Variables:E4_3_1_17_kcat} * E4_3_1_17 * C00001 * C20904)/(${Variables:E4_3_1_17_km} + (E4_3_1_17 * C00001 * C20904))</v>
      </c>
      <c r="K779" s="11" t="str">
        <f t="shared" si="51"/>
        <v>r778: C00001 + C20904 -&gt; C00014 + C00022 | (${Variables:E4_3_1_17_kcat} * E4_3_1_17 * C00001 * C20904)/(${Variables:E4_3_1_17_km} + (E4_3_1_17 * C00001 * C20904))</v>
      </c>
    </row>
    <row r="780" spans="1:11" ht="45" customHeight="1" x14ac:dyDescent="0.25">
      <c r="A780" t="s">
        <v>2929</v>
      </c>
      <c r="B780" t="s">
        <v>2930</v>
      </c>
      <c r="C780" s="5" t="s">
        <v>9513</v>
      </c>
      <c r="D780">
        <f t="shared" si="48"/>
        <v>779</v>
      </c>
      <c r="E780" t="str">
        <f t="shared" si="49"/>
        <v>E4_3_1_17</v>
      </c>
      <c r="F780" s="11" t="s">
        <v>8212</v>
      </c>
      <c r="G780" s="11" t="s">
        <v>8212</v>
      </c>
      <c r="H780" s="11" t="s">
        <v>8490</v>
      </c>
      <c r="I780" s="11" t="s">
        <v>8490</v>
      </c>
      <c r="J780" s="12" t="str">
        <f t="shared" si="50"/>
        <v>(${Variables:E4_3_1_17_kcat} * E4_3_1_17 * C02218)/(${Variables:E4_3_1_17_km} + (E4_3_1_17 * C02218))</v>
      </c>
      <c r="K780" s="11" t="str">
        <f t="shared" si="51"/>
        <v>r779: C02218 -&gt; C20904 | (${Variables:E4_3_1_17_kcat} * E4_3_1_17 * C02218)/(${Variables:E4_3_1_17_km} + (E4_3_1_17 * C02218))</v>
      </c>
    </row>
    <row r="781" spans="1:11" ht="45" customHeight="1" x14ac:dyDescent="0.25">
      <c r="A781" t="s">
        <v>2929</v>
      </c>
      <c r="B781" t="s">
        <v>2930</v>
      </c>
      <c r="C781" s="5" t="s">
        <v>9513</v>
      </c>
      <c r="D781">
        <f t="shared" si="48"/>
        <v>780</v>
      </c>
      <c r="E781" t="str">
        <f t="shared" si="49"/>
        <v>E4_3_1_17</v>
      </c>
      <c r="F781" s="11" t="s">
        <v>8144</v>
      </c>
      <c r="G781" s="11" t="s">
        <v>8144</v>
      </c>
      <c r="H781" s="11" t="s">
        <v>15217</v>
      </c>
      <c r="I781" s="11" t="s">
        <v>15838</v>
      </c>
      <c r="J781" s="12" t="str">
        <f t="shared" si="50"/>
        <v>(${Variables:E4_3_1_17_kcat} * E4_3_1_17 * C05167)/(${Variables:E4_3_1_17_km} + (E4_3_1_17 * C05167))</v>
      </c>
      <c r="K781" s="11" t="str">
        <f t="shared" si="51"/>
        <v>r780: C05167 -&gt; C00014 + C00161 | (${Variables:E4_3_1_17_kcat} * E4_3_1_17 * C05167)/(${Variables:E4_3_1_17_km} + (E4_3_1_17 * C05167))</v>
      </c>
    </row>
    <row r="782" spans="1:11" ht="45" customHeight="1" x14ac:dyDescent="0.25">
      <c r="A782" t="s">
        <v>2938</v>
      </c>
      <c r="B782" t="s">
        <v>2939</v>
      </c>
      <c r="C782" s="5" t="s">
        <v>9613</v>
      </c>
      <c r="D782">
        <f t="shared" si="48"/>
        <v>781</v>
      </c>
      <c r="E782" t="str">
        <f t="shared" si="49"/>
        <v>E2_1_1_228</v>
      </c>
      <c r="F782" s="11" t="s">
        <v>8748</v>
      </c>
      <c r="G782" s="11" t="s">
        <v>8914</v>
      </c>
      <c r="H782" s="11" t="s">
        <v>9103</v>
      </c>
      <c r="I782" s="11" t="s">
        <v>9302</v>
      </c>
      <c r="J782" s="12" t="str">
        <f t="shared" si="50"/>
        <v>(${Variables:E2_1_1_228_kcat} * E2_1_1_228 * C00019 * C01977)/(${Variables:E2_1_1_228_km} + (E2_1_1_228 * C00019 * C01977))</v>
      </c>
      <c r="K782" s="11" t="str">
        <f t="shared" si="51"/>
        <v>r781: C00019 + C01977 -&gt; C00021 + C04157 | (${Variables:E2_1_1_228_kcat} * E2_1_1_228 * C00019 * C01977)/(${Variables:E2_1_1_228_km} + (E2_1_1_228 * C00019 * C01977))</v>
      </c>
    </row>
    <row r="783" spans="1:11" ht="45" customHeight="1" x14ac:dyDescent="0.25">
      <c r="A783" t="s">
        <v>2964</v>
      </c>
      <c r="B783" t="s">
        <v>2965</v>
      </c>
      <c r="C783" s="5" t="s">
        <v>9614</v>
      </c>
      <c r="D783">
        <f t="shared" si="48"/>
        <v>782</v>
      </c>
      <c r="E783" t="str">
        <f t="shared" si="49"/>
        <v>E4_1_1_31</v>
      </c>
      <c r="F783" s="11" t="s">
        <v>8749</v>
      </c>
      <c r="G783" s="11" t="s">
        <v>8915</v>
      </c>
      <c r="H783" s="11" t="s">
        <v>15472</v>
      </c>
      <c r="I783" s="11" t="s">
        <v>16093</v>
      </c>
      <c r="J783" s="12" t="str">
        <f t="shared" si="50"/>
        <v>(${Variables:E4_1_1_31_kcat} * E4_1_1_31 * C00009 * C00036)/(${Variables:E4_1_1_31_km} + (E4_1_1_31 * C00009 * C00036))</v>
      </c>
      <c r="K783" s="11" t="str">
        <f t="shared" si="51"/>
        <v>r782: C00009 + C00036 -&gt; C00001 + C00011 + C00074 | (${Variables:E4_1_1_31_kcat} * E4_1_1_31 * C00009 * C00036)/(${Variables:E4_1_1_31_km} + (E4_1_1_31 * C00009 * C00036))</v>
      </c>
    </row>
    <row r="784" spans="1:11" ht="45" customHeight="1" x14ac:dyDescent="0.25">
      <c r="A784" t="s">
        <v>2980</v>
      </c>
      <c r="B784" t="s">
        <v>2981</v>
      </c>
      <c r="C784" s="5" t="s">
        <v>9615</v>
      </c>
      <c r="D784">
        <f t="shared" si="48"/>
        <v>783</v>
      </c>
      <c r="E784" t="str">
        <f t="shared" si="49"/>
        <v>E4_1_3_38</v>
      </c>
      <c r="F784" s="11" t="s">
        <v>8276</v>
      </c>
      <c r="G784" s="11" t="s">
        <v>8276</v>
      </c>
      <c r="H784" s="11" t="s">
        <v>15473</v>
      </c>
      <c r="I784" s="11" t="s">
        <v>16094</v>
      </c>
      <c r="J784" s="12" t="str">
        <f t="shared" si="50"/>
        <v>(${Variables:E4_1_3_38_kcat} * E4_1_3_38 * C11355)/(${Variables:E4_1_3_38_km} + (E4_1_3_38 * C11355))</v>
      </c>
      <c r="K784" s="11" t="str">
        <f t="shared" si="51"/>
        <v>r783: C11355 -&gt; C00022 + C00568 | (${Variables:E4_1_3_38_kcat} * E4_1_3_38 * C11355)/(${Variables:E4_1_3_38_km} + (E4_1_3_38 * C11355))</v>
      </c>
    </row>
    <row r="785" spans="1:11" ht="45" customHeight="1" x14ac:dyDescent="0.25">
      <c r="A785" t="s">
        <v>2983</v>
      </c>
      <c r="B785" t="s">
        <v>2984</v>
      </c>
      <c r="C785" s="5" t="s">
        <v>9616</v>
      </c>
      <c r="D785">
        <f t="shared" si="48"/>
        <v>784</v>
      </c>
      <c r="E785" t="str">
        <f t="shared" si="49"/>
        <v>E2_6_1_85</v>
      </c>
      <c r="F785" s="11" t="s">
        <v>14005</v>
      </c>
      <c r="G785" s="11" t="s">
        <v>14608</v>
      </c>
      <c r="H785" s="11" t="s">
        <v>15213</v>
      </c>
      <c r="I785" s="11" t="s">
        <v>15834</v>
      </c>
      <c r="J785" s="12" t="str">
        <f t="shared" si="50"/>
        <v>(${Variables:E2_6_1_85_kcat} * E2_6_1_85 * C00001 * C00064)/(${Variables:E2_6_1_85_km} + (E2_6_1_85 * C00001 * C00064))</v>
      </c>
      <c r="K785" s="11" t="str">
        <f t="shared" si="51"/>
        <v>r784: C00001 + C00064 -&gt; C00014 + C00025 | (${Variables:E2_6_1_85_kcat} * E2_6_1_85 * C00001 * C00064)/(${Variables:E2_6_1_85_km} + (E2_6_1_85 * C00001 * C00064))</v>
      </c>
    </row>
    <row r="786" spans="1:11" ht="45" customHeight="1" x14ac:dyDescent="0.25">
      <c r="A786" t="s">
        <v>2983</v>
      </c>
      <c r="B786" t="s">
        <v>2984</v>
      </c>
      <c r="C786" s="5" t="s">
        <v>9616</v>
      </c>
      <c r="D786">
        <f t="shared" si="48"/>
        <v>785</v>
      </c>
      <c r="E786" t="str">
        <f t="shared" si="49"/>
        <v>E2_6_1_85</v>
      </c>
      <c r="F786" s="11" t="s">
        <v>14262</v>
      </c>
      <c r="G786" s="11" t="s">
        <v>14865</v>
      </c>
      <c r="H786" s="11" t="s">
        <v>15474</v>
      </c>
      <c r="I786" s="11" t="s">
        <v>16095</v>
      </c>
      <c r="J786" s="12" t="str">
        <f t="shared" si="50"/>
        <v>(${Variables:E2_6_1_85_kcat} * E2_6_1_85 * C00064 * C00251)/(${Variables:E2_6_1_85_km} + (E2_6_1_85 * C00064 * C00251))</v>
      </c>
      <c r="K786" s="11" t="str">
        <f t="shared" si="51"/>
        <v>r785: C00064 + C00251 -&gt; C00025 + C11355 | (${Variables:E2_6_1_85_kcat} * E2_6_1_85 * C00064 * C00251)/(${Variables:E2_6_1_85_km} + (E2_6_1_85 * C00064 * C00251))</v>
      </c>
    </row>
    <row r="787" spans="1:11" ht="45" customHeight="1" x14ac:dyDescent="0.25">
      <c r="A787" t="s">
        <v>2983</v>
      </c>
      <c r="B787" t="s">
        <v>2984</v>
      </c>
      <c r="C787" s="5" t="s">
        <v>9616</v>
      </c>
      <c r="D787">
        <f t="shared" si="48"/>
        <v>786</v>
      </c>
      <c r="E787" t="str">
        <f t="shared" si="49"/>
        <v>E2_6_1_85</v>
      </c>
      <c r="F787" s="11" t="s">
        <v>14263</v>
      </c>
      <c r="G787" s="11" t="s">
        <v>14866</v>
      </c>
      <c r="H787" s="11" t="s">
        <v>15475</v>
      </c>
      <c r="I787" s="11" t="s">
        <v>16096</v>
      </c>
      <c r="J787" s="12" t="str">
        <f t="shared" si="50"/>
        <v>(${Variables:E2_6_1_85_kcat} * E2_6_1_85 * C00014 * C00251)/(${Variables:E2_6_1_85_km} + (E2_6_1_85 * C00014 * C00251))</v>
      </c>
      <c r="K787" s="11" t="str">
        <f t="shared" si="51"/>
        <v>r786: C00014 + C00251 -&gt; C00001 + C11355 | (${Variables:E2_6_1_85_kcat} * E2_6_1_85 * C00014 * C00251)/(${Variables:E2_6_1_85_km} + (E2_6_1_85 * C00014 * C00251))</v>
      </c>
    </row>
    <row r="788" spans="1:11" ht="45" customHeight="1" x14ac:dyDescent="0.25">
      <c r="A788" t="s">
        <v>2988</v>
      </c>
      <c r="B788" t="s">
        <v>2989</v>
      </c>
      <c r="C788" s="5" t="s">
        <v>9617</v>
      </c>
      <c r="D788">
        <f t="shared" si="48"/>
        <v>787</v>
      </c>
      <c r="E788" t="str">
        <f t="shared" si="49"/>
        <v>E2_1_1_13</v>
      </c>
      <c r="F788" s="11" t="s">
        <v>14264</v>
      </c>
      <c r="G788" s="11" t="s">
        <v>14867</v>
      </c>
      <c r="H788" s="11" t="s">
        <v>15476</v>
      </c>
      <c r="I788" s="11" t="s">
        <v>16097</v>
      </c>
      <c r="J788" s="12" t="str">
        <f t="shared" si="50"/>
        <v>(${Variables:E2_1_1_13_kcat} * E2_1_1_13 * C00155 * C00440)/(${Variables:E2_1_1_13_km} + (E2_1_1_13 * C00155 * C00440))</v>
      </c>
      <c r="K788" s="11" t="str">
        <f t="shared" si="51"/>
        <v>r787: C00155 + C00440 -&gt; C00073 + C00101 | (${Variables:E2_1_1_13_kcat} * E2_1_1_13 * C00155 * C00440)/(${Variables:E2_1_1_13_km} + (E2_1_1_13 * C00155 * C00440))</v>
      </c>
    </row>
    <row r="789" spans="1:11" ht="45" customHeight="1" x14ac:dyDescent="0.25">
      <c r="A789" t="s">
        <v>2988</v>
      </c>
      <c r="B789" t="s">
        <v>2989</v>
      </c>
      <c r="C789" s="5" t="s">
        <v>9617</v>
      </c>
      <c r="D789">
        <f t="shared" si="48"/>
        <v>788</v>
      </c>
      <c r="E789" t="str">
        <f t="shared" si="49"/>
        <v>E2_1_1_13</v>
      </c>
      <c r="F789" s="11" t="s">
        <v>14265</v>
      </c>
      <c r="G789" s="11" t="s">
        <v>14868</v>
      </c>
      <c r="H789" s="11" t="s">
        <v>15477</v>
      </c>
      <c r="I789" s="11" t="s">
        <v>16098</v>
      </c>
      <c r="J789" s="12" t="str">
        <f t="shared" si="50"/>
        <v>(${Variables:E2_1_1_13_kcat} * E2_1_1_13 * C04489 * C05698)/(${Variables:E2_1_1_13_km} + (E2_1_1_13 * C04489 * C05698))</v>
      </c>
      <c r="K789" s="11" t="str">
        <f t="shared" si="51"/>
        <v>r788: C04489 + C05698 -&gt; C04144 + C05335 | (${Variables:E2_1_1_13_kcat} * E2_1_1_13 * C04489 * C05698)/(${Variables:E2_1_1_13_km} + (E2_1_1_13 * C04489 * C05698))</v>
      </c>
    </row>
    <row r="790" spans="1:11" ht="45" customHeight="1" x14ac:dyDescent="0.25">
      <c r="A790" t="s">
        <v>2991</v>
      </c>
      <c r="B790" t="s">
        <v>2992</v>
      </c>
      <c r="C790" s="5" t="s">
        <v>9618</v>
      </c>
      <c r="D790">
        <f t="shared" si="48"/>
        <v>789</v>
      </c>
      <c r="E790" t="str">
        <f t="shared" si="49"/>
        <v>E6_3_4_21</v>
      </c>
      <c r="F790" s="11" t="s">
        <v>14266</v>
      </c>
      <c r="G790" s="11" t="s">
        <v>14869</v>
      </c>
      <c r="H790" s="11" t="s">
        <v>15478</v>
      </c>
      <c r="I790" s="11" t="s">
        <v>16099</v>
      </c>
      <c r="J790" s="12" t="str">
        <f t="shared" si="50"/>
        <v>(${Variables:E6_3_4_21_kcat} * E6_3_4_21 * C00008 * C00009 * C00013 * C01185)/(${Variables:E6_3_4_21_km} + (E6_3_4_21 * C00008 * C00009 * C00013 * C01185))</v>
      </c>
      <c r="K790" s="11" t="str">
        <f t="shared" si="51"/>
        <v>r789: C00008 + C00009 + C00013 + C01185 -&gt; C00001 + C00002 + C00080 + C00119 + C00253 | (${Variables:E6_3_4_21_kcat} * E6_3_4_21 * C00008 * C00009 * C00013 * C01185)/(${Variables:E6_3_4_21_km} + (E6_3_4_21 * C00008 * C00009 * C00013 * C01185))</v>
      </c>
    </row>
    <row r="791" spans="1:11" ht="45" customHeight="1" x14ac:dyDescent="0.25">
      <c r="A791" t="s">
        <v>3000</v>
      </c>
      <c r="B791" t="s">
        <v>3001</v>
      </c>
      <c r="C791" s="5" t="s">
        <v>9391</v>
      </c>
      <c r="D791">
        <f t="shared" si="48"/>
        <v>790</v>
      </c>
      <c r="E791" t="str">
        <f t="shared" si="49"/>
        <v>E5_2_1_8</v>
      </c>
      <c r="F791" s="11" t="s">
        <v>8094</v>
      </c>
      <c r="G791" s="11" t="s">
        <v>8094</v>
      </c>
      <c r="H791" s="11" t="s">
        <v>8395</v>
      </c>
      <c r="I791" s="11" t="s">
        <v>8395</v>
      </c>
      <c r="J791" s="12" t="str">
        <f t="shared" si="50"/>
        <v>(${Variables:E5_2_1_8_kcat} * E5_2_1_8 * C03798)/(${Variables:E5_2_1_8_km} + (E5_2_1_8 * C03798))</v>
      </c>
      <c r="K791" s="11" t="str">
        <f t="shared" si="51"/>
        <v>r790: C03798 -&gt; C03633 | (${Variables:E5_2_1_8_kcat} * E5_2_1_8 * C03798)/(${Variables:E5_2_1_8_km} + (E5_2_1_8 * C03798))</v>
      </c>
    </row>
    <row r="792" spans="1:11" ht="45" customHeight="1" x14ac:dyDescent="0.25">
      <c r="A792" t="s">
        <v>3008</v>
      </c>
      <c r="B792" t="s">
        <v>3009</v>
      </c>
      <c r="C792" s="5" t="s">
        <v>9424</v>
      </c>
      <c r="D792">
        <f t="shared" si="48"/>
        <v>791</v>
      </c>
      <c r="E792" t="str">
        <f t="shared" si="49"/>
        <v>E6_3_5_5</v>
      </c>
      <c r="F792" s="11" t="s">
        <v>14005</v>
      </c>
      <c r="G792" s="11" t="s">
        <v>14608</v>
      </c>
      <c r="H792" s="11" t="s">
        <v>15213</v>
      </c>
      <c r="I792" s="11" t="s">
        <v>15834</v>
      </c>
      <c r="J792" s="12" t="str">
        <f t="shared" si="50"/>
        <v>(${Variables:E6_3_5_5_kcat} * E6_3_5_5 * C00001 * C00064)/(${Variables:E6_3_5_5_km} + (E6_3_5_5 * C00001 * C00064))</v>
      </c>
      <c r="K792" s="11" t="str">
        <f t="shared" si="51"/>
        <v>r791: C00001 + C00064 -&gt; C00014 + C00025 | (${Variables:E6_3_5_5_kcat} * E6_3_5_5 * C00001 * C00064)/(${Variables:E6_3_5_5_km} + (E6_3_5_5 * C00001 * C00064))</v>
      </c>
    </row>
    <row r="793" spans="1:11" ht="45" customHeight="1" x14ac:dyDescent="0.25">
      <c r="A793" t="s">
        <v>3008</v>
      </c>
      <c r="B793" t="s">
        <v>3009</v>
      </c>
      <c r="C793" s="5" t="s">
        <v>9424</v>
      </c>
      <c r="D793">
        <f t="shared" si="48"/>
        <v>792</v>
      </c>
      <c r="E793" t="str">
        <f t="shared" si="49"/>
        <v>E6_3_5_5</v>
      </c>
      <c r="F793" s="11" t="s">
        <v>14006</v>
      </c>
      <c r="G793" s="11" t="s">
        <v>14609</v>
      </c>
      <c r="H793" s="11" t="s">
        <v>9005</v>
      </c>
      <c r="I793" s="11" t="s">
        <v>9204</v>
      </c>
      <c r="J793" s="12" t="str">
        <f t="shared" si="50"/>
        <v>(${Variables:E6_3_5_5_kcat} * E6_3_5_5 * C00001 * C00002 * C00064 * C00288)/(${Variables:E6_3_5_5_km} + (E6_3_5_5 * C00001 * C00002 * C00064 * C00288))</v>
      </c>
      <c r="K793" s="11" t="str">
        <f t="shared" si="51"/>
        <v>r792: C00001 + C00002 + C00064 + C00288 -&gt; C00008 + C00009 + C00025 + C00169 | (${Variables:E6_3_5_5_kcat} * E6_3_5_5 * C00001 * C00002 * C00064 * C00288)/(${Variables:E6_3_5_5_km} + (E6_3_5_5 * C00001 * C00002 * C00064 * C00288))</v>
      </c>
    </row>
    <row r="794" spans="1:11" ht="45" customHeight="1" x14ac:dyDescent="0.25">
      <c r="A794" t="s">
        <v>3008</v>
      </c>
      <c r="B794" t="s">
        <v>3009</v>
      </c>
      <c r="C794" s="5" t="s">
        <v>9424</v>
      </c>
      <c r="D794">
        <f t="shared" si="48"/>
        <v>793</v>
      </c>
      <c r="E794" t="str">
        <f t="shared" si="49"/>
        <v>E6_3_5_5</v>
      </c>
      <c r="F794" s="11" t="s">
        <v>8677</v>
      </c>
      <c r="G794" s="11" t="s">
        <v>8843</v>
      </c>
      <c r="H794" s="11" t="s">
        <v>9006</v>
      </c>
      <c r="I794" s="11" t="s">
        <v>9205</v>
      </c>
      <c r="J794" s="12" t="str">
        <f t="shared" si="50"/>
        <v>(${Variables:E6_3_5_5_kcat} * E6_3_5_5 * C00002 * C01563)/(${Variables:E6_3_5_5_km} + (E6_3_5_5 * C00002 * C01563))</v>
      </c>
      <c r="K794" s="11" t="str">
        <f t="shared" si="51"/>
        <v>r793: C00002 + C01563 -&gt; C00008 + C00169 | (${Variables:E6_3_5_5_kcat} * E6_3_5_5 * C00002 * C01563)/(${Variables:E6_3_5_5_km} + (E6_3_5_5 * C00002 * C01563))</v>
      </c>
    </row>
    <row r="795" spans="1:11" ht="45" customHeight="1" x14ac:dyDescent="0.25">
      <c r="A795" t="s">
        <v>3008</v>
      </c>
      <c r="B795" t="s">
        <v>3009</v>
      </c>
      <c r="C795" s="5" t="s">
        <v>9424</v>
      </c>
      <c r="D795">
        <f t="shared" si="48"/>
        <v>794</v>
      </c>
      <c r="E795" t="str">
        <f t="shared" si="49"/>
        <v>E6_3_5_5</v>
      </c>
      <c r="F795" s="11" t="s">
        <v>8678</v>
      </c>
      <c r="G795" s="11" t="s">
        <v>8844</v>
      </c>
      <c r="H795" s="11" t="s">
        <v>9007</v>
      </c>
      <c r="I795" s="11" t="s">
        <v>9206</v>
      </c>
      <c r="J795" s="12" t="str">
        <f t="shared" si="50"/>
        <v>(${Variables:E6_3_5_5_kcat} * E6_3_5_5 * C00002 * C00288)/(${Variables:E6_3_5_5_km} + (E6_3_5_5 * C00002 * C00288))</v>
      </c>
      <c r="K795" s="11" t="str">
        <f t="shared" si="51"/>
        <v>r794: C00002 + C00288 -&gt; C00008 + C20969 | (${Variables:E6_3_5_5_kcat} * E6_3_5_5 * C00002 * C00288)/(${Variables:E6_3_5_5_km} + (E6_3_5_5 * C00002 * C00288))</v>
      </c>
    </row>
    <row r="796" spans="1:11" ht="45" customHeight="1" x14ac:dyDescent="0.25">
      <c r="A796" t="s">
        <v>3008</v>
      </c>
      <c r="B796" t="s">
        <v>3009</v>
      </c>
      <c r="C796" s="5" t="s">
        <v>9424</v>
      </c>
      <c r="D796">
        <f t="shared" si="48"/>
        <v>795</v>
      </c>
      <c r="E796" t="str">
        <f t="shared" si="49"/>
        <v>E6_3_5_5</v>
      </c>
      <c r="F796" s="11" t="s">
        <v>8679</v>
      </c>
      <c r="G796" s="11" t="s">
        <v>8845</v>
      </c>
      <c r="H796" s="11" t="s">
        <v>15214</v>
      </c>
      <c r="I796" s="11" t="s">
        <v>15835</v>
      </c>
      <c r="J796" s="12" t="str">
        <f t="shared" si="50"/>
        <v>(${Variables:E6_3_5_5_kcat} * E6_3_5_5 * C00014 * C20969)/(${Variables:E6_3_5_5_km} + (E6_3_5_5 * C00014 * C20969))</v>
      </c>
      <c r="K796" s="11" t="str">
        <f t="shared" si="51"/>
        <v>r795: C00014 + C20969 -&gt; C00009 + C01563 | (${Variables:E6_3_5_5_kcat} * E6_3_5_5 * C00014 * C20969)/(${Variables:E6_3_5_5_km} + (E6_3_5_5 * C00014 * C20969))</v>
      </c>
    </row>
    <row r="797" spans="1:11" ht="45" customHeight="1" x14ac:dyDescent="0.25">
      <c r="A797" t="s">
        <v>3008</v>
      </c>
      <c r="B797" t="s">
        <v>3009</v>
      </c>
      <c r="C797" s="5" t="s">
        <v>9424</v>
      </c>
      <c r="D797">
        <f t="shared" si="48"/>
        <v>796</v>
      </c>
      <c r="E797" t="str">
        <f t="shared" si="49"/>
        <v>E6_3_5_5</v>
      </c>
      <c r="F797" s="11" t="s">
        <v>14007</v>
      </c>
      <c r="G797" s="11" t="s">
        <v>14610</v>
      </c>
      <c r="H797" s="11" t="s">
        <v>9008</v>
      </c>
      <c r="I797" s="11" t="s">
        <v>9207</v>
      </c>
      <c r="J797" s="12" t="str">
        <f t="shared" si="50"/>
        <v>(${Variables:E6_3_5_5_kcat} * E6_3_5_5 * C00002 * C00014 * C00288)/(${Variables:E6_3_5_5_km} + (E6_3_5_5 * C00002 * C00014 * C00288))</v>
      </c>
      <c r="K797" s="11" t="str">
        <f t="shared" si="51"/>
        <v>r796: C00002 + C00014 + C00288 -&gt; C00008 + C00009 + C00169 | (${Variables:E6_3_5_5_kcat} * E6_3_5_5 * C00002 * C00014 * C00288)/(${Variables:E6_3_5_5_km} + (E6_3_5_5 * C00002 * C00014 * C00288))</v>
      </c>
    </row>
    <row r="798" spans="1:11" ht="45" customHeight="1" x14ac:dyDescent="0.25">
      <c r="A798" t="s">
        <v>3019</v>
      </c>
      <c r="B798" t="s">
        <v>3020</v>
      </c>
      <c r="C798" s="5" t="s">
        <v>9607</v>
      </c>
      <c r="D798">
        <f t="shared" si="48"/>
        <v>797</v>
      </c>
      <c r="E798" t="str">
        <f t="shared" si="49"/>
        <v>E5_4_3_8</v>
      </c>
      <c r="F798" s="11" t="s">
        <v>8194</v>
      </c>
      <c r="G798" s="11" t="s">
        <v>8194</v>
      </c>
      <c r="H798" s="11" t="s">
        <v>8540</v>
      </c>
      <c r="I798" s="11" t="s">
        <v>8540</v>
      </c>
      <c r="J798" s="12" t="str">
        <f t="shared" si="50"/>
        <v>(${Variables:E5_4_3_8_kcat} * E5_4_3_8 * C00430)/(${Variables:E5_4_3_8_km} + (E5_4_3_8 * C00430))</v>
      </c>
      <c r="K798" s="11" t="str">
        <f t="shared" si="51"/>
        <v>r797: C00430 -&gt; C03741 | (${Variables:E5_4_3_8_kcat} * E5_4_3_8 * C00430)/(${Variables:E5_4_3_8_km} + (E5_4_3_8 * C00430))</v>
      </c>
    </row>
    <row r="799" spans="1:11" ht="45" customHeight="1" x14ac:dyDescent="0.25">
      <c r="A799" t="s">
        <v>3022</v>
      </c>
      <c r="B799" t="s">
        <v>3023</v>
      </c>
      <c r="C799" s="5" t="s">
        <v>9619</v>
      </c>
      <c r="D799">
        <f t="shared" si="48"/>
        <v>798</v>
      </c>
      <c r="E799" t="str">
        <f t="shared" si="49"/>
        <v>E4_1_1_11</v>
      </c>
      <c r="F799" s="11" t="s">
        <v>8277</v>
      </c>
      <c r="G799" s="11" t="s">
        <v>8277</v>
      </c>
      <c r="H799" s="11" t="s">
        <v>15479</v>
      </c>
      <c r="I799" s="11" t="s">
        <v>16100</v>
      </c>
      <c r="J799" s="12" t="str">
        <f t="shared" si="50"/>
        <v>(${Variables:E4_1_1_11_kcat} * E4_1_1_11 * C00049)/(${Variables:E4_1_1_11_km} + (E4_1_1_11 * C00049))</v>
      </c>
      <c r="K799" s="11" t="str">
        <f t="shared" si="51"/>
        <v>r798: C00049 -&gt; C00011 + C00099 | (${Variables:E4_1_1_11_kcat} * E4_1_1_11 * C00049)/(${Variables:E4_1_1_11_km} + (E4_1_1_11 * C00049))</v>
      </c>
    </row>
    <row r="800" spans="1:11" ht="45" customHeight="1" x14ac:dyDescent="0.25">
      <c r="A800" t="s">
        <v>3047</v>
      </c>
      <c r="B800" t="s">
        <v>3048</v>
      </c>
      <c r="C800" s="5" t="s">
        <v>9386</v>
      </c>
      <c r="D800">
        <f t="shared" si="48"/>
        <v>799</v>
      </c>
      <c r="E800" t="str">
        <f t="shared" si="49"/>
        <v>E2_7_7_7</v>
      </c>
      <c r="F800" s="11" t="s">
        <v>13933</v>
      </c>
      <c r="G800" s="11" t="s">
        <v>14536</v>
      </c>
      <c r="H800" s="11" t="s">
        <v>8988</v>
      </c>
      <c r="I800" s="11" t="s">
        <v>9187</v>
      </c>
      <c r="J800" s="12" t="str">
        <f t="shared" si="50"/>
        <v>(${Variables:E2_7_7_7_kcat} * E2_7_7_7 * C00039 * C00677)/(${Variables:E2_7_7_7_km} + (E2_7_7_7 * C00039 * C00677))</v>
      </c>
      <c r="K800" s="11" t="str">
        <f t="shared" si="51"/>
        <v>r799: C00039 + C00677 -&gt; C00013 + C00039 | (${Variables:E2_7_7_7_kcat} * E2_7_7_7 * C00039 * C00677)/(${Variables:E2_7_7_7_km} + (E2_7_7_7 * C00039 * C00677))</v>
      </c>
    </row>
    <row r="801" spans="1:11" ht="45" customHeight="1" x14ac:dyDescent="0.25">
      <c r="A801" t="s">
        <v>3047</v>
      </c>
      <c r="B801" t="s">
        <v>3048</v>
      </c>
      <c r="C801" s="5" t="s">
        <v>9386</v>
      </c>
      <c r="D801">
        <f t="shared" si="48"/>
        <v>800</v>
      </c>
      <c r="E801" t="str">
        <f t="shared" si="49"/>
        <v>E2_7_7_7</v>
      </c>
      <c r="F801" s="11" t="s">
        <v>13934</v>
      </c>
      <c r="G801" s="11" t="s">
        <v>14537</v>
      </c>
      <c r="H801" s="11" t="s">
        <v>8988</v>
      </c>
      <c r="I801" s="11" t="s">
        <v>9187</v>
      </c>
      <c r="J801" s="12" t="str">
        <f t="shared" si="50"/>
        <v>(${Variables:E2_7_7_7_kcat} * E2_7_7_7 * C00039 * C00131)/(${Variables:E2_7_7_7_km} + (E2_7_7_7 * C00039 * C00131))</v>
      </c>
      <c r="K801" s="11" t="str">
        <f t="shared" si="51"/>
        <v>r800: C00039 + C00131 -&gt; C00013 + C00039 | (${Variables:E2_7_7_7_kcat} * E2_7_7_7 * C00039 * C00131)/(${Variables:E2_7_7_7_km} + (E2_7_7_7 * C00039 * C00131))</v>
      </c>
    </row>
    <row r="802" spans="1:11" ht="45" customHeight="1" x14ac:dyDescent="0.25">
      <c r="A802" t="s">
        <v>3047</v>
      </c>
      <c r="B802" t="s">
        <v>3048</v>
      </c>
      <c r="C802" s="5" t="s">
        <v>9386</v>
      </c>
      <c r="D802">
        <f t="shared" si="48"/>
        <v>801</v>
      </c>
      <c r="E802" t="str">
        <f t="shared" si="49"/>
        <v>E2_7_7_7</v>
      </c>
      <c r="F802" s="11" t="s">
        <v>13935</v>
      </c>
      <c r="G802" s="11" t="s">
        <v>14538</v>
      </c>
      <c r="H802" s="11" t="s">
        <v>8988</v>
      </c>
      <c r="I802" s="11" t="s">
        <v>9187</v>
      </c>
      <c r="J802" s="12" t="str">
        <f t="shared" si="50"/>
        <v>(${Variables:E2_7_7_7_kcat} * E2_7_7_7 * C00039 * C00286)/(${Variables:E2_7_7_7_km} + (E2_7_7_7 * C00039 * C00286))</v>
      </c>
      <c r="K802" s="11" t="str">
        <f t="shared" si="51"/>
        <v>r801: C00039 + C00286 -&gt; C00013 + C00039 | (${Variables:E2_7_7_7_kcat} * E2_7_7_7 * C00039 * C00286)/(${Variables:E2_7_7_7_km} + (E2_7_7_7 * C00039 * C00286))</v>
      </c>
    </row>
    <row r="803" spans="1:11" ht="45" customHeight="1" x14ac:dyDescent="0.25">
      <c r="A803" t="s">
        <v>3047</v>
      </c>
      <c r="B803" t="s">
        <v>3048</v>
      </c>
      <c r="C803" s="5" t="s">
        <v>9386</v>
      </c>
      <c r="D803">
        <f t="shared" si="48"/>
        <v>802</v>
      </c>
      <c r="E803" t="str">
        <f t="shared" si="49"/>
        <v>E2_7_7_7</v>
      </c>
      <c r="F803" s="11" t="s">
        <v>13936</v>
      </c>
      <c r="G803" s="11" t="s">
        <v>14539</v>
      </c>
      <c r="H803" s="11" t="s">
        <v>8988</v>
      </c>
      <c r="I803" s="11" t="s">
        <v>9187</v>
      </c>
      <c r="J803" s="12" t="str">
        <f t="shared" si="50"/>
        <v>(${Variables:E2_7_7_7_kcat} * E2_7_7_7 * C00039 * C00458)/(${Variables:E2_7_7_7_km} + (E2_7_7_7 * C00039 * C00458))</v>
      </c>
      <c r="K803" s="11" t="str">
        <f t="shared" si="51"/>
        <v>r802: C00039 + C00458 -&gt; C00013 + C00039 | (${Variables:E2_7_7_7_kcat} * E2_7_7_7 * C00039 * C00458)/(${Variables:E2_7_7_7_km} + (E2_7_7_7 * C00039 * C00458))</v>
      </c>
    </row>
    <row r="804" spans="1:11" ht="45" customHeight="1" x14ac:dyDescent="0.25">
      <c r="A804" t="s">
        <v>3047</v>
      </c>
      <c r="B804" t="s">
        <v>3048</v>
      </c>
      <c r="C804" s="5" t="s">
        <v>9386</v>
      </c>
      <c r="D804">
        <f t="shared" si="48"/>
        <v>803</v>
      </c>
      <c r="E804" t="str">
        <f t="shared" si="49"/>
        <v>E2_7_7_7</v>
      </c>
      <c r="F804" s="11" t="s">
        <v>13937</v>
      </c>
      <c r="G804" s="11" t="s">
        <v>14540</v>
      </c>
      <c r="H804" s="11" t="s">
        <v>8988</v>
      </c>
      <c r="I804" s="11" t="s">
        <v>9187</v>
      </c>
      <c r="J804" s="12" t="str">
        <f t="shared" si="50"/>
        <v>(${Variables:E2_7_7_7_kcat} * E2_7_7_7 * C00039 * C00459)/(${Variables:E2_7_7_7_km} + (E2_7_7_7 * C00039 * C00459))</v>
      </c>
      <c r="K804" s="11" t="str">
        <f t="shared" si="51"/>
        <v>r803: C00039 + C00459 -&gt; C00013 + C00039 | (${Variables:E2_7_7_7_kcat} * E2_7_7_7 * C00039 * C00459)/(${Variables:E2_7_7_7_km} + (E2_7_7_7 * C00039 * C00459))</v>
      </c>
    </row>
    <row r="805" spans="1:11" ht="45" customHeight="1" x14ac:dyDescent="0.25">
      <c r="A805" t="s">
        <v>3047</v>
      </c>
      <c r="B805" t="s">
        <v>3048</v>
      </c>
      <c r="C805" s="5" t="s">
        <v>9386</v>
      </c>
      <c r="D805">
        <f t="shared" si="48"/>
        <v>804</v>
      </c>
      <c r="E805" t="str">
        <f t="shared" si="49"/>
        <v>E2_7_7_7</v>
      </c>
      <c r="F805" s="11" t="s">
        <v>8088</v>
      </c>
      <c r="G805" s="11" t="s">
        <v>8088</v>
      </c>
      <c r="H805" s="11" t="s">
        <v>8391</v>
      </c>
      <c r="I805" s="11" t="s">
        <v>8391</v>
      </c>
      <c r="J805" s="12" t="str">
        <f t="shared" si="50"/>
        <v>(${Variables:E2_7_7_7_kcat} * E2_7_7_7 * C11039)/(${Variables:E2_7_7_7_km} + (E2_7_7_7 * C11039))</v>
      </c>
      <c r="K805" s="11" t="str">
        <f t="shared" si="51"/>
        <v>r804: C11039 -&gt; C21031 | (${Variables:E2_7_7_7_kcat} * E2_7_7_7 * C11039)/(${Variables:E2_7_7_7_km} + (E2_7_7_7 * C11039))</v>
      </c>
    </row>
    <row r="806" spans="1:11" ht="45" customHeight="1" x14ac:dyDescent="0.25">
      <c r="A806" t="s">
        <v>3050</v>
      </c>
      <c r="B806" t="s">
        <v>3051</v>
      </c>
      <c r="C806" s="5" t="s">
        <v>9397</v>
      </c>
      <c r="D806">
        <f t="shared" si="48"/>
        <v>805</v>
      </c>
      <c r="E806" t="str">
        <f t="shared" si="49"/>
        <v>E6_3_5_6</v>
      </c>
      <c r="F806" s="11" t="s">
        <v>13965</v>
      </c>
      <c r="G806" s="11" t="s">
        <v>14568</v>
      </c>
      <c r="H806" s="11" t="s">
        <v>15156</v>
      </c>
      <c r="I806" s="11" t="s">
        <v>15777</v>
      </c>
      <c r="J806" s="12" t="str">
        <f t="shared" si="50"/>
        <v>(${Variables:E6_3_5_6_kcat} * E6_3_5_6 * C00008 * C00009 * C00025 * C03402)/(${Variables:E6_3_5_6_km} + (E6_3_5_6 * C00008 * C00009 * C00025 * C03402))</v>
      </c>
      <c r="K806" s="11" t="str">
        <f t="shared" si="51"/>
        <v>r805: C00008 + C00009 + C00025 + C03402 -&gt; C00001 + C00002 + C00064 + C06113 | (${Variables:E6_3_5_6_kcat} * E6_3_5_6 * C00008 * C00009 * C00025 * C03402)/(${Variables:E6_3_5_6_km} + (E6_3_5_6 * C00008 * C00009 * C00025 * C03402))</v>
      </c>
    </row>
    <row r="807" spans="1:11" ht="45" customHeight="1" x14ac:dyDescent="0.25">
      <c r="A807" t="s">
        <v>3053</v>
      </c>
      <c r="B807" t="s">
        <v>3054</v>
      </c>
      <c r="C807" s="5" t="s">
        <v>9620</v>
      </c>
      <c r="D807">
        <f t="shared" si="48"/>
        <v>806</v>
      </c>
      <c r="E807" t="str">
        <f t="shared" si="49"/>
        <v>E2_5_1_75</v>
      </c>
      <c r="F807" s="11" t="s">
        <v>8750</v>
      </c>
      <c r="G807" s="11" t="s">
        <v>8916</v>
      </c>
      <c r="H807" s="11" t="s">
        <v>9104</v>
      </c>
      <c r="I807" s="11" t="s">
        <v>9303</v>
      </c>
      <c r="J807" s="12" t="str">
        <f t="shared" si="50"/>
        <v>(${Variables:E2_5_1_75_kcat} * E2_5_1_75 * C00235 * C17324)/(${Variables:E2_5_1_75_km} + (E2_5_1_75 * C00235 * C17324))</v>
      </c>
      <c r="K807" s="11" t="str">
        <f t="shared" si="51"/>
        <v>r806: C00235 + C17324 -&gt; C00013 + C04432 | (${Variables:E2_5_1_75_kcat} * E2_5_1_75 * C00235 * C17324)/(${Variables:E2_5_1_75_km} + (E2_5_1_75 * C00235 * C17324))</v>
      </c>
    </row>
    <row r="808" spans="1:11" ht="45" customHeight="1" x14ac:dyDescent="0.25">
      <c r="A808" t="s">
        <v>3059</v>
      </c>
      <c r="B808" t="s">
        <v>3060</v>
      </c>
      <c r="C808" s="5" t="s">
        <v>9621</v>
      </c>
      <c r="D808">
        <f t="shared" si="48"/>
        <v>807</v>
      </c>
      <c r="E808" t="str">
        <f t="shared" si="49"/>
        <v>E2_7_1_21</v>
      </c>
      <c r="F808" s="11" t="s">
        <v>8751</v>
      </c>
      <c r="G808" s="11" t="s">
        <v>8917</v>
      </c>
      <c r="H808" s="11" t="s">
        <v>9105</v>
      </c>
      <c r="I808" s="11" t="s">
        <v>9304</v>
      </c>
      <c r="J808" s="12" t="str">
        <f t="shared" si="50"/>
        <v>(${Variables:E2_7_1_21_kcat} * E2_7_1_21 * C00002 * C00214)/(${Variables:E2_7_1_21_km} + (E2_7_1_21 * C00002 * C00214))</v>
      </c>
      <c r="K808" s="11" t="str">
        <f t="shared" si="51"/>
        <v>r807: C00002 + C00214 -&gt; C00008 + C00364 | (${Variables:E2_7_1_21_kcat} * E2_7_1_21 * C00002 * C00214)/(${Variables:E2_7_1_21_km} + (E2_7_1_21 * C00002 * C00214))</v>
      </c>
    </row>
    <row r="809" spans="1:11" ht="45" customHeight="1" x14ac:dyDescent="0.25">
      <c r="A809" t="s">
        <v>3059</v>
      </c>
      <c r="B809" t="s">
        <v>3060</v>
      </c>
      <c r="C809" s="5" t="s">
        <v>9621</v>
      </c>
      <c r="D809">
        <f t="shared" si="48"/>
        <v>808</v>
      </c>
      <c r="E809" t="str">
        <f t="shared" si="49"/>
        <v>E2_7_1_21</v>
      </c>
      <c r="F809" s="11" t="s">
        <v>8752</v>
      </c>
      <c r="G809" s="11" t="s">
        <v>8918</v>
      </c>
      <c r="H809" s="11" t="s">
        <v>9106</v>
      </c>
      <c r="I809" s="11" t="s">
        <v>9305</v>
      </c>
      <c r="J809" s="12" t="str">
        <f t="shared" si="50"/>
        <v>(${Variables:E2_7_1_21_kcat} * E2_7_1_21 * C00002 * C00526)/(${Variables:E2_7_1_21_km} + (E2_7_1_21 * C00002 * C00526))</v>
      </c>
      <c r="K809" s="11" t="str">
        <f t="shared" si="51"/>
        <v>r808: C00002 + C00526 -&gt; C00008 + C00365 | (${Variables:E2_7_1_21_kcat} * E2_7_1_21 * C00002 * C00526)/(${Variables:E2_7_1_21_km} + (E2_7_1_21 * C00002 * C00526))</v>
      </c>
    </row>
    <row r="810" spans="1:11" ht="45" customHeight="1" x14ac:dyDescent="0.25">
      <c r="A810" t="s">
        <v>3059</v>
      </c>
      <c r="B810" t="s">
        <v>3060</v>
      </c>
      <c r="C810" s="5" t="s">
        <v>9621</v>
      </c>
      <c r="D810">
        <f t="shared" si="48"/>
        <v>809</v>
      </c>
      <c r="E810" t="str">
        <f t="shared" si="49"/>
        <v>E2_7_1_21</v>
      </c>
      <c r="F810" s="11" t="s">
        <v>14267</v>
      </c>
      <c r="G810" s="11" t="s">
        <v>14870</v>
      </c>
      <c r="H810" s="11" t="s">
        <v>15480</v>
      </c>
      <c r="I810" s="11" t="s">
        <v>16101</v>
      </c>
      <c r="J810" s="12" t="str">
        <f t="shared" si="50"/>
        <v>(${Variables:E2_7_1_21_kcat} * E2_7_1_21 * C00002 * C11736)/(${Variables:E2_7_1_21_km} + (E2_7_1_21 * C00002 * C11736))</v>
      </c>
      <c r="K810" s="11" t="str">
        <f t="shared" si="51"/>
        <v>r809: C00002 + C11736 -&gt; C00008 + C04242 | (${Variables:E2_7_1_21_kcat} * E2_7_1_21 * C00002 * C11736)/(${Variables:E2_7_1_21_km} + (E2_7_1_21 * C00002 * C11736))</v>
      </c>
    </row>
    <row r="811" spans="1:11" ht="45" customHeight="1" x14ac:dyDescent="0.25">
      <c r="A811" t="s">
        <v>3067</v>
      </c>
      <c r="B811" t="s">
        <v>3068</v>
      </c>
      <c r="C811" s="5" t="s">
        <v>9622</v>
      </c>
      <c r="D811">
        <f t="shared" si="48"/>
        <v>810</v>
      </c>
      <c r="E811" t="str">
        <f t="shared" si="49"/>
        <v>E2_7_7_49</v>
      </c>
      <c r="F811" s="11" t="s">
        <v>13933</v>
      </c>
      <c r="G811" s="11" t="s">
        <v>14536</v>
      </c>
      <c r="H811" s="11" t="s">
        <v>8988</v>
      </c>
      <c r="I811" s="11" t="s">
        <v>9187</v>
      </c>
      <c r="J811" s="12" t="str">
        <f t="shared" si="50"/>
        <v>(${Variables:E2_7_7_49_kcat} * E2_7_7_49 * C00039 * C00677)/(${Variables:E2_7_7_49_km} + (E2_7_7_49 * C00039 * C00677))</v>
      </c>
      <c r="K811" s="11" t="str">
        <f t="shared" si="51"/>
        <v>r810: C00039 + C00677 -&gt; C00013 + C00039 | (${Variables:E2_7_7_49_kcat} * E2_7_7_49 * C00039 * C00677)/(${Variables:E2_7_7_49_km} + (E2_7_7_49 * C00039 * C00677))</v>
      </c>
    </row>
    <row r="812" spans="1:11" ht="45" customHeight="1" x14ac:dyDescent="0.25">
      <c r="A812" t="s">
        <v>3207</v>
      </c>
      <c r="B812" t="s">
        <v>3208</v>
      </c>
      <c r="C812" s="5" t="s">
        <v>9623</v>
      </c>
      <c r="D812">
        <f t="shared" si="48"/>
        <v>811</v>
      </c>
      <c r="E812" t="str">
        <f t="shared" si="49"/>
        <v>E2_4_99_28</v>
      </c>
      <c r="F812" s="11" t="s">
        <v>8753</v>
      </c>
      <c r="G812" s="11" t="s">
        <v>8919</v>
      </c>
      <c r="H812" s="11" t="s">
        <v>9107</v>
      </c>
      <c r="I812" s="11" t="s">
        <v>9306</v>
      </c>
      <c r="J812" s="12" t="str">
        <f t="shared" si="50"/>
        <v>(${Variables:E2_4_99_28_kcat} * E2_4_99_28 * C05893 * C11826)/(${Variables:E2_4_99_28_km} + (E2_4_99_28 * C05893 * C11826))</v>
      </c>
      <c r="K812" s="11" t="str">
        <f t="shared" si="51"/>
        <v>r811: C05893 + C11826 -&gt; C04574 + C11826 | (${Variables:E2_4_99_28_kcat} * E2_4_99_28 * C05893 * C11826)/(${Variables:E2_4_99_28_km} + (E2_4_99_28 * C05893 * C11826))</v>
      </c>
    </row>
    <row r="813" spans="1:11" ht="45" customHeight="1" x14ac:dyDescent="0.25">
      <c r="A813" t="s">
        <v>3207</v>
      </c>
      <c r="B813" t="s">
        <v>3208</v>
      </c>
      <c r="C813" s="5" t="s">
        <v>9623</v>
      </c>
      <c r="D813">
        <f t="shared" si="48"/>
        <v>812</v>
      </c>
      <c r="E813" t="str">
        <f t="shared" si="49"/>
        <v>E2_4_99_28</v>
      </c>
      <c r="F813" s="11" t="s">
        <v>14268</v>
      </c>
      <c r="G813" s="11" t="s">
        <v>14871</v>
      </c>
      <c r="H813" s="11" t="s">
        <v>15481</v>
      </c>
      <c r="I813" s="11" t="s">
        <v>16102</v>
      </c>
      <c r="J813" s="12" t="str">
        <f t="shared" si="50"/>
        <v>(${Variables:E2_4_99_28_kcat} * E2_4_99_28 * G10553 * G10554)/(${Variables:E2_4_99_28_km} + (E2_4_99_28 * G10553 * G10554))</v>
      </c>
      <c r="K813" s="11" t="str">
        <f t="shared" si="51"/>
        <v>r812: G10553 + G10554 -&gt; C04574 + G10554 | (${Variables:E2_4_99_28_kcat} * E2_4_99_28 * G10553 * G10554)/(${Variables:E2_4_99_28_km} + (E2_4_99_28 * G10553 * G10554))</v>
      </c>
    </row>
    <row r="814" spans="1:11" ht="45" customHeight="1" x14ac:dyDescent="0.25">
      <c r="A814" t="s">
        <v>3207</v>
      </c>
      <c r="B814" t="s">
        <v>3208</v>
      </c>
      <c r="C814" s="5" t="s">
        <v>9623</v>
      </c>
      <c r="D814">
        <f t="shared" si="48"/>
        <v>813</v>
      </c>
      <c r="E814" t="str">
        <f t="shared" si="49"/>
        <v>E2_4_99_28</v>
      </c>
      <c r="F814" s="11" t="s">
        <v>8754</v>
      </c>
      <c r="G814" s="11" t="s">
        <v>8920</v>
      </c>
      <c r="H814" s="11" t="s">
        <v>9108</v>
      </c>
      <c r="I814" s="11" t="s">
        <v>9307</v>
      </c>
      <c r="J814" s="12" t="str">
        <f t="shared" si="50"/>
        <v>(${Variables:E2_4_99_28_kcat} * E2_4_99_28 * C05898 * C11827)/(${Variables:E2_4_99_28_km} + (E2_4_99_28 * C05898 * C11827))</v>
      </c>
      <c r="K814" s="11" t="str">
        <f t="shared" si="51"/>
        <v>r813: C05898 + C11827 -&gt; C04574 + C11827 | (${Variables:E2_4_99_28_kcat} * E2_4_99_28 * C05898 * C11827)/(${Variables:E2_4_99_28_km} + (E2_4_99_28 * C05898 * C11827))</v>
      </c>
    </row>
    <row r="815" spans="1:11" ht="45" customHeight="1" x14ac:dyDescent="0.25">
      <c r="A815" t="s">
        <v>3207</v>
      </c>
      <c r="B815" t="s">
        <v>3208</v>
      </c>
      <c r="C815" s="5" t="s">
        <v>9623</v>
      </c>
      <c r="D815">
        <f t="shared" si="48"/>
        <v>814</v>
      </c>
      <c r="E815" t="str">
        <f t="shared" si="49"/>
        <v>E2_4_99_28</v>
      </c>
      <c r="F815" s="11" t="s">
        <v>14269</v>
      </c>
      <c r="G815" s="11" t="s">
        <v>14872</v>
      </c>
      <c r="H815" s="11" t="s">
        <v>15482</v>
      </c>
      <c r="I815" s="11" t="s">
        <v>16103</v>
      </c>
      <c r="J815" s="12" t="str">
        <f t="shared" si="50"/>
        <v>(${Variables:E2_4_99_28_kcat} * E2_4_99_28 * G10555 * G10557)/(${Variables:E2_4_99_28_km} + (E2_4_99_28 * G10555 * G10557))</v>
      </c>
      <c r="K815" s="11" t="str">
        <f t="shared" si="51"/>
        <v>r814: G10555 + G10557 -&gt; C04574 + G10557 | (${Variables:E2_4_99_28_kcat} * E2_4_99_28 * G10555 * G10557)/(${Variables:E2_4_99_28_km} + (E2_4_99_28 * G10555 * G10557))</v>
      </c>
    </row>
    <row r="816" spans="1:11" ht="45" customHeight="1" x14ac:dyDescent="0.25">
      <c r="A816" t="s">
        <v>3210</v>
      </c>
      <c r="B816" t="s">
        <v>3211</v>
      </c>
      <c r="C816" s="5" t="s">
        <v>9624</v>
      </c>
      <c r="D816">
        <f t="shared" si="48"/>
        <v>815</v>
      </c>
      <c r="E816" t="str">
        <f t="shared" si="49"/>
        <v>E6_3_2_10</v>
      </c>
      <c r="F816" s="11" t="s">
        <v>14270</v>
      </c>
      <c r="G816" s="11" t="s">
        <v>14873</v>
      </c>
      <c r="H816" s="11" t="s">
        <v>9109</v>
      </c>
      <c r="I816" s="11" t="s">
        <v>9308</v>
      </c>
      <c r="J816" s="12" t="str">
        <f t="shared" si="50"/>
        <v>(${Variables:E6_3_2_10_kcat} * E6_3_2_10 * C00002 * C00993 * C05892)/(${Variables:E6_3_2_10_km} + (E6_3_2_10 * C00002 * C00993 * C05892))</v>
      </c>
      <c r="K816" s="11" t="str">
        <f t="shared" si="51"/>
        <v>r815: C00002 + C00993 + C05892 -&gt; C00008 + C00009 + C04702 | (${Variables:E6_3_2_10_kcat} * E6_3_2_10 * C00002 * C00993 * C05892)/(${Variables:E6_3_2_10_km} + (E6_3_2_10 * C00002 * C00993 * C05892))</v>
      </c>
    </row>
    <row r="817" spans="1:11" ht="45" customHeight="1" x14ac:dyDescent="0.25">
      <c r="A817" t="s">
        <v>3210</v>
      </c>
      <c r="B817" t="s">
        <v>3211</v>
      </c>
      <c r="C817" s="5" t="s">
        <v>9624</v>
      </c>
      <c r="D817">
        <f t="shared" si="48"/>
        <v>816</v>
      </c>
      <c r="E817" t="str">
        <f t="shared" si="49"/>
        <v>E6_3_2_10</v>
      </c>
      <c r="F817" s="11" t="s">
        <v>14271</v>
      </c>
      <c r="G817" s="11" t="s">
        <v>14874</v>
      </c>
      <c r="H817" s="11" t="s">
        <v>9110</v>
      </c>
      <c r="I817" s="11" t="s">
        <v>9309</v>
      </c>
      <c r="J817" s="12" t="str">
        <f t="shared" si="50"/>
        <v>(${Variables:E6_3_2_10_kcat} * E6_3_2_10 * C00002 * C00993 * C04877)/(${Variables:E6_3_2_10_km} + (E6_3_2_10 * C00002 * C00993 * C04877))</v>
      </c>
      <c r="K817" s="11" t="str">
        <f t="shared" si="51"/>
        <v>r816: C00002 + C00993 + C04877 -&gt; C00008 + C00009 + C04882 | (${Variables:E6_3_2_10_kcat} * E6_3_2_10 * C00002 * C00993 * C04877)/(${Variables:E6_3_2_10_km} + (E6_3_2_10 * C00002 * C00993 * C04877))</v>
      </c>
    </row>
    <row r="818" spans="1:11" ht="45" customHeight="1" x14ac:dyDescent="0.25">
      <c r="A818" t="s">
        <v>3215</v>
      </c>
      <c r="B818" t="s">
        <v>3216</v>
      </c>
      <c r="C818" s="5" t="s">
        <v>9625</v>
      </c>
      <c r="D818">
        <f t="shared" si="48"/>
        <v>817</v>
      </c>
      <c r="E818" t="str">
        <f t="shared" si="49"/>
        <v>E2_7_8_13</v>
      </c>
      <c r="F818" s="11" t="s">
        <v>8755</v>
      </c>
      <c r="G818" s="11" t="s">
        <v>8921</v>
      </c>
      <c r="H818" s="11" t="s">
        <v>9111</v>
      </c>
      <c r="I818" s="11" t="s">
        <v>9310</v>
      </c>
      <c r="J818" s="12" t="str">
        <f t="shared" si="50"/>
        <v>(${Variables:E2_7_8_13_kcat} * E2_7_8_13 * C04702 * C17556)/(${Variables:E2_7_8_13_km} + (E2_7_8_13 * C04702 * C17556))</v>
      </c>
      <c r="K818" s="11" t="str">
        <f t="shared" si="51"/>
        <v>r817: C04702 + C17556 -&gt; C00105 + C04851 | (${Variables:E2_7_8_13_kcat} * E2_7_8_13 * C04702 * C17556)/(${Variables:E2_7_8_13_km} + (E2_7_8_13 * C04702 * C17556))</v>
      </c>
    </row>
    <row r="819" spans="1:11" ht="45" customHeight="1" x14ac:dyDescent="0.25">
      <c r="A819" t="s">
        <v>3215</v>
      </c>
      <c r="B819" t="s">
        <v>3216</v>
      </c>
      <c r="C819" s="5" t="s">
        <v>9625</v>
      </c>
      <c r="D819">
        <f t="shared" si="48"/>
        <v>818</v>
      </c>
      <c r="E819" t="str">
        <f t="shared" si="49"/>
        <v>E2_7_8_13</v>
      </c>
      <c r="F819" s="11" t="s">
        <v>8756</v>
      </c>
      <c r="G819" s="11" t="s">
        <v>8922</v>
      </c>
      <c r="H819" s="11" t="s">
        <v>9112</v>
      </c>
      <c r="I819" s="11" t="s">
        <v>9311</v>
      </c>
      <c r="J819" s="12" t="str">
        <f t="shared" si="50"/>
        <v>(${Variables:E2_7_8_13_kcat} * E2_7_8_13 * C04882 * C17556)/(${Variables:E2_7_8_13_km} + (E2_7_8_13 * C04882 * C17556))</v>
      </c>
      <c r="K819" s="11" t="str">
        <f t="shared" si="51"/>
        <v>r818: C04882 + C17556 -&gt; C00105 + C05897 | (${Variables:E2_7_8_13_kcat} * E2_7_8_13 * C04882 * C17556)/(${Variables:E2_7_8_13_km} + (E2_7_8_13 * C04882 * C17556))</v>
      </c>
    </row>
    <row r="820" spans="1:11" ht="45" customHeight="1" x14ac:dyDescent="0.25">
      <c r="A820" t="s">
        <v>3218</v>
      </c>
      <c r="B820" t="s">
        <v>3219</v>
      </c>
      <c r="C820" s="5" t="s">
        <v>9626</v>
      </c>
      <c r="D820">
        <f t="shared" si="48"/>
        <v>819</v>
      </c>
      <c r="E820" t="str">
        <f t="shared" si="49"/>
        <v>E6_3_2_9</v>
      </c>
      <c r="F820" s="11" t="s">
        <v>14272</v>
      </c>
      <c r="G820" s="11" t="s">
        <v>14875</v>
      </c>
      <c r="H820" s="11" t="s">
        <v>9113</v>
      </c>
      <c r="I820" s="11" t="s">
        <v>9312</v>
      </c>
      <c r="J820" s="12" t="str">
        <f t="shared" si="50"/>
        <v>(${Variables:E6_3_2_9_kcat} * E6_3_2_9 * C00002 * C00217 * C01212)/(${Variables:E6_3_2_9_km} + (E6_3_2_9 * C00002 * C00217 * C01212))</v>
      </c>
      <c r="K820" s="11" t="str">
        <f t="shared" si="51"/>
        <v>r819: C00002 + C00217 + C01212 -&gt; C00008 + C00009 + C00692 | (${Variables:E6_3_2_9_kcat} * E6_3_2_9 * C00002 * C00217 * C01212)/(${Variables:E6_3_2_9_km} + (E6_3_2_9 * C00002 * C00217 * C01212))</v>
      </c>
    </row>
    <row r="821" spans="1:11" ht="45" customHeight="1" x14ac:dyDescent="0.25">
      <c r="A821" t="s">
        <v>3224</v>
      </c>
      <c r="B821" t="s">
        <v>3225</v>
      </c>
      <c r="C821" s="5" t="s">
        <v>9627</v>
      </c>
      <c r="D821">
        <f t="shared" si="48"/>
        <v>820</v>
      </c>
      <c r="E821" t="str">
        <f t="shared" si="49"/>
        <v>E2_4_1_227</v>
      </c>
      <c r="F821" s="11" t="s">
        <v>14273</v>
      </c>
      <c r="G821" s="11" t="s">
        <v>14876</v>
      </c>
      <c r="H821" s="11" t="s">
        <v>15483</v>
      </c>
      <c r="I821" s="11" t="s">
        <v>16104</v>
      </c>
      <c r="J821" s="12" t="str">
        <f t="shared" si="50"/>
        <v>(${Variables:E2_4_1_227_kcat} * E2_4_1_227 * C00043 * C04851)/(${Variables:E2_4_1_227_km} + (E2_4_1_227 * C00043 * C04851))</v>
      </c>
      <c r="K821" s="11" t="str">
        <f t="shared" si="51"/>
        <v>r820: C00043 + C04851 -&gt; C00015 + C05893 | (${Variables:E2_4_1_227_kcat} * E2_4_1_227 * C00043 * C04851)/(${Variables:E2_4_1_227_km} + (E2_4_1_227 * C00043 * C04851))</v>
      </c>
    </row>
    <row r="822" spans="1:11" ht="45" customHeight="1" x14ac:dyDescent="0.25">
      <c r="A822" t="s">
        <v>3224</v>
      </c>
      <c r="B822" t="s">
        <v>3225</v>
      </c>
      <c r="C822" s="5" t="s">
        <v>9627</v>
      </c>
      <c r="D822">
        <f t="shared" si="48"/>
        <v>821</v>
      </c>
      <c r="E822" t="str">
        <f t="shared" si="49"/>
        <v>E2_4_1_227</v>
      </c>
      <c r="F822" s="11" t="s">
        <v>14274</v>
      </c>
      <c r="G822" s="11" t="s">
        <v>14877</v>
      </c>
      <c r="H822" s="11" t="s">
        <v>15484</v>
      </c>
      <c r="I822" s="11" t="s">
        <v>16105</v>
      </c>
      <c r="J822" s="12" t="str">
        <f t="shared" si="50"/>
        <v>(${Variables:E2_4_1_227_kcat} * E2_4_1_227 * G10552 * G10610)/(${Variables:E2_4_1_227_km} + (E2_4_1_227 * G10552 * G10610))</v>
      </c>
      <c r="K822" s="11" t="str">
        <f t="shared" si="51"/>
        <v>r821: G10552 + G10610 -&gt; G10553 + G10619 | (${Variables:E2_4_1_227_kcat} * E2_4_1_227 * G10552 * G10610)/(${Variables:E2_4_1_227_km} + (E2_4_1_227 * G10552 * G10610))</v>
      </c>
    </row>
    <row r="823" spans="1:11" ht="45" customHeight="1" x14ac:dyDescent="0.25">
      <c r="A823" t="s">
        <v>3224</v>
      </c>
      <c r="B823" t="s">
        <v>3225</v>
      </c>
      <c r="C823" s="5" t="s">
        <v>9627</v>
      </c>
      <c r="D823">
        <f t="shared" si="48"/>
        <v>822</v>
      </c>
      <c r="E823" t="str">
        <f t="shared" si="49"/>
        <v>E2_4_1_227</v>
      </c>
      <c r="F823" s="11" t="s">
        <v>14275</v>
      </c>
      <c r="G823" s="11" t="s">
        <v>14878</v>
      </c>
      <c r="H823" s="11" t="s">
        <v>15485</v>
      </c>
      <c r="I823" s="11" t="s">
        <v>16106</v>
      </c>
      <c r="J823" s="12" t="str">
        <f t="shared" si="50"/>
        <v>(${Variables:E2_4_1_227_kcat} * E2_4_1_227 * C00043 * C05897)/(${Variables:E2_4_1_227_km} + (E2_4_1_227 * C00043 * C05897))</v>
      </c>
      <c r="K823" s="11" t="str">
        <f t="shared" si="51"/>
        <v>r822: C00043 + C05897 -&gt; C00015 + C05898 | (${Variables:E2_4_1_227_kcat} * E2_4_1_227 * C00043 * C05897)/(${Variables:E2_4_1_227_km} + (E2_4_1_227 * C00043 * C05897))</v>
      </c>
    </row>
    <row r="824" spans="1:11" ht="45" customHeight="1" x14ac:dyDescent="0.25">
      <c r="A824" t="s">
        <v>3224</v>
      </c>
      <c r="B824" t="s">
        <v>3225</v>
      </c>
      <c r="C824" s="5" t="s">
        <v>9627</v>
      </c>
      <c r="D824">
        <f t="shared" si="48"/>
        <v>823</v>
      </c>
      <c r="E824" t="str">
        <f t="shared" si="49"/>
        <v>E2_4_1_227</v>
      </c>
      <c r="F824" s="11" t="s">
        <v>14276</v>
      </c>
      <c r="G824" s="11" t="s">
        <v>14879</v>
      </c>
      <c r="H824" s="11" t="s">
        <v>15486</v>
      </c>
      <c r="I824" s="11" t="s">
        <v>16107</v>
      </c>
      <c r="J824" s="12" t="str">
        <f t="shared" si="50"/>
        <v>(${Variables:E2_4_1_227_kcat} * E2_4_1_227 * G10551 * G10610)/(${Variables:E2_4_1_227_km} + (E2_4_1_227 * G10551 * G10610))</v>
      </c>
      <c r="K824" s="11" t="str">
        <f t="shared" si="51"/>
        <v>r823: G10551 + G10610 -&gt; G10550 + G10619 | (${Variables:E2_4_1_227_kcat} * E2_4_1_227 * G10551 * G10610)/(${Variables:E2_4_1_227_km} + (E2_4_1_227 * G10551 * G10610))</v>
      </c>
    </row>
    <row r="825" spans="1:11" ht="45" customHeight="1" x14ac:dyDescent="0.25">
      <c r="A825" t="s">
        <v>3224</v>
      </c>
      <c r="B825" t="s">
        <v>3225</v>
      </c>
      <c r="C825" s="5" t="s">
        <v>9627</v>
      </c>
      <c r="D825">
        <f t="shared" si="48"/>
        <v>824</v>
      </c>
      <c r="E825" t="str">
        <f t="shared" si="49"/>
        <v>E2_4_1_227</v>
      </c>
      <c r="F825" s="11" t="s">
        <v>14277</v>
      </c>
      <c r="G825" s="11" t="s">
        <v>14880</v>
      </c>
      <c r="H825" s="11" t="s">
        <v>15487</v>
      </c>
      <c r="I825" s="11" t="s">
        <v>16108</v>
      </c>
      <c r="J825" s="12" t="str">
        <f t="shared" si="50"/>
        <v>(${Variables:E2_4_1_227_kcat} * E2_4_1_227 * G10556 * G10610)/(${Variables:E2_4_1_227_km} + (E2_4_1_227 * G10556 * G10610))</v>
      </c>
      <c r="K825" s="11" t="str">
        <f t="shared" si="51"/>
        <v>r824: G10556 + G10610 -&gt; G10555 + G10619 | (${Variables:E2_4_1_227_kcat} * E2_4_1_227 * G10556 * G10610)/(${Variables:E2_4_1_227_km} + (E2_4_1_227 * G10556 * G10610))</v>
      </c>
    </row>
    <row r="826" spans="1:11" ht="45" customHeight="1" x14ac:dyDescent="0.25">
      <c r="A826" t="s">
        <v>3227</v>
      </c>
      <c r="B826" t="s">
        <v>3228</v>
      </c>
      <c r="C826" s="5" t="s">
        <v>9628</v>
      </c>
      <c r="D826">
        <f t="shared" si="48"/>
        <v>825</v>
      </c>
      <c r="E826" t="str">
        <f t="shared" si="49"/>
        <v>E6_3_2_8</v>
      </c>
      <c r="F826" s="11" t="s">
        <v>14278</v>
      </c>
      <c r="G826" s="11" t="s">
        <v>14881</v>
      </c>
      <c r="H826" s="11" t="s">
        <v>9114</v>
      </c>
      <c r="I826" s="11" t="s">
        <v>9313</v>
      </c>
      <c r="J826" s="12" t="str">
        <f t="shared" si="50"/>
        <v>(${Variables:E6_3_2_8_kcat} * E6_3_2_8 * C00002 * C00041 * C01050)/(${Variables:E6_3_2_8_km} + (E6_3_2_8 * C00002 * C00041 * C01050))</v>
      </c>
      <c r="K826" s="11" t="str">
        <f t="shared" si="51"/>
        <v>r825: C00002 + C00041 + C01050 -&gt; C00008 + C00009 + C01212 | (${Variables:E6_3_2_8_kcat} * E6_3_2_8 * C00002 * C00041 * C01050)/(${Variables:E6_3_2_8_km} + (E6_3_2_8 * C00002 * C00041 * C01050))</v>
      </c>
    </row>
    <row r="827" spans="1:11" ht="45" customHeight="1" x14ac:dyDescent="0.25">
      <c r="A827" t="s">
        <v>3230</v>
      </c>
      <c r="B827" t="s">
        <v>3231</v>
      </c>
      <c r="C827" s="5" t="s">
        <v>9629</v>
      </c>
      <c r="D827">
        <f t="shared" si="48"/>
        <v>826</v>
      </c>
      <c r="E827" t="str">
        <f t="shared" si="49"/>
        <v>E1_3_1_98</v>
      </c>
      <c r="F827" s="11" t="s">
        <v>14279</v>
      </c>
      <c r="G827" s="11" t="s">
        <v>14882</v>
      </c>
      <c r="H827" s="11" t="s">
        <v>15488</v>
      </c>
      <c r="I827" s="11" t="s">
        <v>16109</v>
      </c>
      <c r="J827" s="12" t="str">
        <f t="shared" si="50"/>
        <v>(${Variables:E1_3_1_98_kcat} * E1_3_1_98 * C00006 * C01050)/(${Variables:E1_3_1_98_km} + (E1_3_1_98 * C00006 * C01050))</v>
      </c>
      <c r="K827" s="11" t="str">
        <f t="shared" si="51"/>
        <v>r826: C00006 + C01050 -&gt; C00005 + C00080 + C04631 | (${Variables:E1_3_1_98_kcat} * E1_3_1_98 * C00006 * C01050)/(${Variables:E1_3_1_98_km} + (E1_3_1_98 * C00006 * C01050))</v>
      </c>
    </row>
    <row r="828" spans="1:11" ht="45" customHeight="1" x14ac:dyDescent="0.25">
      <c r="A828" t="s">
        <v>3230</v>
      </c>
      <c r="B828" t="s">
        <v>3231</v>
      </c>
      <c r="C828" s="5" t="s">
        <v>9629</v>
      </c>
      <c r="D828">
        <f t="shared" si="48"/>
        <v>827</v>
      </c>
      <c r="E828" t="str">
        <f t="shared" si="49"/>
        <v>E1_3_1_98</v>
      </c>
      <c r="F828" s="11" t="s">
        <v>14280</v>
      </c>
      <c r="G828" s="11" t="s">
        <v>14883</v>
      </c>
      <c r="H828" s="11" t="s">
        <v>15489</v>
      </c>
      <c r="I828" s="11" t="s">
        <v>16110</v>
      </c>
      <c r="J828" s="12" t="str">
        <f t="shared" si="50"/>
        <v>(${Variables:E1_3_1_98_kcat} * E1_3_1_98 * C00003 * C01050)/(${Variables:E1_3_1_98_km} + (E1_3_1_98 * C00003 * C01050))</v>
      </c>
      <c r="K828" s="11" t="str">
        <f t="shared" si="51"/>
        <v>r827: C00003 + C01050 -&gt; C00004 + C00080 + C04631 | (${Variables:E1_3_1_98_kcat} * E1_3_1_98 * C00003 * C01050)/(${Variables:E1_3_1_98_km} + (E1_3_1_98 * C00003 * C01050))</v>
      </c>
    </row>
    <row r="829" spans="1:11" ht="45" customHeight="1" x14ac:dyDescent="0.25">
      <c r="A829" t="s">
        <v>3275</v>
      </c>
      <c r="B829" t="s">
        <v>3276</v>
      </c>
      <c r="C829" s="5" t="s">
        <v>9630</v>
      </c>
      <c r="D829">
        <f t="shared" si="48"/>
        <v>828</v>
      </c>
      <c r="E829" t="str">
        <f t="shared" si="49"/>
        <v>E2_5_1_32</v>
      </c>
      <c r="F829" s="11" t="s">
        <v>8285</v>
      </c>
      <c r="G829" s="11" t="s">
        <v>8285</v>
      </c>
      <c r="H829" s="11" t="s">
        <v>9115</v>
      </c>
      <c r="I829" s="11" t="s">
        <v>9314</v>
      </c>
      <c r="J829" s="12" t="str">
        <f t="shared" si="50"/>
        <v>(${Variables:E2_5_1_32_kcat} * E2_5_1_32 * C00353)/(${Variables:E2_5_1_32_km} + (E2_5_1_32 * C00353))</v>
      </c>
      <c r="K829" s="11" t="str">
        <f t="shared" si="51"/>
        <v>r828: C00353 -&gt; C00013 + C03427 | (${Variables:E2_5_1_32_kcat} * E2_5_1_32 * C00353)/(${Variables:E2_5_1_32_km} + (E2_5_1_32 * C00353))</v>
      </c>
    </row>
    <row r="830" spans="1:11" ht="45" customHeight="1" x14ac:dyDescent="0.25">
      <c r="A830" t="s">
        <v>3275</v>
      </c>
      <c r="B830" t="s">
        <v>3276</v>
      </c>
      <c r="C830" s="5" t="s">
        <v>9630</v>
      </c>
      <c r="D830">
        <f t="shared" si="48"/>
        <v>829</v>
      </c>
      <c r="E830" t="str">
        <f t="shared" si="49"/>
        <v>E2_5_1_32</v>
      </c>
      <c r="F830" s="11" t="s">
        <v>8286</v>
      </c>
      <c r="G830" s="11" t="s">
        <v>8286</v>
      </c>
      <c r="H830" s="11" t="s">
        <v>9116</v>
      </c>
      <c r="I830" s="11" t="s">
        <v>9315</v>
      </c>
      <c r="J830" s="12" t="str">
        <f t="shared" si="50"/>
        <v>(${Variables:E2_5_1_32_kcat} * E2_5_1_32 * C03427)/(${Variables:E2_5_1_32_km} + (E2_5_1_32 * C03427))</v>
      </c>
      <c r="K830" s="11" t="str">
        <f t="shared" si="51"/>
        <v>r829: C03427 -&gt; C00013 + C05421 | (${Variables:E2_5_1_32_kcat} * E2_5_1_32 * C03427)/(${Variables:E2_5_1_32_km} + (E2_5_1_32 * C03427))</v>
      </c>
    </row>
    <row r="831" spans="1:11" ht="45" customHeight="1" x14ac:dyDescent="0.25">
      <c r="A831" t="s">
        <v>3275</v>
      </c>
      <c r="B831" t="s">
        <v>3276</v>
      </c>
      <c r="C831" s="5" t="s">
        <v>9630</v>
      </c>
      <c r="D831">
        <f t="shared" si="48"/>
        <v>830</v>
      </c>
      <c r="E831" t="str">
        <f t="shared" si="49"/>
        <v>E2_5_1_32</v>
      </c>
      <c r="F831" s="11" t="s">
        <v>8285</v>
      </c>
      <c r="G831" s="11" t="s">
        <v>8285</v>
      </c>
      <c r="H831" s="11" t="s">
        <v>9116</v>
      </c>
      <c r="I831" s="11" t="s">
        <v>9315</v>
      </c>
      <c r="J831" s="12" t="str">
        <f t="shared" si="50"/>
        <v>(${Variables:E2_5_1_32_kcat} * E2_5_1_32 * C00353)/(${Variables:E2_5_1_32_km} + (E2_5_1_32 * C00353))</v>
      </c>
      <c r="K831" s="11" t="str">
        <f t="shared" si="51"/>
        <v>r830: C00353 -&gt; C00013 + C05421 | (${Variables:E2_5_1_32_kcat} * E2_5_1_32 * C00353)/(${Variables:E2_5_1_32_km} + (E2_5_1_32 * C00353))</v>
      </c>
    </row>
    <row r="832" spans="1:11" ht="45" customHeight="1" x14ac:dyDescent="0.25">
      <c r="A832" t="s">
        <v>3275</v>
      </c>
      <c r="B832" t="s">
        <v>3276</v>
      </c>
      <c r="C832" s="5" t="s">
        <v>9630</v>
      </c>
      <c r="D832">
        <f t="shared" si="48"/>
        <v>831</v>
      </c>
      <c r="E832" t="str">
        <f t="shared" si="49"/>
        <v>E2_5_1_32</v>
      </c>
      <c r="F832" s="11" t="s">
        <v>8286</v>
      </c>
      <c r="G832" s="11" t="s">
        <v>8286</v>
      </c>
      <c r="H832" s="11" t="s">
        <v>15490</v>
      </c>
      <c r="I832" s="11" t="s">
        <v>16111</v>
      </c>
      <c r="J832" s="12" t="str">
        <f t="shared" si="50"/>
        <v>(${Variables:E2_5_1_32_kcat} * E2_5_1_32 * C03427)/(${Variables:E2_5_1_32_km} + (E2_5_1_32 * C03427))</v>
      </c>
      <c r="K832" s="11" t="str">
        <f t="shared" si="51"/>
        <v>r831: C03427 -&gt; C00013 + C05413 | (${Variables:E2_5_1_32_kcat} * E2_5_1_32 * C03427)/(${Variables:E2_5_1_32_km} + (E2_5_1_32 * C03427))</v>
      </c>
    </row>
    <row r="833" spans="1:11" ht="45" customHeight="1" x14ac:dyDescent="0.25">
      <c r="A833" t="s">
        <v>3275</v>
      </c>
      <c r="B833" t="s">
        <v>3276</v>
      </c>
      <c r="C833" s="5" t="s">
        <v>9630</v>
      </c>
      <c r="D833">
        <f t="shared" si="48"/>
        <v>832</v>
      </c>
      <c r="E833" t="str">
        <f t="shared" si="49"/>
        <v>E2_5_1_32</v>
      </c>
      <c r="F833" s="11" t="s">
        <v>8285</v>
      </c>
      <c r="G833" s="11" t="s">
        <v>8285</v>
      </c>
      <c r="H833" s="11" t="s">
        <v>15490</v>
      </c>
      <c r="I833" s="11" t="s">
        <v>16111</v>
      </c>
      <c r="J833" s="12" t="str">
        <f t="shared" si="50"/>
        <v>(${Variables:E2_5_1_32_kcat} * E2_5_1_32 * C00353)/(${Variables:E2_5_1_32_km} + (E2_5_1_32 * C00353))</v>
      </c>
      <c r="K833" s="11" t="str">
        <f t="shared" si="51"/>
        <v>r832: C00353 -&gt; C00013 + C05413 | (${Variables:E2_5_1_32_kcat} * E2_5_1_32 * C00353)/(${Variables:E2_5_1_32_km} + (E2_5_1_32 * C00353))</v>
      </c>
    </row>
    <row r="834" spans="1:11" ht="45" customHeight="1" x14ac:dyDescent="0.25">
      <c r="A834" t="s">
        <v>3278</v>
      </c>
      <c r="B834" t="s">
        <v>3279</v>
      </c>
      <c r="C834" s="5" t="s">
        <v>9631</v>
      </c>
      <c r="D834">
        <f t="shared" si="48"/>
        <v>833</v>
      </c>
      <c r="E834" t="str">
        <f t="shared" si="49"/>
        <v>E4_1_99_3</v>
      </c>
      <c r="F834" s="11" t="s">
        <v>8287</v>
      </c>
      <c r="G834" s="11" t="s">
        <v>8287</v>
      </c>
      <c r="H834" s="11" t="s">
        <v>8558</v>
      </c>
      <c r="I834" s="11" t="s">
        <v>8558</v>
      </c>
      <c r="J834" s="12" t="str">
        <f t="shared" si="50"/>
        <v>(${Variables:E4_1_99_3_kcat} * E4_1_99_3 * C03103)/(${Variables:E4_1_99_3_km} + (E4_1_99_3 * C03103))</v>
      </c>
      <c r="K834" s="11" t="str">
        <f t="shared" si="51"/>
        <v>r833: C03103 -&gt; C08249 | (${Variables:E4_1_99_3_kcat} * E4_1_99_3 * C03103)/(${Variables:E4_1_99_3_km} + (E4_1_99_3 * C03103))</v>
      </c>
    </row>
    <row r="835" spans="1:11" ht="45" customHeight="1" x14ac:dyDescent="0.25">
      <c r="A835" t="s">
        <v>3278</v>
      </c>
      <c r="B835" t="s">
        <v>3279</v>
      </c>
      <c r="C835" s="5" t="s">
        <v>9631</v>
      </c>
      <c r="D835">
        <f t="shared" ref="D835:D898" si="52">ROW()-1</f>
        <v>834</v>
      </c>
      <c r="E835" t="str">
        <f t="shared" ref="E835:E898" si="53">_xlfn.CONCAT("E", C835)</f>
        <v>E4_1_99_3</v>
      </c>
      <c r="F835" s="11" t="s">
        <v>8288</v>
      </c>
      <c r="G835" s="11" t="s">
        <v>8288</v>
      </c>
      <c r="H835" s="11" t="s">
        <v>8559</v>
      </c>
      <c r="I835" s="11" t="s">
        <v>8559</v>
      </c>
      <c r="J835" s="12" t="str">
        <f t="shared" ref="J835:J898" si="54">CONCATENATE("(${Variables:",E835,"_kcat","} * ",E835," * ",G835,")","/(${Variables:",E835,"_km","} + (",E835," * ",G835,"))")</f>
        <v>(${Variables:E4_1_99_3_kcat} * E4_1_99_3 * C17509)/(${Variables:E4_1_99_3_km} + (E4_1_99_3 * C17509))</v>
      </c>
      <c r="K835" s="11" t="str">
        <f t="shared" ref="K835:K898" si="55">CONCATENATE("r",D835,": ",F835," -&gt; ",H835," | ",J835)</f>
        <v>r834: C17509 -&gt; C17510 | (${Variables:E4_1_99_3_kcat} * E4_1_99_3 * C17509)/(${Variables:E4_1_99_3_km} + (E4_1_99_3 * C17509))</v>
      </c>
    </row>
    <row r="836" spans="1:11" ht="45" customHeight="1" x14ac:dyDescent="0.25">
      <c r="A836" t="s">
        <v>3297</v>
      </c>
      <c r="B836" t="s">
        <v>3298</v>
      </c>
      <c r="C836" s="5" t="s">
        <v>9595</v>
      </c>
      <c r="D836">
        <f t="shared" si="52"/>
        <v>835</v>
      </c>
      <c r="E836" t="str">
        <f t="shared" si="53"/>
        <v>E5_3_3_2</v>
      </c>
      <c r="F836" s="11" t="s">
        <v>8260</v>
      </c>
      <c r="G836" s="11" t="s">
        <v>8260</v>
      </c>
      <c r="H836" s="11" t="s">
        <v>8533</v>
      </c>
      <c r="I836" s="11" t="s">
        <v>8533</v>
      </c>
      <c r="J836" s="12" t="str">
        <f t="shared" si="54"/>
        <v>(${Variables:E5_3_3_2_kcat} * E5_3_3_2 * C00129)/(${Variables:E5_3_3_2_km} + (E5_3_3_2 * C00129))</v>
      </c>
      <c r="K836" s="11" t="str">
        <f t="shared" si="55"/>
        <v>r835: C00129 -&gt; C00235 | (${Variables:E5_3_3_2_kcat} * E5_3_3_2 * C00129)/(${Variables:E5_3_3_2_km} + (E5_3_3_2 * C00129))</v>
      </c>
    </row>
    <row r="837" spans="1:11" ht="45" customHeight="1" x14ac:dyDescent="0.25">
      <c r="A837" t="s">
        <v>3312</v>
      </c>
      <c r="B837" t="s">
        <v>3313</v>
      </c>
      <c r="C837" s="5" t="s">
        <v>9632</v>
      </c>
      <c r="D837">
        <f t="shared" si="52"/>
        <v>836</v>
      </c>
      <c r="E837" t="str">
        <f t="shared" si="53"/>
        <v>E2_3_2_2</v>
      </c>
      <c r="F837" s="11" t="s">
        <v>14281</v>
      </c>
      <c r="G837" s="11" t="s">
        <v>14884</v>
      </c>
      <c r="H837" s="11" t="s">
        <v>9117</v>
      </c>
      <c r="I837" s="11" t="s">
        <v>9316</v>
      </c>
      <c r="J837" s="12" t="str">
        <f t="shared" si="54"/>
        <v>(${Variables:E2_3_2_2_kcat} * E2_3_2_2 * C00045 * C03193)/(${Variables:E2_3_2_2_km} + (E2_3_2_2 * C00045 * C03193))</v>
      </c>
      <c r="K837" s="11" t="str">
        <f t="shared" si="55"/>
        <v>r836: C00045 + C03193 -&gt; C00012 + C03363 | (${Variables:E2_3_2_2_kcat} * E2_3_2_2 * C00045 * C03193)/(${Variables:E2_3_2_2_km} + (E2_3_2_2 * C00045 * C03193))</v>
      </c>
    </row>
    <row r="838" spans="1:11" ht="45" customHeight="1" x14ac:dyDescent="0.25">
      <c r="A838" t="s">
        <v>3312</v>
      </c>
      <c r="B838" t="s">
        <v>3313</v>
      </c>
      <c r="C838" s="5" t="s">
        <v>9632</v>
      </c>
      <c r="D838">
        <f t="shared" si="52"/>
        <v>837</v>
      </c>
      <c r="E838" t="str">
        <f t="shared" si="53"/>
        <v>E2_3_2_2</v>
      </c>
      <c r="F838" s="11" t="s">
        <v>8757</v>
      </c>
      <c r="G838" s="11" t="s">
        <v>8923</v>
      </c>
      <c r="H838" s="11" t="s">
        <v>9118</v>
      </c>
      <c r="I838" s="11" t="s">
        <v>9317</v>
      </c>
      <c r="J838" s="12" t="str">
        <f t="shared" si="54"/>
        <v>(${Variables:E2_3_2_2_kcat} * E2_3_2_2 * C00051 * C00151)/(${Variables:E2_3_2_2_km} + (E2_3_2_2 * C00051 * C00151))</v>
      </c>
      <c r="K838" s="11" t="str">
        <f t="shared" si="55"/>
        <v>r837: C00051 + C00151 -&gt; C01419 + C03740 | (${Variables:E2_3_2_2_kcat} * E2_3_2_2 * C00051 * C00151)/(${Variables:E2_3_2_2_km} + (E2_3_2_2 * C00051 * C00151))</v>
      </c>
    </row>
    <row r="839" spans="1:11" ht="45" customHeight="1" x14ac:dyDescent="0.25">
      <c r="A839" t="s">
        <v>3312</v>
      </c>
      <c r="B839" t="s">
        <v>3313</v>
      </c>
      <c r="C839" s="5" t="s">
        <v>9632</v>
      </c>
      <c r="D839">
        <f t="shared" si="52"/>
        <v>838</v>
      </c>
      <c r="E839" t="str">
        <f t="shared" si="53"/>
        <v>E2_3_2_2</v>
      </c>
      <c r="F839" s="11" t="s">
        <v>14282</v>
      </c>
      <c r="G839" s="11" t="s">
        <v>14885</v>
      </c>
      <c r="H839" s="11" t="s">
        <v>9119</v>
      </c>
      <c r="I839" s="11" t="s">
        <v>9318</v>
      </c>
      <c r="J839" s="12" t="str">
        <f t="shared" si="54"/>
        <v>(${Variables:E2_3_2_2_kcat} * E2_3_2_2 * C00245 * C03193)/(${Variables:E2_3_2_2_km} + (E2_3_2_2 * C00245 * C03193))</v>
      </c>
      <c r="K839" s="11" t="str">
        <f t="shared" si="55"/>
        <v>r838: C00245 + C03193 -&gt; C00012 + C05844 | (${Variables:E2_3_2_2_kcat} * E2_3_2_2 * C00245 * C03193)/(${Variables:E2_3_2_2_km} + (E2_3_2_2 * C00245 * C03193))</v>
      </c>
    </row>
    <row r="840" spans="1:11" ht="45" customHeight="1" x14ac:dyDescent="0.25">
      <c r="A840" t="s">
        <v>3312</v>
      </c>
      <c r="B840" t="s">
        <v>3313</v>
      </c>
      <c r="C840" s="5" t="s">
        <v>9632</v>
      </c>
      <c r="D840">
        <f t="shared" si="52"/>
        <v>839</v>
      </c>
      <c r="E840" t="str">
        <f t="shared" si="53"/>
        <v>E2_3_2_2</v>
      </c>
      <c r="F840" s="11" t="s">
        <v>14283</v>
      </c>
      <c r="G840" s="11" t="s">
        <v>14886</v>
      </c>
      <c r="H840" s="11" t="s">
        <v>15491</v>
      </c>
      <c r="I840" s="11" t="s">
        <v>16112</v>
      </c>
      <c r="J840" s="12" t="str">
        <f t="shared" si="54"/>
        <v>(${Variables:E2_3_2_2_kcat} * E2_3_2_2 * C00045 * C02166)/(${Variables:E2_3_2_2_km} + (E2_3_2_2 * C00045 * C02166))</v>
      </c>
      <c r="K840" s="11" t="str">
        <f t="shared" si="55"/>
        <v>r839: C00045 + C02166 -&gt; C03363 + C05951 | (${Variables:E2_3_2_2_kcat} * E2_3_2_2 * C00045 * C02166)/(${Variables:E2_3_2_2_km} + (E2_3_2_2 * C00045 * C02166))</v>
      </c>
    </row>
    <row r="841" spans="1:11" ht="45" customHeight="1" x14ac:dyDescent="0.25">
      <c r="A841" t="s">
        <v>3312</v>
      </c>
      <c r="B841" t="s">
        <v>3313</v>
      </c>
      <c r="C841" s="5" t="s">
        <v>9632</v>
      </c>
      <c r="D841">
        <f t="shared" si="52"/>
        <v>840</v>
      </c>
      <c r="E841" t="str">
        <f t="shared" si="53"/>
        <v>E2_3_2_2</v>
      </c>
      <c r="F841" s="11" t="s">
        <v>8758</v>
      </c>
      <c r="G841" s="11" t="s">
        <v>8924</v>
      </c>
      <c r="H841" s="11" t="s">
        <v>9120</v>
      </c>
      <c r="I841" s="11" t="s">
        <v>9319</v>
      </c>
      <c r="J841" s="12" t="str">
        <f t="shared" si="54"/>
        <v>(${Variables:E2_3_2_2_kcat} * E2_3_2_2 * C03193 * C05689)/(${Variables:E2_3_2_2_km} + (E2_3_2_2 * C03193 * C05689))</v>
      </c>
      <c r="K841" s="11" t="str">
        <f t="shared" si="55"/>
        <v>r840: C03193 + C05689 -&gt; C00012 + C05695 | (${Variables:E2_3_2_2_kcat} * E2_3_2_2 * C03193 * C05689)/(${Variables:E2_3_2_2_km} + (E2_3_2_2 * C03193 * C05689))</v>
      </c>
    </row>
    <row r="842" spans="1:11" ht="45" customHeight="1" x14ac:dyDescent="0.25">
      <c r="A842" t="s">
        <v>3312</v>
      </c>
      <c r="B842" t="s">
        <v>3313</v>
      </c>
      <c r="C842" s="5" t="s">
        <v>9632</v>
      </c>
      <c r="D842">
        <f t="shared" si="52"/>
        <v>841</v>
      </c>
      <c r="E842" t="str">
        <f t="shared" si="53"/>
        <v>E2_3_2_2</v>
      </c>
      <c r="F842" s="11" t="s">
        <v>14284</v>
      </c>
      <c r="G842" s="11" t="s">
        <v>14887</v>
      </c>
      <c r="H842" s="11" t="s">
        <v>15492</v>
      </c>
      <c r="I842" s="11" t="s">
        <v>16113</v>
      </c>
      <c r="J842" s="12" t="str">
        <f t="shared" si="54"/>
        <v>(${Variables:E2_3_2_2_kcat} * E2_3_2_2 * C00001 * C02320)/(${Variables:E2_3_2_2_km} + (E2_3_2_2 * C00001 * C02320))</v>
      </c>
      <c r="K842" s="11" t="str">
        <f t="shared" si="55"/>
        <v>r841: C00001 + C02320 -&gt; C00025 + C05729 | (${Variables:E2_3_2_2_kcat} * E2_3_2_2 * C00001 * C02320)/(${Variables:E2_3_2_2_km} + (E2_3_2_2 * C00001 * C02320))</v>
      </c>
    </row>
    <row r="843" spans="1:11" ht="45" customHeight="1" x14ac:dyDescent="0.25">
      <c r="A843" t="s">
        <v>3312</v>
      </c>
      <c r="B843" t="s">
        <v>3313</v>
      </c>
      <c r="C843" s="5" t="s">
        <v>9632</v>
      </c>
      <c r="D843">
        <f t="shared" si="52"/>
        <v>842</v>
      </c>
      <c r="E843" t="str">
        <f t="shared" si="53"/>
        <v>E2_3_2_2</v>
      </c>
      <c r="F843" s="11" t="s">
        <v>14285</v>
      </c>
      <c r="G843" s="11" t="s">
        <v>14888</v>
      </c>
      <c r="H843" s="11" t="s">
        <v>15493</v>
      </c>
      <c r="I843" s="11" t="s">
        <v>16114</v>
      </c>
      <c r="J843" s="12" t="str">
        <f t="shared" si="54"/>
        <v>(${Variables:E2_3_2_2_kcat} * E2_3_2_2 * C00025 * C02512)/(${Variables:E2_3_2_2_km} + (E2_3_2_2 * C00025 * C02512))</v>
      </c>
      <c r="K843" s="11" t="str">
        <f t="shared" si="55"/>
        <v>r842: C00025 + C02512 -&gt; C00001 + C05711 | (${Variables:E2_3_2_2_kcat} * E2_3_2_2 * C00025 * C02512)/(${Variables:E2_3_2_2_km} + (E2_3_2_2 * C00025 * C02512))</v>
      </c>
    </row>
    <row r="844" spans="1:11" ht="45" customHeight="1" x14ac:dyDescent="0.25">
      <c r="A844" t="s">
        <v>3312</v>
      </c>
      <c r="B844" t="s">
        <v>3313</v>
      </c>
      <c r="C844" s="5" t="s">
        <v>9632</v>
      </c>
      <c r="D844">
        <f t="shared" si="52"/>
        <v>843</v>
      </c>
      <c r="E844" t="str">
        <f t="shared" si="53"/>
        <v>E2_3_2_2</v>
      </c>
      <c r="F844" s="11" t="s">
        <v>14286</v>
      </c>
      <c r="G844" s="11" t="s">
        <v>14889</v>
      </c>
      <c r="H844" s="11" t="s">
        <v>15494</v>
      </c>
      <c r="I844" s="11" t="s">
        <v>16115</v>
      </c>
      <c r="J844" s="12" t="str">
        <f t="shared" si="54"/>
        <v>(${Variables:E2_3_2_2_kcat} * E2_3_2_2 * C00025 * C05670)/(${Variables:E2_3_2_2_km} + (E2_3_2_2 * C00025 * C05670))</v>
      </c>
      <c r="K844" s="11" t="str">
        <f t="shared" si="55"/>
        <v>r843: C00025 + C05670 -&gt; C00001 + C06114 | (${Variables:E2_3_2_2_kcat} * E2_3_2_2 * C00025 * C05670)/(${Variables:E2_3_2_2_km} + (E2_3_2_2 * C00025 * C05670))</v>
      </c>
    </row>
    <row r="845" spans="1:11" ht="45" customHeight="1" x14ac:dyDescent="0.25">
      <c r="A845" t="s">
        <v>3339</v>
      </c>
      <c r="B845" t="s">
        <v>3340</v>
      </c>
      <c r="C845" s="5" t="s">
        <v>9633</v>
      </c>
      <c r="D845">
        <f t="shared" si="52"/>
        <v>844</v>
      </c>
      <c r="E845" t="str">
        <f t="shared" si="53"/>
        <v>E4_1_2_48</v>
      </c>
      <c r="F845" s="11" t="s">
        <v>8141</v>
      </c>
      <c r="G845" s="11" t="s">
        <v>8141</v>
      </c>
      <c r="H845" s="11" t="s">
        <v>9121</v>
      </c>
      <c r="I845" s="11" t="s">
        <v>9320</v>
      </c>
      <c r="J845" s="12" t="str">
        <f t="shared" si="54"/>
        <v>(${Variables:E4_1_2_48_kcat} * E4_1_2_48 * C00188)/(${Variables:E4_1_2_48_km} + (E4_1_2_48 * C00188))</v>
      </c>
      <c r="K845" s="11" t="str">
        <f t="shared" si="55"/>
        <v>r844: C00188 -&gt; C00037 + C00084 | (${Variables:E4_1_2_48_kcat} * E4_1_2_48 * C00188)/(${Variables:E4_1_2_48_km} + (E4_1_2_48 * C00188))</v>
      </c>
    </row>
    <row r="846" spans="1:11" ht="45" customHeight="1" x14ac:dyDescent="0.25">
      <c r="A846" t="s">
        <v>3339</v>
      </c>
      <c r="B846" t="s">
        <v>3340</v>
      </c>
      <c r="C846" s="5" t="s">
        <v>9633</v>
      </c>
      <c r="D846">
        <f t="shared" si="52"/>
        <v>845</v>
      </c>
      <c r="E846" t="str">
        <f t="shared" si="53"/>
        <v>E4_1_2_48</v>
      </c>
      <c r="F846" s="11" t="s">
        <v>8291</v>
      </c>
      <c r="G846" s="11" t="s">
        <v>8291</v>
      </c>
      <c r="H846" s="11" t="s">
        <v>9121</v>
      </c>
      <c r="I846" s="11" t="s">
        <v>9320</v>
      </c>
      <c r="J846" s="12" t="str">
        <f t="shared" si="54"/>
        <v>(${Variables:E4_1_2_48_kcat} * E4_1_2_48 * C05519)/(${Variables:E4_1_2_48_km} + (E4_1_2_48 * C05519))</v>
      </c>
      <c r="K846" s="11" t="str">
        <f t="shared" si="55"/>
        <v>r845: C05519 -&gt; C00037 + C00084 | (${Variables:E4_1_2_48_kcat} * E4_1_2_48 * C05519)/(${Variables:E4_1_2_48_km} + (E4_1_2_48 * C05519))</v>
      </c>
    </row>
    <row r="847" spans="1:11" ht="45" customHeight="1" x14ac:dyDescent="0.25">
      <c r="A847" t="s">
        <v>3347</v>
      </c>
      <c r="B847" t="s">
        <v>3348</v>
      </c>
      <c r="C847" s="5" t="s">
        <v>9634</v>
      </c>
      <c r="D847">
        <f t="shared" si="52"/>
        <v>846</v>
      </c>
      <c r="E847" t="str">
        <f t="shared" si="53"/>
        <v>E1_6_5_5</v>
      </c>
      <c r="F847" s="11" t="s">
        <v>14287</v>
      </c>
      <c r="G847" s="11" t="s">
        <v>14890</v>
      </c>
      <c r="H847" s="11" t="s">
        <v>15495</v>
      </c>
      <c r="I847" s="11" t="s">
        <v>16116</v>
      </c>
      <c r="J847" s="12" t="str">
        <f t="shared" si="54"/>
        <v>(${Variables:E1_6_5_5_kcat} * E1_6_5_5 * C00005 * C00080 * C15602)/(${Variables:E1_6_5_5_km} + (E1_6_5_5 * C00005 * C00080 * C15602))</v>
      </c>
      <c r="K847" s="11" t="str">
        <f t="shared" si="55"/>
        <v>r846: C00005 + C00080 + C15602 -&gt; C00006 + C05309 | (${Variables:E1_6_5_5_kcat} * E1_6_5_5 * C00005 * C00080 * C15602)/(${Variables:E1_6_5_5_km} + (E1_6_5_5 * C00005 * C00080 * C15602))</v>
      </c>
    </row>
    <row r="848" spans="1:11" ht="45" customHeight="1" x14ac:dyDescent="0.25">
      <c r="A848" t="s">
        <v>3350</v>
      </c>
      <c r="B848" t="s">
        <v>3351</v>
      </c>
      <c r="C848" s="5" t="s">
        <v>9635</v>
      </c>
      <c r="D848">
        <f t="shared" si="52"/>
        <v>847</v>
      </c>
      <c r="E848" t="str">
        <f t="shared" si="53"/>
        <v>E4_3_1_12</v>
      </c>
      <c r="F848" s="11" t="s">
        <v>8292</v>
      </c>
      <c r="G848" s="11" t="s">
        <v>8292</v>
      </c>
      <c r="H848" s="11" t="s">
        <v>15496</v>
      </c>
      <c r="I848" s="11" t="s">
        <v>16117</v>
      </c>
      <c r="J848" s="12" t="str">
        <f t="shared" si="54"/>
        <v>(${Variables:E4_3_1_12_kcat} * E4_3_1_12 * C00077)/(${Variables:E4_3_1_12_km} + (E4_3_1_12 * C00077))</v>
      </c>
      <c r="K848" s="11" t="str">
        <f t="shared" si="55"/>
        <v>r847: C00077 -&gt; C00014 + C00148 | (${Variables:E4_3_1_12_kcat} * E4_3_1_12 * C00077)/(${Variables:E4_3_1_12_km} + (E4_3_1_12 * C00077))</v>
      </c>
    </row>
    <row r="849" spans="1:11" ht="45" customHeight="1" x14ac:dyDescent="0.25">
      <c r="A849" t="s">
        <v>3373</v>
      </c>
      <c r="B849" t="s">
        <v>3374</v>
      </c>
      <c r="C849" s="5" t="s">
        <v>9636</v>
      </c>
      <c r="D849">
        <f t="shared" si="52"/>
        <v>848</v>
      </c>
      <c r="E849" t="str">
        <f t="shared" si="53"/>
        <v>E6_1_1_9</v>
      </c>
      <c r="F849" s="11" t="s">
        <v>8759</v>
      </c>
      <c r="G849" s="11" t="s">
        <v>8925</v>
      </c>
      <c r="H849" s="11" t="s">
        <v>15497</v>
      </c>
      <c r="I849" s="11" t="s">
        <v>16118</v>
      </c>
      <c r="J849" s="12" t="str">
        <f t="shared" si="54"/>
        <v>(${Variables:E6_1_1_9_kcat} * E6_1_1_9 * C00002 * C00183 * C01653)/(${Variables:E6_1_1_9_km} + (E6_1_1_9 * C00002 * C00183 * C01653))</v>
      </c>
      <c r="K849" s="11" t="str">
        <f t="shared" si="55"/>
        <v>r848: C00002 + C00183 + C01653 -&gt; C00013 + C00020 + C02554 | (${Variables:E6_1_1_9_kcat} * E6_1_1_9 * C00002 * C00183 * C01653)/(${Variables:E6_1_1_9_km} + (E6_1_1_9 * C00002 * C00183 * C01653))</v>
      </c>
    </row>
    <row r="850" spans="1:11" ht="45" customHeight="1" x14ac:dyDescent="0.25">
      <c r="A850" t="s">
        <v>3383</v>
      </c>
      <c r="B850" t="s">
        <v>3384</v>
      </c>
      <c r="C850" s="5" t="s">
        <v>9637</v>
      </c>
      <c r="D850">
        <f t="shared" si="52"/>
        <v>849</v>
      </c>
      <c r="E850" t="str">
        <f t="shared" si="53"/>
        <v>E5_3_1_16</v>
      </c>
      <c r="F850" s="11" t="s">
        <v>8294</v>
      </c>
      <c r="G850" s="11" t="s">
        <v>8294</v>
      </c>
      <c r="H850" s="11" t="s">
        <v>8565</v>
      </c>
      <c r="I850" s="11" t="s">
        <v>8565</v>
      </c>
      <c r="J850" s="12" t="str">
        <f t="shared" si="54"/>
        <v>(${Variables:E5_3_1_16_kcat} * E5_3_1_16 * C04896)/(${Variables:E5_3_1_16_km} + (E5_3_1_16 * C04896))</v>
      </c>
      <c r="K850" s="11" t="str">
        <f t="shared" si="55"/>
        <v>r849: C04896 -&gt; C04916 | (${Variables:E5_3_1_16_kcat} * E5_3_1_16 * C04896)/(${Variables:E5_3_1_16_km} + (E5_3_1_16 * C04896))</v>
      </c>
    </row>
    <row r="851" spans="1:11" ht="45" customHeight="1" x14ac:dyDescent="0.25">
      <c r="A851" t="s">
        <v>3386</v>
      </c>
      <c r="B851" t="s">
        <v>3387</v>
      </c>
      <c r="C851" s="5" t="s">
        <v>9638</v>
      </c>
      <c r="D851">
        <f t="shared" si="52"/>
        <v>850</v>
      </c>
      <c r="E851" t="str">
        <f t="shared" si="53"/>
        <v>E4_1_1_48</v>
      </c>
      <c r="F851" s="11" t="s">
        <v>8295</v>
      </c>
      <c r="G851" s="11" t="s">
        <v>8295</v>
      </c>
      <c r="H851" s="11" t="s">
        <v>15498</v>
      </c>
      <c r="I851" s="11" t="s">
        <v>16119</v>
      </c>
      <c r="J851" s="12" t="str">
        <f t="shared" si="54"/>
        <v>(${Variables:E4_1_1_48_kcat} * E4_1_1_48 * C01302)/(${Variables:E4_1_1_48_km} + (E4_1_1_48 * C01302))</v>
      </c>
      <c r="K851" s="11" t="str">
        <f t="shared" si="55"/>
        <v>r850: C01302 -&gt; C00001 + C00011 + C03506 | (${Variables:E4_1_1_48_kcat} * E4_1_1_48 * C01302)/(${Variables:E4_1_1_48_km} + (E4_1_1_48 * C01302))</v>
      </c>
    </row>
    <row r="852" spans="1:11" ht="45" customHeight="1" x14ac:dyDescent="0.25">
      <c r="A852" t="s">
        <v>3404</v>
      </c>
      <c r="B852" t="s">
        <v>3405</v>
      </c>
      <c r="C852" s="5" t="s">
        <v>9639</v>
      </c>
      <c r="D852">
        <f t="shared" si="52"/>
        <v>851</v>
      </c>
      <c r="E852" t="str">
        <f t="shared" si="53"/>
        <v>E2_4_1_1</v>
      </c>
      <c r="F852" s="11" t="s">
        <v>14288</v>
      </c>
      <c r="G852" s="11" t="s">
        <v>14891</v>
      </c>
      <c r="H852" s="11" t="s">
        <v>15499</v>
      </c>
      <c r="I852" s="11" t="s">
        <v>16120</v>
      </c>
      <c r="J852" s="12" t="str">
        <f t="shared" si="54"/>
        <v>(${Variables:E2_4_1_1_kcat} * E2_4_1_1 * C00009 * C00718)/(${Variables:E2_4_1_1_km} + (E2_4_1_1 * C00009 * C00718))</v>
      </c>
      <c r="K852" s="11" t="str">
        <f t="shared" si="55"/>
        <v>r851: C00009 + C00718 -&gt; C00103 + C00718 | (${Variables:E2_4_1_1_kcat} * E2_4_1_1 * C00009 * C00718)/(${Variables:E2_4_1_1_km} + (E2_4_1_1 * C00009 * C00718))</v>
      </c>
    </row>
    <row r="853" spans="1:11" ht="45" customHeight="1" x14ac:dyDescent="0.25">
      <c r="A853" t="s">
        <v>3404</v>
      </c>
      <c r="B853" t="s">
        <v>3405</v>
      </c>
      <c r="C853" s="5" t="s">
        <v>9639</v>
      </c>
      <c r="D853">
        <f t="shared" si="52"/>
        <v>852</v>
      </c>
      <c r="E853" t="str">
        <f t="shared" si="53"/>
        <v>E2_4_1_1</v>
      </c>
      <c r="F853" s="11" t="s">
        <v>14289</v>
      </c>
      <c r="G853" s="11" t="s">
        <v>14892</v>
      </c>
      <c r="H853" s="11" t="s">
        <v>15500</v>
      </c>
      <c r="I853" s="11" t="s">
        <v>16121</v>
      </c>
      <c r="J853" s="12" t="str">
        <f t="shared" si="54"/>
        <v>(${Variables:E2_4_1_1_kcat} * E2_4_1_1 * C00009 * G10495)/(${Variables:E2_4_1_1_km} + (E2_4_1_1 * C00009 * G10495))</v>
      </c>
      <c r="K853" s="11" t="str">
        <f t="shared" si="55"/>
        <v>r852: C00009 + G10495 -&gt; C00103 + G10495 | (${Variables:E2_4_1_1_kcat} * E2_4_1_1 * C00009 * G10495)/(${Variables:E2_4_1_1_km} + (E2_4_1_1 * C00009 * G10495))</v>
      </c>
    </row>
    <row r="854" spans="1:11" ht="45" customHeight="1" x14ac:dyDescent="0.25">
      <c r="A854" t="s">
        <v>3404</v>
      </c>
      <c r="B854" t="s">
        <v>3405</v>
      </c>
      <c r="C854" s="5" t="s">
        <v>9639</v>
      </c>
      <c r="D854">
        <f t="shared" si="52"/>
        <v>853</v>
      </c>
      <c r="E854" t="str">
        <f t="shared" si="53"/>
        <v>E2_4_1_1</v>
      </c>
      <c r="F854" s="11" t="s">
        <v>14290</v>
      </c>
      <c r="G854" s="11" t="s">
        <v>14893</v>
      </c>
      <c r="H854" s="11" t="s">
        <v>15499</v>
      </c>
      <c r="I854" s="11" t="s">
        <v>16120</v>
      </c>
      <c r="J854" s="12" t="str">
        <f t="shared" si="54"/>
        <v>(${Variables:E2_4_1_1_kcat} * E2_4_1_1 * C00009 * C00369)/(${Variables:E2_4_1_1_km} + (E2_4_1_1 * C00009 * C00369))</v>
      </c>
      <c r="K854" s="11" t="str">
        <f t="shared" si="55"/>
        <v>r853: C00009 + C00369 -&gt; C00103 + C00718 | (${Variables:E2_4_1_1_kcat} * E2_4_1_1 * C00009 * C00369)/(${Variables:E2_4_1_1_km} + (E2_4_1_1 * C00009 * C00369))</v>
      </c>
    </row>
    <row r="855" spans="1:11" ht="45" customHeight="1" x14ac:dyDescent="0.25">
      <c r="A855" t="s">
        <v>3404</v>
      </c>
      <c r="B855" t="s">
        <v>3405</v>
      </c>
      <c r="C855" s="5" t="s">
        <v>9639</v>
      </c>
      <c r="D855">
        <f t="shared" si="52"/>
        <v>854</v>
      </c>
      <c r="E855" t="str">
        <f t="shared" si="53"/>
        <v>E2_4_1_1</v>
      </c>
      <c r="F855" s="11" t="s">
        <v>14291</v>
      </c>
      <c r="G855" s="11" t="s">
        <v>14894</v>
      </c>
      <c r="H855" s="11" t="s">
        <v>15500</v>
      </c>
      <c r="I855" s="11" t="s">
        <v>16121</v>
      </c>
      <c r="J855" s="12" t="str">
        <f t="shared" si="54"/>
        <v>(${Variables:E2_4_1_1_kcat} * E2_4_1_1 * C00009 * G10545)/(${Variables:E2_4_1_1_km} + (E2_4_1_1 * C00009 * G10545))</v>
      </c>
      <c r="K855" s="11" t="str">
        <f t="shared" si="55"/>
        <v>r854: C00009 + G10545 -&gt; C00103 + G10495 | (${Variables:E2_4_1_1_kcat} * E2_4_1_1 * C00009 * G10545)/(${Variables:E2_4_1_1_km} + (E2_4_1_1 * C00009 * G10545))</v>
      </c>
    </row>
    <row r="856" spans="1:11" ht="45" customHeight="1" x14ac:dyDescent="0.25">
      <c r="A856" t="s">
        <v>3426</v>
      </c>
      <c r="B856" t="s">
        <v>3427</v>
      </c>
      <c r="C856" s="5" t="s">
        <v>9640</v>
      </c>
      <c r="D856">
        <f t="shared" si="52"/>
        <v>855</v>
      </c>
      <c r="E856" t="str">
        <f t="shared" si="53"/>
        <v>E3_1_3_48</v>
      </c>
      <c r="F856" s="11" t="s">
        <v>14292</v>
      </c>
      <c r="G856" s="11" t="s">
        <v>14895</v>
      </c>
      <c r="H856" s="11" t="s">
        <v>15501</v>
      </c>
      <c r="I856" s="11" t="s">
        <v>16122</v>
      </c>
      <c r="J856" s="12" t="str">
        <f t="shared" si="54"/>
        <v>(${Variables:E3_1_3_48_kcat} * E3_1_3_48 * C00001 * C01167)/(${Variables:E3_1_3_48_km} + (E3_1_3_48 * C00001 * C01167))</v>
      </c>
      <c r="K856" s="11" t="str">
        <f t="shared" si="55"/>
        <v>r855: C00001 + C01167 -&gt; C00009 + C00585 | (${Variables:E3_1_3_48_kcat} * E3_1_3_48 * C00001 * C01167)/(${Variables:E3_1_3_48_km} + (E3_1_3_48 * C00001 * C01167))</v>
      </c>
    </row>
    <row r="857" spans="1:11" ht="45" customHeight="1" x14ac:dyDescent="0.25">
      <c r="A857" t="s">
        <v>3434</v>
      </c>
      <c r="B857" t="s">
        <v>3435</v>
      </c>
      <c r="C857" s="5" t="s">
        <v>9623</v>
      </c>
      <c r="D857">
        <f t="shared" si="52"/>
        <v>856</v>
      </c>
      <c r="E857" t="str">
        <f t="shared" si="53"/>
        <v>E2_4_99_28</v>
      </c>
      <c r="F857" s="11" t="s">
        <v>8753</v>
      </c>
      <c r="G857" s="11" t="s">
        <v>8919</v>
      </c>
      <c r="H857" s="11" t="s">
        <v>9107</v>
      </c>
      <c r="I857" s="11" t="s">
        <v>9306</v>
      </c>
      <c r="J857" s="12" t="str">
        <f t="shared" si="54"/>
        <v>(${Variables:E2_4_99_28_kcat} * E2_4_99_28 * C05893 * C11826)/(${Variables:E2_4_99_28_km} + (E2_4_99_28 * C05893 * C11826))</v>
      </c>
      <c r="K857" s="11" t="str">
        <f t="shared" si="55"/>
        <v>r856: C05893 + C11826 -&gt; C04574 + C11826 | (${Variables:E2_4_99_28_kcat} * E2_4_99_28 * C05893 * C11826)/(${Variables:E2_4_99_28_km} + (E2_4_99_28 * C05893 * C11826))</v>
      </c>
    </row>
    <row r="858" spans="1:11" ht="45" customHeight="1" x14ac:dyDescent="0.25">
      <c r="A858" t="s">
        <v>3434</v>
      </c>
      <c r="B858" t="s">
        <v>3435</v>
      </c>
      <c r="C858" s="5" t="s">
        <v>9623</v>
      </c>
      <c r="D858">
        <f t="shared" si="52"/>
        <v>857</v>
      </c>
      <c r="E858" t="str">
        <f t="shared" si="53"/>
        <v>E2_4_99_28</v>
      </c>
      <c r="F858" s="11" t="s">
        <v>14268</v>
      </c>
      <c r="G858" s="11" t="s">
        <v>14871</v>
      </c>
      <c r="H858" s="11" t="s">
        <v>15481</v>
      </c>
      <c r="I858" s="11" t="s">
        <v>16102</v>
      </c>
      <c r="J858" s="12" t="str">
        <f t="shared" si="54"/>
        <v>(${Variables:E2_4_99_28_kcat} * E2_4_99_28 * G10553 * G10554)/(${Variables:E2_4_99_28_km} + (E2_4_99_28 * G10553 * G10554))</v>
      </c>
      <c r="K858" s="11" t="str">
        <f t="shared" si="55"/>
        <v>r857: G10553 + G10554 -&gt; C04574 + G10554 | (${Variables:E2_4_99_28_kcat} * E2_4_99_28 * G10553 * G10554)/(${Variables:E2_4_99_28_km} + (E2_4_99_28 * G10553 * G10554))</v>
      </c>
    </row>
    <row r="859" spans="1:11" ht="45" customHeight="1" x14ac:dyDescent="0.25">
      <c r="A859" t="s">
        <v>3434</v>
      </c>
      <c r="B859" t="s">
        <v>3435</v>
      </c>
      <c r="C859" s="5" t="s">
        <v>9623</v>
      </c>
      <c r="D859">
        <f t="shared" si="52"/>
        <v>858</v>
      </c>
      <c r="E859" t="str">
        <f t="shared" si="53"/>
        <v>E2_4_99_28</v>
      </c>
      <c r="F859" s="11" t="s">
        <v>8754</v>
      </c>
      <c r="G859" s="11" t="s">
        <v>8920</v>
      </c>
      <c r="H859" s="11" t="s">
        <v>9108</v>
      </c>
      <c r="I859" s="11" t="s">
        <v>9307</v>
      </c>
      <c r="J859" s="12" t="str">
        <f t="shared" si="54"/>
        <v>(${Variables:E2_4_99_28_kcat} * E2_4_99_28 * C05898 * C11827)/(${Variables:E2_4_99_28_km} + (E2_4_99_28 * C05898 * C11827))</v>
      </c>
      <c r="K859" s="11" t="str">
        <f t="shared" si="55"/>
        <v>r858: C05898 + C11827 -&gt; C04574 + C11827 | (${Variables:E2_4_99_28_kcat} * E2_4_99_28 * C05898 * C11827)/(${Variables:E2_4_99_28_km} + (E2_4_99_28 * C05898 * C11827))</v>
      </c>
    </row>
    <row r="860" spans="1:11" ht="45" customHeight="1" x14ac:dyDescent="0.25">
      <c r="A860" t="s">
        <v>3434</v>
      </c>
      <c r="B860" t="s">
        <v>3435</v>
      </c>
      <c r="C860" s="5" t="s">
        <v>9623</v>
      </c>
      <c r="D860">
        <f t="shared" si="52"/>
        <v>859</v>
      </c>
      <c r="E860" t="str">
        <f t="shared" si="53"/>
        <v>E2_4_99_28</v>
      </c>
      <c r="F860" s="11" t="s">
        <v>14269</v>
      </c>
      <c r="G860" s="11" t="s">
        <v>14872</v>
      </c>
      <c r="H860" s="11" t="s">
        <v>15482</v>
      </c>
      <c r="I860" s="11" t="s">
        <v>16103</v>
      </c>
      <c r="J860" s="12" t="str">
        <f t="shared" si="54"/>
        <v>(${Variables:E2_4_99_28_kcat} * E2_4_99_28 * G10555 * G10557)/(${Variables:E2_4_99_28_km} + (E2_4_99_28 * G10555 * G10557))</v>
      </c>
      <c r="K860" s="11" t="str">
        <f t="shared" si="55"/>
        <v>r859: G10555 + G10557 -&gt; C04574 + G10557 | (${Variables:E2_4_99_28_kcat} * E2_4_99_28 * G10555 * G10557)/(${Variables:E2_4_99_28_km} + (E2_4_99_28 * G10555 * G10557))</v>
      </c>
    </row>
    <row r="861" spans="1:11" ht="45" customHeight="1" x14ac:dyDescent="0.25">
      <c r="A861" t="s">
        <v>3445</v>
      </c>
      <c r="B861" t="s">
        <v>3446</v>
      </c>
      <c r="C861" s="5" t="s">
        <v>9641</v>
      </c>
      <c r="D861">
        <f t="shared" si="52"/>
        <v>860</v>
      </c>
      <c r="E861" t="str">
        <f t="shared" si="53"/>
        <v>E4_1_2_4</v>
      </c>
      <c r="F861" s="11" t="s">
        <v>8297</v>
      </c>
      <c r="G861" s="11" t="s">
        <v>8297</v>
      </c>
      <c r="H861" s="11" t="s">
        <v>15502</v>
      </c>
      <c r="I861" s="11" t="s">
        <v>16123</v>
      </c>
      <c r="J861" s="12" t="str">
        <f t="shared" si="54"/>
        <v>(${Variables:E4_1_2_4_kcat} * E4_1_2_4 * C00673)/(${Variables:E4_1_2_4_km} + (E4_1_2_4 * C00673))</v>
      </c>
      <c r="K861" s="11" t="str">
        <f t="shared" si="55"/>
        <v>r860: C00673 -&gt; C00084 + C00118 | (${Variables:E4_1_2_4_kcat} * E4_1_2_4 * C00673)/(${Variables:E4_1_2_4_km} + (E4_1_2_4 * C00673))</v>
      </c>
    </row>
    <row r="862" spans="1:11" ht="45" customHeight="1" x14ac:dyDescent="0.25">
      <c r="A862" t="s">
        <v>3459</v>
      </c>
      <c r="B862" t="s">
        <v>3460</v>
      </c>
      <c r="C862" s="5" t="s">
        <v>9623</v>
      </c>
      <c r="D862">
        <f t="shared" si="52"/>
        <v>861</v>
      </c>
      <c r="E862" t="str">
        <f t="shared" si="53"/>
        <v>E2_4_99_28</v>
      </c>
      <c r="F862" s="11" t="s">
        <v>8753</v>
      </c>
      <c r="G862" s="11" t="s">
        <v>8919</v>
      </c>
      <c r="H862" s="11" t="s">
        <v>9107</v>
      </c>
      <c r="I862" s="11" t="s">
        <v>9306</v>
      </c>
      <c r="J862" s="12" t="str">
        <f t="shared" si="54"/>
        <v>(${Variables:E2_4_99_28_kcat} * E2_4_99_28 * C05893 * C11826)/(${Variables:E2_4_99_28_km} + (E2_4_99_28 * C05893 * C11826))</v>
      </c>
      <c r="K862" s="11" t="str">
        <f t="shared" si="55"/>
        <v>r861: C05893 + C11826 -&gt; C04574 + C11826 | (${Variables:E2_4_99_28_kcat} * E2_4_99_28 * C05893 * C11826)/(${Variables:E2_4_99_28_km} + (E2_4_99_28 * C05893 * C11826))</v>
      </c>
    </row>
    <row r="863" spans="1:11" ht="45" customHeight="1" x14ac:dyDescent="0.25">
      <c r="A863" t="s">
        <v>3459</v>
      </c>
      <c r="B863" t="s">
        <v>3460</v>
      </c>
      <c r="C863" s="5" t="s">
        <v>9623</v>
      </c>
      <c r="D863">
        <f t="shared" si="52"/>
        <v>862</v>
      </c>
      <c r="E863" t="str">
        <f t="shared" si="53"/>
        <v>E2_4_99_28</v>
      </c>
      <c r="F863" s="11" t="s">
        <v>14268</v>
      </c>
      <c r="G863" s="11" t="s">
        <v>14871</v>
      </c>
      <c r="H863" s="11" t="s">
        <v>15481</v>
      </c>
      <c r="I863" s="11" t="s">
        <v>16102</v>
      </c>
      <c r="J863" s="12" t="str">
        <f t="shared" si="54"/>
        <v>(${Variables:E2_4_99_28_kcat} * E2_4_99_28 * G10553 * G10554)/(${Variables:E2_4_99_28_km} + (E2_4_99_28 * G10553 * G10554))</v>
      </c>
      <c r="K863" s="11" t="str">
        <f t="shared" si="55"/>
        <v>r862: G10553 + G10554 -&gt; C04574 + G10554 | (${Variables:E2_4_99_28_kcat} * E2_4_99_28 * G10553 * G10554)/(${Variables:E2_4_99_28_km} + (E2_4_99_28 * G10553 * G10554))</v>
      </c>
    </row>
    <row r="864" spans="1:11" ht="45" customHeight="1" x14ac:dyDescent="0.25">
      <c r="A864" t="s">
        <v>3459</v>
      </c>
      <c r="B864" t="s">
        <v>3460</v>
      </c>
      <c r="C864" s="5" t="s">
        <v>9623</v>
      </c>
      <c r="D864">
        <f t="shared" si="52"/>
        <v>863</v>
      </c>
      <c r="E864" t="str">
        <f t="shared" si="53"/>
        <v>E2_4_99_28</v>
      </c>
      <c r="F864" s="11" t="s">
        <v>8754</v>
      </c>
      <c r="G864" s="11" t="s">
        <v>8920</v>
      </c>
      <c r="H864" s="11" t="s">
        <v>9108</v>
      </c>
      <c r="I864" s="11" t="s">
        <v>9307</v>
      </c>
      <c r="J864" s="12" t="str">
        <f t="shared" si="54"/>
        <v>(${Variables:E2_4_99_28_kcat} * E2_4_99_28 * C05898 * C11827)/(${Variables:E2_4_99_28_km} + (E2_4_99_28 * C05898 * C11827))</v>
      </c>
      <c r="K864" s="11" t="str">
        <f t="shared" si="55"/>
        <v>r863: C05898 + C11827 -&gt; C04574 + C11827 | (${Variables:E2_4_99_28_kcat} * E2_4_99_28 * C05898 * C11827)/(${Variables:E2_4_99_28_km} + (E2_4_99_28 * C05898 * C11827))</v>
      </c>
    </row>
    <row r="865" spans="1:11" ht="45" customHeight="1" x14ac:dyDescent="0.25">
      <c r="A865" t="s">
        <v>3459</v>
      </c>
      <c r="B865" t="s">
        <v>3460</v>
      </c>
      <c r="C865" s="5" t="s">
        <v>9623</v>
      </c>
      <c r="D865">
        <f t="shared" si="52"/>
        <v>864</v>
      </c>
      <c r="E865" t="str">
        <f t="shared" si="53"/>
        <v>E2_4_99_28</v>
      </c>
      <c r="F865" s="11" t="s">
        <v>14269</v>
      </c>
      <c r="G865" s="11" t="s">
        <v>14872</v>
      </c>
      <c r="H865" s="11" t="s">
        <v>15482</v>
      </c>
      <c r="I865" s="11" t="s">
        <v>16103</v>
      </c>
      <c r="J865" s="12" t="str">
        <f t="shared" si="54"/>
        <v>(${Variables:E2_4_99_28_kcat} * E2_4_99_28 * G10555 * G10557)/(${Variables:E2_4_99_28_km} + (E2_4_99_28 * G10555 * G10557))</v>
      </c>
      <c r="K865" s="11" t="str">
        <f t="shared" si="55"/>
        <v>r864: G10555 + G10557 -&gt; C04574 + G10557 | (${Variables:E2_4_99_28_kcat} * E2_4_99_28 * G10555 * G10557)/(${Variables:E2_4_99_28_km} + (E2_4_99_28 * G10555 * G10557))</v>
      </c>
    </row>
    <row r="866" spans="1:11" ht="45" customHeight="1" x14ac:dyDescent="0.25">
      <c r="A866" t="s">
        <v>3473</v>
      </c>
      <c r="B866" t="s">
        <v>3474</v>
      </c>
      <c r="C866" s="5" t="s">
        <v>9642</v>
      </c>
      <c r="D866">
        <f t="shared" si="52"/>
        <v>865</v>
      </c>
      <c r="E866" t="str">
        <f t="shared" si="53"/>
        <v>E2_3_1_35</v>
      </c>
      <c r="F866" s="11" t="s">
        <v>14293</v>
      </c>
      <c r="G866" s="11" t="s">
        <v>14896</v>
      </c>
      <c r="H866" s="11" t="s">
        <v>9122</v>
      </c>
      <c r="I866" s="11" t="s">
        <v>9321</v>
      </c>
      <c r="J866" s="12" t="str">
        <f t="shared" si="54"/>
        <v>(${Variables:E2_3_1_35_kcat} * E2_3_1_35 * C00025 * C00437)/(${Variables:E2_3_1_35_km} + (E2_3_1_35 * C00025 * C00437))</v>
      </c>
      <c r="K866" s="11" t="str">
        <f t="shared" si="55"/>
        <v>r865: C00025 + C00437 -&gt; C00077 + C00624 | (${Variables:E2_3_1_35_kcat} * E2_3_1_35 * C00025 * C00437)/(${Variables:E2_3_1_35_km} + (E2_3_1_35 * C00025 * C00437))</v>
      </c>
    </row>
    <row r="867" spans="1:11" ht="45" customHeight="1" x14ac:dyDescent="0.25">
      <c r="A867" t="s">
        <v>3476</v>
      </c>
      <c r="B867" t="s">
        <v>3477</v>
      </c>
      <c r="C867" s="5" t="s">
        <v>9643</v>
      </c>
      <c r="D867">
        <f t="shared" si="52"/>
        <v>866</v>
      </c>
      <c r="E867" t="str">
        <f t="shared" si="53"/>
        <v>E1_2_1_38</v>
      </c>
      <c r="F867" s="11" t="s">
        <v>14294</v>
      </c>
      <c r="G867" s="11" t="s">
        <v>14897</v>
      </c>
      <c r="H867" s="11" t="s">
        <v>15503</v>
      </c>
      <c r="I867" s="11" t="s">
        <v>16124</v>
      </c>
      <c r="J867" s="12" t="str">
        <f t="shared" si="54"/>
        <v>(${Variables:E1_2_1_38_kcat} * E1_2_1_38 * C00006 * C00009 * C01250)/(${Variables:E1_2_1_38_km} + (E1_2_1_38 * C00006 * C00009 * C01250))</v>
      </c>
      <c r="K867" s="11" t="str">
        <f t="shared" si="55"/>
        <v>r866: C00006 + C00009 + C01250 -&gt; C00005 + C00080 + C04133 | (${Variables:E1_2_1_38_kcat} * E1_2_1_38 * C00006 * C00009 * C01250)/(${Variables:E1_2_1_38_km} + (E1_2_1_38 * C00006 * C00009 * C01250))</v>
      </c>
    </row>
    <row r="868" spans="1:11" ht="45" customHeight="1" x14ac:dyDescent="0.25">
      <c r="A868" t="s">
        <v>3481</v>
      </c>
      <c r="B868" t="s">
        <v>3482</v>
      </c>
      <c r="C868" s="5" t="s">
        <v>9644</v>
      </c>
      <c r="D868">
        <f t="shared" si="52"/>
        <v>867</v>
      </c>
      <c r="E868" t="str">
        <f t="shared" si="53"/>
        <v>E2_1_3_3</v>
      </c>
      <c r="F868" s="11" t="s">
        <v>14295</v>
      </c>
      <c r="G868" s="11" t="s">
        <v>14898</v>
      </c>
      <c r="H868" s="11" t="s">
        <v>9123</v>
      </c>
      <c r="I868" s="11" t="s">
        <v>9322</v>
      </c>
      <c r="J868" s="12" t="str">
        <f t="shared" si="54"/>
        <v>(${Variables:E2_1_3_3_kcat} * E2_1_3_3 * C00077 * C00169)/(${Variables:E2_1_3_3_km} + (E2_1_3_3 * C00077 * C00169))</v>
      </c>
      <c r="K868" s="11" t="str">
        <f t="shared" si="55"/>
        <v>r867: C00077 + C00169 -&gt; C00009 + C00327 | (${Variables:E2_1_3_3_kcat} * E2_1_3_3 * C00077 * C00169)/(${Variables:E2_1_3_3_km} + (E2_1_3_3 * C00077 * C00169))</v>
      </c>
    </row>
    <row r="869" spans="1:11" ht="45" customHeight="1" x14ac:dyDescent="0.25">
      <c r="A869" t="s">
        <v>3506</v>
      </c>
      <c r="B869" t="s">
        <v>3507</v>
      </c>
      <c r="C869" s="5" t="s">
        <v>9645</v>
      </c>
      <c r="D869">
        <f t="shared" si="52"/>
        <v>868</v>
      </c>
      <c r="E869" t="str">
        <f t="shared" si="53"/>
        <v>E2_3_3_21</v>
      </c>
      <c r="F869" s="11" t="s">
        <v>14296</v>
      </c>
      <c r="G869" s="11" t="s">
        <v>14899</v>
      </c>
      <c r="H869" s="11" t="s">
        <v>15504</v>
      </c>
      <c r="I869" s="11" t="s">
        <v>16125</v>
      </c>
      <c r="J869" s="12" t="str">
        <f t="shared" si="54"/>
        <v>(${Variables:E2_3_3_21_kcat} * E2_3_3_21 * C00001 * C00022 * C00024)/(${Variables:E2_3_3_21_km} + (E2_3_3_21 * C00001 * C00022 * C00024))</v>
      </c>
      <c r="K869" s="11" t="str">
        <f t="shared" si="55"/>
        <v>r868: C00001 + C00022 + C00024 -&gt; C00010 + C02612 | (${Variables:E2_3_3_21_kcat} * E2_3_3_21 * C00001 * C00022 * C00024)/(${Variables:E2_3_3_21_km} + (E2_3_3_21 * C00001 * C00022 * C00024))</v>
      </c>
    </row>
    <row r="870" spans="1:11" ht="45" customHeight="1" x14ac:dyDescent="0.25">
      <c r="A870" t="s">
        <v>3512</v>
      </c>
      <c r="B870" t="s">
        <v>3513</v>
      </c>
      <c r="C870" s="5" t="s">
        <v>9646</v>
      </c>
      <c r="D870">
        <f t="shared" si="52"/>
        <v>869</v>
      </c>
      <c r="E870" t="str">
        <f t="shared" si="53"/>
        <v>E2_3_3_13</v>
      </c>
      <c r="F870" s="11" t="s">
        <v>14297</v>
      </c>
      <c r="G870" s="11" t="s">
        <v>14900</v>
      </c>
      <c r="H870" s="11" t="s">
        <v>15505</v>
      </c>
      <c r="I870" s="11" t="s">
        <v>16126</v>
      </c>
      <c r="J870" s="12" t="str">
        <f t="shared" si="54"/>
        <v>(${Variables:E2_3_3_13_kcat} * E2_3_3_13 * C00010 * C02504)/(${Variables:E2_3_3_13_km} + (E2_3_3_13 * C00010 * C02504))</v>
      </c>
      <c r="K870" s="11" t="str">
        <f t="shared" si="55"/>
        <v>r869: C00010 + C02504 -&gt; C00001 + C00024 + C00141 | (${Variables:E2_3_3_13_kcat} * E2_3_3_13 * C00010 * C02504)/(${Variables:E2_3_3_13_km} + (E2_3_3_13 * C00010 * C02504))</v>
      </c>
    </row>
    <row r="871" spans="1:11" ht="45" customHeight="1" x14ac:dyDescent="0.25">
      <c r="A871" t="s">
        <v>3515</v>
      </c>
      <c r="B871" t="s">
        <v>3516</v>
      </c>
      <c r="C871" s="5" t="s">
        <v>9647</v>
      </c>
      <c r="D871">
        <f t="shared" si="52"/>
        <v>870</v>
      </c>
      <c r="E871" t="str">
        <f t="shared" si="53"/>
        <v>E1_1_1_86</v>
      </c>
      <c r="F871" s="11" t="s">
        <v>14298</v>
      </c>
      <c r="G871" s="11" t="s">
        <v>14901</v>
      </c>
      <c r="H871" s="11" t="s">
        <v>15506</v>
      </c>
      <c r="I871" s="11" t="s">
        <v>16127</v>
      </c>
      <c r="J871" s="12" t="str">
        <f t="shared" si="54"/>
        <v>(${Variables:E1_1_1_86_kcat} * E1_1_1_86 * C00006 * C04272)/(${Variables:E1_1_1_86_km} + (E1_1_1_86 * C00006 * C04272))</v>
      </c>
      <c r="K871" s="11" t="str">
        <f t="shared" si="55"/>
        <v>r870: C00006 + C04272 -&gt; C00005 + C00080 + C06010 | (${Variables:E1_1_1_86_kcat} * E1_1_1_86 * C00006 * C04272)/(${Variables:E1_1_1_86_km} + (E1_1_1_86 * C00006 * C04272))</v>
      </c>
    </row>
    <row r="872" spans="1:11" ht="45" customHeight="1" x14ac:dyDescent="0.25">
      <c r="A872" t="s">
        <v>3515</v>
      </c>
      <c r="B872" t="s">
        <v>3516</v>
      </c>
      <c r="C872" s="5" t="s">
        <v>9647</v>
      </c>
      <c r="D872">
        <f t="shared" si="52"/>
        <v>871</v>
      </c>
      <c r="E872" t="str">
        <f t="shared" si="53"/>
        <v>E1_1_1_86</v>
      </c>
      <c r="F872" s="11" t="s">
        <v>14299</v>
      </c>
      <c r="G872" s="11" t="s">
        <v>14902</v>
      </c>
      <c r="H872" s="11" t="s">
        <v>15507</v>
      </c>
      <c r="I872" s="11" t="s">
        <v>16128</v>
      </c>
      <c r="J872" s="12" t="str">
        <f t="shared" si="54"/>
        <v>(${Variables:E1_1_1_86_kcat} * E1_1_1_86 * C00005 * C00080 * C00900)/(${Variables:E1_1_1_86_km} + (E1_1_1_86 * C00005 * C00080 * C00900))</v>
      </c>
      <c r="K872" s="11" t="str">
        <f t="shared" si="55"/>
        <v>r871: C00005 + C00080 + C00900 -&gt; C00006 + C04039 | (${Variables:E1_1_1_86_kcat} * E1_1_1_86 * C00005 * C00080 * C00900)/(${Variables:E1_1_1_86_km} + (E1_1_1_86 * C00005 * C00080 * C00900))</v>
      </c>
    </row>
    <row r="873" spans="1:11" ht="45" customHeight="1" x14ac:dyDescent="0.25">
      <c r="A873" t="s">
        <v>3515</v>
      </c>
      <c r="B873" t="s">
        <v>3516</v>
      </c>
      <c r="C873" s="5" t="s">
        <v>9647</v>
      </c>
      <c r="D873">
        <f t="shared" si="52"/>
        <v>872</v>
      </c>
      <c r="E873" t="str">
        <f t="shared" si="53"/>
        <v>E1_1_1_86</v>
      </c>
      <c r="F873" s="11" t="s">
        <v>14298</v>
      </c>
      <c r="G873" s="11" t="s">
        <v>14901</v>
      </c>
      <c r="H873" s="11" t="s">
        <v>15508</v>
      </c>
      <c r="I873" s="11" t="s">
        <v>16129</v>
      </c>
      <c r="J873" s="12" t="str">
        <f t="shared" si="54"/>
        <v>(${Variables:E1_1_1_86_kcat} * E1_1_1_86 * C00006 * C04272)/(${Variables:E1_1_1_86_km} + (E1_1_1_86 * C00006 * C04272))</v>
      </c>
      <c r="K873" s="11" t="str">
        <f t="shared" si="55"/>
        <v>r872: C00006 + C04272 -&gt; C00005 + C00080 + C04181 | (${Variables:E1_1_1_86_kcat} * E1_1_1_86 * C00006 * C04272)/(${Variables:E1_1_1_86_km} + (E1_1_1_86 * C00006 * C04272))</v>
      </c>
    </row>
    <row r="874" spans="1:11" ht="45" customHeight="1" x14ac:dyDescent="0.25">
      <c r="A874" t="s">
        <v>3515</v>
      </c>
      <c r="B874" t="s">
        <v>3516</v>
      </c>
      <c r="C874" s="5" t="s">
        <v>9647</v>
      </c>
      <c r="D874">
        <f t="shared" si="52"/>
        <v>873</v>
      </c>
      <c r="E874" t="str">
        <f t="shared" si="53"/>
        <v>E1_1_1_86</v>
      </c>
      <c r="F874" s="11" t="s">
        <v>14300</v>
      </c>
      <c r="G874" s="11" t="s">
        <v>14903</v>
      </c>
      <c r="H874" s="11" t="s">
        <v>15509</v>
      </c>
      <c r="I874" s="11" t="s">
        <v>16130</v>
      </c>
      <c r="J874" s="12" t="str">
        <f t="shared" si="54"/>
        <v>(${Variables:E1_1_1_86_kcat} * E1_1_1_86 * C00006 * C06007)/(${Variables:E1_1_1_86_km} + (E1_1_1_86 * C00006 * C06007))</v>
      </c>
      <c r="K874" s="11" t="str">
        <f t="shared" si="55"/>
        <v>r873: C00006 + C06007 -&gt; C00005 + C00080 + C14463 | (${Variables:E1_1_1_86_kcat} * E1_1_1_86 * C00006 * C06007)/(${Variables:E1_1_1_86_km} + (E1_1_1_86 * C00006 * C06007))</v>
      </c>
    </row>
    <row r="875" spans="1:11" ht="45" customHeight="1" x14ac:dyDescent="0.25">
      <c r="A875" t="s">
        <v>3515</v>
      </c>
      <c r="B875" t="s">
        <v>3516</v>
      </c>
      <c r="C875" s="5" t="s">
        <v>9647</v>
      </c>
      <c r="D875">
        <f t="shared" si="52"/>
        <v>874</v>
      </c>
      <c r="E875" t="str">
        <f t="shared" si="53"/>
        <v>E1_1_1_86</v>
      </c>
      <c r="F875" s="11" t="s">
        <v>8298</v>
      </c>
      <c r="G875" s="11" t="s">
        <v>8298</v>
      </c>
      <c r="H875" s="11" t="s">
        <v>8568</v>
      </c>
      <c r="I875" s="11" t="s">
        <v>8568</v>
      </c>
      <c r="J875" s="12" t="str">
        <f t="shared" si="54"/>
        <v>(${Variables:E1_1_1_86_kcat} * E1_1_1_86 * C06006)/(${Variables:E1_1_1_86_km} + (E1_1_1_86 * C06006))</v>
      </c>
      <c r="K875" s="11" t="str">
        <f t="shared" si="55"/>
        <v>r874: C06006 -&gt; C14463 | (${Variables:E1_1_1_86_kcat} * E1_1_1_86 * C06006)/(${Variables:E1_1_1_86_km} + (E1_1_1_86 * C06006))</v>
      </c>
    </row>
    <row r="876" spans="1:11" ht="45" customHeight="1" x14ac:dyDescent="0.25">
      <c r="A876" t="s">
        <v>3515</v>
      </c>
      <c r="B876" t="s">
        <v>3516</v>
      </c>
      <c r="C876" s="5" t="s">
        <v>9647</v>
      </c>
      <c r="D876">
        <f t="shared" si="52"/>
        <v>875</v>
      </c>
      <c r="E876" t="str">
        <f t="shared" si="53"/>
        <v>E1_1_1_86</v>
      </c>
      <c r="F876" s="11" t="s">
        <v>8299</v>
      </c>
      <c r="G876" s="11" t="s">
        <v>8299</v>
      </c>
      <c r="H876" s="11" t="s">
        <v>8569</v>
      </c>
      <c r="I876" s="11" t="s">
        <v>8569</v>
      </c>
      <c r="J876" s="12" t="str">
        <f t="shared" si="54"/>
        <v>(${Variables:E1_1_1_86_kcat} * E1_1_1_86 * C06010)/(${Variables:E1_1_1_86_km} + (E1_1_1_86 * C06010))</v>
      </c>
      <c r="K876" s="11" t="str">
        <f t="shared" si="55"/>
        <v>r875: C06010 -&gt; C04181 | (${Variables:E1_1_1_86_kcat} * E1_1_1_86 * C06010)/(${Variables:E1_1_1_86_km} + (E1_1_1_86 * C06010))</v>
      </c>
    </row>
    <row r="877" spans="1:11" ht="45" customHeight="1" x14ac:dyDescent="0.25">
      <c r="A877" t="s">
        <v>3518</v>
      </c>
      <c r="B877" t="s">
        <v>3519</v>
      </c>
      <c r="C877" s="5" t="s">
        <v>9648</v>
      </c>
      <c r="D877">
        <f t="shared" si="52"/>
        <v>876</v>
      </c>
      <c r="E877" t="str">
        <f t="shared" si="53"/>
        <v>E2_2_1_6</v>
      </c>
      <c r="F877" s="11" t="s">
        <v>14301</v>
      </c>
      <c r="G877" s="11" t="s">
        <v>14904</v>
      </c>
      <c r="H877" s="11" t="s">
        <v>8570</v>
      </c>
      <c r="I877" s="11" t="s">
        <v>8570</v>
      </c>
      <c r="J877" s="12" t="str">
        <f t="shared" si="54"/>
        <v>(${Variables:E2_2_1_6_kcat} * E2_2_1_6 * C00011 * C00900)/(${Variables:E2_2_1_6_km} + (E2_2_1_6 * C00011 * C00900))</v>
      </c>
      <c r="K877" s="11" t="str">
        <f t="shared" si="55"/>
        <v>r876: C00011 + C00900 -&gt; C00022 | (${Variables:E2_2_1_6_kcat} * E2_2_1_6 * C00011 * C00900)/(${Variables:E2_2_1_6_km} + (E2_2_1_6 * C00011 * C00900))</v>
      </c>
    </row>
    <row r="878" spans="1:11" ht="45" customHeight="1" x14ac:dyDescent="0.25">
      <c r="A878" t="s">
        <v>3518</v>
      </c>
      <c r="B878" t="s">
        <v>3519</v>
      </c>
      <c r="C878" s="5" t="s">
        <v>9648</v>
      </c>
      <c r="D878">
        <f t="shared" si="52"/>
        <v>877</v>
      </c>
      <c r="E878" t="str">
        <f t="shared" si="53"/>
        <v>E2_2_1_6</v>
      </c>
      <c r="F878" s="11" t="s">
        <v>14302</v>
      </c>
      <c r="G878" s="11" t="s">
        <v>14905</v>
      </c>
      <c r="H878" s="11" t="s">
        <v>8570</v>
      </c>
      <c r="I878" s="11" t="s">
        <v>8570</v>
      </c>
      <c r="J878" s="12" t="str">
        <f t="shared" si="54"/>
        <v>(${Variables:E2_2_1_6_kcat} * E2_2_1_6 * C00011 * C06010)/(${Variables:E2_2_1_6_km} + (E2_2_1_6 * C00011 * C06010))</v>
      </c>
      <c r="K878" s="11" t="str">
        <f t="shared" si="55"/>
        <v>r877: C00011 + C06010 -&gt; C00022 | (${Variables:E2_2_1_6_kcat} * E2_2_1_6 * C00011 * C06010)/(${Variables:E2_2_1_6_km} + (E2_2_1_6 * C00011 * C06010))</v>
      </c>
    </row>
    <row r="879" spans="1:11" ht="45" customHeight="1" x14ac:dyDescent="0.25">
      <c r="A879" t="s">
        <v>3518</v>
      </c>
      <c r="B879" t="s">
        <v>3519</v>
      </c>
      <c r="C879" s="5" t="s">
        <v>9648</v>
      </c>
      <c r="D879">
        <f t="shared" si="52"/>
        <v>878</v>
      </c>
      <c r="E879" t="str">
        <f t="shared" si="53"/>
        <v>E2_2_1_6</v>
      </c>
      <c r="F879" s="11" t="s">
        <v>8760</v>
      </c>
      <c r="G879" s="11" t="s">
        <v>8926</v>
      </c>
      <c r="H879" s="11" t="s">
        <v>15510</v>
      </c>
      <c r="I879" s="11" t="s">
        <v>16131</v>
      </c>
      <c r="J879" s="12" t="str">
        <f t="shared" si="54"/>
        <v>(${Variables:E2_2_1_6_kcat} * E2_2_1_6 * C00022 * C00068)/(${Variables:E2_2_1_6_km} + (E2_2_1_6 * C00022 * C00068))</v>
      </c>
      <c r="K879" s="11" t="str">
        <f t="shared" si="55"/>
        <v>r878: C00022 + C00068 -&gt; C00011 + C05125 | (${Variables:E2_2_1_6_kcat} * E2_2_1_6 * C00022 * C00068)/(${Variables:E2_2_1_6_km} + (E2_2_1_6 * C00022 * C00068))</v>
      </c>
    </row>
    <row r="880" spans="1:11" ht="45" customHeight="1" x14ac:dyDescent="0.25">
      <c r="A880" t="s">
        <v>3518</v>
      </c>
      <c r="B880" t="s">
        <v>3519</v>
      </c>
      <c r="C880" s="5" t="s">
        <v>9648</v>
      </c>
      <c r="D880">
        <f t="shared" si="52"/>
        <v>879</v>
      </c>
      <c r="E880" t="str">
        <f t="shared" si="53"/>
        <v>E2_2_1_6</v>
      </c>
      <c r="F880" s="11" t="s">
        <v>14303</v>
      </c>
      <c r="G880" s="11" t="s">
        <v>14906</v>
      </c>
      <c r="H880" s="11" t="s">
        <v>15511</v>
      </c>
      <c r="I880" s="11" t="s">
        <v>16132</v>
      </c>
      <c r="J880" s="12" t="str">
        <f t="shared" si="54"/>
        <v>(${Variables:E2_2_1_6_kcat} * E2_2_1_6 * C00068 * C00900)/(${Variables:E2_2_1_6_km} + (E2_2_1_6 * C00068 * C00900))</v>
      </c>
      <c r="K880" s="11" t="str">
        <f t="shared" si="55"/>
        <v>r879: C00068 + C00900 -&gt; C00022 + C05125 | (${Variables:E2_2_1_6_kcat} * E2_2_1_6 * C00068 * C00900)/(${Variables:E2_2_1_6_km} + (E2_2_1_6 * C00068 * C00900))</v>
      </c>
    </row>
    <row r="881" spans="1:11" ht="45" customHeight="1" x14ac:dyDescent="0.25">
      <c r="A881" t="s">
        <v>3518</v>
      </c>
      <c r="B881" t="s">
        <v>3519</v>
      </c>
      <c r="C881" s="5" t="s">
        <v>9648</v>
      </c>
      <c r="D881">
        <f t="shared" si="52"/>
        <v>880</v>
      </c>
      <c r="E881" t="str">
        <f t="shared" si="53"/>
        <v>E2_2_1_6</v>
      </c>
      <c r="F881" s="11" t="s">
        <v>14304</v>
      </c>
      <c r="G881" s="11" t="s">
        <v>14907</v>
      </c>
      <c r="H881" s="11" t="s">
        <v>15511</v>
      </c>
      <c r="I881" s="11" t="s">
        <v>16132</v>
      </c>
      <c r="J881" s="12" t="str">
        <f t="shared" si="54"/>
        <v>(${Variables:E2_2_1_6_kcat} * E2_2_1_6 * C00068 * C06010)/(${Variables:E2_2_1_6_km} + (E2_2_1_6 * C00068 * C06010))</v>
      </c>
      <c r="K881" s="11" t="str">
        <f t="shared" si="55"/>
        <v>r880: C00068 + C06010 -&gt; C00022 + C05125 | (${Variables:E2_2_1_6_kcat} * E2_2_1_6 * C00068 * C06010)/(${Variables:E2_2_1_6_km} + (E2_2_1_6 * C00068 * C06010))</v>
      </c>
    </row>
    <row r="882" spans="1:11" ht="45" customHeight="1" x14ac:dyDescent="0.25">
      <c r="A882" t="s">
        <v>3518</v>
      </c>
      <c r="B882" t="s">
        <v>3519</v>
      </c>
      <c r="C882" s="5" t="s">
        <v>9648</v>
      </c>
      <c r="D882">
        <f t="shared" si="52"/>
        <v>881</v>
      </c>
      <c r="E882" t="str">
        <f t="shared" si="53"/>
        <v>E2_2_1_6</v>
      </c>
      <c r="F882" s="11" t="s">
        <v>8761</v>
      </c>
      <c r="G882" s="11" t="s">
        <v>8927</v>
      </c>
      <c r="H882" s="11" t="s">
        <v>15512</v>
      </c>
      <c r="I882" s="11" t="s">
        <v>16133</v>
      </c>
      <c r="J882" s="12" t="str">
        <f t="shared" si="54"/>
        <v>(${Variables:E2_2_1_6_kcat} * E2_2_1_6 * C00109 * C05125)/(${Variables:E2_2_1_6_km} + (E2_2_1_6 * C00109 * C05125))</v>
      </c>
      <c r="K882" s="11" t="str">
        <f t="shared" si="55"/>
        <v>r881: C00109 + C05125 -&gt; C00068 + C06006 | (${Variables:E2_2_1_6_kcat} * E2_2_1_6 * C00109 * C05125)/(${Variables:E2_2_1_6_km} + (E2_2_1_6 * C00109 * C05125))</v>
      </c>
    </row>
    <row r="883" spans="1:11" ht="45" customHeight="1" x14ac:dyDescent="0.25">
      <c r="A883" t="s">
        <v>3518</v>
      </c>
      <c r="B883" t="s">
        <v>3519</v>
      </c>
      <c r="C883" s="5" t="s">
        <v>9648</v>
      </c>
      <c r="D883">
        <f t="shared" si="52"/>
        <v>882</v>
      </c>
      <c r="E883" t="str">
        <f t="shared" si="53"/>
        <v>E2_2_1_6</v>
      </c>
      <c r="F883" s="11" t="s">
        <v>8762</v>
      </c>
      <c r="G883" s="11" t="s">
        <v>8928</v>
      </c>
      <c r="H883" s="11" t="s">
        <v>15513</v>
      </c>
      <c r="I883" s="11" t="s">
        <v>16134</v>
      </c>
      <c r="J883" s="12" t="str">
        <f t="shared" si="54"/>
        <v>(${Variables:E2_2_1_6_kcat} * E2_2_1_6 * C00022 * C00109)/(${Variables:E2_2_1_6_km} + (E2_2_1_6 * C00022 * C00109))</v>
      </c>
      <c r="K883" s="11" t="str">
        <f t="shared" si="55"/>
        <v>r882: C00022 + C00109 -&gt; C00011 + C06006 | (${Variables:E2_2_1_6_kcat} * E2_2_1_6 * C00022 * C00109)/(${Variables:E2_2_1_6_km} + (E2_2_1_6 * C00022 * C00109))</v>
      </c>
    </row>
    <row r="884" spans="1:11" ht="45" customHeight="1" x14ac:dyDescent="0.25">
      <c r="A884" t="s">
        <v>3521</v>
      </c>
      <c r="B884" t="s">
        <v>3522</v>
      </c>
      <c r="C884" s="5" t="s">
        <v>9648</v>
      </c>
      <c r="D884">
        <f t="shared" si="52"/>
        <v>883</v>
      </c>
      <c r="E884" t="str">
        <f t="shared" si="53"/>
        <v>E2_2_1_6</v>
      </c>
      <c r="F884" s="11" t="s">
        <v>14301</v>
      </c>
      <c r="G884" s="11" t="s">
        <v>14904</v>
      </c>
      <c r="H884" s="11" t="s">
        <v>8570</v>
      </c>
      <c r="I884" s="11" t="s">
        <v>8570</v>
      </c>
      <c r="J884" s="12" t="str">
        <f t="shared" si="54"/>
        <v>(${Variables:E2_2_1_6_kcat} * E2_2_1_6 * C00011 * C00900)/(${Variables:E2_2_1_6_km} + (E2_2_1_6 * C00011 * C00900))</v>
      </c>
      <c r="K884" s="11" t="str">
        <f t="shared" si="55"/>
        <v>r883: C00011 + C00900 -&gt; C00022 | (${Variables:E2_2_1_6_kcat} * E2_2_1_6 * C00011 * C00900)/(${Variables:E2_2_1_6_km} + (E2_2_1_6 * C00011 * C00900))</v>
      </c>
    </row>
    <row r="885" spans="1:11" ht="45" customHeight="1" x14ac:dyDescent="0.25">
      <c r="A885" t="s">
        <v>3521</v>
      </c>
      <c r="B885" t="s">
        <v>3522</v>
      </c>
      <c r="C885" s="5" t="s">
        <v>9648</v>
      </c>
      <c r="D885">
        <f t="shared" si="52"/>
        <v>884</v>
      </c>
      <c r="E885" t="str">
        <f t="shared" si="53"/>
        <v>E2_2_1_6</v>
      </c>
      <c r="F885" s="11" t="s">
        <v>14302</v>
      </c>
      <c r="G885" s="11" t="s">
        <v>14905</v>
      </c>
      <c r="H885" s="11" t="s">
        <v>8570</v>
      </c>
      <c r="I885" s="11" t="s">
        <v>8570</v>
      </c>
      <c r="J885" s="12" t="str">
        <f t="shared" si="54"/>
        <v>(${Variables:E2_2_1_6_kcat} * E2_2_1_6 * C00011 * C06010)/(${Variables:E2_2_1_6_km} + (E2_2_1_6 * C00011 * C06010))</v>
      </c>
      <c r="K885" s="11" t="str">
        <f t="shared" si="55"/>
        <v>r884: C00011 + C06010 -&gt; C00022 | (${Variables:E2_2_1_6_kcat} * E2_2_1_6 * C00011 * C06010)/(${Variables:E2_2_1_6_km} + (E2_2_1_6 * C00011 * C06010))</v>
      </c>
    </row>
    <row r="886" spans="1:11" ht="45" customHeight="1" x14ac:dyDescent="0.25">
      <c r="A886" t="s">
        <v>3521</v>
      </c>
      <c r="B886" t="s">
        <v>3522</v>
      </c>
      <c r="C886" s="5" t="s">
        <v>9648</v>
      </c>
      <c r="D886">
        <f t="shared" si="52"/>
        <v>885</v>
      </c>
      <c r="E886" t="str">
        <f t="shared" si="53"/>
        <v>E2_2_1_6</v>
      </c>
      <c r="F886" s="11" t="s">
        <v>8760</v>
      </c>
      <c r="G886" s="11" t="s">
        <v>8926</v>
      </c>
      <c r="H886" s="11" t="s">
        <v>15510</v>
      </c>
      <c r="I886" s="11" t="s">
        <v>16131</v>
      </c>
      <c r="J886" s="12" t="str">
        <f t="shared" si="54"/>
        <v>(${Variables:E2_2_1_6_kcat} * E2_2_1_6 * C00022 * C00068)/(${Variables:E2_2_1_6_km} + (E2_2_1_6 * C00022 * C00068))</v>
      </c>
      <c r="K886" s="11" t="str">
        <f t="shared" si="55"/>
        <v>r885: C00022 + C00068 -&gt; C00011 + C05125 | (${Variables:E2_2_1_6_kcat} * E2_2_1_6 * C00022 * C00068)/(${Variables:E2_2_1_6_km} + (E2_2_1_6 * C00022 * C00068))</v>
      </c>
    </row>
    <row r="887" spans="1:11" ht="45" customHeight="1" x14ac:dyDescent="0.25">
      <c r="A887" t="s">
        <v>3521</v>
      </c>
      <c r="B887" t="s">
        <v>3522</v>
      </c>
      <c r="C887" s="5" t="s">
        <v>9648</v>
      </c>
      <c r="D887">
        <f t="shared" si="52"/>
        <v>886</v>
      </c>
      <c r="E887" t="str">
        <f t="shared" si="53"/>
        <v>E2_2_1_6</v>
      </c>
      <c r="F887" s="11" t="s">
        <v>14303</v>
      </c>
      <c r="G887" s="11" t="s">
        <v>14906</v>
      </c>
      <c r="H887" s="11" t="s">
        <v>15511</v>
      </c>
      <c r="I887" s="11" t="s">
        <v>16132</v>
      </c>
      <c r="J887" s="12" t="str">
        <f t="shared" si="54"/>
        <v>(${Variables:E2_2_1_6_kcat} * E2_2_1_6 * C00068 * C00900)/(${Variables:E2_2_1_6_km} + (E2_2_1_6 * C00068 * C00900))</v>
      </c>
      <c r="K887" s="11" t="str">
        <f t="shared" si="55"/>
        <v>r886: C00068 + C00900 -&gt; C00022 + C05125 | (${Variables:E2_2_1_6_kcat} * E2_2_1_6 * C00068 * C00900)/(${Variables:E2_2_1_6_km} + (E2_2_1_6 * C00068 * C00900))</v>
      </c>
    </row>
    <row r="888" spans="1:11" ht="45" customHeight="1" x14ac:dyDescent="0.25">
      <c r="A888" t="s">
        <v>3521</v>
      </c>
      <c r="B888" t="s">
        <v>3522</v>
      </c>
      <c r="C888" s="5" t="s">
        <v>9648</v>
      </c>
      <c r="D888">
        <f t="shared" si="52"/>
        <v>887</v>
      </c>
      <c r="E888" t="str">
        <f t="shared" si="53"/>
        <v>E2_2_1_6</v>
      </c>
      <c r="F888" s="11" t="s">
        <v>14304</v>
      </c>
      <c r="G888" s="11" t="s">
        <v>14907</v>
      </c>
      <c r="H888" s="11" t="s">
        <v>15511</v>
      </c>
      <c r="I888" s="11" t="s">
        <v>16132</v>
      </c>
      <c r="J888" s="12" t="str">
        <f t="shared" si="54"/>
        <v>(${Variables:E2_2_1_6_kcat} * E2_2_1_6 * C00068 * C06010)/(${Variables:E2_2_1_6_km} + (E2_2_1_6 * C00068 * C06010))</v>
      </c>
      <c r="K888" s="11" t="str">
        <f t="shared" si="55"/>
        <v>r887: C00068 + C06010 -&gt; C00022 + C05125 | (${Variables:E2_2_1_6_kcat} * E2_2_1_6 * C00068 * C06010)/(${Variables:E2_2_1_6_km} + (E2_2_1_6 * C00068 * C06010))</v>
      </c>
    </row>
    <row r="889" spans="1:11" ht="45" customHeight="1" x14ac:dyDescent="0.25">
      <c r="A889" t="s">
        <v>3521</v>
      </c>
      <c r="B889" t="s">
        <v>3522</v>
      </c>
      <c r="C889" s="5" t="s">
        <v>9648</v>
      </c>
      <c r="D889">
        <f t="shared" si="52"/>
        <v>888</v>
      </c>
      <c r="E889" t="str">
        <f t="shared" si="53"/>
        <v>E2_2_1_6</v>
      </c>
      <c r="F889" s="11" t="s">
        <v>8761</v>
      </c>
      <c r="G889" s="11" t="s">
        <v>8927</v>
      </c>
      <c r="H889" s="11" t="s">
        <v>15512</v>
      </c>
      <c r="I889" s="11" t="s">
        <v>16133</v>
      </c>
      <c r="J889" s="12" t="str">
        <f t="shared" si="54"/>
        <v>(${Variables:E2_2_1_6_kcat} * E2_2_1_6 * C00109 * C05125)/(${Variables:E2_2_1_6_km} + (E2_2_1_6 * C00109 * C05125))</v>
      </c>
      <c r="K889" s="11" t="str">
        <f t="shared" si="55"/>
        <v>r888: C00109 + C05125 -&gt; C00068 + C06006 | (${Variables:E2_2_1_6_kcat} * E2_2_1_6 * C00109 * C05125)/(${Variables:E2_2_1_6_km} + (E2_2_1_6 * C00109 * C05125))</v>
      </c>
    </row>
    <row r="890" spans="1:11" ht="45" customHeight="1" x14ac:dyDescent="0.25">
      <c r="A890" t="s">
        <v>3521</v>
      </c>
      <c r="B890" t="s">
        <v>3522</v>
      </c>
      <c r="C890" s="5" t="s">
        <v>9648</v>
      </c>
      <c r="D890">
        <f t="shared" si="52"/>
        <v>889</v>
      </c>
      <c r="E890" t="str">
        <f t="shared" si="53"/>
        <v>E2_2_1_6</v>
      </c>
      <c r="F890" s="11" t="s">
        <v>8762</v>
      </c>
      <c r="G890" s="11" t="s">
        <v>8928</v>
      </c>
      <c r="H890" s="11" t="s">
        <v>15513</v>
      </c>
      <c r="I890" s="11" t="s">
        <v>16134</v>
      </c>
      <c r="J890" s="12" t="str">
        <f t="shared" si="54"/>
        <v>(${Variables:E2_2_1_6_kcat} * E2_2_1_6 * C00022 * C00109)/(${Variables:E2_2_1_6_km} + (E2_2_1_6 * C00022 * C00109))</v>
      </c>
      <c r="K890" s="11" t="str">
        <f t="shared" si="55"/>
        <v>r889: C00022 + C00109 -&gt; C00011 + C06006 | (${Variables:E2_2_1_6_kcat} * E2_2_1_6 * C00022 * C00109)/(${Variables:E2_2_1_6_km} + (E2_2_1_6 * C00022 * C00109))</v>
      </c>
    </row>
    <row r="891" spans="1:11" ht="45" customHeight="1" x14ac:dyDescent="0.25">
      <c r="A891" t="s">
        <v>3524</v>
      </c>
      <c r="B891" t="s">
        <v>3525</v>
      </c>
      <c r="C891" s="5" t="s">
        <v>9649</v>
      </c>
      <c r="D891">
        <f t="shared" si="52"/>
        <v>890</v>
      </c>
      <c r="E891" t="str">
        <f t="shared" si="53"/>
        <v>E1_8_1_9</v>
      </c>
      <c r="F891" s="11" t="s">
        <v>14305</v>
      </c>
      <c r="G891" s="11" t="s">
        <v>14908</v>
      </c>
      <c r="H891" s="11" t="s">
        <v>15514</v>
      </c>
      <c r="I891" s="11" t="s">
        <v>16135</v>
      </c>
      <c r="J891" s="12" t="str">
        <f t="shared" si="54"/>
        <v>(${Variables:E1_8_1_9_kcat} * E1_8_1_9 * C00006 * C00342)/(${Variables:E1_8_1_9_km} + (E1_8_1_9 * C00006 * C00342))</v>
      </c>
      <c r="K891" s="11" t="str">
        <f t="shared" si="55"/>
        <v>r890: C00006 + C00342 -&gt; C00005 + C00080 + C00343 | (${Variables:E1_8_1_9_kcat} * E1_8_1_9 * C00006 * C00342)/(${Variables:E1_8_1_9_km} + (E1_8_1_9 * C00006 * C00342))</v>
      </c>
    </row>
    <row r="892" spans="1:11" ht="45" customHeight="1" x14ac:dyDescent="0.25">
      <c r="A892" t="s">
        <v>3524</v>
      </c>
      <c r="B892" t="s">
        <v>3525</v>
      </c>
      <c r="C892" s="5" t="s">
        <v>9649</v>
      </c>
      <c r="D892">
        <f t="shared" si="52"/>
        <v>891</v>
      </c>
      <c r="E892" t="str">
        <f t="shared" si="53"/>
        <v>E1_8_1_9</v>
      </c>
      <c r="F892" s="11" t="s">
        <v>14306</v>
      </c>
      <c r="G892" s="11" t="s">
        <v>14909</v>
      </c>
      <c r="H892" s="11" t="s">
        <v>15515</v>
      </c>
      <c r="I892" s="11" t="s">
        <v>16136</v>
      </c>
      <c r="J892" s="12" t="str">
        <f t="shared" si="54"/>
        <v>(${Variables:E1_8_1_9_kcat} * E1_8_1_9 * C00006 * C00051 * C00097)/(${Variables:E1_8_1_9_km} + (E1_8_1_9 * C00006 * C00051 * C00097))</v>
      </c>
      <c r="K892" s="11" t="str">
        <f t="shared" si="55"/>
        <v>r891: C00006 + C00051 + C00097 -&gt; C00005 + C05526 | (${Variables:E1_8_1_9_kcat} * E1_8_1_9 * C00006 * C00051 * C00097)/(${Variables:E1_8_1_9_km} + (E1_8_1_9 * C00006 * C00051 * C00097))</v>
      </c>
    </row>
    <row r="893" spans="1:11" ht="45" customHeight="1" x14ac:dyDescent="0.25">
      <c r="A893" t="s">
        <v>3524</v>
      </c>
      <c r="B893" t="s">
        <v>3525</v>
      </c>
      <c r="C893" s="5" t="s">
        <v>9649</v>
      </c>
      <c r="D893">
        <f t="shared" si="52"/>
        <v>892</v>
      </c>
      <c r="E893" t="str">
        <f t="shared" si="53"/>
        <v>E1_8_1_9</v>
      </c>
      <c r="F893" s="11" t="s">
        <v>14307</v>
      </c>
      <c r="G893" s="11" t="s">
        <v>14910</v>
      </c>
      <c r="H893" s="11" t="s">
        <v>15516</v>
      </c>
      <c r="I893" s="11" t="s">
        <v>16137</v>
      </c>
      <c r="J893" s="12" t="str">
        <f t="shared" si="54"/>
        <v>(${Variables:E1_8_1_9_kcat} * E1_8_1_9 * C00001 * C00006 * C01528)/(${Variables:E1_8_1_9_km} + (E1_8_1_9 * C00001 * C00006 * C01528))</v>
      </c>
      <c r="K893" s="11" t="str">
        <f t="shared" si="55"/>
        <v>r892: C00001 + C00006 + C01528 -&gt; C00005 + C00080 + C05684 | (${Variables:E1_8_1_9_kcat} * E1_8_1_9 * C00001 * C00006 * C01528)/(${Variables:E1_8_1_9_km} + (E1_8_1_9 * C00001 * C00006 * C01528))</v>
      </c>
    </row>
    <row r="894" spans="1:11" ht="45" customHeight="1" x14ac:dyDescent="0.25">
      <c r="A894" t="s">
        <v>3524</v>
      </c>
      <c r="B894" t="s">
        <v>3525</v>
      </c>
      <c r="C894" s="5" t="s">
        <v>9649</v>
      </c>
      <c r="D894">
        <f t="shared" si="52"/>
        <v>893</v>
      </c>
      <c r="E894" t="str">
        <f t="shared" si="53"/>
        <v>E1_8_1_9</v>
      </c>
      <c r="F894" s="11" t="s">
        <v>8763</v>
      </c>
      <c r="G894" s="11" t="s">
        <v>8929</v>
      </c>
      <c r="H894" s="11" t="s">
        <v>15517</v>
      </c>
      <c r="I894" s="11" t="s">
        <v>16138</v>
      </c>
      <c r="J894" s="12" t="str">
        <f t="shared" si="54"/>
        <v>(${Variables:E1_8_1_9_kcat} * E1_8_1_9 * C00005 * C00080 * C18902)/(${Variables:E1_8_1_9_km} + (E1_8_1_9 * C00005 * C00080 * C18902))</v>
      </c>
      <c r="K894" s="11" t="str">
        <f t="shared" si="55"/>
        <v>r893: C00005 + C00080 + C18902 -&gt; C00001 + C00006 + C05703 | (${Variables:E1_8_1_9_kcat} * E1_8_1_9 * C00005 * C00080 * C18902)/(${Variables:E1_8_1_9_km} + (E1_8_1_9 * C00005 * C00080 * C18902))</v>
      </c>
    </row>
    <row r="895" spans="1:11" ht="45" customHeight="1" x14ac:dyDescent="0.25">
      <c r="A895" t="s">
        <v>3530</v>
      </c>
      <c r="B895" t="s">
        <v>3531</v>
      </c>
      <c r="C895" s="5" t="s">
        <v>9650</v>
      </c>
      <c r="D895">
        <f t="shared" si="52"/>
        <v>894</v>
      </c>
      <c r="E895" t="str">
        <f t="shared" si="53"/>
        <v>E4_2_1_2</v>
      </c>
      <c r="F895" s="11" t="s">
        <v>8304</v>
      </c>
      <c r="G895" s="11" t="s">
        <v>8304</v>
      </c>
      <c r="H895" s="11" t="s">
        <v>15518</v>
      </c>
      <c r="I895" s="11" t="s">
        <v>16139</v>
      </c>
      <c r="J895" s="12" t="str">
        <f t="shared" si="54"/>
        <v>(${Variables:E4_2_1_2_kcat} * E4_2_1_2 * C00149)/(${Variables:E4_2_1_2_km} + (E4_2_1_2 * C00149))</v>
      </c>
      <c r="K895" s="11" t="str">
        <f t="shared" si="55"/>
        <v>r894: C00149 -&gt; C00001 + C00122 | (${Variables:E4_2_1_2_kcat} * E4_2_1_2 * C00149)/(${Variables:E4_2_1_2_km} + (E4_2_1_2 * C00149))</v>
      </c>
    </row>
    <row r="896" spans="1:11" ht="45" customHeight="1" x14ac:dyDescent="0.25">
      <c r="A896" t="s">
        <v>3533</v>
      </c>
      <c r="B896" t="s">
        <v>3534</v>
      </c>
      <c r="C896" s="5" t="s">
        <v>9651</v>
      </c>
      <c r="D896">
        <f t="shared" si="52"/>
        <v>895</v>
      </c>
      <c r="E896" t="str">
        <f t="shared" si="53"/>
        <v>E1_15_1_1</v>
      </c>
      <c r="F896" s="11" t="s">
        <v>14308</v>
      </c>
      <c r="G896" s="11" t="s">
        <v>14911</v>
      </c>
      <c r="H896" s="11" t="s">
        <v>15519</v>
      </c>
      <c r="I896" s="11" t="s">
        <v>16140</v>
      </c>
      <c r="J896" s="12" t="str">
        <f t="shared" si="54"/>
        <v>(${Variables:E1_15_1_1_kcat} * E1_15_1_1 * C00080 * C00704)/(${Variables:E1_15_1_1_km} + (E1_15_1_1 * C00080 * C00704))</v>
      </c>
      <c r="K896" s="11" t="str">
        <f t="shared" si="55"/>
        <v>r895: C00080 + C00704 -&gt; C00007 + C00027 | (${Variables:E1_15_1_1_kcat} * E1_15_1_1 * C00080 * C00704)/(${Variables:E1_15_1_1_km} + (E1_15_1_1 * C00080 * C00704))</v>
      </c>
    </row>
    <row r="897" spans="1:11" ht="45" customHeight="1" x14ac:dyDescent="0.25">
      <c r="A897" t="s">
        <v>3552</v>
      </c>
      <c r="B897" t="s">
        <v>3553</v>
      </c>
      <c r="C897" s="5" t="s">
        <v>9418</v>
      </c>
      <c r="D897">
        <f t="shared" si="52"/>
        <v>896</v>
      </c>
      <c r="E897" t="str">
        <f t="shared" si="53"/>
        <v>E4_2_1_17</v>
      </c>
      <c r="F897" s="11" t="s">
        <v>8116</v>
      </c>
      <c r="G897" s="11" t="s">
        <v>8116</v>
      </c>
      <c r="H897" s="11" t="s">
        <v>15193</v>
      </c>
      <c r="I897" s="11" t="s">
        <v>15814</v>
      </c>
      <c r="J897" s="12" t="str">
        <f t="shared" si="54"/>
        <v>(${Variables:E4_2_1_17_kcat} * E4_2_1_17 * C00640)/(${Variables:E4_2_1_17_km} + (E4_2_1_17 * C00640))</v>
      </c>
      <c r="K897" s="11" t="str">
        <f t="shared" si="55"/>
        <v>r896: C00640 -&gt; C00001 + C00658 | (${Variables:E4_2_1_17_kcat} * E4_2_1_17 * C00640)/(${Variables:E4_2_1_17_km} + (E4_2_1_17 * C00640))</v>
      </c>
    </row>
    <row r="898" spans="1:11" ht="45" customHeight="1" x14ac:dyDescent="0.25">
      <c r="A898" t="s">
        <v>3552</v>
      </c>
      <c r="B898" t="s">
        <v>3553</v>
      </c>
      <c r="C898" s="5" t="s">
        <v>9418</v>
      </c>
      <c r="D898">
        <f t="shared" si="52"/>
        <v>897</v>
      </c>
      <c r="E898" t="str">
        <f t="shared" si="53"/>
        <v>E4_2_1_17</v>
      </c>
      <c r="F898" s="11" t="s">
        <v>8117</v>
      </c>
      <c r="G898" s="11" t="s">
        <v>8117</v>
      </c>
      <c r="H898" s="11" t="s">
        <v>13999</v>
      </c>
      <c r="I898" s="11" t="s">
        <v>14602</v>
      </c>
      <c r="J898" s="12" t="str">
        <f t="shared" si="54"/>
        <v>(${Variables:E4_2_1_17_kcat} * E4_2_1_17 * C01144)/(${Variables:E4_2_1_17_km} + (E4_2_1_17 * C01144))</v>
      </c>
      <c r="K898" s="11" t="str">
        <f t="shared" si="55"/>
        <v>r897: C01144 -&gt; C00001 + C00877 | (${Variables:E4_2_1_17_kcat} * E4_2_1_17 * C01144)/(${Variables:E4_2_1_17_km} + (E4_2_1_17 * C01144))</v>
      </c>
    </row>
    <row r="899" spans="1:11" ht="45" customHeight="1" x14ac:dyDescent="0.25">
      <c r="A899" t="s">
        <v>3552</v>
      </c>
      <c r="B899" t="s">
        <v>3553</v>
      </c>
      <c r="C899" s="5" t="s">
        <v>9418</v>
      </c>
      <c r="D899">
        <f t="shared" ref="D899:D962" si="56">ROW()-1</f>
        <v>898</v>
      </c>
      <c r="E899" t="str">
        <f t="shared" ref="E899:E962" si="57">_xlfn.CONCAT("E", C899)</f>
        <v>E4_2_1_17</v>
      </c>
      <c r="F899" s="11" t="s">
        <v>8118</v>
      </c>
      <c r="G899" s="11" t="s">
        <v>8118</v>
      </c>
      <c r="H899" s="11" t="s">
        <v>15194</v>
      </c>
      <c r="I899" s="11" t="s">
        <v>15815</v>
      </c>
      <c r="J899" s="12" t="str">
        <f t="shared" ref="J899:J962" si="58">CONCATENATE("(${Variables:",E899,"_kcat","} * ",E899," * ",G899,")","/(${Variables:",E899,"_km","} + (",E899," * ",G899,"))")</f>
        <v>(${Variables:E4_2_1_17_kcat} * E4_2_1_17 * C05668)/(${Variables:E4_2_1_17_km} + (E4_2_1_17 * C05668))</v>
      </c>
      <c r="K899" s="11" t="str">
        <f t="shared" ref="K899:K962" si="59">CONCATENATE("r",D899,": ",F899," -&gt; ",H899," | ",J899)</f>
        <v>r898: C05668 -&gt; C00001 + C00894 | (${Variables:E4_2_1_17_kcat} * E4_2_1_17 * C05668)/(${Variables:E4_2_1_17_km} + (E4_2_1_17 * C05668))</v>
      </c>
    </row>
    <row r="900" spans="1:11" ht="45" customHeight="1" x14ac:dyDescent="0.25">
      <c r="A900" t="s">
        <v>3552</v>
      </c>
      <c r="B900" t="s">
        <v>3553</v>
      </c>
      <c r="C900" s="5" t="s">
        <v>9418</v>
      </c>
      <c r="D900">
        <f t="shared" si="56"/>
        <v>899</v>
      </c>
      <c r="E900" t="str">
        <f t="shared" si="57"/>
        <v>E4_2_1_17</v>
      </c>
      <c r="F900" s="11" t="s">
        <v>8119</v>
      </c>
      <c r="G900" s="11" t="s">
        <v>8119</v>
      </c>
      <c r="H900" s="11" t="s">
        <v>15195</v>
      </c>
      <c r="I900" s="11" t="s">
        <v>15816</v>
      </c>
      <c r="J900" s="12" t="str">
        <f t="shared" si="58"/>
        <v>(${Variables:E4_2_1_17_kcat} * E4_2_1_17 * C05262)/(${Variables:E4_2_1_17_km} + (E4_2_1_17 * C05262))</v>
      </c>
      <c r="K900" s="11" t="str">
        <f t="shared" si="59"/>
        <v>r899: C05262 -&gt; C00001 + C03221 | (${Variables:E4_2_1_17_kcat} * E4_2_1_17 * C05262)/(${Variables:E4_2_1_17_km} + (E4_2_1_17 * C05262))</v>
      </c>
    </row>
    <row r="901" spans="1:11" ht="45" customHeight="1" x14ac:dyDescent="0.25">
      <c r="A901" t="s">
        <v>3552</v>
      </c>
      <c r="B901" t="s">
        <v>3553</v>
      </c>
      <c r="C901" s="5" t="s">
        <v>9418</v>
      </c>
      <c r="D901">
        <f t="shared" si="56"/>
        <v>900</v>
      </c>
      <c r="E901" t="str">
        <f t="shared" si="57"/>
        <v>E4_2_1_17</v>
      </c>
      <c r="F901" s="11" t="s">
        <v>8120</v>
      </c>
      <c r="G901" s="11" t="s">
        <v>8120</v>
      </c>
      <c r="H901" s="11" t="s">
        <v>15196</v>
      </c>
      <c r="I901" s="11" t="s">
        <v>15817</v>
      </c>
      <c r="J901" s="12" t="str">
        <f t="shared" si="58"/>
        <v>(${Variables:E4_2_1_17_kcat} * E4_2_1_17 * C04405)/(${Variables:E4_2_1_17_km} + (E4_2_1_17 * C04405))</v>
      </c>
      <c r="K901" s="11" t="str">
        <f t="shared" si="59"/>
        <v>r900: C04405 -&gt; C00001 + C03345 | (${Variables:E4_2_1_17_kcat} * E4_2_1_17 * C04405)/(${Variables:E4_2_1_17_km} + (E4_2_1_17 * C04405))</v>
      </c>
    </row>
    <row r="902" spans="1:11" ht="45" customHeight="1" x14ac:dyDescent="0.25">
      <c r="A902" t="s">
        <v>3552</v>
      </c>
      <c r="B902" t="s">
        <v>3553</v>
      </c>
      <c r="C902" s="5" t="s">
        <v>9418</v>
      </c>
      <c r="D902">
        <f t="shared" si="56"/>
        <v>901</v>
      </c>
      <c r="E902" t="str">
        <f t="shared" si="57"/>
        <v>E4_2_1_17</v>
      </c>
      <c r="F902" s="11" t="s">
        <v>13998</v>
      </c>
      <c r="G902" s="11" t="s">
        <v>14601</v>
      </c>
      <c r="H902" s="11" t="s">
        <v>8410</v>
      </c>
      <c r="I902" s="11" t="s">
        <v>8410</v>
      </c>
      <c r="J902" s="12" t="str">
        <f t="shared" si="58"/>
        <v>(${Variables:E4_2_1_17_kcat} * E4_2_1_17 * C00001 * C03460)/(${Variables:E4_2_1_17_km} + (E4_2_1_17 * C00001 * C03460))</v>
      </c>
      <c r="K902" s="11" t="str">
        <f t="shared" si="59"/>
        <v>r901: C00001 + C03460 -&gt; C06000 | (${Variables:E4_2_1_17_kcat} * E4_2_1_17 * C00001 * C03460)/(${Variables:E4_2_1_17_km} + (E4_2_1_17 * C00001 * C03460))</v>
      </c>
    </row>
    <row r="903" spans="1:11" ht="45" customHeight="1" x14ac:dyDescent="0.25">
      <c r="A903" t="s">
        <v>3552</v>
      </c>
      <c r="B903" t="s">
        <v>3553</v>
      </c>
      <c r="C903" s="5" t="s">
        <v>9418</v>
      </c>
      <c r="D903">
        <f t="shared" si="56"/>
        <v>902</v>
      </c>
      <c r="E903" t="str">
        <f t="shared" si="57"/>
        <v>E4_2_1_17</v>
      </c>
      <c r="F903" s="11" t="s">
        <v>8121</v>
      </c>
      <c r="G903" s="11" t="s">
        <v>8121</v>
      </c>
      <c r="H903" s="11" t="s">
        <v>15197</v>
      </c>
      <c r="I903" s="11" t="s">
        <v>15818</v>
      </c>
      <c r="J903" s="12" t="str">
        <f t="shared" si="58"/>
        <v>(${Variables:E4_2_1_17_kcat} * E4_2_1_17 * C05258)/(${Variables:E4_2_1_17_km} + (E4_2_1_17 * C05258))</v>
      </c>
      <c r="K903" s="11" t="str">
        <f t="shared" si="59"/>
        <v>r902: C05258 -&gt; C00001 + C05272 | (${Variables:E4_2_1_17_kcat} * E4_2_1_17 * C05258)/(${Variables:E4_2_1_17_km} + (E4_2_1_17 * C05258))</v>
      </c>
    </row>
    <row r="904" spans="1:11" ht="45" customHeight="1" x14ac:dyDescent="0.25">
      <c r="A904" t="s">
        <v>3552</v>
      </c>
      <c r="B904" t="s">
        <v>3553</v>
      </c>
      <c r="C904" s="5" t="s">
        <v>9418</v>
      </c>
      <c r="D904">
        <f t="shared" si="56"/>
        <v>903</v>
      </c>
      <c r="E904" t="str">
        <f t="shared" si="57"/>
        <v>E4_2_1_17</v>
      </c>
      <c r="F904" s="11" t="s">
        <v>8122</v>
      </c>
      <c r="G904" s="11" t="s">
        <v>8122</v>
      </c>
      <c r="H904" s="11" t="s">
        <v>15198</v>
      </c>
      <c r="I904" s="11" t="s">
        <v>15819</v>
      </c>
      <c r="J904" s="12" t="str">
        <f t="shared" si="58"/>
        <v>(${Variables:E4_2_1_17_kcat} * E4_2_1_17 * C05260)/(${Variables:E4_2_1_17_km} + (E4_2_1_17 * C05260))</v>
      </c>
      <c r="K904" s="11" t="str">
        <f t="shared" si="59"/>
        <v>r903: C05260 -&gt; C00001 + C05273 | (${Variables:E4_2_1_17_kcat} * E4_2_1_17 * C05260)/(${Variables:E4_2_1_17_km} + (E4_2_1_17 * C05260))</v>
      </c>
    </row>
    <row r="905" spans="1:11" ht="45" customHeight="1" x14ac:dyDescent="0.25">
      <c r="A905" t="s">
        <v>3552</v>
      </c>
      <c r="B905" t="s">
        <v>3553</v>
      </c>
      <c r="C905" s="5" t="s">
        <v>9418</v>
      </c>
      <c r="D905">
        <f t="shared" si="56"/>
        <v>904</v>
      </c>
      <c r="E905" t="str">
        <f t="shared" si="57"/>
        <v>E4_2_1_17</v>
      </c>
      <c r="F905" s="11" t="s">
        <v>8123</v>
      </c>
      <c r="G905" s="11" t="s">
        <v>8123</v>
      </c>
      <c r="H905" s="11" t="s">
        <v>15199</v>
      </c>
      <c r="I905" s="11" t="s">
        <v>15820</v>
      </c>
      <c r="J905" s="12" t="str">
        <f t="shared" si="58"/>
        <v>(${Variables:E4_2_1_17_kcat} * E4_2_1_17 * C05264)/(${Variables:E4_2_1_17_km} + (E4_2_1_17 * C05264))</v>
      </c>
      <c r="K905" s="11" t="str">
        <f t="shared" si="59"/>
        <v>r904: C05264 -&gt; C00001 + C05275 | (${Variables:E4_2_1_17_kcat} * E4_2_1_17 * C05264)/(${Variables:E4_2_1_17_km} + (E4_2_1_17 * C05264))</v>
      </c>
    </row>
    <row r="906" spans="1:11" ht="45" customHeight="1" x14ac:dyDescent="0.25">
      <c r="A906" t="s">
        <v>3552</v>
      </c>
      <c r="B906" t="s">
        <v>3553</v>
      </c>
      <c r="C906" s="5" t="s">
        <v>9418</v>
      </c>
      <c r="D906">
        <f t="shared" si="56"/>
        <v>905</v>
      </c>
      <c r="E906" t="str">
        <f t="shared" si="57"/>
        <v>E4_2_1_17</v>
      </c>
      <c r="F906" s="11" t="s">
        <v>8124</v>
      </c>
      <c r="G906" s="11" t="s">
        <v>8124</v>
      </c>
      <c r="H906" s="11" t="s">
        <v>15200</v>
      </c>
      <c r="I906" s="11" t="s">
        <v>15821</v>
      </c>
      <c r="J906" s="12" t="str">
        <f t="shared" si="58"/>
        <v>(${Variables:E4_2_1_17_kcat} * E4_2_1_17 * C05266)/(${Variables:E4_2_1_17_km} + (E4_2_1_17 * C05266))</v>
      </c>
      <c r="K906" s="11" t="str">
        <f t="shared" si="59"/>
        <v>r905: C05266 -&gt; C00001 + C05276 | (${Variables:E4_2_1_17_kcat} * E4_2_1_17 * C05266)/(${Variables:E4_2_1_17_km} + (E4_2_1_17 * C05266))</v>
      </c>
    </row>
    <row r="907" spans="1:11" ht="45" customHeight="1" x14ac:dyDescent="0.25">
      <c r="A907" t="s">
        <v>3552</v>
      </c>
      <c r="B907" t="s">
        <v>3553</v>
      </c>
      <c r="C907" s="5" t="s">
        <v>9418</v>
      </c>
      <c r="D907">
        <f t="shared" si="56"/>
        <v>906</v>
      </c>
      <c r="E907" t="str">
        <f t="shared" si="57"/>
        <v>E4_2_1_17</v>
      </c>
      <c r="F907" s="11" t="s">
        <v>8125</v>
      </c>
      <c r="G907" s="11" t="s">
        <v>8125</v>
      </c>
      <c r="H907" s="11" t="s">
        <v>15201</v>
      </c>
      <c r="I907" s="11" t="s">
        <v>15822</v>
      </c>
      <c r="J907" s="12" t="str">
        <f t="shared" si="58"/>
        <v>(${Variables:E4_2_1_17_kcat} * E4_2_1_17 * C05268)/(${Variables:E4_2_1_17_km} + (E4_2_1_17 * C05268))</v>
      </c>
      <c r="K907" s="11" t="str">
        <f t="shared" si="59"/>
        <v>r906: C05268 -&gt; C00001 + C05271 | (${Variables:E4_2_1_17_kcat} * E4_2_1_17 * C05268)/(${Variables:E4_2_1_17_km} + (E4_2_1_17 * C05268))</v>
      </c>
    </row>
    <row r="908" spans="1:11" ht="45" customHeight="1" x14ac:dyDescent="0.25">
      <c r="A908" t="s">
        <v>3552</v>
      </c>
      <c r="B908" t="s">
        <v>3553</v>
      </c>
      <c r="C908" s="5" t="s">
        <v>9418</v>
      </c>
      <c r="D908">
        <f t="shared" si="56"/>
        <v>907</v>
      </c>
      <c r="E908" t="str">
        <f t="shared" si="57"/>
        <v>E4_2_1_17</v>
      </c>
      <c r="F908" s="11" t="s">
        <v>8126</v>
      </c>
      <c r="G908" s="11" t="s">
        <v>8126</v>
      </c>
      <c r="H908" s="11" t="s">
        <v>15202</v>
      </c>
      <c r="I908" s="11" t="s">
        <v>15823</v>
      </c>
      <c r="J908" s="12" t="str">
        <f t="shared" si="58"/>
        <v>(${Variables:E4_2_1_17_kcat} * E4_2_1_17 * C16329)/(${Variables:E4_2_1_17_km} + (E4_2_1_17 * C16329))</v>
      </c>
      <c r="K908" s="11" t="str">
        <f t="shared" si="59"/>
        <v>r907: C16329 -&gt; C00001 + C16328 | (${Variables:E4_2_1_17_kcat} * E4_2_1_17 * C16329)/(${Variables:E4_2_1_17_km} + (E4_2_1_17 * C16329))</v>
      </c>
    </row>
    <row r="909" spans="1:11" ht="45" customHeight="1" x14ac:dyDescent="0.25">
      <c r="A909" t="s">
        <v>3552</v>
      </c>
      <c r="B909" t="s">
        <v>3553</v>
      </c>
      <c r="C909" s="5" t="s">
        <v>9418</v>
      </c>
      <c r="D909">
        <f t="shared" si="56"/>
        <v>908</v>
      </c>
      <c r="E909" t="str">
        <f t="shared" si="57"/>
        <v>E4_2_1_17</v>
      </c>
      <c r="F909" s="11" t="s">
        <v>8127</v>
      </c>
      <c r="G909" s="11" t="s">
        <v>8127</v>
      </c>
      <c r="H909" s="11" t="s">
        <v>15203</v>
      </c>
      <c r="I909" s="11" t="s">
        <v>15824</v>
      </c>
      <c r="J909" s="12" t="str">
        <f t="shared" si="58"/>
        <v>(${Variables:E4_2_1_17_kcat} * E4_2_1_17 * C16333)/(${Variables:E4_2_1_17_km} + (E4_2_1_17 * C16333))</v>
      </c>
      <c r="K909" s="11" t="str">
        <f t="shared" si="59"/>
        <v>r908: C16333 -&gt; C00001 + C16332 | (${Variables:E4_2_1_17_kcat} * E4_2_1_17 * C16333)/(${Variables:E4_2_1_17_km} + (E4_2_1_17 * C16333))</v>
      </c>
    </row>
    <row r="910" spans="1:11" ht="45" customHeight="1" x14ac:dyDescent="0.25">
      <c r="A910" t="s">
        <v>3552</v>
      </c>
      <c r="B910" t="s">
        <v>3553</v>
      </c>
      <c r="C910" s="5" t="s">
        <v>9418</v>
      </c>
      <c r="D910">
        <f t="shared" si="56"/>
        <v>909</v>
      </c>
      <c r="E910" t="str">
        <f t="shared" si="57"/>
        <v>E4_2_1_17</v>
      </c>
      <c r="F910" s="11" t="s">
        <v>8128</v>
      </c>
      <c r="G910" s="11" t="s">
        <v>8128</v>
      </c>
      <c r="H910" s="11" t="s">
        <v>15204</v>
      </c>
      <c r="I910" s="11" t="s">
        <v>15825</v>
      </c>
      <c r="J910" s="12" t="str">
        <f t="shared" si="58"/>
        <v>(${Variables:E4_2_1_17_kcat} * E4_2_1_17 * C16337)/(${Variables:E4_2_1_17_km} + (E4_2_1_17 * C16337))</v>
      </c>
      <c r="K910" s="11" t="str">
        <f t="shared" si="59"/>
        <v>r909: C16337 -&gt; C00001 + C16336 | (${Variables:E4_2_1_17_kcat} * E4_2_1_17 * C16337)/(${Variables:E4_2_1_17_km} + (E4_2_1_17 * C16337))</v>
      </c>
    </row>
    <row r="911" spans="1:11" ht="45" customHeight="1" x14ac:dyDescent="0.25">
      <c r="A911" t="s">
        <v>3552</v>
      </c>
      <c r="B911" t="s">
        <v>3553</v>
      </c>
      <c r="C911" s="5" t="s">
        <v>9418</v>
      </c>
      <c r="D911">
        <f t="shared" si="56"/>
        <v>910</v>
      </c>
      <c r="E911" t="str">
        <f t="shared" si="57"/>
        <v>E4_2_1_17</v>
      </c>
      <c r="F911" s="11" t="s">
        <v>8116</v>
      </c>
      <c r="G911" s="11" t="s">
        <v>8116</v>
      </c>
      <c r="H911" s="11" t="s">
        <v>15205</v>
      </c>
      <c r="I911" s="11" t="s">
        <v>15826</v>
      </c>
      <c r="J911" s="12" t="str">
        <f t="shared" si="58"/>
        <v>(${Variables:E4_2_1_17_kcat} * E4_2_1_17 * C00640)/(${Variables:E4_2_1_17_km} + (E4_2_1_17 * C00640))</v>
      </c>
      <c r="K911" s="11" t="str">
        <f t="shared" si="59"/>
        <v>r910: C00640 -&gt; C00001 + C05067 | (${Variables:E4_2_1_17_kcat} * E4_2_1_17 * C00640)/(${Variables:E4_2_1_17_km} + (E4_2_1_17 * C00640))</v>
      </c>
    </row>
    <row r="912" spans="1:11" ht="45" customHeight="1" x14ac:dyDescent="0.25">
      <c r="A912" t="s">
        <v>3552</v>
      </c>
      <c r="B912" t="s">
        <v>3553</v>
      </c>
      <c r="C912" s="5" t="s">
        <v>9418</v>
      </c>
      <c r="D912">
        <f t="shared" si="56"/>
        <v>911</v>
      </c>
      <c r="E912" t="str">
        <f t="shared" si="57"/>
        <v>E4_2_1_17</v>
      </c>
      <c r="F912" s="11" t="s">
        <v>8129</v>
      </c>
      <c r="G912" s="11" t="s">
        <v>8129</v>
      </c>
      <c r="H912" s="11" t="s">
        <v>15206</v>
      </c>
      <c r="I912" s="11" t="s">
        <v>15827</v>
      </c>
      <c r="J912" s="12" t="str">
        <f t="shared" si="58"/>
        <v>(${Variables:E4_2_1_17_kcat} * E4_2_1_17 * C01086)/(${Variables:E4_2_1_17_km} + (E4_2_1_17 * C01086))</v>
      </c>
      <c r="K912" s="11" t="str">
        <f t="shared" si="59"/>
        <v>r911: C01086 -&gt; C00001 + C01122 | (${Variables:E4_2_1_17_kcat} * E4_2_1_17 * C01086)/(${Variables:E4_2_1_17_km} + (E4_2_1_17 * C01086))</v>
      </c>
    </row>
    <row r="913" spans="1:11" ht="45" customHeight="1" x14ac:dyDescent="0.25">
      <c r="A913" t="s">
        <v>3552</v>
      </c>
      <c r="B913" t="s">
        <v>3553</v>
      </c>
      <c r="C913" s="5" t="s">
        <v>9418</v>
      </c>
      <c r="D913">
        <f t="shared" si="56"/>
        <v>912</v>
      </c>
      <c r="E913" t="str">
        <f t="shared" si="57"/>
        <v>E4_2_1_17</v>
      </c>
      <c r="F913" s="11" t="s">
        <v>8130</v>
      </c>
      <c r="G913" s="11" t="s">
        <v>8130</v>
      </c>
      <c r="H913" s="11" t="s">
        <v>15207</v>
      </c>
      <c r="I913" s="11" t="s">
        <v>15828</v>
      </c>
      <c r="J913" s="12" t="str">
        <f t="shared" si="58"/>
        <v>(${Variables:E4_2_1_17_kcat} * E4_2_1_17 * C05998)/(${Variables:E4_2_1_17_km} + (E4_2_1_17 * C05998))</v>
      </c>
      <c r="K913" s="11" t="str">
        <f t="shared" si="59"/>
        <v>r912: C05998 -&gt; C00001 + C03069 | (${Variables:E4_2_1_17_kcat} * E4_2_1_17 * C05998)/(${Variables:E4_2_1_17_km} + (E4_2_1_17 * C05998))</v>
      </c>
    </row>
    <row r="914" spans="1:11" ht="45" customHeight="1" x14ac:dyDescent="0.25">
      <c r="A914" t="s">
        <v>3552</v>
      </c>
      <c r="B914" t="s">
        <v>3553</v>
      </c>
      <c r="C914" s="5" t="s">
        <v>9418</v>
      </c>
      <c r="D914">
        <f t="shared" si="56"/>
        <v>913</v>
      </c>
      <c r="E914" t="str">
        <f t="shared" si="57"/>
        <v>E4_2_1_17</v>
      </c>
      <c r="F914" s="11" t="s">
        <v>13999</v>
      </c>
      <c r="G914" s="11" t="s">
        <v>14602</v>
      </c>
      <c r="H914" s="11" t="s">
        <v>8411</v>
      </c>
      <c r="I914" s="11" t="s">
        <v>8411</v>
      </c>
      <c r="J914" s="12" t="str">
        <f t="shared" si="58"/>
        <v>(${Variables:E4_2_1_17_kcat} * E4_2_1_17 * C00001 * C00877)/(${Variables:E4_2_1_17_km} + (E4_2_1_17 * C00001 * C00877))</v>
      </c>
      <c r="K914" s="11" t="str">
        <f t="shared" si="59"/>
        <v>r913: C00001 + C00877 -&gt; C05116 | (${Variables:E4_2_1_17_kcat} * E4_2_1_17 * C00001 * C00877)/(${Variables:E4_2_1_17_km} + (E4_2_1_17 * C00001 * C00877))</v>
      </c>
    </row>
    <row r="915" spans="1:11" ht="45" customHeight="1" x14ac:dyDescent="0.25">
      <c r="A915" t="s">
        <v>3552</v>
      </c>
      <c r="B915" t="s">
        <v>3553</v>
      </c>
      <c r="C915" s="5" t="s">
        <v>9418</v>
      </c>
      <c r="D915">
        <f t="shared" si="56"/>
        <v>914</v>
      </c>
      <c r="E915" t="str">
        <f t="shared" si="57"/>
        <v>E4_2_1_17</v>
      </c>
      <c r="F915" s="11" t="s">
        <v>14000</v>
      </c>
      <c r="G915" s="11" t="s">
        <v>14603</v>
      </c>
      <c r="H915" s="11" t="s">
        <v>8412</v>
      </c>
      <c r="I915" s="11" t="s">
        <v>8412</v>
      </c>
      <c r="J915" s="12" t="str">
        <f t="shared" si="58"/>
        <v>(${Variables:E4_2_1_17_kcat} * E4_2_1_17 * C00001 * C11946)/(${Variables:E4_2_1_17_km} + (E4_2_1_17 * C00001 * C11946))</v>
      </c>
      <c r="K915" s="11" t="str">
        <f t="shared" si="59"/>
        <v>r914: C00001 + C11946 -&gt; C11947 | (${Variables:E4_2_1_17_kcat} * E4_2_1_17 * C00001 * C11946)/(${Variables:E4_2_1_17_km} + (E4_2_1_17 * C00001 * C11946))</v>
      </c>
    </row>
    <row r="916" spans="1:11" ht="45" customHeight="1" x14ac:dyDescent="0.25">
      <c r="A916" t="s">
        <v>3552</v>
      </c>
      <c r="B916" t="s">
        <v>3553</v>
      </c>
      <c r="C916" s="5" t="s">
        <v>9418</v>
      </c>
      <c r="D916">
        <f t="shared" si="56"/>
        <v>915</v>
      </c>
      <c r="E916" t="str">
        <f t="shared" si="57"/>
        <v>E4_2_1_17</v>
      </c>
      <c r="F916" s="11" t="s">
        <v>14001</v>
      </c>
      <c r="G916" s="11" t="s">
        <v>14604</v>
      </c>
      <c r="H916" s="11" t="s">
        <v>8412</v>
      </c>
      <c r="I916" s="11" t="s">
        <v>8412</v>
      </c>
      <c r="J916" s="12" t="str">
        <f t="shared" si="58"/>
        <v>(${Variables:E4_2_1_17_kcat} * E4_2_1_17 * C00001 * C11945)/(${Variables:E4_2_1_17_km} + (E4_2_1_17 * C00001 * C11945))</v>
      </c>
      <c r="K916" s="11" t="str">
        <f t="shared" si="59"/>
        <v>r915: C00001 + C11945 -&gt; C11947 | (${Variables:E4_2_1_17_kcat} * E4_2_1_17 * C00001 * C11945)/(${Variables:E4_2_1_17_km} + (E4_2_1_17 * C00001 * C11945))</v>
      </c>
    </row>
    <row r="917" spans="1:11" ht="45" customHeight="1" x14ac:dyDescent="0.25">
      <c r="A917" t="s">
        <v>3552</v>
      </c>
      <c r="B917" t="s">
        <v>3553</v>
      </c>
      <c r="C917" s="5" t="s">
        <v>9418</v>
      </c>
      <c r="D917">
        <f t="shared" si="56"/>
        <v>916</v>
      </c>
      <c r="E917" t="str">
        <f t="shared" si="57"/>
        <v>E4_2_1_17</v>
      </c>
      <c r="F917" s="11" t="s">
        <v>14002</v>
      </c>
      <c r="G917" s="11" t="s">
        <v>14605</v>
      </c>
      <c r="H917" s="11" t="s">
        <v>8413</v>
      </c>
      <c r="I917" s="11" t="s">
        <v>8413</v>
      </c>
      <c r="J917" s="12" t="str">
        <f t="shared" si="58"/>
        <v>(${Variables:E4_2_1_17_kcat} * E4_2_1_17 * C00001 * C14144)/(${Variables:E4_2_1_17_km} + (E4_2_1_17 * C00001 * C14144))</v>
      </c>
      <c r="K917" s="11" t="str">
        <f t="shared" si="59"/>
        <v>r916: C00001 + C14144 -&gt; C14145 | (${Variables:E4_2_1_17_kcat} * E4_2_1_17 * C00001 * C14144)/(${Variables:E4_2_1_17_km} + (E4_2_1_17 * C00001 * C14144))</v>
      </c>
    </row>
    <row r="918" spans="1:11" ht="45" customHeight="1" x14ac:dyDescent="0.25">
      <c r="A918" t="s">
        <v>3552</v>
      </c>
      <c r="B918" t="s">
        <v>3553</v>
      </c>
      <c r="C918" s="5" t="s">
        <v>9418</v>
      </c>
      <c r="D918">
        <f t="shared" si="56"/>
        <v>917</v>
      </c>
      <c r="E918" t="str">
        <f t="shared" si="57"/>
        <v>E4_2_1_17</v>
      </c>
      <c r="F918" s="11" t="s">
        <v>14003</v>
      </c>
      <c r="G918" s="11" t="s">
        <v>14606</v>
      </c>
      <c r="H918" s="11" t="s">
        <v>8414</v>
      </c>
      <c r="I918" s="11" t="s">
        <v>8414</v>
      </c>
      <c r="J918" s="12" t="str">
        <f t="shared" si="58"/>
        <v>(${Variables:E4_2_1_17_kcat} * E4_2_1_17 * C00001 * C16468)/(${Variables:E4_2_1_17_km} + (E4_2_1_17 * C00001 * C16468))</v>
      </c>
      <c r="K918" s="11" t="str">
        <f t="shared" si="59"/>
        <v>r917: C00001 + C16468 -&gt; C16469 | (${Variables:E4_2_1_17_kcat} * E4_2_1_17 * C00001 * C16468)/(${Variables:E4_2_1_17_km} + (E4_2_1_17 * C00001 * C16468))</v>
      </c>
    </row>
    <row r="919" spans="1:11" ht="45" customHeight="1" x14ac:dyDescent="0.25">
      <c r="A919" t="s">
        <v>3555</v>
      </c>
      <c r="B919" t="s">
        <v>3556</v>
      </c>
      <c r="C919" s="5" t="s">
        <v>9652</v>
      </c>
      <c r="D919">
        <f t="shared" si="56"/>
        <v>918</v>
      </c>
      <c r="E919" t="str">
        <f t="shared" si="57"/>
        <v>E6_1_1_18</v>
      </c>
      <c r="F919" s="11" t="s">
        <v>8764</v>
      </c>
      <c r="G919" s="11" t="s">
        <v>8930</v>
      </c>
      <c r="H919" s="11" t="s">
        <v>15520</v>
      </c>
      <c r="I919" s="11" t="s">
        <v>16141</v>
      </c>
      <c r="J919" s="12" t="str">
        <f t="shared" si="58"/>
        <v>(${Variables:E6_1_1_18_kcat} * E6_1_1_18 * C00002 * C00064 * C01640)/(${Variables:E6_1_1_18_km} + (E6_1_1_18 * C00002 * C00064 * C01640))</v>
      </c>
      <c r="K919" s="11" t="str">
        <f t="shared" si="59"/>
        <v>r918: C00002 + C00064 + C01640 -&gt; C00013 + C00020 + C02282 | (${Variables:E6_1_1_18_kcat} * E6_1_1_18 * C00002 * C00064 * C01640)/(${Variables:E6_1_1_18_km} + (E6_1_1_18 * C00002 * C00064 * C01640))</v>
      </c>
    </row>
    <row r="920" spans="1:11" ht="45" customHeight="1" x14ac:dyDescent="0.25">
      <c r="A920" t="s">
        <v>3565</v>
      </c>
      <c r="B920" t="s">
        <v>3566</v>
      </c>
      <c r="C920" s="5" t="s">
        <v>9653</v>
      </c>
      <c r="D920">
        <f t="shared" si="56"/>
        <v>919</v>
      </c>
      <c r="E920" t="str">
        <f t="shared" si="57"/>
        <v>E1_2_1_11</v>
      </c>
      <c r="F920" s="11" t="s">
        <v>14309</v>
      </c>
      <c r="G920" s="11" t="s">
        <v>14912</v>
      </c>
      <c r="H920" s="11" t="s">
        <v>15521</v>
      </c>
      <c r="I920" s="11" t="s">
        <v>16142</v>
      </c>
      <c r="J920" s="12" t="str">
        <f t="shared" si="58"/>
        <v>(${Variables:E1_2_1_11_kcat} * E1_2_1_11 * C00006 * C00009 * C00441)/(${Variables:E1_2_1_11_km} + (E1_2_1_11 * C00006 * C00009 * C00441))</v>
      </c>
      <c r="K920" s="11" t="str">
        <f t="shared" si="59"/>
        <v>r919: C00006 + C00009 + C00441 -&gt; C00005 + C00080 + C03082 | (${Variables:E1_2_1_11_kcat} * E1_2_1_11 * C00006 * C00009 * C00441)/(${Variables:E1_2_1_11_km} + (E1_2_1_11 * C00006 * C00009 * C00441))</v>
      </c>
    </row>
    <row r="921" spans="1:11" ht="45" customHeight="1" x14ac:dyDescent="0.25">
      <c r="A921" t="s">
        <v>3572</v>
      </c>
      <c r="B921" t="s">
        <v>3573</v>
      </c>
      <c r="C921" s="5" t="s">
        <v>9654</v>
      </c>
      <c r="D921">
        <f t="shared" si="56"/>
        <v>920</v>
      </c>
      <c r="E921" t="str">
        <f t="shared" si="57"/>
        <v>E6_1_1_14</v>
      </c>
      <c r="F921" s="11" t="s">
        <v>8765</v>
      </c>
      <c r="G921" s="11" t="s">
        <v>8931</v>
      </c>
      <c r="H921" s="11" t="s">
        <v>15522</v>
      </c>
      <c r="I921" s="11" t="s">
        <v>16143</v>
      </c>
      <c r="J921" s="12" t="str">
        <f t="shared" si="58"/>
        <v>(${Variables:E6_1_1_14_kcat} * E6_1_1_14 * C00002 * C00037 * C01642)/(${Variables:E6_1_1_14_km} + (E6_1_1_14 * C00002 * C00037 * C01642))</v>
      </c>
      <c r="K921" s="11" t="str">
        <f t="shared" si="59"/>
        <v>r920: C00002 + C00037 + C01642 -&gt; C00013 + C00020 + C02412 | (${Variables:E6_1_1_14_kcat} * E6_1_1_14 * C00002 * C00037 * C01642)/(${Variables:E6_1_1_14_km} + (E6_1_1_14 * C00002 * C00037 * C01642))</v>
      </c>
    </row>
    <row r="922" spans="1:11" ht="45" customHeight="1" x14ac:dyDescent="0.25">
      <c r="A922" t="s">
        <v>3586</v>
      </c>
      <c r="B922" t="s">
        <v>3587</v>
      </c>
      <c r="C922" s="5" t="s">
        <v>9655</v>
      </c>
      <c r="D922">
        <f t="shared" si="56"/>
        <v>921</v>
      </c>
      <c r="E922" t="str">
        <f t="shared" si="57"/>
        <v>E6_2_1_5</v>
      </c>
      <c r="F922" s="11" t="s">
        <v>14310</v>
      </c>
      <c r="G922" s="11" t="s">
        <v>14913</v>
      </c>
      <c r="H922" s="11" t="s">
        <v>9124</v>
      </c>
      <c r="I922" s="11" t="s">
        <v>9323</v>
      </c>
      <c r="J922" s="12" t="str">
        <f t="shared" si="58"/>
        <v>(${Variables:E6_2_1_5_kcat} * E6_2_1_5 * C00002 * C00010 * C00042)/(${Variables:E6_2_1_5_km} + (E6_2_1_5 * C00002 * C00010 * C00042))</v>
      </c>
      <c r="K922" s="11" t="str">
        <f t="shared" si="59"/>
        <v>r921: C00002 + C00010 + C00042 -&gt; C00008 + C00009 + C00091 | (${Variables:E6_2_1_5_kcat} * E6_2_1_5 * C00002 * C00010 * C00042)/(${Variables:E6_2_1_5_km} + (E6_2_1_5 * C00002 * C00010 * C00042))</v>
      </c>
    </row>
    <row r="923" spans="1:11" ht="45" customHeight="1" x14ac:dyDescent="0.25">
      <c r="A923" t="s">
        <v>3586</v>
      </c>
      <c r="B923" t="s">
        <v>3587</v>
      </c>
      <c r="C923" s="5" t="s">
        <v>9655</v>
      </c>
      <c r="D923">
        <f t="shared" si="56"/>
        <v>922</v>
      </c>
      <c r="E923" t="str">
        <f t="shared" si="57"/>
        <v>E6_2_1_5</v>
      </c>
      <c r="F923" s="11" t="s">
        <v>14311</v>
      </c>
      <c r="G923" s="11" t="s">
        <v>14914</v>
      </c>
      <c r="H923" s="11" t="s">
        <v>9125</v>
      </c>
      <c r="I923" s="11" t="s">
        <v>9324</v>
      </c>
      <c r="J923" s="12" t="str">
        <f t="shared" si="58"/>
        <v>(${Variables:E6_2_1_5_kcat} * E6_2_1_5 * C00002 * C00010 * C00490)/(${Variables:E6_2_1_5_km} + (E6_2_1_5 * C00002 * C00010 * C00490))</v>
      </c>
      <c r="K923" s="11" t="str">
        <f t="shared" si="59"/>
        <v>r922: C00002 + C00010 + C00490 -&gt; C00008 + C00009 + C00531 | (${Variables:E6_2_1_5_kcat} * E6_2_1_5 * C00002 * C00010 * C00490)/(${Variables:E6_2_1_5_km} + (E6_2_1_5 * C00002 * C00010 * C00490))</v>
      </c>
    </row>
    <row r="924" spans="1:11" ht="45" customHeight="1" x14ac:dyDescent="0.25">
      <c r="A924" t="s">
        <v>3589</v>
      </c>
      <c r="B924" t="s">
        <v>3590</v>
      </c>
      <c r="C924" s="5" t="s">
        <v>9655</v>
      </c>
      <c r="D924">
        <f t="shared" si="56"/>
        <v>923</v>
      </c>
      <c r="E924" t="str">
        <f t="shared" si="57"/>
        <v>E6_2_1_5</v>
      </c>
      <c r="F924" s="11" t="s">
        <v>14310</v>
      </c>
      <c r="G924" s="11" t="s">
        <v>14913</v>
      </c>
      <c r="H924" s="11" t="s">
        <v>9124</v>
      </c>
      <c r="I924" s="11" t="s">
        <v>9323</v>
      </c>
      <c r="J924" s="12" t="str">
        <f t="shared" si="58"/>
        <v>(${Variables:E6_2_1_5_kcat} * E6_2_1_5 * C00002 * C00010 * C00042)/(${Variables:E6_2_1_5_km} + (E6_2_1_5 * C00002 * C00010 * C00042))</v>
      </c>
      <c r="K924" s="11" t="str">
        <f t="shared" si="59"/>
        <v>r923: C00002 + C00010 + C00042 -&gt; C00008 + C00009 + C00091 | (${Variables:E6_2_1_5_kcat} * E6_2_1_5 * C00002 * C00010 * C00042)/(${Variables:E6_2_1_5_km} + (E6_2_1_5 * C00002 * C00010 * C00042))</v>
      </c>
    </row>
    <row r="925" spans="1:11" ht="45" customHeight="1" x14ac:dyDescent="0.25">
      <c r="A925" t="s">
        <v>3589</v>
      </c>
      <c r="B925" t="s">
        <v>3590</v>
      </c>
      <c r="C925" s="5" t="s">
        <v>9655</v>
      </c>
      <c r="D925">
        <f t="shared" si="56"/>
        <v>924</v>
      </c>
      <c r="E925" t="str">
        <f t="shared" si="57"/>
        <v>E6_2_1_5</v>
      </c>
      <c r="F925" s="11" t="s">
        <v>14311</v>
      </c>
      <c r="G925" s="11" t="s">
        <v>14914</v>
      </c>
      <c r="H925" s="11" t="s">
        <v>9125</v>
      </c>
      <c r="I925" s="11" t="s">
        <v>9324</v>
      </c>
      <c r="J925" s="12" t="str">
        <f t="shared" si="58"/>
        <v>(${Variables:E6_2_1_5_kcat} * E6_2_1_5 * C00002 * C00010 * C00490)/(${Variables:E6_2_1_5_km} + (E6_2_1_5 * C00002 * C00010 * C00490))</v>
      </c>
      <c r="K925" s="11" t="str">
        <f t="shared" si="59"/>
        <v>r924: C00002 + C00010 + C00490 -&gt; C00008 + C00009 + C00531 | (${Variables:E6_2_1_5_kcat} * E6_2_1_5 * C00002 * C00010 * C00490)/(${Variables:E6_2_1_5_km} + (E6_2_1_5 * C00002 * C00010 * C00490))</v>
      </c>
    </row>
    <row r="926" spans="1:11" ht="45" customHeight="1" x14ac:dyDescent="0.25">
      <c r="A926" t="s">
        <v>3592</v>
      </c>
      <c r="B926" t="s">
        <v>3593</v>
      </c>
      <c r="C926" s="5" t="s">
        <v>9656</v>
      </c>
      <c r="D926">
        <f t="shared" si="56"/>
        <v>925</v>
      </c>
      <c r="E926" t="str">
        <f t="shared" si="57"/>
        <v>E2_4_1_25</v>
      </c>
      <c r="F926" s="11" t="s">
        <v>14312</v>
      </c>
      <c r="G926" s="11" t="s">
        <v>14915</v>
      </c>
      <c r="H926" s="11" t="s">
        <v>8573</v>
      </c>
      <c r="I926" s="11" t="s">
        <v>8573</v>
      </c>
      <c r="J926" s="12" t="str">
        <f t="shared" si="58"/>
        <v>(${Variables:E2_4_1_25_kcat} * E2_4_1_25 * C00031 * C00718)/(${Variables:E2_4_1_25_km} + (E2_4_1_25 * C00031 * C00718))</v>
      </c>
      <c r="K926" s="11" t="str">
        <f t="shared" si="59"/>
        <v>r925: C00031 + C00718 -&gt; C00208 | (${Variables:E2_4_1_25_kcat} * E2_4_1_25 * C00031 * C00718)/(${Variables:E2_4_1_25_km} + (E2_4_1_25 * C00031 * C00718))</v>
      </c>
    </row>
    <row r="927" spans="1:11" ht="45" customHeight="1" x14ac:dyDescent="0.25">
      <c r="A927" t="s">
        <v>3592</v>
      </c>
      <c r="B927" t="s">
        <v>3593</v>
      </c>
      <c r="C927" s="5" t="s">
        <v>9656</v>
      </c>
      <c r="D927">
        <f t="shared" si="56"/>
        <v>926</v>
      </c>
      <c r="E927" t="str">
        <f t="shared" si="57"/>
        <v>E2_4_1_25</v>
      </c>
      <c r="F927" s="11" t="s">
        <v>14313</v>
      </c>
      <c r="G927" s="11" t="s">
        <v>14916</v>
      </c>
      <c r="H927" s="11" t="s">
        <v>13474</v>
      </c>
      <c r="I927" s="11" t="s">
        <v>13474</v>
      </c>
      <c r="J927" s="12" t="str">
        <f t="shared" si="58"/>
        <v>(${Variables:E2_4_1_25_kcat} * E2_4_1_25 * C00031 * G10495)/(${Variables:E2_4_1_25_km} + (E2_4_1_25 * C00031 * G10495))</v>
      </c>
      <c r="K927" s="11" t="str">
        <f t="shared" si="59"/>
        <v>r926: C00031 + G10495 -&gt; G00275 | (${Variables:E2_4_1_25_kcat} * E2_4_1_25 * C00031 * G10495)/(${Variables:E2_4_1_25_km} + (E2_4_1_25 * C00031 * G10495))</v>
      </c>
    </row>
    <row r="928" spans="1:11" ht="45" customHeight="1" x14ac:dyDescent="0.25">
      <c r="A928" t="s">
        <v>3595</v>
      </c>
      <c r="B928" t="s">
        <v>3596</v>
      </c>
      <c r="C928" s="5" t="s">
        <v>9657</v>
      </c>
      <c r="D928">
        <f t="shared" si="56"/>
        <v>927</v>
      </c>
      <c r="E928" t="str">
        <f t="shared" si="57"/>
        <v>E1_1_1_157</v>
      </c>
      <c r="F928" s="11" t="s">
        <v>14314</v>
      </c>
      <c r="G928" s="11" t="s">
        <v>14917</v>
      </c>
      <c r="H928" s="11" t="s">
        <v>15523</v>
      </c>
      <c r="I928" s="11" t="s">
        <v>16144</v>
      </c>
      <c r="J928" s="12" t="str">
        <f t="shared" si="58"/>
        <v>(${Variables:E1_1_1_157_kcat} * E1_1_1_157 * C00006 * C01144)/(${Variables:E1_1_1_157_km} + (E1_1_1_157 * C00006 * C01144))</v>
      </c>
      <c r="K928" s="11" t="str">
        <f t="shared" si="59"/>
        <v>r927: C00006 + C01144 -&gt; C00005 + C00080 + C00332 | (${Variables:E1_1_1_157_kcat} * E1_1_1_157 * C00006 * C01144)/(${Variables:E1_1_1_157_km} + (E1_1_1_157 * C00006 * C01144))</v>
      </c>
    </row>
    <row r="929" spans="1:11" ht="45" customHeight="1" x14ac:dyDescent="0.25">
      <c r="A929" t="s">
        <v>3595</v>
      </c>
      <c r="B929" t="s">
        <v>3596</v>
      </c>
      <c r="C929" s="5" t="s">
        <v>9657</v>
      </c>
      <c r="D929">
        <f t="shared" si="56"/>
        <v>928</v>
      </c>
      <c r="E929" t="str">
        <f t="shared" si="57"/>
        <v>E1_1_1_157</v>
      </c>
      <c r="F929" s="11" t="s">
        <v>14315</v>
      </c>
      <c r="G929" s="11" t="s">
        <v>14918</v>
      </c>
      <c r="H929" s="11" t="s">
        <v>15523</v>
      </c>
      <c r="I929" s="11" t="s">
        <v>16144</v>
      </c>
      <c r="J929" s="12" t="str">
        <f t="shared" si="58"/>
        <v>(${Variables:E1_1_1_157_kcat} * E1_1_1_157 * C00006 * C05116)/(${Variables:E1_1_1_157_km} + (E1_1_1_157 * C00006 * C05116))</v>
      </c>
      <c r="K929" s="11" t="str">
        <f t="shared" si="59"/>
        <v>r928: C00006 + C05116 -&gt; C00005 + C00080 + C00332 | (${Variables:E1_1_1_157_kcat} * E1_1_1_157 * C00006 * C05116)/(${Variables:E1_1_1_157_km} + (E1_1_1_157 * C00006 * C05116))</v>
      </c>
    </row>
    <row r="930" spans="1:11" ht="45" customHeight="1" x14ac:dyDescent="0.25">
      <c r="A930" t="s">
        <v>3595</v>
      </c>
      <c r="B930" t="s">
        <v>3596</v>
      </c>
      <c r="C930" s="5" t="s">
        <v>9657</v>
      </c>
      <c r="D930">
        <f t="shared" si="56"/>
        <v>929</v>
      </c>
      <c r="E930" t="str">
        <f t="shared" si="57"/>
        <v>E1_1_1_157</v>
      </c>
      <c r="F930" s="11" t="s">
        <v>14151</v>
      </c>
      <c r="G930" s="11" t="s">
        <v>14754</v>
      </c>
      <c r="H930" s="11" t="s">
        <v>15352</v>
      </c>
      <c r="I930" s="11" t="s">
        <v>15973</v>
      </c>
      <c r="J930" s="12" t="str">
        <f t="shared" si="58"/>
        <v>(${Variables:E1_1_1_157_kcat} * E1_1_1_157 * C00003 * C14145)/(${Variables:E1_1_1_157_km} + (E1_1_1_157 * C00003 * C14145))</v>
      </c>
      <c r="K930" s="11" t="str">
        <f t="shared" si="59"/>
        <v>r929: C00003 + C14145 -&gt; C00004 + C00080 + C02232 | (${Variables:E1_1_1_157_kcat} * E1_1_1_157 * C00003 * C14145)/(${Variables:E1_1_1_157_km} + (E1_1_1_157 * C00003 * C14145))</v>
      </c>
    </row>
    <row r="931" spans="1:11" ht="45" customHeight="1" x14ac:dyDescent="0.25">
      <c r="A931" t="s">
        <v>3658</v>
      </c>
      <c r="B931" t="s">
        <v>3659</v>
      </c>
      <c r="C931" s="5" t="s">
        <v>9658</v>
      </c>
      <c r="D931">
        <f t="shared" si="56"/>
        <v>930</v>
      </c>
      <c r="E931" t="str">
        <f t="shared" si="57"/>
        <v>E5_3_1_23</v>
      </c>
      <c r="F931" s="11" t="s">
        <v>8308</v>
      </c>
      <c r="G931" s="11" t="s">
        <v>8308</v>
      </c>
      <c r="H931" s="11" t="s">
        <v>8574</v>
      </c>
      <c r="I931" s="11" t="s">
        <v>8574</v>
      </c>
      <c r="J931" s="12" t="str">
        <f t="shared" si="58"/>
        <v>(${Variables:E5_3_1_23_kcat} * E5_3_1_23 * C04188)/(${Variables:E5_3_1_23_km} + (E5_3_1_23 * C04188))</v>
      </c>
      <c r="K931" s="11" t="str">
        <f t="shared" si="59"/>
        <v>r930: C04188 -&gt; C04582 | (${Variables:E5_3_1_23_kcat} * E5_3_1_23 * C04188)/(${Variables:E5_3_1_23_km} + (E5_3_1_23 * C04188))</v>
      </c>
    </row>
    <row r="932" spans="1:11" ht="45" customHeight="1" x14ac:dyDescent="0.25">
      <c r="A932" t="s">
        <v>3665</v>
      </c>
      <c r="B932" t="s">
        <v>3666</v>
      </c>
      <c r="C932" s="5" t="s">
        <v>9659</v>
      </c>
      <c r="D932">
        <f t="shared" si="56"/>
        <v>931</v>
      </c>
      <c r="E932" t="str">
        <f t="shared" si="57"/>
        <v>E1_1_1_103</v>
      </c>
      <c r="F932" s="11" t="s">
        <v>14316</v>
      </c>
      <c r="G932" s="11" t="s">
        <v>14919</v>
      </c>
      <c r="H932" s="11" t="s">
        <v>15524</v>
      </c>
      <c r="I932" s="11" t="s">
        <v>16145</v>
      </c>
      <c r="J932" s="12" t="str">
        <f t="shared" si="58"/>
        <v>(${Variables:E1_1_1_103_kcat} * E1_1_1_103 * C00003 * C00188)/(${Variables:E1_1_1_103_km} + (E1_1_1_103 * C00003 * C00188))</v>
      </c>
      <c r="K932" s="11" t="str">
        <f t="shared" si="59"/>
        <v>r931: C00003 + C00188 -&gt; C00004 + C00080 + C03508 | (${Variables:E1_1_1_103_kcat} * E1_1_1_103 * C00003 * C00188)/(${Variables:E1_1_1_103_km} + (E1_1_1_103 * C00003 * C00188))</v>
      </c>
    </row>
    <row r="933" spans="1:11" ht="45" customHeight="1" x14ac:dyDescent="0.25">
      <c r="B933" t="s">
        <v>3671</v>
      </c>
      <c r="C933" s="5" t="s">
        <v>9660</v>
      </c>
      <c r="D933">
        <f t="shared" si="56"/>
        <v>932</v>
      </c>
      <c r="E933" t="str">
        <f t="shared" si="57"/>
        <v>E3_6_1_7</v>
      </c>
      <c r="F933" s="11" t="s">
        <v>14317</v>
      </c>
      <c r="G933" s="11" t="s">
        <v>14920</v>
      </c>
      <c r="H933" s="11" t="s">
        <v>15525</v>
      </c>
      <c r="I933" s="11" t="s">
        <v>16146</v>
      </c>
      <c r="J933" s="12" t="str">
        <f t="shared" si="58"/>
        <v>(${Variables:E3_6_1_7_kcat} * E3_6_1_7 * C00001 * C02133)/(${Variables:E3_6_1_7_km} + (E3_6_1_7 * C00001 * C02133))</v>
      </c>
      <c r="K933" s="11" t="str">
        <f t="shared" si="59"/>
        <v>r932: C00001 + C02133 -&gt; C00009 + C00060 | (${Variables:E3_6_1_7_kcat} * E3_6_1_7 * C00001 * C02133)/(${Variables:E3_6_1_7_km} + (E3_6_1_7 * C00001 * C02133))</v>
      </c>
    </row>
    <row r="934" spans="1:11" ht="45" customHeight="1" x14ac:dyDescent="0.25">
      <c r="B934" t="s">
        <v>3671</v>
      </c>
      <c r="C934" s="5" t="s">
        <v>9660</v>
      </c>
      <c r="D934">
        <f t="shared" si="56"/>
        <v>933</v>
      </c>
      <c r="E934" t="str">
        <f t="shared" si="57"/>
        <v>E3_6_1_7</v>
      </c>
      <c r="F934" s="11" t="s">
        <v>14318</v>
      </c>
      <c r="G934" s="11" t="s">
        <v>14921</v>
      </c>
      <c r="H934" s="11" t="s">
        <v>15526</v>
      </c>
      <c r="I934" s="11" t="s">
        <v>16147</v>
      </c>
      <c r="J934" s="12" t="str">
        <f t="shared" si="58"/>
        <v>(${Variables:E3_6_1_7_kcat} * E3_6_1_7 * C00001 * C00227)/(${Variables:E3_6_1_7_km} + (E3_6_1_7 * C00001 * C00227))</v>
      </c>
      <c r="K934" s="11" t="str">
        <f t="shared" si="59"/>
        <v>r933: C00001 + C00227 -&gt; C00009 + C00033 | (${Variables:E3_6_1_7_kcat} * E3_6_1_7 * C00001 * C00227)/(${Variables:E3_6_1_7_km} + (E3_6_1_7 * C00001 * C00227))</v>
      </c>
    </row>
    <row r="935" spans="1:11" ht="45" customHeight="1" x14ac:dyDescent="0.25">
      <c r="B935" t="s">
        <v>3671</v>
      </c>
      <c r="C935" s="5" t="s">
        <v>9660</v>
      </c>
      <c r="D935">
        <f t="shared" si="56"/>
        <v>934</v>
      </c>
      <c r="E935" t="str">
        <f t="shared" si="57"/>
        <v>E3_6_1_7</v>
      </c>
      <c r="F935" s="11" t="s">
        <v>14319</v>
      </c>
      <c r="G935" s="11" t="s">
        <v>14922</v>
      </c>
      <c r="H935" s="11" t="s">
        <v>15527</v>
      </c>
      <c r="I935" s="11" t="s">
        <v>16148</v>
      </c>
      <c r="J935" s="12" t="str">
        <f t="shared" si="58"/>
        <v>(${Variables:E3_6_1_7_kcat} * E3_6_1_7 * C00001 * C06206)/(${Variables:E3_6_1_7_km} + (E3_6_1_7 * C00001 * C06206))</v>
      </c>
      <c r="K935" s="11" t="str">
        <f t="shared" si="59"/>
        <v>r934: C00001 + C06206 -&gt; C00009 + C00180 | (${Variables:E3_6_1_7_kcat} * E3_6_1_7 * C00001 * C06206)/(${Variables:E3_6_1_7_km} + (E3_6_1_7 * C00001 * C06206))</v>
      </c>
    </row>
    <row r="936" spans="1:11" ht="45" customHeight="1" x14ac:dyDescent="0.25">
      <c r="A936" t="s">
        <v>3670</v>
      </c>
      <c r="B936" t="s">
        <v>3671</v>
      </c>
      <c r="C936" s="5" t="s">
        <v>9660</v>
      </c>
      <c r="D936">
        <f t="shared" si="56"/>
        <v>935</v>
      </c>
      <c r="E936" t="str">
        <f t="shared" si="57"/>
        <v>E3_6_1_7</v>
      </c>
      <c r="F936" s="11" t="s">
        <v>14320</v>
      </c>
      <c r="G936" s="11" t="s">
        <v>14923</v>
      </c>
      <c r="H936" s="11" t="s">
        <v>15528</v>
      </c>
      <c r="I936" s="11" t="s">
        <v>16149</v>
      </c>
      <c r="J936" s="12" t="str">
        <f t="shared" si="58"/>
        <v>(${Variables:E3_6_1_7_kcat} * E3_6_1_7 * C00001 * C00236)/(${Variables:E3_6_1_7_km} + (E3_6_1_7 * C00001 * C00236))</v>
      </c>
      <c r="K936" s="11" t="str">
        <f t="shared" si="59"/>
        <v>r935: C00001 + C00236 -&gt; C00009 + C00197 | (${Variables:E3_6_1_7_kcat} * E3_6_1_7 * C00001 * C00236)/(${Variables:E3_6_1_7_km} + (E3_6_1_7 * C00001 * C00236))</v>
      </c>
    </row>
    <row r="937" spans="1:11" ht="45" customHeight="1" x14ac:dyDescent="0.25">
      <c r="B937" t="s">
        <v>3683</v>
      </c>
      <c r="C937" s="5" t="s">
        <v>9504</v>
      </c>
      <c r="D937">
        <f t="shared" si="56"/>
        <v>936</v>
      </c>
      <c r="E937" t="str">
        <f t="shared" si="57"/>
        <v>E2_4_2_1</v>
      </c>
      <c r="F937" s="11" t="s">
        <v>14091</v>
      </c>
      <c r="G937" s="11" t="s">
        <v>14694</v>
      </c>
      <c r="H937" s="11" t="s">
        <v>15300</v>
      </c>
      <c r="I937" s="11" t="s">
        <v>15921</v>
      </c>
      <c r="J937" s="12" t="str">
        <f t="shared" si="58"/>
        <v>(${Variables:E2_4_2_1_kcat} * E2_4_2_1 * C00009 * C15586)/(${Variables:E2_4_2_1_km} + (E2_4_2_1 * C00009 * C15586))</v>
      </c>
      <c r="K937" s="11" t="str">
        <f t="shared" si="59"/>
        <v>r936: C00009 + C15586 -&gt; C00620 + C15587 | (${Variables:E2_4_2_1_kcat} * E2_4_2_1 * C00009 * C15586)/(${Variables:E2_4_2_1_km} + (E2_4_2_1 * C00009 * C15586))</v>
      </c>
    </row>
    <row r="938" spans="1:11" ht="45" customHeight="1" x14ac:dyDescent="0.25">
      <c r="B938" t="s">
        <v>3683</v>
      </c>
      <c r="C938" s="5" t="s">
        <v>9504</v>
      </c>
      <c r="D938">
        <f t="shared" si="56"/>
        <v>937</v>
      </c>
      <c r="E938" t="str">
        <f t="shared" si="57"/>
        <v>E2_4_2_1</v>
      </c>
      <c r="F938" s="11" t="s">
        <v>14092</v>
      </c>
      <c r="G938" s="11" t="s">
        <v>14695</v>
      </c>
      <c r="H938" s="11" t="s">
        <v>9058</v>
      </c>
      <c r="I938" s="11" t="s">
        <v>9257</v>
      </c>
      <c r="J938" s="12" t="str">
        <f t="shared" si="58"/>
        <v>(${Variables:E2_4_2_1_kcat} * E2_4_2_1 * C00009 * C00212)/(${Variables:E2_4_2_1_km} + (E2_4_2_1 * C00009 * C00212))</v>
      </c>
      <c r="K938" s="11" t="str">
        <f t="shared" si="59"/>
        <v>r937: C00009 + C00212 -&gt; C00147 + C00620 | (${Variables:E2_4_2_1_kcat} * E2_4_2_1 * C00009 * C00212)/(${Variables:E2_4_2_1_km} + (E2_4_2_1 * C00009 * C00212))</v>
      </c>
    </row>
    <row r="939" spans="1:11" ht="45" customHeight="1" x14ac:dyDescent="0.25">
      <c r="B939" t="s">
        <v>3683</v>
      </c>
      <c r="C939" s="5" t="s">
        <v>9504</v>
      </c>
      <c r="D939">
        <f t="shared" si="56"/>
        <v>938</v>
      </c>
      <c r="E939" t="str">
        <f t="shared" si="57"/>
        <v>E2_4_2_1</v>
      </c>
      <c r="F939" s="11" t="s">
        <v>14093</v>
      </c>
      <c r="G939" s="11" t="s">
        <v>14696</v>
      </c>
      <c r="H939" s="11" t="s">
        <v>9059</v>
      </c>
      <c r="I939" s="11" t="s">
        <v>9258</v>
      </c>
      <c r="J939" s="12" t="str">
        <f t="shared" si="58"/>
        <v>(${Variables:E2_4_2_1_kcat} * E2_4_2_1 * C00009 * C00294)/(${Variables:E2_4_2_1_km} + (E2_4_2_1 * C00009 * C00294))</v>
      </c>
      <c r="K939" s="11" t="str">
        <f t="shared" si="59"/>
        <v>r938: C00009 + C00294 -&gt; C00262 + C00620 | (${Variables:E2_4_2_1_kcat} * E2_4_2_1 * C00009 * C00294)/(${Variables:E2_4_2_1_km} + (E2_4_2_1 * C00009 * C00294))</v>
      </c>
    </row>
    <row r="940" spans="1:11" ht="45" customHeight="1" x14ac:dyDescent="0.25">
      <c r="B940" t="s">
        <v>3683</v>
      </c>
      <c r="C940" s="5" t="s">
        <v>9504</v>
      </c>
      <c r="D940">
        <f t="shared" si="56"/>
        <v>939</v>
      </c>
      <c r="E940" t="str">
        <f t="shared" si="57"/>
        <v>E2_4_2_1</v>
      </c>
      <c r="F940" s="11" t="s">
        <v>14094</v>
      </c>
      <c r="G940" s="11" t="s">
        <v>14697</v>
      </c>
      <c r="H940" s="11" t="s">
        <v>9060</v>
      </c>
      <c r="I940" s="11" t="s">
        <v>9259</v>
      </c>
      <c r="J940" s="12" t="str">
        <f t="shared" si="58"/>
        <v>(${Variables:E2_4_2_1_kcat} * E2_4_2_1 * C00009 * C00387)/(${Variables:E2_4_2_1_km} + (E2_4_2_1 * C00009 * C00387))</v>
      </c>
      <c r="K940" s="11" t="str">
        <f t="shared" si="59"/>
        <v>r939: C00009 + C00387 -&gt; C00242 + C00620 | (${Variables:E2_4_2_1_kcat} * E2_4_2_1 * C00009 * C00387)/(${Variables:E2_4_2_1_km} + (E2_4_2_1 * C00009 * C00387))</v>
      </c>
    </row>
    <row r="941" spans="1:11" ht="45" customHeight="1" x14ac:dyDescent="0.25">
      <c r="B941" t="s">
        <v>3683</v>
      </c>
      <c r="C941" s="5" t="s">
        <v>9504</v>
      </c>
      <c r="D941">
        <f t="shared" si="56"/>
        <v>940</v>
      </c>
      <c r="E941" t="str">
        <f t="shared" si="57"/>
        <v>E2_4_2_1</v>
      </c>
      <c r="F941" s="11" t="s">
        <v>14095</v>
      </c>
      <c r="G941" s="11" t="s">
        <v>14698</v>
      </c>
      <c r="H941" s="11" t="s">
        <v>9061</v>
      </c>
      <c r="I941" s="11" t="s">
        <v>9260</v>
      </c>
      <c r="J941" s="12" t="str">
        <f t="shared" si="58"/>
        <v>(${Variables:E2_4_2_1_kcat} * E2_4_2_1 * C00009 * C01762)/(${Variables:E2_4_2_1_km} + (E2_4_2_1 * C00009 * C01762))</v>
      </c>
      <c r="K941" s="11" t="str">
        <f t="shared" si="59"/>
        <v>r940: C00009 + C01762 -&gt; C00385 + C00620 | (${Variables:E2_4_2_1_kcat} * E2_4_2_1 * C00009 * C01762)/(${Variables:E2_4_2_1_km} + (E2_4_2_1 * C00009 * C01762))</v>
      </c>
    </row>
    <row r="942" spans="1:11" ht="45" customHeight="1" x14ac:dyDescent="0.25">
      <c r="B942" t="s">
        <v>3683</v>
      </c>
      <c r="C942" s="5" t="s">
        <v>9504</v>
      </c>
      <c r="D942">
        <f t="shared" si="56"/>
        <v>941</v>
      </c>
      <c r="E942" t="str">
        <f t="shared" si="57"/>
        <v>E2_4_2_1</v>
      </c>
      <c r="F942" s="11" t="s">
        <v>14096</v>
      </c>
      <c r="G942" s="11" t="s">
        <v>14699</v>
      </c>
      <c r="H942" s="11" t="s">
        <v>15301</v>
      </c>
      <c r="I942" s="11" t="s">
        <v>15922</v>
      </c>
      <c r="J942" s="12" t="str">
        <f t="shared" si="58"/>
        <v>(${Variables:E2_4_2_1_kcat} * E2_4_2_1 * C00009 * C20463)/(${Variables:E2_4_2_1_km} + (E2_4_2_1 * C00009 * C20463))</v>
      </c>
      <c r="K942" s="11" t="str">
        <f t="shared" si="59"/>
        <v>r941: C00009 + C20463 -&gt; C00672 + C15587 | (${Variables:E2_4_2_1_kcat} * E2_4_2_1 * C00009 * C20463)/(${Variables:E2_4_2_1_km} + (E2_4_2_1 * C00009 * C20463))</v>
      </c>
    </row>
    <row r="943" spans="1:11" ht="45" customHeight="1" x14ac:dyDescent="0.25">
      <c r="B943" t="s">
        <v>3683</v>
      </c>
      <c r="C943" s="5" t="s">
        <v>9504</v>
      </c>
      <c r="D943">
        <f t="shared" si="56"/>
        <v>942</v>
      </c>
      <c r="E943" t="str">
        <f t="shared" si="57"/>
        <v>E2_4_2_1</v>
      </c>
      <c r="F943" s="11" t="s">
        <v>14097</v>
      </c>
      <c r="G943" s="11" t="s">
        <v>14700</v>
      </c>
      <c r="H943" s="11" t="s">
        <v>9062</v>
      </c>
      <c r="I943" s="11" t="s">
        <v>9261</v>
      </c>
      <c r="J943" s="12" t="str">
        <f t="shared" si="58"/>
        <v>(${Variables:E2_4_2_1_kcat} * E2_4_2_1 * C00009 * C00330)/(${Variables:E2_4_2_1_km} + (E2_4_2_1 * C00009 * C00330))</v>
      </c>
      <c r="K943" s="11" t="str">
        <f t="shared" si="59"/>
        <v>r942: C00009 + C00330 -&gt; C00242 + C00672 | (${Variables:E2_4_2_1_kcat} * E2_4_2_1 * C00009 * C00330)/(${Variables:E2_4_2_1_km} + (E2_4_2_1 * C00009 * C00330))</v>
      </c>
    </row>
    <row r="944" spans="1:11" ht="45" customHeight="1" x14ac:dyDescent="0.25">
      <c r="B944" t="s">
        <v>3683</v>
      </c>
      <c r="C944" s="5" t="s">
        <v>9504</v>
      </c>
      <c r="D944">
        <f t="shared" si="56"/>
        <v>943</v>
      </c>
      <c r="E944" t="str">
        <f t="shared" si="57"/>
        <v>E2_4_2_1</v>
      </c>
      <c r="F944" s="11" t="s">
        <v>14098</v>
      </c>
      <c r="G944" s="11" t="s">
        <v>14701</v>
      </c>
      <c r="H944" s="11" t="s">
        <v>9063</v>
      </c>
      <c r="I944" s="11" t="s">
        <v>9262</v>
      </c>
      <c r="J944" s="12" t="str">
        <f t="shared" si="58"/>
        <v>(${Variables:E2_4_2_1_kcat} * E2_4_2_1 * C00009 * C00559)/(${Variables:E2_4_2_1_km} + (E2_4_2_1 * C00009 * C00559))</v>
      </c>
      <c r="K944" s="11" t="str">
        <f t="shared" si="59"/>
        <v>r943: C00009 + C00559 -&gt; C00147 + C00672 | (${Variables:E2_4_2_1_kcat} * E2_4_2_1 * C00009 * C00559)/(${Variables:E2_4_2_1_km} + (E2_4_2_1 * C00009 * C00559))</v>
      </c>
    </row>
    <row r="945" spans="1:11" ht="45" customHeight="1" x14ac:dyDescent="0.25">
      <c r="B945" t="s">
        <v>3683</v>
      </c>
      <c r="C945" s="5" t="s">
        <v>9504</v>
      </c>
      <c r="D945">
        <f t="shared" si="56"/>
        <v>944</v>
      </c>
      <c r="E945" t="str">
        <f t="shared" si="57"/>
        <v>E2_4_2_1</v>
      </c>
      <c r="F945" s="11" t="s">
        <v>14099</v>
      </c>
      <c r="G945" s="11" t="s">
        <v>14702</v>
      </c>
      <c r="H945" s="11" t="s">
        <v>9064</v>
      </c>
      <c r="I945" s="11" t="s">
        <v>9263</v>
      </c>
      <c r="J945" s="12" t="str">
        <f t="shared" si="58"/>
        <v>(${Variables:E2_4_2_1_kcat} * E2_4_2_1 * C00009 * C05512)/(${Variables:E2_4_2_1_km} + (E2_4_2_1 * C00009 * C05512))</v>
      </c>
      <c r="K945" s="11" t="str">
        <f t="shared" si="59"/>
        <v>r944: C00009 + C05512 -&gt; C00262 + C00672 | (${Variables:E2_4_2_1_kcat} * E2_4_2_1 * C00009 * C05512)/(${Variables:E2_4_2_1_km} + (E2_4_2_1 * C00009 * C05512))</v>
      </c>
    </row>
    <row r="946" spans="1:11" ht="45" customHeight="1" x14ac:dyDescent="0.25">
      <c r="B946" t="s">
        <v>3683</v>
      </c>
      <c r="C946" s="5" t="s">
        <v>9504</v>
      </c>
      <c r="D946">
        <f t="shared" si="56"/>
        <v>945</v>
      </c>
      <c r="E946" t="str">
        <f t="shared" si="57"/>
        <v>E2_4_2_1</v>
      </c>
      <c r="F946" s="11" t="s">
        <v>14100</v>
      </c>
      <c r="G946" s="11" t="s">
        <v>14703</v>
      </c>
      <c r="H946" s="11" t="s">
        <v>9065</v>
      </c>
      <c r="I946" s="11" t="s">
        <v>9264</v>
      </c>
      <c r="J946" s="12" t="str">
        <f t="shared" si="58"/>
        <v>(${Variables:E2_4_2_1_kcat} * E2_4_2_1 * C00009 * C03150)/(${Variables:E2_4_2_1_km} + (E2_4_2_1 * C00009 * C03150))</v>
      </c>
      <c r="K946" s="11" t="str">
        <f t="shared" si="59"/>
        <v>r945: C00009 + C03150 -&gt; C00153 + C00620 | (${Variables:E2_4_2_1_kcat} * E2_4_2_1 * C00009 * C03150)/(${Variables:E2_4_2_1_km} + (E2_4_2_1 * C00009 * C03150))</v>
      </c>
    </row>
    <row r="947" spans="1:11" ht="45" customHeight="1" x14ac:dyDescent="0.25">
      <c r="A947" t="s">
        <v>3682</v>
      </c>
      <c r="B947" t="s">
        <v>3683</v>
      </c>
      <c r="C947" s="5" t="s">
        <v>9504</v>
      </c>
      <c r="D947">
        <f t="shared" si="56"/>
        <v>946</v>
      </c>
      <c r="E947" t="str">
        <f t="shared" si="57"/>
        <v>E2_4_2_1</v>
      </c>
      <c r="F947" s="11" t="s">
        <v>14101</v>
      </c>
      <c r="G947" s="11" t="s">
        <v>14704</v>
      </c>
      <c r="H947" s="11" t="s">
        <v>15302</v>
      </c>
      <c r="I947" s="11" t="s">
        <v>15923</v>
      </c>
      <c r="J947" s="12" t="str">
        <f t="shared" si="58"/>
        <v>(${Variables:E2_4_2_1_kcat} * E2_4_2_1 * C00009 * C05841)/(${Variables:E2_4_2_1_km} + (E2_4_2_1 * C00009 * C05841))</v>
      </c>
      <c r="K947" s="11" t="str">
        <f t="shared" si="59"/>
        <v>r946: C00009 + C05841 -&gt; C00080 + C00253 + C00620 | (${Variables:E2_4_2_1_kcat} * E2_4_2_1 * C00009 * C05841)/(${Variables:E2_4_2_1_km} + (E2_4_2_1 * C00009 * C05841))</v>
      </c>
    </row>
    <row r="948" spans="1:11" ht="45" customHeight="1" x14ac:dyDescent="0.25">
      <c r="A948" t="s">
        <v>3695</v>
      </c>
      <c r="B948" t="s">
        <v>3696</v>
      </c>
      <c r="C948" s="5" t="s">
        <v>9537</v>
      </c>
      <c r="D948">
        <f t="shared" si="56"/>
        <v>947</v>
      </c>
      <c r="E948" t="str">
        <f t="shared" si="57"/>
        <v>E2_3_1_9</v>
      </c>
      <c r="F948" s="11" t="s">
        <v>8227</v>
      </c>
      <c r="G948" s="11" t="s">
        <v>8227</v>
      </c>
      <c r="H948" s="11" t="s">
        <v>9075</v>
      </c>
      <c r="I948" s="11" t="s">
        <v>9274</v>
      </c>
      <c r="J948" s="12" t="str">
        <f t="shared" si="58"/>
        <v>(${Variables:E2_3_1_9_kcat} * E2_3_1_9 * C00024)/(${Variables:E2_3_1_9_km} + (E2_3_1_9 * C00024))</v>
      </c>
      <c r="K948" s="11" t="str">
        <f t="shared" si="59"/>
        <v>r947: C00024 -&gt; C00010 + C00332 | (${Variables:E2_3_1_9_kcat} * E2_3_1_9 * C00024)/(${Variables:E2_3_1_9_km} + (E2_3_1_9 * C00024))</v>
      </c>
    </row>
    <row r="949" spans="1:11" ht="45" customHeight="1" x14ac:dyDescent="0.25">
      <c r="A949" t="s">
        <v>3695</v>
      </c>
      <c r="B949" t="s">
        <v>3696</v>
      </c>
      <c r="C949" s="5" t="s">
        <v>9537</v>
      </c>
      <c r="D949">
        <f t="shared" si="56"/>
        <v>948</v>
      </c>
      <c r="E949" t="str">
        <f t="shared" si="57"/>
        <v>E2_3_1_9</v>
      </c>
      <c r="F949" s="11" t="s">
        <v>14141</v>
      </c>
      <c r="G949" s="11" t="s">
        <v>14744</v>
      </c>
      <c r="H949" s="11" t="s">
        <v>9076</v>
      </c>
      <c r="I949" s="11" t="s">
        <v>9275</v>
      </c>
      <c r="J949" s="12" t="str">
        <f t="shared" si="58"/>
        <v>(${Variables:E2_3_1_9_kcat} * E2_3_1_9 * C00024 * C00100)/(${Variables:E2_3_1_9_km} + (E2_3_1_9 * C00024 * C00100))</v>
      </c>
      <c r="K949" s="11" t="str">
        <f t="shared" si="59"/>
        <v>r948: C00024 + C00100 -&gt; C00010 + C03344 | (${Variables:E2_3_1_9_kcat} * E2_3_1_9 * C00024 * C00100)/(${Variables:E2_3_1_9_km} + (E2_3_1_9 * C00024 * C00100))</v>
      </c>
    </row>
    <row r="950" spans="1:11" ht="45" customHeight="1" x14ac:dyDescent="0.25">
      <c r="A950" t="s">
        <v>3695</v>
      </c>
      <c r="B950" t="s">
        <v>3696</v>
      </c>
      <c r="C950" s="5" t="s">
        <v>9537</v>
      </c>
      <c r="D950">
        <f t="shared" si="56"/>
        <v>949</v>
      </c>
      <c r="E950" t="str">
        <f t="shared" si="57"/>
        <v>E2_3_1_9</v>
      </c>
      <c r="F950" s="11" t="s">
        <v>8716</v>
      </c>
      <c r="G950" s="11" t="s">
        <v>8882</v>
      </c>
      <c r="H950" s="11" t="s">
        <v>9077</v>
      </c>
      <c r="I950" s="11" t="s">
        <v>9276</v>
      </c>
      <c r="J950" s="12" t="str">
        <f t="shared" si="58"/>
        <v>(${Variables:E2_3_1_9_kcat} * E2_3_1_9 * C00024 * C00136)/(${Variables:E2_3_1_9_km} + (E2_3_1_9 * C00024 * C00136))</v>
      </c>
      <c r="K950" s="11" t="str">
        <f t="shared" si="59"/>
        <v>r949: C00024 + C00136 -&gt; C00010 + C05269 | (${Variables:E2_3_1_9_kcat} * E2_3_1_9 * C00024 * C00136)/(${Variables:E2_3_1_9_km} + (E2_3_1_9 * C00024 * C00136))</v>
      </c>
    </row>
    <row r="951" spans="1:11" ht="45" customHeight="1" x14ac:dyDescent="0.25">
      <c r="A951" t="s">
        <v>3729</v>
      </c>
      <c r="B951" t="s">
        <v>3730</v>
      </c>
      <c r="C951" s="5" t="s">
        <v>9661</v>
      </c>
      <c r="D951">
        <f t="shared" si="56"/>
        <v>950</v>
      </c>
      <c r="E951" t="str">
        <f t="shared" si="57"/>
        <v>E4_2_1_33</v>
      </c>
      <c r="F951" s="11" t="s">
        <v>8309</v>
      </c>
      <c r="G951" s="11" t="s">
        <v>8309</v>
      </c>
      <c r="H951" s="11" t="s">
        <v>15529</v>
      </c>
      <c r="I951" s="11" t="s">
        <v>16150</v>
      </c>
      <c r="J951" s="12" t="str">
        <f t="shared" si="58"/>
        <v>(${Variables:E4_2_1_33_kcat} * E4_2_1_33 * C02504)/(${Variables:E4_2_1_33_km} + (E4_2_1_33 * C02504))</v>
      </c>
      <c r="K951" s="11" t="str">
        <f t="shared" si="59"/>
        <v>r950: C02504 -&gt; C00001 + C02631 | (${Variables:E4_2_1_33_kcat} * E4_2_1_33 * C02504)/(${Variables:E4_2_1_33_km} + (E4_2_1_33 * C02504))</v>
      </c>
    </row>
    <row r="952" spans="1:11" ht="45" customHeight="1" x14ac:dyDescent="0.25">
      <c r="A952" t="s">
        <v>3729</v>
      </c>
      <c r="B952" t="s">
        <v>3730</v>
      </c>
      <c r="C952" s="5" t="s">
        <v>9661</v>
      </c>
      <c r="D952">
        <f t="shared" si="56"/>
        <v>951</v>
      </c>
      <c r="E952" t="str">
        <f t="shared" si="57"/>
        <v>E4_2_1_33</v>
      </c>
      <c r="F952" s="11" t="s">
        <v>8310</v>
      </c>
      <c r="G952" s="11" t="s">
        <v>8310</v>
      </c>
      <c r="H952" s="11" t="s">
        <v>15529</v>
      </c>
      <c r="I952" s="11" t="s">
        <v>16150</v>
      </c>
      <c r="J952" s="12" t="str">
        <f t="shared" si="58"/>
        <v>(${Variables:E4_2_1_33_kcat} * E4_2_1_33 * C04411)/(${Variables:E4_2_1_33_km} + (E4_2_1_33 * C04411))</v>
      </c>
      <c r="K952" s="11" t="str">
        <f t="shared" si="59"/>
        <v>r951: C04411 -&gt; C00001 + C02631 | (${Variables:E4_2_1_33_kcat} * E4_2_1_33 * C04411)/(${Variables:E4_2_1_33_km} + (E4_2_1_33 * C04411))</v>
      </c>
    </row>
    <row r="953" spans="1:11" ht="45" customHeight="1" x14ac:dyDescent="0.25">
      <c r="A953" t="s">
        <v>3729</v>
      </c>
      <c r="B953" t="s">
        <v>3730</v>
      </c>
      <c r="C953" s="5" t="s">
        <v>9661</v>
      </c>
      <c r="D953">
        <f t="shared" si="56"/>
        <v>952</v>
      </c>
      <c r="E953" t="str">
        <f t="shared" si="57"/>
        <v>E4_2_1_33</v>
      </c>
      <c r="F953" s="11" t="s">
        <v>8310</v>
      </c>
      <c r="G953" s="11" t="s">
        <v>8310</v>
      </c>
      <c r="H953" s="11" t="s">
        <v>8309</v>
      </c>
      <c r="I953" s="11" t="s">
        <v>8309</v>
      </c>
      <c r="J953" s="12" t="str">
        <f t="shared" si="58"/>
        <v>(${Variables:E4_2_1_33_kcat} * E4_2_1_33 * C04411)/(${Variables:E4_2_1_33_km} + (E4_2_1_33 * C04411))</v>
      </c>
      <c r="K953" s="11" t="str">
        <f t="shared" si="59"/>
        <v>r952: C04411 -&gt; C02504 | (${Variables:E4_2_1_33_kcat} * E4_2_1_33 * C04411)/(${Variables:E4_2_1_33_km} + (E4_2_1_33 * C04411))</v>
      </c>
    </row>
    <row r="954" spans="1:11" ht="45" customHeight="1" x14ac:dyDescent="0.25">
      <c r="A954" t="s">
        <v>3732</v>
      </c>
      <c r="B954" t="s">
        <v>3733</v>
      </c>
      <c r="C954" s="5" t="s">
        <v>9661</v>
      </c>
      <c r="D954">
        <f t="shared" si="56"/>
        <v>953</v>
      </c>
      <c r="E954" t="str">
        <f t="shared" si="57"/>
        <v>E4_2_1_33</v>
      </c>
      <c r="F954" s="11" t="s">
        <v>8309</v>
      </c>
      <c r="G954" s="11" t="s">
        <v>8309</v>
      </c>
      <c r="H954" s="11" t="s">
        <v>15529</v>
      </c>
      <c r="I954" s="11" t="s">
        <v>16150</v>
      </c>
      <c r="J954" s="12" t="str">
        <f t="shared" si="58"/>
        <v>(${Variables:E4_2_1_33_kcat} * E4_2_1_33 * C02504)/(${Variables:E4_2_1_33_km} + (E4_2_1_33 * C02504))</v>
      </c>
      <c r="K954" s="11" t="str">
        <f t="shared" si="59"/>
        <v>r953: C02504 -&gt; C00001 + C02631 | (${Variables:E4_2_1_33_kcat} * E4_2_1_33 * C02504)/(${Variables:E4_2_1_33_km} + (E4_2_1_33 * C02504))</v>
      </c>
    </row>
    <row r="955" spans="1:11" ht="45" customHeight="1" x14ac:dyDescent="0.25">
      <c r="A955" t="s">
        <v>3732</v>
      </c>
      <c r="B955" t="s">
        <v>3733</v>
      </c>
      <c r="C955" s="5" t="s">
        <v>9661</v>
      </c>
      <c r="D955">
        <f t="shared" si="56"/>
        <v>954</v>
      </c>
      <c r="E955" t="str">
        <f t="shared" si="57"/>
        <v>E4_2_1_33</v>
      </c>
      <c r="F955" s="11" t="s">
        <v>8310</v>
      </c>
      <c r="G955" s="11" t="s">
        <v>8310</v>
      </c>
      <c r="H955" s="11" t="s">
        <v>15529</v>
      </c>
      <c r="I955" s="11" t="s">
        <v>16150</v>
      </c>
      <c r="J955" s="12" t="str">
        <f t="shared" si="58"/>
        <v>(${Variables:E4_2_1_33_kcat} * E4_2_1_33 * C04411)/(${Variables:E4_2_1_33_km} + (E4_2_1_33 * C04411))</v>
      </c>
      <c r="K955" s="11" t="str">
        <f t="shared" si="59"/>
        <v>r954: C04411 -&gt; C00001 + C02631 | (${Variables:E4_2_1_33_kcat} * E4_2_1_33 * C04411)/(${Variables:E4_2_1_33_km} + (E4_2_1_33 * C04411))</v>
      </c>
    </row>
    <row r="956" spans="1:11" ht="45" customHeight="1" x14ac:dyDescent="0.25">
      <c r="A956" t="s">
        <v>3732</v>
      </c>
      <c r="B956" t="s">
        <v>3733</v>
      </c>
      <c r="C956" s="5" t="s">
        <v>9661</v>
      </c>
      <c r="D956">
        <f t="shared" si="56"/>
        <v>955</v>
      </c>
      <c r="E956" t="str">
        <f t="shared" si="57"/>
        <v>E4_2_1_33</v>
      </c>
      <c r="F956" s="11" t="s">
        <v>8310</v>
      </c>
      <c r="G956" s="11" t="s">
        <v>8310</v>
      </c>
      <c r="H956" s="11" t="s">
        <v>8309</v>
      </c>
      <c r="I956" s="11" t="s">
        <v>8309</v>
      </c>
      <c r="J956" s="12" t="str">
        <f t="shared" si="58"/>
        <v>(${Variables:E4_2_1_33_kcat} * E4_2_1_33 * C04411)/(${Variables:E4_2_1_33_km} + (E4_2_1_33 * C04411))</v>
      </c>
      <c r="K956" s="11" t="str">
        <f t="shared" si="59"/>
        <v>r955: C04411 -&gt; C02504 | (${Variables:E4_2_1_33_kcat} * E4_2_1_33 * C04411)/(${Variables:E4_2_1_33_km} + (E4_2_1_33 * C04411))</v>
      </c>
    </row>
    <row r="957" spans="1:11" ht="45" customHeight="1" x14ac:dyDescent="0.25">
      <c r="A957" t="s">
        <v>3735</v>
      </c>
      <c r="B957" t="s">
        <v>3736</v>
      </c>
      <c r="C957" s="5" t="s">
        <v>9662</v>
      </c>
      <c r="D957">
        <f t="shared" si="56"/>
        <v>956</v>
      </c>
      <c r="E957" t="str">
        <f t="shared" si="57"/>
        <v>E1_1_1_85</v>
      </c>
      <c r="F957" s="11" t="s">
        <v>14321</v>
      </c>
      <c r="G957" s="11" t="s">
        <v>14924</v>
      </c>
      <c r="H957" s="11" t="s">
        <v>8575</v>
      </c>
      <c r="I957" s="11" t="s">
        <v>8575</v>
      </c>
      <c r="J957" s="12" t="str">
        <f t="shared" si="58"/>
        <v>(${Variables:E1_1_1_85_kcat} * E1_1_1_85 * C00011 * C00233)/(${Variables:E1_1_1_85_km} + (E1_1_1_85 * C00011 * C00233))</v>
      </c>
      <c r="K957" s="11" t="str">
        <f t="shared" si="59"/>
        <v>r956: C00011 + C00233 -&gt; C04236 | (${Variables:E1_1_1_85_kcat} * E1_1_1_85 * C00011 * C00233)/(${Variables:E1_1_1_85_km} + (E1_1_1_85 * C00011 * C00233))</v>
      </c>
    </row>
    <row r="958" spans="1:11" ht="45" customHeight="1" x14ac:dyDescent="0.25">
      <c r="A958" t="s">
        <v>3735</v>
      </c>
      <c r="B958" t="s">
        <v>3736</v>
      </c>
      <c r="C958" s="5" t="s">
        <v>9662</v>
      </c>
      <c r="D958">
        <f t="shared" si="56"/>
        <v>957</v>
      </c>
      <c r="E958" t="str">
        <f t="shared" si="57"/>
        <v>E1_1_1_85</v>
      </c>
      <c r="F958" s="11" t="s">
        <v>14322</v>
      </c>
      <c r="G958" s="11" t="s">
        <v>14925</v>
      </c>
      <c r="H958" s="11" t="s">
        <v>15530</v>
      </c>
      <c r="I958" s="11" t="s">
        <v>16151</v>
      </c>
      <c r="J958" s="12" t="str">
        <f t="shared" si="58"/>
        <v>(${Variables:E1_1_1_85_kcat} * E1_1_1_85 * C00003 * C04411)/(${Variables:E1_1_1_85_km} + (E1_1_1_85 * C00003 * C04411))</v>
      </c>
      <c r="K958" s="11" t="str">
        <f t="shared" si="59"/>
        <v>r957: C00003 + C04411 -&gt; C00004 + C00080 + C04236 | (${Variables:E1_1_1_85_kcat} * E1_1_1_85 * C00003 * C04411)/(${Variables:E1_1_1_85_km} + (E1_1_1_85 * C00003 * C04411))</v>
      </c>
    </row>
    <row r="959" spans="1:11" ht="45" customHeight="1" x14ac:dyDescent="0.25">
      <c r="A959" t="s">
        <v>3735</v>
      </c>
      <c r="B959" t="s">
        <v>3736</v>
      </c>
      <c r="C959" s="5" t="s">
        <v>9662</v>
      </c>
      <c r="D959">
        <f t="shared" si="56"/>
        <v>958</v>
      </c>
      <c r="E959" t="str">
        <f t="shared" si="57"/>
        <v>E1_1_1_85</v>
      </c>
      <c r="F959" s="11" t="s">
        <v>14322</v>
      </c>
      <c r="G959" s="11" t="s">
        <v>14925</v>
      </c>
      <c r="H959" s="11" t="s">
        <v>15531</v>
      </c>
      <c r="I959" s="11" t="s">
        <v>16152</v>
      </c>
      <c r="J959" s="12" t="str">
        <f t="shared" si="58"/>
        <v>(${Variables:E1_1_1_85_kcat} * E1_1_1_85 * C00003 * C04411)/(${Variables:E1_1_1_85_km} + (E1_1_1_85 * C00003 * C04411))</v>
      </c>
      <c r="K959" s="11" t="str">
        <f t="shared" si="59"/>
        <v>r958: C00003 + C04411 -&gt; C00004 + C00011 + C00080 + C00233 | (${Variables:E1_1_1_85_kcat} * E1_1_1_85 * C00003 * C04411)/(${Variables:E1_1_1_85_km} + (E1_1_1_85 * C00003 * C04411))</v>
      </c>
    </row>
    <row r="960" spans="1:11" ht="45" customHeight="1" x14ac:dyDescent="0.25">
      <c r="A960" t="s">
        <v>3735</v>
      </c>
      <c r="B960" t="s">
        <v>3736</v>
      </c>
      <c r="C960" s="5" t="s">
        <v>9662</v>
      </c>
      <c r="D960">
        <f t="shared" si="56"/>
        <v>959</v>
      </c>
      <c r="E960" t="str">
        <f t="shared" si="57"/>
        <v>E1_1_1_85</v>
      </c>
      <c r="F960" s="11" t="s">
        <v>14323</v>
      </c>
      <c r="G960" s="11" t="s">
        <v>14926</v>
      </c>
      <c r="H960" s="11" t="s">
        <v>15532</v>
      </c>
      <c r="I960" s="11" t="s">
        <v>16153</v>
      </c>
      <c r="J960" s="12" t="str">
        <f t="shared" si="58"/>
        <v>(${Variables:E1_1_1_85_kcat} * E1_1_1_85 * C00004 * C00011 * C00080 * C00109)/(${Variables:E1_1_1_85_km} + (E1_1_1_85 * C00004 * C00011 * C00080 * C00109))</v>
      </c>
      <c r="K960" s="11" t="str">
        <f t="shared" si="59"/>
        <v>r959: C00004 + C00011 + C00080 + C00109 -&gt; C00003 + C06032 | (${Variables:E1_1_1_85_kcat} * E1_1_1_85 * C00004 * C00011 * C00080 * C00109)/(${Variables:E1_1_1_85_km} + (E1_1_1_85 * C00004 * C00011 * C00080 * C00109))</v>
      </c>
    </row>
    <row r="961" spans="1:11" ht="45" customHeight="1" x14ac:dyDescent="0.25">
      <c r="A961" t="s">
        <v>3745</v>
      </c>
      <c r="B961" t="s">
        <v>3746</v>
      </c>
      <c r="C961" s="5" t="s">
        <v>9663</v>
      </c>
      <c r="D961">
        <f t="shared" si="56"/>
        <v>960</v>
      </c>
      <c r="E961" t="str">
        <f t="shared" si="57"/>
        <v>E4_2_1_9</v>
      </c>
      <c r="F961" s="11" t="s">
        <v>8311</v>
      </c>
      <c r="G961" s="11" t="s">
        <v>8311</v>
      </c>
      <c r="H961" s="11" t="s">
        <v>15533</v>
      </c>
      <c r="I961" s="11" t="s">
        <v>16154</v>
      </c>
      <c r="J961" s="12" t="str">
        <f t="shared" si="58"/>
        <v>(${Variables:E4_2_1_9_kcat} * E4_2_1_9 * C04039)/(${Variables:E4_2_1_9_km} + (E4_2_1_9 * C04039))</v>
      </c>
      <c r="K961" s="11" t="str">
        <f t="shared" si="59"/>
        <v>r960: C04039 -&gt; C00001 + C00141 | (${Variables:E4_2_1_9_kcat} * E4_2_1_9 * C04039)/(${Variables:E4_2_1_9_km} + (E4_2_1_9 * C04039))</v>
      </c>
    </row>
    <row r="962" spans="1:11" ht="45" customHeight="1" x14ac:dyDescent="0.25">
      <c r="A962" t="s">
        <v>3745</v>
      </c>
      <c r="B962" t="s">
        <v>3746</v>
      </c>
      <c r="C962" s="5" t="s">
        <v>9663</v>
      </c>
      <c r="D962">
        <f t="shared" si="56"/>
        <v>961</v>
      </c>
      <c r="E962" t="str">
        <f t="shared" si="57"/>
        <v>E4_2_1_9</v>
      </c>
      <c r="F962" s="11" t="s">
        <v>8312</v>
      </c>
      <c r="G962" s="11" t="s">
        <v>8312</v>
      </c>
      <c r="H962" s="11" t="s">
        <v>15533</v>
      </c>
      <c r="I962" s="11" t="s">
        <v>16154</v>
      </c>
      <c r="J962" s="12" t="str">
        <f t="shared" si="58"/>
        <v>(${Variables:E4_2_1_9_kcat} * E4_2_1_9 * C04272)/(${Variables:E4_2_1_9_km} + (E4_2_1_9 * C04272))</v>
      </c>
      <c r="K962" s="11" t="str">
        <f t="shared" si="59"/>
        <v>r961: C04272 -&gt; C00001 + C00141 | (${Variables:E4_2_1_9_kcat} * E4_2_1_9 * C04272)/(${Variables:E4_2_1_9_km} + (E4_2_1_9 * C04272))</v>
      </c>
    </row>
    <row r="963" spans="1:11" ht="45" customHeight="1" x14ac:dyDescent="0.25">
      <c r="A963" t="s">
        <v>3745</v>
      </c>
      <c r="B963" t="s">
        <v>3746</v>
      </c>
      <c r="C963" s="5" t="s">
        <v>9663</v>
      </c>
      <c r="D963">
        <f t="shared" ref="D963:D1026" si="60">ROW()-1</f>
        <v>962</v>
      </c>
      <c r="E963" t="str">
        <f t="shared" ref="E963:E1026" si="61">_xlfn.CONCAT("E", C963)</f>
        <v>E4_2_1_9</v>
      </c>
      <c r="F963" s="11" t="s">
        <v>8313</v>
      </c>
      <c r="G963" s="11" t="s">
        <v>8313</v>
      </c>
      <c r="H963" s="11" t="s">
        <v>15534</v>
      </c>
      <c r="I963" s="11" t="s">
        <v>16155</v>
      </c>
      <c r="J963" s="12" t="str">
        <f t="shared" ref="J963:J1026" si="62">CONCATENATE("(${Variables:",E963,"_kcat","} * ",E963," * ",G963,")","/(${Variables:",E963,"_km","} + (",E963," * ",G963,"))")</f>
        <v>(${Variables:E4_2_1_9_kcat} * E4_2_1_9 * C06007)/(${Variables:E4_2_1_9_km} + (E4_2_1_9 * C06007))</v>
      </c>
      <c r="K963" s="11" t="str">
        <f t="shared" ref="K963:K1026" si="63">CONCATENATE("r",D963,": ",F963," -&gt; ",H963," | ",J963)</f>
        <v>r962: C06007 -&gt; C00001 + C00671 | (${Variables:E4_2_1_9_kcat} * E4_2_1_9 * C06007)/(${Variables:E4_2_1_9_km} + (E4_2_1_9 * C06007))</v>
      </c>
    </row>
    <row r="964" spans="1:11" ht="45" customHeight="1" x14ac:dyDescent="0.25">
      <c r="A964" t="s">
        <v>3774</v>
      </c>
      <c r="B964" t="s">
        <v>3775</v>
      </c>
      <c r="C964" s="5" t="s">
        <v>9517</v>
      </c>
      <c r="D964">
        <f t="shared" si="60"/>
        <v>963</v>
      </c>
      <c r="E964" t="str">
        <f t="shared" si="61"/>
        <v>E5_4_99_2</v>
      </c>
      <c r="F964" s="11" t="s">
        <v>8215</v>
      </c>
      <c r="G964" s="11" t="s">
        <v>8215</v>
      </c>
      <c r="H964" s="11" t="s">
        <v>8492</v>
      </c>
      <c r="I964" s="11" t="s">
        <v>8492</v>
      </c>
      <c r="J964" s="12" t="str">
        <f t="shared" si="62"/>
        <v>(${Variables:E5_4_99_2_kcat} * E5_4_99_2 * C01213)/(${Variables:E5_4_99_2_km} + (E5_4_99_2 * C01213))</v>
      </c>
      <c r="K964" s="11" t="str">
        <f t="shared" si="63"/>
        <v>r963: C01213 -&gt; C00091 | (${Variables:E5_4_99_2_kcat} * E5_4_99_2 * C01213)/(${Variables:E5_4_99_2_km} + (E5_4_99_2 * C01213))</v>
      </c>
    </row>
    <row r="965" spans="1:11" ht="45" customHeight="1" x14ac:dyDescent="0.25">
      <c r="A965" t="s">
        <v>3780</v>
      </c>
      <c r="B965" t="s">
        <v>3781</v>
      </c>
      <c r="C965" s="5" t="s">
        <v>9664</v>
      </c>
      <c r="D965">
        <f t="shared" si="60"/>
        <v>964</v>
      </c>
      <c r="E965" t="str">
        <f t="shared" si="61"/>
        <v>E6_2_1_1</v>
      </c>
      <c r="F965" s="11" t="s">
        <v>14324</v>
      </c>
      <c r="G965" s="11" t="s">
        <v>14927</v>
      </c>
      <c r="H965" s="11" t="s">
        <v>15535</v>
      </c>
      <c r="I965" s="11" t="s">
        <v>16156</v>
      </c>
      <c r="J965" s="12" t="str">
        <f t="shared" si="62"/>
        <v>(${Variables:E6_2_1_1_kcat} * E6_2_1_1 * C00002 * C00010 * C00033)/(${Variables:E6_2_1_1_km} + (E6_2_1_1 * C00002 * C00010 * C00033))</v>
      </c>
      <c r="K965" s="11" t="str">
        <f t="shared" si="63"/>
        <v>r964: C00002 + C00010 + C00033 -&gt; C00013 + C00020 + C00024 | (${Variables:E6_2_1_1_kcat} * E6_2_1_1 * C00002 * C00010 * C00033)/(${Variables:E6_2_1_1_km} + (E6_2_1_1 * C00002 * C00010 * C00033))</v>
      </c>
    </row>
    <row r="966" spans="1:11" ht="45" customHeight="1" x14ac:dyDescent="0.25">
      <c r="A966" t="s">
        <v>3780</v>
      </c>
      <c r="B966" t="s">
        <v>3781</v>
      </c>
      <c r="C966" s="5" t="s">
        <v>9664</v>
      </c>
      <c r="D966">
        <f t="shared" si="60"/>
        <v>965</v>
      </c>
      <c r="E966" t="str">
        <f t="shared" si="61"/>
        <v>E6_2_1_1</v>
      </c>
      <c r="F966" s="11" t="s">
        <v>14325</v>
      </c>
      <c r="G966" s="11" t="s">
        <v>14928</v>
      </c>
      <c r="H966" s="11" t="s">
        <v>9126</v>
      </c>
      <c r="I966" s="11" t="s">
        <v>9325</v>
      </c>
      <c r="J966" s="12" t="str">
        <f t="shared" si="62"/>
        <v>(${Variables:E6_2_1_1_kcat} * E6_2_1_1 * C00010 * C05993)/(${Variables:E6_2_1_1_km} + (E6_2_1_1 * C00010 * C05993))</v>
      </c>
      <c r="K966" s="11" t="str">
        <f t="shared" si="63"/>
        <v>r965: C00010 + C05993 -&gt; C00020 + C00024 | (${Variables:E6_2_1_1_kcat} * E6_2_1_1 * C00010 * C05993)/(${Variables:E6_2_1_1_km} + (E6_2_1_1 * C00010 * C05993))</v>
      </c>
    </row>
    <row r="967" spans="1:11" ht="45" customHeight="1" x14ac:dyDescent="0.25">
      <c r="A967" t="s">
        <v>3780</v>
      </c>
      <c r="B967" t="s">
        <v>3781</v>
      </c>
      <c r="C967" s="5" t="s">
        <v>9664</v>
      </c>
      <c r="D967">
        <f t="shared" si="60"/>
        <v>966</v>
      </c>
      <c r="E967" t="str">
        <f t="shared" si="61"/>
        <v>E6_2_1_1</v>
      </c>
      <c r="F967" s="11" t="s">
        <v>8766</v>
      </c>
      <c r="G967" s="11" t="s">
        <v>8932</v>
      </c>
      <c r="H967" s="11" t="s">
        <v>9127</v>
      </c>
      <c r="I967" s="11" t="s">
        <v>9326</v>
      </c>
      <c r="J967" s="12" t="str">
        <f t="shared" si="62"/>
        <v>(${Variables:E6_2_1_1_kcat} * E6_2_1_1 * C00002 * C00033)/(${Variables:E6_2_1_1_km} + (E6_2_1_1 * C00002 * C00033))</v>
      </c>
      <c r="K967" s="11" t="str">
        <f t="shared" si="63"/>
        <v>r966: C00002 + C00033 -&gt; C00013 + C05993 | (${Variables:E6_2_1_1_kcat} * E6_2_1_1 * C00002 * C00033)/(${Variables:E6_2_1_1_km} + (E6_2_1_1 * C00002 * C00033))</v>
      </c>
    </row>
    <row r="968" spans="1:11" ht="45" customHeight="1" x14ac:dyDescent="0.25">
      <c r="A968" t="s">
        <v>3780</v>
      </c>
      <c r="B968" t="s">
        <v>3781</v>
      </c>
      <c r="C968" s="5" t="s">
        <v>9664</v>
      </c>
      <c r="D968">
        <f t="shared" si="60"/>
        <v>967</v>
      </c>
      <c r="E968" t="str">
        <f t="shared" si="61"/>
        <v>E6_2_1_1</v>
      </c>
      <c r="F968" s="11" t="s">
        <v>14326</v>
      </c>
      <c r="G968" s="11" t="s">
        <v>14929</v>
      </c>
      <c r="H968" s="11" t="s">
        <v>15536</v>
      </c>
      <c r="I968" s="11" t="s">
        <v>16157</v>
      </c>
      <c r="J968" s="12" t="str">
        <f t="shared" si="62"/>
        <v>(${Variables:E6_2_1_1_kcat} * E6_2_1_1 * C00002 * C00010 * C00163)/(${Variables:E6_2_1_1_km} + (E6_2_1_1 * C00002 * C00010 * C00163))</v>
      </c>
      <c r="K968" s="11" t="str">
        <f t="shared" si="63"/>
        <v>r967: C00002 + C00010 + C00163 -&gt; C00013 + C00020 + C00100 | (${Variables:E6_2_1_1_kcat} * E6_2_1_1 * C00002 * C00010 * C00163)/(${Variables:E6_2_1_1_km} + (E6_2_1_1 * C00002 * C00010 * C00163))</v>
      </c>
    </row>
    <row r="969" spans="1:11" ht="45" customHeight="1" x14ac:dyDescent="0.25">
      <c r="A969" t="s">
        <v>3780</v>
      </c>
      <c r="B969" t="s">
        <v>3781</v>
      </c>
      <c r="C969" s="5" t="s">
        <v>9664</v>
      </c>
      <c r="D969">
        <f t="shared" si="60"/>
        <v>968</v>
      </c>
      <c r="E969" t="str">
        <f t="shared" si="61"/>
        <v>E6_2_1_1</v>
      </c>
      <c r="F969" s="11" t="s">
        <v>14327</v>
      </c>
      <c r="G969" s="11" t="s">
        <v>14930</v>
      </c>
      <c r="H969" s="11" t="s">
        <v>9128</v>
      </c>
      <c r="I969" s="11" t="s">
        <v>9327</v>
      </c>
      <c r="J969" s="12" t="str">
        <f t="shared" si="62"/>
        <v>(${Variables:E6_2_1_1_kcat} * E6_2_1_1 * C00010 * C05983)/(${Variables:E6_2_1_1_km} + (E6_2_1_1 * C00010 * C05983))</v>
      </c>
      <c r="K969" s="11" t="str">
        <f t="shared" si="63"/>
        <v>r968: C00010 + C05983 -&gt; C00020 + C00100 | (${Variables:E6_2_1_1_kcat} * E6_2_1_1 * C00010 * C05983)/(${Variables:E6_2_1_1_km} + (E6_2_1_1 * C00010 * C05983))</v>
      </c>
    </row>
    <row r="970" spans="1:11" ht="45" customHeight="1" x14ac:dyDescent="0.25">
      <c r="A970" t="s">
        <v>3780</v>
      </c>
      <c r="B970" t="s">
        <v>3781</v>
      </c>
      <c r="C970" s="5" t="s">
        <v>9664</v>
      </c>
      <c r="D970">
        <f t="shared" si="60"/>
        <v>969</v>
      </c>
      <c r="E970" t="str">
        <f t="shared" si="61"/>
        <v>E6_2_1_1</v>
      </c>
      <c r="F970" s="11" t="s">
        <v>8767</v>
      </c>
      <c r="G970" s="11" t="s">
        <v>8933</v>
      </c>
      <c r="H970" s="11" t="s">
        <v>9129</v>
      </c>
      <c r="I970" s="11" t="s">
        <v>9328</v>
      </c>
      <c r="J970" s="12" t="str">
        <f t="shared" si="62"/>
        <v>(${Variables:E6_2_1_1_kcat} * E6_2_1_1 * C00002 * C00163)/(${Variables:E6_2_1_1_km} + (E6_2_1_1 * C00002 * C00163))</v>
      </c>
      <c r="K970" s="11" t="str">
        <f t="shared" si="63"/>
        <v>r969: C00002 + C00163 -&gt; C00013 + C05983 | (${Variables:E6_2_1_1_kcat} * E6_2_1_1 * C00002 * C00163)/(${Variables:E6_2_1_1_km} + (E6_2_1_1 * C00002 * C00163))</v>
      </c>
    </row>
    <row r="971" spans="1:11" ht="45" customHeight="1" x14ac:dyDescent="0.25">
      <c r="A971" t="s">
        <v>3782</v>
      </c>
      <c r="B971" t="s">
        <v>3783</v>
      </c>
      <c r="C971" s="5" t="s">
        <v>9664</v>
      </c>
      <c r="D971">
        <f t="shared" si="60"/>
        <v>970</v>
      </c>
      <c r="E971" t="str">
        <f t="shared" si="61"/>
        <v>E6_2_1_1</v>
      </c>
      <c r="F971" s="11" t="s">
        <v>14324</v>
      </c>
      <c r="G971" s="11" t="s">
        <v>14927</v>
      </c>
      <c r="H971" s="11" t="s">
        <v>15535</v>
      </c>
      <c r="I971" s="11" t="s">
        <v>16156</v>
      </c>
      <c r="J971" s="12" t="str">
        <f t="shared" si="62"/>
        <v>(${Variables:E6_2_1_1_kcat} * E6_2_1_1 * C00002 * C00010 * C00033)/(${Variables:E6_2_1_1_km} + (E6_2_1_1 * C00002 * C00010 * C00033))</v>
      </c>
      <c r="K971" s="11" t="str">
        <f t="shared" si="63"/>
        <v>r970: C00002 + C00010 + C00033 -&gt; C00013 + C00020 + C00024 | (${Variables:E6_2_1_1_kcat} * E6_2_1_1 * C00002 * C00010 * C00033)/(${Variables:E6_2_1_1_km} + (E6_2_1_1 * C00002 * C00010 * C00033))</v>
      </c>
    </row>
    <row r="972" spans="1:11" ht="45" customHeight="1" x14ac:dyDescent="0.25">
      <c r="A972" t="s">
        <v>3782</v>
      </c>
      <c r="B972" t="s">
        <v>3783</v>
      </c>
      <c r="C972" s="5" t="s">
        <v>9664</v>
      </c>
      <c r="D972">
        <f t="shared" si="60"/>
        <v>971</v>
      </c>
      <c r="E972" t="str">
        <f t="shared" si="61"/>
        <v>E6_2_1_1</v>
      </c>
      <c r="F972" s="11" t="s">
        <v>14325</v>
      </c>
      <c r="G972" s="11" t="s">
        <v>14928</v>
      </c>
      <c r="H972" s="11" t="s">
        <v>9126</v>
      </c>
      <c r="I972" s="11" t="s">
        <v>9325</v>
      </c>
      <c r="J972" s="12" t="str">
        <f t="shared" si="62"/>
        <v>(${Variables:E6_2_1_1_kcat} * E6_2_1_1 * C00010 * C05993)/(${Variables:E6_2_1_1_km} + (E6_2_1_1 * C00010 * C05993))</v>
      </c>
      <c r="K972" s="11" t="str">
        <f t="shared" si="63"/>
        <v>r971: C00010 + C05993 -&gt; C00020 + C00024 | (${Variables:E6_2_1_1_kcat} * E6_2_1_1 * C00010 * C05993)/(${Variables:E6_2_1_1_km} + (E6_2_1_1 * C00010 * C05993))</v>
      </c>
    </row>
    <row r="973" spans="1:11" ht="45" customHeight="1" x14ac:dyDescent="0.25">
      <c r="A973" t="s">
        <v>3782</v>
      </c>
      <c r="B973" t="s">
        <v>3783</v>
      </c>
      <c r="C973" s="5" t="s">
        <v>9664</v>
      </c>
      <c r="D973">
        <f t="shared" si="60"/>
        <v>972</v>
      </c>
      <c r="E973" t="str">
        <f t="shared" si="61"/>
        <v>E6_2_1_1</v>
      </c>
      <c r="F973" s="11" t="s">
        <v>8766</v>
      </c>
      <c r="G973" s="11" t="s">
        <v>8932</v>
      </c>
      <c r="H973" s="11" t="s">
        <v>9127</v>
      </c>
      <c r="I973" s="11" t="s">
        <v>9326</v>
      </c>
      <c r="J973" s="12" t="str">
        <f t="shared" si="62"/>
        <v>(${Variables:E6_2_1_1_kcat} * E6_2_1_1 * C00002 * C00033)/(${Variables:E6_2_1_1_km} + (E6_2_1_1 * C00002 * C00033))</v>
      </c>
      <c r="K973" s="11" t="str">
        <f t="shared" si="63"/>
        <v>r972: C00002 + C00033 -&gt; C00013 + C05993 | (${Variables:E6_2_1_1_kcat} * E6_2_1_1 * C00002 * C00033)/(${Variables:E6_2_1_1_km} + (E6_2_1_1 * C00002 * C00033))</v>
      </c>
    </row>
    <row r="974" spans="1:11" ht="45" customHeight="1" x14ac:dyDescent="0.25">
      <c r="A974" t="s">
        <v>3782</v>
      </c>
      <c r="B974" t="s">
        <v>3783</v>
      </c>
      <c r="C974" s="5" t="s">
        <v>9664</v>
      </c>
      <c r="D974">
        <f t="shared" si="60"/>
        <v>973</v>
      </c>
      <c r="E974" t="str">
        <f t="shared" si="61"/>
        <v>E6_2_1_1</v>
      </c>
      <c r="F974" s="11" t="s">
        <v>14326</v>
      </c>
      <c r="G974" s="11" t="s">
        <v>14929</v>
      </c>
      <c r="H974" s="11" t="s">
        <v>15536</v>
      </c>
      <c r="I974" s="11" t="s">
        <v>16157</v>
      </c>
      <c r="J974" s="12" t="str">
        <f t="shared" si="62"/>
        <v>(${Variables:E6_2_1_1_kcat} * E6_2_1_1 * C00002 * C00010 * C00163)/(${Variables:E6_2_1_1_km} + (E6_2_1_1 * C00002 * C00010 * C00163))</v>
      </c>
      <c r="K974" s="11" t="str">
        <f t="shared" si="63"/>
        <v>r973: C00002 + C00010 + C00163 -&gt; C00013 + C00020 + C00100 | (${Variables:E6_2_1_1_kcat} * E6_2_1_1 * C00002 * C00010 * C00163)/(${Variables:E6_2_1_1_km} + (E6_2_1_1 * C00002 * C00010 * C00163))</v>
      </c>
    </row>
    <row r="975" spans="1:11" ht="45" customHeight="1" x14ac:dyDescent="0.25">
      <c r="A975" t="s">
        <v>3782</v>
      </c>
      <c r="B975" t="s">
        <v>3783</v>
      </c>
      <c r="C975" s="5" t="s">
        <v>9664</v>
      </c>
      <c r="D975">
        <f t="shared" si="60"/>
        <v>974</v>
      </c>
      <c r="E975" t="str">
        <f t="shared" si="61"/>
        <v>E6_2_1_1</v>
      </c>
      <c r="F975" s="11" t="s">
        <v>14327</v>
      </c>
      <c r="G975" s="11" t="s">
        <v>14930</v>
      </c>
      <c r="H975" s="11" t="s">
        <v>9128</v>
      </c>
      <c r="I975" s="11" t="s">
        <v>9327</v>
      </c>
      <c r="J975" s="12" t="str">
        <f t="shared" si="62"/>
        <v>(${Variables:E6_2_1_1_kcat} * E6_2_1_1 * C00010 * C05983)/(${Variables:E6_2_1_1_km} + (E6_2_1_1 * C00010 * C05983))</v>
      </c>
      <c r="K975" s="11" t="str">
        <f t="shared" si="63"/>
        <v>r974: C00010 + C05983 -&gt; C00020 + C00100 | (${Variables:E6_2_1_1_kcat} * E6_2_1_1 * C00010 * C05983)/(${Variables:E6_2_1_1_km} + (E6_2_1_1 * C00010 * C05983))</v>
      </c>
    </row>
    <row r="976" spans="1:11" ht="45" customHeight="1" x14ac:dyDescent="0.25">
      <c r="A976" t="s">
        <v>3782</v>
      </c>
      <c r="B976" t="s">
        <v>3783</v>
      </c>
      <c r="C976" s="5" t="s">
        <v>9664</v>
      </c>
      <c r="D976">
        <f t="shared" si="60"/>
        <v>975</v>
      </c>
      <c r="E976" t="str">
        <f t="shared" si="61"/>
        <v>E6_2_1_1</v>
      </c>
      <c r="F976" s="11" t="s">
        <v>8767</v>
      </c>
      <c r="G976" s="11" t="s">
        <v>8933</v>
      </c>
      <c r="H976" s="11" t="s">
        <v>9129</v>
      </c>
      <c r="I976" s="11" t="s">
        <v>9328</v>
      </c>
      <c r="J976" s="12" t="str">
        <f t="shared" si="62"/>
        <v>(${Variables:E6_2_1_1_kcat} * E6_2_1_1 * C00002 * C00163)/(${Variables:E6_2_1_1_km} + (E6_2_1_1 * C00002 * C00163))</v>
      </c>
      <c r="K976" s="11" t="str">
        <f t="shared" si="63"/>
        <v>r975: C00002 + C00163 -&gt; C00013 + C05983 | (${Variables:E6_2_1_1_kcat} * E6_2_1_1 * C00002 * C00163)/(${Variables:E6_2_1_1_km} + (E6_2_1_1 * C00002 * C00163))</v>
      </c>
    </row>
    <row r="977" spans="1:11" ht="45" customHeight="1" x14ac:dyDescent="0.25">
      <c r="A977" t="s">
        <v>3784</v>
      </c>
      <c r="B977" t="s">
        <v>3785</v>
      </c>
      <c r="C977" s="5" t="s">
        <v>9664</v>
      </c>
      <c r="D977">
        <f t="shared" si="60"/>
        <v>976</v>
      </c>
      <c r="E977" t="str">
        <f t="shared" si="61"/>
        <v>E6_2_1_1</v>
      </c>
      <c r="F977" s="11" t="s">
        <v>14324</v>
      </c>
      <c r="G977" s="11" t="s">
        <v>14927</v>
      </c>
      <c r="H977" s="11" t="s">
        <v>15535</v>
      </c>
      <c r="I977" s="11" t="s">
        <v>16156</v>
      </c>
      <c r="J977" s="12" t="str">
        <f t="shared" si="62"/>
        <v>(${Variables:E6_2_1_1_kcat} * E6_2_1_1 * C00002 * C00010 * C00033)/(${Variables:E6_2_1_1_km} + (E6_2_1_1 * C00002 * C00010 * C00033))</v>
      </c>
      <c r="K977" s="11" t="str">
        <f t="shared" si="63"/>
        <v>r976: C00002 + C00010 + C00033 -&gt; C00013 + C00020 + C00024 | (${Variables:E6_2_1_1_kcat} * E6_2_1_1 * C00002 * C00010 * C00033)/(${Variables:E6_2_1_1_km} + (E6_2_1_1 * C00002 * C00010 * C00033))</v>
      </c>
    </row>
    <row r="978" spans="1:11" ht="45" customHeight="1" x14ac:dyDescent="0.25">
      <c r="A978" t="s">
        <v>3784</v>
      </c>
      <c r="B978" t="s">
        <v>3785</v>
      </c>
      <c r="C978" s="5" t="s">
        <v>9664</v>
      </c>
      <c r="D978">
        <f t="shared" si="60"/>
        <v>977</v>
      </c>
      <c r="E978" t="str">
        <f t="shared" si="61"/>
        <v>E6_2_1_1</v>
      </c>
      <c r="F978" s="11" t="s">
        <v>14325</v>
      </c>
      <c r="G978" s="11" t="s">
        <v>14928</v>
      </c>
      <c r="H978" s="11" t="s">
        <v>9126</v>
      </c>
      <c r="I978" s="11" t="s">
        <v>9325</v>
      </c>
      <c r="J978" s="12" t="str">
        <f t="shared" si="62"/>
        <v>(${Variables:E6_2_1_1_kcat} * E6_2_1_1 * C00010 * C05993)/(${Variables:E6_2_1_1_km} + (E6_2_1_1 * C00010 * C05993))</v>
      </c>
      <c r="K978" s="11" t="str">
        <f t="shared" si="63"/>
        <v>r977: C00010 + C05993 -&gt; C00020 + C00024 | (${Variables:E6_2_1_1_kcat} * E6_2_1_1 * C00010 * C05993)/(${Variables:E6_2_1_1_km} + (E6_2_1_1 * C00010 * C05993))</v>
      </c>
    </row>
    <row r="979" spans="1:11" ht="45" customHeight="1" x14ac:dyDescent="0.25">
      <c r="A979" t="s">
        <v>3784</v>
      </c>
      <c r="B979" t="s">
        <v>3785</v>
      </c>
      <c r="C979" s="5" t="s">
        <v>9664</v>
      </c>
      <c r="D979">
        <f t="shared" si="60"/>
        <v>978</v>
      </c>
      <c r="E979" t="str">
        <f t="shared" si="61"/>
        <v>E6_2_1_1</v>
      </c>
      <c r="F979" s="11" t="s">
        <v>8766</v>
      </c>
      <c r="G979" s="11" t="s">
        <v>8932</v>
      </c>
      <c r="H979" s="11" t="s">
        <v>9127</v>
      </c>
      <c r="I979" s="11" t="s">
        <v>9326</v>
      </c>
      <c r="J979" s="12" t="str">
        <f t="shared" si="62"/>
        <v>(${Variables:E6_2_1_1_kcat} * E6_2_1_1 * C00002 * C00033)/(${Variables:E6_2_1_1_km} + (E6_2_1_1 * C00002 * C00033))</v>
      </c>
      <c r="K979" s="11" t="str">
        <f t="shared" si="63"/>
        <v>r978: C00002 + C00033 -&gt; C00013 + C05993 | (${Variables:E6_2_1_1_kcat} * E6_2_1_1 * C00002 * C00033)/(${Variables:E6_2_1_1_km} + (E6_2_1_1 * C00002 * C00033))</v>
      </c>
    </row>
    <row r="980" spans="1:11" ht="45" customHeight="1" x14ac:dyDescent="0.25">
      <c r="A980" t="s">
        <v>3784</v>
      </c>
      <c r="B980" t="s">
        <v>3785</v>
      </c>
      <c r="C980" s="5" t="s">
        <v>9664</v>
      </c>
      <c r="D980">
        <f t="shared" si="60"/>
        <v>979</v>
      </c>
      <c r="E980" t="str">
        <f t="shared" si="61"/>
        <v>E6_2_1_1</v>
      </c>
      <c r="F980" s="11" t="s">
        <v>14326</v>
      </c>
      <c r="G980" s="11" t="s">
        <v>14929</v>
      </c>
      <c r="H980" s="11" t="s">
        <v>15536</v>
      </c>
      <c r="I980" s="11" t="s">
        <v>16157</v>
      </c>
      <c r="J980" s="12" t="str">
        <f t="shared" si="62"/>
        <v>(${Variables:E6_2_1_1_kcat} * E6_2_1_1 * C00002 * C00010 * C00163)/(${Variables:E6_2_1_1_km} + (E6_2_1_1 * C00002 * C00010 * C00163))</v>
      </c>
      <c r="K980" s="11" t="str">
        <f t="shared" si="63"/>
        <v>r979: C00002 + C00010 + C00163 -&gt; C00013 + C00020 + C00100 | (${Variables:E6_2_1_1_kcat} * E6_2_1_1 * C00002 * C00010 * C00163)/(${Variables:E6_2_1_1_km} + (E6_2_1_1 * C00002 * C00010 * C00163))</v>
      </c>
    </row>
    <row r="981" spans="1:11" ht="45" customHeight="1" x14ac:dyDescent="0.25">
      <c r="A981" t="s">
        <v>3784</v>
      </c>
      <c r="B981" t="s">
        <v>3785</v>
      </c>
      <c r="C981" s="5" t="s">
        <v>9664</v>
      </c>
      <c r="D981">
        <f t="shared" si="60"/>
        <v>980</v>
      </c>
      <c r="E981" t="str">
        <f t="shared" si="61"/>
        <v>E6_2_1_1</v>
      </c>
      <c r="F981" s="11" t="s">
        <v>14327</v>
      </c>
      <c r="G981" s="11" t="s">
        <v>14930</v>
      </c>
      <c r="H981" s="11" t="s">
        <v>9128</v>
      </c>
      <c r="I981" s="11" t="s">
        <v>9327</v>
      </c>
      <c r="J981" s="12" t="str">
        <f t="shared" si="62"/>
        <v>(${Variables:E6_2_1_1_kcat} * E6_2_1_1 * C00010 * C05983)/(${Variables:E6_2_1_1_km} + (E6_2_1_1 * C00010 * C05983))</v>
      </c>
      <c r="K981" s="11" t="str">
        <f t="shared" si="63"/>
        <v>r980: C00010 + C05983 -&gt; C00020 + C00100 | (${Variables:E6_2_1_1_kcat} * E6_2_1_1 * C00010 * C05983)/(${Variables:E6_2_1_1_km} + (E6_2_1_1 * C00010 * C05983))</v>
      </c>
    </row>
    <row r="982" spans="1:11" ht="45" customHeight="1" x14ac:dyDescent="0.25">
      <c r="A982" t="s">
        <v>3784</v>
      </c>
      <c r="B982" t="s">
        <v>3785</v>
      </c>
      <c r="C982" s="5" t="s">
        <v>9664</v>
      </c>
      <c r="D982">
        <f t="shared" si="60"/>
        <v>981</v>
      </c>
      <c r="E982" t="str">
        <f t="shared" si="61"/>
        <v>E6_2_1_1</v>
      </c>
      <c r="F982" s="11" t="s">
        <v>8767</v>
      </c>
      <c r="G982" s="11" t="s">
        <v>8933</v>
      </c>
      <c r="H982" s="11" t="s">
        <v>9129</v>
      </c>
      <c r="I982" s="11" t="s">
        <v>9328</v>
      </c>
      <c r="J982" s="12" t="str">
        <f t="shared" si="62"/>
        <v>(${Variables:E6_2_1_1_kcat} * E6_2_1_1 * C00002 * C00163)/(${Variables:E6_2_1_1_km} + (E6_2_1_1 * C00002 * C00163))</v>
      </c>
      <c r="K982" s="11" t="str">
        <f t="shared" si="63"/>
        <v>r981: C00002 + C00163 -&gt; C00013 + C05983 | (${Variables:E6_2_1_1_kcat} * E6_2_1_1 * C00002 * C00163)/(${Variables:E6_2_1_1_km} + (E6_2_1_1 * C00002 * C00163))</v>
      </c>
    </row>
    <row r="983" spans="1:11" ht="45" customHeight="1" x14ac:dyDescent="0.25">
      <c r="A983" t="s">
        <v>3806</v>
      </c>
      <c r="B983" t="s">
        <v>3807</v>
      </c>
      <c r="C983" s="5" t="s">
        <v>9386</v>
      </c>
      <c r="D983">
        <f t="shared" si="60"/>
        <v>982</v>
      </c>
      <c r="E983" t="str">
        <f t="shared" si="61"/>
        <v>E2_7_7_7</v>
      </c>
      <c r="F983" s="11" t="s">
        <v>13933</v>
      </c>
      <c r="G983" s="11" t="s">
        <v>14536</v>
      </c>
      <c r="H983" s="11" t="s">
        <v>8988</v>
      </c>
      <c r="I983" s="11" t="s">
        <v>9187</v>
      </c>
      <c r="J983" s="12" t="str">
        <f t="shared" si="62"/>
        <v>(${Variables:E2_7_7_7_kcat} * E2_7_7_7 * C00039 * C00677)/(${Variables:E2_7_7_7_km} + (E2_7_7_7 * C00039 * C00677))</v>
      </c>
      <c r="K983" s="11" t="str">
        <f t="shared" si="63"/>
        <v>r982: C00039 + C00677 -&gt; C00013 + C00039 | (${Variables:E2_7_7_7_kcat} * E2_7_7_7 * C00039 * C00677)/(${Variables:E2_7_7_7_km} + (E2_7_7_7 * C00039 * C00677))</v>
      </c>
    </row>
    <row r="984" spans="1:11" ht="45" customHeight="1" x14ac:dyDescent="0.25">
      <c r="A984" t="s">
        <v>3806</v>
      </c>
      <c r="B984" t="s">
        <v>3807</v>
      </c>
      <c r="C984" s="5" t="s">
        <v>9386</v>
      </c>
      <c r="D984">
        <f t="shared" si="60"/>
        <v>983</v>
      </c>
      <c r="E984" t="str">
        <f t="shared" si="61"/>
        <v>E2_7_7_7</v>
      </c>
      <c r="F984" s="11" t="s">
        <v>13934</v>
      </c>
      <c r="G984" s="11" t="s">
        <v>14537</v>
      </c>
      <c r="H984" s="11" t="s">
        <v>8988</v>
      </c>
      <c r="I984" s="11" t="s">
        <v>9187</v>
      </c>
      <c r="J984" s="12" t="str">
        <f t="shared" si="62"/>
        <v>(${Variables:E2_7_7_7_kcat} * E2_7_7_7 * C00039 * C00131)/(${Variables:E2_7_7_7_km} + (E2_7_7_7 * C00039 * C00131))</v>
      </c>
      <c r="K984" s="11" t="str">
        <f t="shared" si="63"/>
        <v>r983: C00039 + C00131 -&gt; C00013 + C00039 | (${Variables:E2_7_7_7_kcat} * E2_7_7_7 * C00039 * C00131)/(${Variables:E2_7_7_7_km} + (E2_7_7_7 * C00039 * C00131))</v>
      </c>
    </row>
    <row r="985" spans="1:11" ht="45" customHeight="1" x14ac:dyDescent="0.25">
      <c r="A985" t="s">
        <v>3806</v>
      </c>
      <c r="B985" t="s">
        <v>3807</v>
      </c>
      <c r="C985" s="5" t="s">
        <v>9386</v>
      </c>
      <c r="D985">
        <f t="shared" si="60"/>
        <v>984</v>
      </c>
      <c r="E985" t="str">
        <f t="shared" si="61"/>
        <v>E2_7_7_7</v>
      </c>
      <c r="F985" s="11" t="s">
        <v>13935</v>
      </c>
      <c r="G985" s="11" t="s">
        <v>14538</v>
      </c>
      <c r="H985" s="11" t="s">
        <v>8988</v>
      </c>
      <c r="I985" s="11" t="s">
        <v>9187</v>
      </c>
      <c r="J985" s="12" t="str">
        <f t="shared" si="62"/>
        <v>(${Variables:E2_7_7_7_kcat} * E2_7_7_7 * C00039 * C00286)/(${Variables:E2_7_7_7_km} + (E2_7_7_7 * C00039 * C00286))</v>
      </c>
      <c r="K985" s="11" t="str">
        <f t="shared" si="63"/>
        <v>r984: C00039 + C00286 -&gt; C00013 + C00039 | (${Variables:E2_7_7_7_kcat} * E2_7_7_7 * C00039 * C00286)/(${Variables:E2_7_7_7_km} + (E2_7_7_7 * C00039 * C00286))</v>
      </c>
    </row>
    <row r="986" spans="1:11" ht="45" customHeight="1" x14ac:dyDescent="0.25">
      <c r="A986" t="s">
        <v>3806</v>
      </c>
      <c r="B986" t="s">
        <v>3807</v>
      </c>
      <c r="C986" s="5" t="s">
        <v>9386</v>
      </c>
      <c r="D986">
        <f t="shared" si="60"/>
        <v>985</v>
      </c>
      <c r="E986" t="str">
        <f t="shared" si="61"/>
        <v>E2_7_7_7</v>
      </c>
      <c r="F986" s="11" t="s">
        <v>13936</v>
      </c>
      <c r="G986" s="11" t="s">
        <v>14539</v>
      </c>
      <c r="H986" s="11" t="s">
        <v>8988</v>
      </c>
      <c r="I986" s="11" t="s">
        <v>9187</v>
      </c>
      <c r="J986" s="12" t="str">
        <f t="shared" si="62"/>
        <v>(${Variables:E2_7_7_7_kcat} * E2_7_7_7 * C00039 * C00458)/(${Variables:E2_7_7_7_km} + (E2_7_7_7 * C00039 * C00458))</v>
      </c>
      <c r="K986" s="11" t="str">
        <f t="shared" si="63"/>
        <v>r985: C00039 + C00458 -&gt; C00013 + C00039 | (${Variables:E2_7_7_7_kcat} * E2_7_7_7 * C00039 * C00458)/(${Variables:E2_7_7_7_km} + (E2_7_7_7 * C00039 * C00458))</v>
      </c>
    </row>
    <row r="987" spans="1:11" ht="45" customHeight="1" x14ac:dyDescent="0.25">
      <c r="A987" t="s">
        <v>3806</v>
      </c>
      <c r="B987" t="s">
        <v>3807</v>
      </c>
      <c r="C987" s="5" t="s">
        <v>9386</v>
      </c>
      <c r="D987">
        <f t="shared" si="60"/>
        <v>986</v>
      </c>
      <c r="E987" t="str">
        <f t="shared" si="61"/>
        <v>E2_7_7_7</v>
      </c>
      <c r="F987" s="11" t="s">
        <v>13937</v>
      </c>
      <c r="G987" s="11" t="s">
        <v>14540</v>
      </c>
      <c r="H987" s="11" t="s">
        <v>8988</v>
      </c>
      <c r="I987" s="11" t="s">
        <v>9187</v>
      </c>
      <c r="J987" s="12" t="str">
        <f t="shared" si="62"/>
        <v>(${Variables:E2_7_7_7_kcat} * E2_7_7_7 * C00039 * C00459)/(${Variables:E2_7_7_7_km} + (E2_7_7_7 * C00039 * C00459))</v>
      </c>
      <c r="K987" s="11" t="str">
        <f t="shared" si="63"/>
        <v>r986: C00039 + C00459 -&gt; C00013 + C00039 | (${Variables:E2_7_7_7_kcat} * E2_7_7_7 * C00039 * C00459)/(${Variables:E2_7_7_7_km} + (E2_7_7_7 * C00039 * C00459))</v>
      </c>
    </row>
    <row r="988" spans="1:11" ht="45" customHeight="1" x14ac:dyDescent="0.25">
      <c r="A988" t="s">
        <v>3806</v>
      </c>
      <c r="B988" t="s">
        <v>3807</v>
      </c>
      <c r="C988" s="5" t="s">
        <v>9386</v>
      </c>
      <c r="D988">
        <f t="shared" si="60"/>
        <v>987</v>
      </c>
      <c r="E988" t="str">
        <f t="shared" si="61"/>
        <v>E2_7_7_7</v>
      </c>
      <c r="F988" s="11" t="s">
        <v>8088</v>
      </c>
      <c r="G988" s="11" t="s">
        <v>8088</v>
      </c>
      <c r="H988" s="11" t="s">
        <v>8391</v>
      </c>
      <c r="I988" s="11" t="s">
        <v>8391</v>
      </c>
      <c r="J988" s="12" t="str">
        <f t="shared" si="62"/>
        <v>(${Variables:E2_7_7_7_kcat} * E2_7_7_7 * C11039)/(${Variables:E2_7_7_7_km} + (E2_7_7_7 * C11039))</v>
      </c>
      <c r="K988" s="11" t="str">
        <f t="shared" si="63"/>
        <v>r987: C11039 -&gt; C21031 | (${Variables:E2_7_7_7_kcat} * E2_7_7_7 * C11039)/(${Variables:E2_7_7_7_km} + (E2_7_7_7 * C11039))</v>
      </c>
    </row>
    <row r="989" spans="1:11" ht="45" customHeight="1" x14ac:dyDescent="0.25">
      <c r="A989" t="s">
        <v>3809</v>
      </c>
      <c r="B989" t="s">
        <v>3810</v>
      </c>
      <c r="C989" s="5" t="s">
        <v>9665</v>
      </c>
      <c r="D989">
        <f t="shared" si="60"/>
        <v>988</v>
      </c>
      <c r="E989" t="str">
        <f t="shared" si="61"/>
        <v>E6_3_4_13</v>
      </c>
      <c r="F989" s="11" t="s">
        <v>14328</v>
      </c>
      <c r="G989" s="11" t="s">
        <v>14931</v>
      </c>
      <c r="H989" s="11" t="s">
        <v>9130</v>
      </c>
      <c r="I989" s="11" t="s">
        <v>9329</v>
      </c>
      <c r="J989" s="12" t="str">
        <f t="shared" si="62"/>
        <v>(${Variables:E6_3_4_13_kcat} * E6_3_4_13 * C00002 * C00037 * C03090)/(${Variables:E6_3_4_13_km} + (E6_3_4_13 * C00002 * C00037 * C03090))</v>
      </c>
      <c r="K989" s="11" t="str">
        <f t="shared" si="63"/>
        <v>r988: C00002 + C00037 + C03090 -&gt; C00008 + C00009 + C03838 | (${Variables:E6_3_4_13_kcat} * E6_3_4_13 * C00002 * C00037 * C03090)/(${Variables:E6_3_4_13_km} + (E6_3_4_13 * C00002 * C00037 * C03090))</v>
      </c>
    </row>
    <row r="990" spans="1:11" ht="45" customHeight="1" x14ac:dyDescent="0.25">
      <c r="A990" t="s">
        <v>3812</v>
      </c>
      <c r="B990" t="s">
        <v>3813</v>
      </c>
      <c r="C990" s="5" t="s">
        <v>9666</v>
      </c>
      <c r="D990">
        <f t="shared" si="60"/>
        <v>989</v>
      </c>
      <c r="E990" t="str">
        <f t="shared" si="61"/>
        <v>E2_1_2_2</v>
      </c>
      <c r="F990" s="11" t="s">
        <v>8768</v>
      </c>
      <c r="G990" s="11" t="s">
        <v>8934</v>
      </c>
      <c r="H990" s="11" t="s">
        <v>9131</v>
      </c>
      <c r="I990" s="11" t="s">
        <v>9330</v>
      </c>
      <c r="J990" s="12" t="str">
        <f t="shared" si="62"/>
        <v>(${Variables:E2_1_2_2_kcat} * E2_1_2_2 * C00234 * C03838)/(${Variables:E2_1_2_2_km} + (E2_1_2_2 * C00234 * C03838))</v>
      </c>
      <c r="K990" s="11" t="str">
        <f t="shared" si="63"/>
        <v>r989: C00234 + C03838 -&gt; C00101 + C04376 | (${Variables:E2_1_2_2_kcat} * E2_1_2_2 * C00234 * C03838)/(${Variables:E2_1_2_2_km} + (E2_1_2_2 * C00234 * C03838))</v>
      </c>
    </row>
    <row r="991" spans="1:11" ht="45" customHeight="1" x14ac:dyDescent="0.25">
      <c r="A991" t="s">
        <v>3812</v>
      </c>
      <c r="B991" t="s">
        <v>3813</v>
      </c>
      <c r="C991" s="5" t="s">
        <v>9666</v>
      </c>
      <c r="D991">
        <f t="shared" si="60"/>
        <v>990</v>
      </c>
      <c r="E991" t="str">
        <f t="shared" si="61"/>
        <v>E2_1_2_2</v>
      </c>
      <c r="F991" s="11" t="s">
        <v>14329</v>
      </c>
      <c r="G991" s="11" t="s">
        <v>14932</v>
      </c>
      <c r="H991" s="11" t="s">
        <v>9131</v>
      </c>
      <c r="I991" s="11" t="s">
        <v>9330</v>
      </c>
      <c r="J991" s="12" t="str">
        <f t="shared" si="62"/>
        <v>(${Variables:E2_1_2_2_kcat} * E2_1_2_2 * C00001 * C00445 * C03838)/(${Variables:E2_1_2_2_km} + (E2_1_2_2 * C00001 * C00445 * C03838))</v>
      </c>
      <c r="K991" s="11" t="str">
        <f t="shared" si="63"/>
        <v>r990: C00001 + C00445 + C03838 -&gt; C00101 + C04376 | (${Variables:E2_1_2_2_kcat} * E2_1_2_2 * C00001 * C00445 * C03838)/(${Variables:E2_1_2_2_km} + (E2_1_2_2 * C00001 * C00445 * C03838))</v>
      </c>
    </row>
    <row r="992" spans="1:11" ht="45" customHeight="1" x14ac:dyDescent="0.25">
      <c r="A992" t="s">
        <v>3818</v>
      </c>
      <c r="B992" t="s">
        <v>3819</v>
      </c>
      <c r="C992" s="5" t="s">
        <v>9667</v>
      </c>
      <c r="D992">
        <f t="shared" si="60"/>
        <v>991</v>
      </c>
      <c r="E992" t="str">
        <f t="shared" si="61"/>
        <v>E5_3_3_10</v>
      </c>
      <c r="F992" s="11" t="s">
        <v>8317</v>
      </c>
      <c r="G992" s="11" t="s">
        <v>8317</v>
      </c>
      <c r="H992" s="11" t="s">
        <v>8255</v>
      </c>
      <c r="I992" s="11" t="s">
        <v>8255</v>
      </c>
      <c r="J992" s="12" t="str">
        <f t="shared" si="62"/>
        <v>(${Variables:E5_3_3_10_kcat} * E5_3_3_10 * C04186)/(${Variables:E5_3_3_10_km} + (E5_3_3_10 * C04186))</v>
      </c>
      <c r="K992" s="11" t="str">
        <f t="shared" si="63"/>
        <v>r991: C04186 -&gt; C04052 | (${Variables:E5_3_3_10_kcat} * E5_3_3_10 * C04186)/(${Variables:E5_3_3_10_km} + (E5_3_3_10 * C04186))</v>
      </c>
    </row>
    <row r="993" spans="1:11" ht="45" customHeight="1" x14ac:dyDescent="0.25">
      <c r="A993" t="s">
        <v>3818</v>
      </c>
      <c r="B993" t="s">
        <v>3819</v>
      </c>
      <c r="C993" s="5" t="s">
        <v>9667</v>
      </c>
      <c r="D993">
        <f t="shared" si="60"/>
        <v>992</v>
      </c>
      <c r="E993" t="str">
        <f t="shared" si="61"/>
        <v>E5_3_3_10</v>
      </c>
      <c r="F993" s="11" t="s">
        <v>8318</v>
      </c>
      <c r="G993" s="11" t="s">
        <v>8318</v>
      </c>
      <c r="H993" s="11" t="s">
        <v>8582</v>
      </c>
      <c r="I993" s="11" t="s">
        <v>8582</v>
      </c>
      <c r="J993" s="12" t="str">
        <f t="shared" si="62"/>
        <v>(${Variables:E5_3_3_10_kcat} * E5_3_3_10 * C05364)/(${Variables:E5_3_3_10_km} + (E5_3_3_10 * C05364))</v>
      </c>
      <c r="K993" s="11" t="str">
        <f t="shared" si="63"/>
        <v>r992: C05364 -&gt; C04324 | (${Variables:E5_3_3_10_kcat} * E5_3_3_10 * C05364)/(${Variables:E5_3_3_10_km} + (E5_3_3_10 * C05364))</v>
      </c>
    </row>
    <row r="994" spans="1:11" ht="45" customHeight="1" x14ac:dyDescent="0.25">
      <c r="A994" t="s">
        <v>3845</v>
      </c>
      <c r="B994" t="s">
        <v>3846</v>
      </c>
      <c r="C994" s="5" t="s">
        <v>9668</v>
      </c>
      <c r="D994">
        <f t="shared" si="60"/>
        <v>993</v>
      </c>
      <c r="E994" t="str">
        <f t="shared" si="61"/>
        <v>E2_5_1_54</v>
      </c>
      <c r="F994" s="11" t="s">
        <v>14330</v>
      </c>
      <c r="G994" s="11" t="s">
        <v>14933</v>
      </c>
      <c r="H994" s="11" t="s">
        <v>15537</v>
      </c>
      <c r="I994" s="11" t="s">
        <v>16158</v>
      </c>
      <c r="J994" s="12" t="str">
        <f t="shared" si="62"/>
        <v>(${Variables:E2_5_1_54_kcat} * E2_5_1_54 * C00001 * C00074 * C00279)/(${Variables:E2_5_1_54_km} + (E2_5_1_54 * C00001 * C00074 * C00279))</v>
      </c>
      <c r="K994" s="11" t="str">
        <f t="shared" si="63"/>
        <v>r993: C00001 + C00074 + C00279 -&gt; C00009 + C04691 | (${Variables:E2_5_1_54_kcat} * E2_5_1_54 * C00001 * C00074 * C00279)/(${Variables:E2_5_1_54_km} + (E2_5_1_54 * C00001 * C00074 * C00279))</v>
      </c>
    </row>
    <row r="995" spans="1:11" ht="45" customHeight="1" x14ac:dyDescent="0.25">
      <c r="A995" t="s">
        <v>3848</v>
      </c>
      <c r="B995" t="s">
        <v>3849</v>
      </c>
      <c r="C995" s="5" t="s">
        <v>9669</v>
      </c>
      <c r="D995">
        <f t="shared" si="60"/>
        <v>994</v>
      </c>
      <c r="E995" t="str">
        <f t="shared" si="61"/>
        <v>E1_3_1_43</v>
      </c>
      <c r="F995" s="11" t="s">
        <v>14331</v>
      </c>
      <c r="G995" s="11" t="s">
        <v>14934</v>
      </c>
      <c r="H995" s="11" t="s">
        <v>15538</v>
      </c>
      <c r="I995" s="11" t="s">
        <v>16159</v>
      </c>
      <c r="J995" s="12" t="str">
        <f t="shared" si="62"/>
        <v>(${Variables:E1_3_1_43_kcat} * E1_3_1_43 * C00003 * C00826)/(${Variables:E1_3_1_43_km} + (E1_3_1_43 * C00003 * C00826))</v>
      </c>
      <c r="K995" s="11" t="str">
        <f t="shared" si="63"/>
        <v>r994: C00003 + C00826 -&gt; C00004 + C00011 + C00080 + C00082 | (${Variables:E1_3_1_43_kcat} * E1_3_1_43 * C00003 * C00826)/(${Variables:E1_3_1_43_km} + (E1_3_1_43 * C00003 * C00826))</v>
      </c>
    </row>
    <row r="996" spans="1:11" ht="45" customHeight="1" x14ac:dyDescent="0.25">
      <c r="A996" t="s">
        <v>3853</v>
      </c>
      <c r="B996" t="s">
        <v>3854</v>
      </c>
      <c r="C996" s="5" t="s">
        <v>9670</v>
      </c>
      <c r="D996">
        <f t="shared" si="60"/>
        <v>995</v>
      </c>
      <c r="E996" t="str">
        <f t="shared" si="61"/>
        <v>E1_1_99_14</v>
      </c>
      <c r="F996" s="11" t="s">
        <v>14332</v>
      </c>
      <c r="G996" s="11" t="s">
        <v>14935</v>
      </c>
      <c r="H996" s="11" t="s">
        <v>15539</v>
      </c>
      <c r="I996" s="11" t="s">
        <v>16160</v>
      </c>
      <c r="J996" s="12" t="str">
        <f t="shared" si="62"/>
        <v>(${Variables:E1_1_99_14_kcat} * E1_1_99_14 * C00028 * C00160)/(${Variables:E1_1_99_14_km} + (E1_1_99_14 * C00028 * C00160))</v>
      </c>
      <c r="K996" s="11" t="str">
        <f t="shared" si="63"/>
        <v>r995: C00028 + C00160 -&gt; C00030 + C00048 | (${Variables:E1_1_99_14_kcat} * E1_1_99_14 * C00028 * C00160)/(${Variables:E1_1_99_14_km} + (E1_1_99_14 * C00028 * C00160))</v>
      </c>
    </row>
    <row r="997" spans="1:11" ht="45" customHeight="1" x14ac:dyDescent="0.25">
      <c r="A997" t="s">
        <v>3857</v>
      </c>
      <c r="B997" t="s">
        <v>3858</v>
      </c>
      <c r="C997" s="5" t="s">
        <v>9577</v>
      </c>
      <c r="D997">
        <f t="shared" si="60"/>
        <v>996</v>
      </c>
      <c r="E997" t="str">
        <f t="shared" si="61"/>
        <v>E2_7_1_4</v>
      </c>
      <c r="F997" s="11" t="s">
        <v>8732</v>
      </c>
      <c r="G997" s="11" t="s">
        <v>8898</v>
      </c>
      <c r="H997" s="11" t="s">
        <v>9091</v>
      </c>
      <c r="I997" s="11" t="s">
        <v>9290</v>
      </c>
      <c r="J997" s="12" t="str">
        <f t="shared" si="62"/>
        <v>(${Variables:E2_7_1_4_kcat} * E2_7_1_4 * C00002 * C00095)/(${Variables:E2_7_1_4_km} + (E2_7_1_4 * C00002 * C00095))</v>
      </c>
      <c r="K997" s="11" t="str">
        <f t="shared" si="63"/>
        <v>r996: C00002 + C00095 -&gt; C00008 + C00085 | (${Variables:E2_7_1_4_kcat} * E2_7_1_4 * C00002 * C00095)/(${Variables:E2_7_1_4_km} + (E2_7_1_4 * C00002 * C00095))</v>
      </c>
    </row>
    <row r="998" spans="1:11" ht="45" customHeight="1" x14ac:dyDescent="0.25">
      <c r="A998" t="s">
        <v>3857</v>
      </c>
      <c r="B998" t="s">
        <v>3858</v>
      </c>
      <c r="C998" s="5" t="s">
        <v>9577</v>
      </c>
      <c r="D998">
        <f t="shared" si="60"/>
        <v>997</v>
      </c>
      <c r="E998" t="str">
        <f t="shared" si="61"/>
        <v>E2_7_1_4</v>
      </c>
      <c r="F998" s="11" t="s">
        <v>8732</v>
      </c>
      <c r="G998" s="11" t="s">
        <v>8898</v>
      </c>
      <c r="H998" s="11" t="s">
        <v>9092</v>
      </c>
      <c r="I998" s="11" t="s">
        <v>9291</v>
      </c>
      <c r="J998" s="12" t="str">
        <f t="shared" si="62"/>
        <v>(${Variables:E2_7_1_4_kcat} * E2_7_1_4 * C00002 * C00095)/(${Variables:E2_7_1_4_km} + (E2_7_1_4 * C00002 * C00095))</v>
      </c>
      <c r="K998" s="11" t="str">
        <f t="shared" si="63"/>
        <v>r997: C00002 + C00095 -&gt; C00008 + C05345 | (${Variables:E2_7_1_4_kcat} * E2_7_1_4 * C00002 * C00095)/(${Variables:E2_7_1_4_km} + (E2_7_1_4 * C00002 * C00095))</v>
      </c>
    </row>
    <row r="999" spans="1:11" ht="45" customHeight="1" x14ac:dyDescent="0.25">
      <c r="A999" t="s">
        <v>3857</v>
      </c>
      <c r="B999" t="s">
        <v>3858</v>
      </c>
      <c r="C999" s="5" t="s">
        <v>9577</v>
      </c>
      <c r="D999">
        <f t="shared" si="60"/>
        <v>998</v>
      </c>
      <c r="E999" t="str">
        <f t="shared" si="61"/>
        <v>E2_7_1_4</v>
      </c>
      <c r="F999" s="11" t="s">
        <v>8733</v>
      </c>
      <c r="G999" s="11" t="s">
        <v>8899</v>
      </c>
      <c r="H999" s="11" t="s">
        <v>9092</v>
      </c>
      <c r="I999" s="11" t="s">
        <v>9291</v>
      </c>
      <c r="J999" s="12" t="str">
        <f t="shared" si="62"/>
        <v>(${Variables:E2_7_1_4_kcat} * E2_7_1_4 * C00002 * C02336)/(${Variables:E2_7_1_4_km} + (E2_7_1_4 * C00002 * C02336))</v>
      </c>
      <c r="K999" s="11" t="str">
        <f t="shared" si="63"/>
        <v>r998: C00002 + C02336 -&gt; C00008 + C05345 | (${Variables:E2_7_1_4_kcat} * E2_7_1_4 * C00002 * C02336)/(${Variables:E2_7_1_4_km} + (E2_7_1_4 * C00002 * C02336))</v>
      </c>
    </row>
    <row r="1000" spans="1:11" ht="45" customHeight="1" x14ac:dyDescent="0.25">
      <c r="A1000" t="s">
        <v>3874</v>
      </c>
      <c r="B1000" t="s">
        <v>3875</v>
      </c>
      <c r="C1000" s="5" t="s">
        <v>9423</v>
      </c>
      <c r="D1000">
        <f t="shared" si="60"/>
        <v>999</v>
      </c>
      <c r="E1000" t="str">
        <f t="shared" si="61"/>
        <v>E2_3_1_1</v>
      </c>
      <c r="F1000" s="11" t="s">
        <v>8676</v>
      </c>
      <c r="G1000" s="11" t="s">
        <v>8842</v>
      </c>
      <c r="H1000" s="11" t="s">
        <v>9004</v>
      </c>
      <c r="I1000" s="11" t="s">
        <v>9203</v>
      </c>
      <c r="J1000" s="12" t="str">
        <f t="shared" si="62"/>
        <v>(${Variables:E2_3_1_1_kcat} * E2_3_1_1 * C00024 * C00025)/(${Variables:E2_3_1_1_km} + (E2_3_1_1 * C00024 * C00025))</v>
      </c>
      <c r="K1000" s="11" t="str">
        <f t="shared" si="63"/>
        <v>r999: C00024 + C00025 -&gt; C00010 + C00624 | (${Variables:E2_3_1_1_kcat} * E2_3_1_1 * C00024 * C00025)/(${Variables:E2_3_1_1_km} + (E2_3_1_1 * C00024 * C00025))</v>
      </c>
    </row>
    <row r="1001" spans="1:11" ht="45" customHeight="1" x14ac:dyDescent="0.25">
      <c r="A1001" t="s">
        <v>3877</v>
      </c>
      <c r="B1001" t="s">
        <v>3878</v>
      </c>
      <c r="C1001" s="5" t="s">
        <v>9671</v>
      </c>
      <c r="D1001">
        <f t="shared" si="60"/>
        <v>1000</v>
      </c>
      <c r="E1001" t="str">
        <f t="shared" si="61"/>
        <v>E1_3_8_6</v>
      </c>
      <c r="F1001" s="11" t="s">
        <v>8769</v>
      </c>
      <c r="G1001" s="11" t="s">
        <v>8935</v>
      </c>
      <c r="H1001" s="11" t="s">
        <v>15540</v>
      </c>
      <c r="I1001" s="11" t="s">
        <v>16161</v>
      </c>
      <c r="J1001" s="12" t="str">
        <f t="shared" si="62"/>
        <v>(${Variables:E1_3_8_6_kcat} * E1_3_8_6 * C00527 * C04253)/(${Variables:E1_3_8_6_km} + (E1_3_8_6 * C00527 * C04253))</v>
      </c>
      <c r="K1001" s="11" t="str">
        <f t="shared" si="63"/>
        <v>r1000: C00527 + C04253 -&gt; C00011 + C00877 + C04570 | (${Variables:E1_3_8_6_kcat} * E1_3_8_6 * C00527 * C04253)/(${Variables:E1_3_8_6_km} + (E1_3_8_6 * C00527 * C04253))</v>
      </c>
    </row>
    <row r="1002" spans="1:11" ht="45" customHeight="1" x14ac:dyDescent="0.25">
      <c r="A1002" t="s">
        <v>3877</v>
      </c>
      <c r="B1002" t="s">
        <v>3878</v>
      </c>
      <c r="C1002" s="5" t="s">
        <v>9671</v>
      </c>
      <c r="D1002">
        <f t="shared" si="60"/>
        <v>1001</v>
      </c>
      <c r="E1002" t="str">
        <f t="shared" si="61"/>
        <v>E1_3_8_6</v>
      </c>
      <c r="F1002" s="11" t="s">
        <v>14333</v>
      </c>
      <c r="G1002" s="11" t="s">
        <v>14936</v>
      </c>
      <c r="H1002" s="11" t="s">
        <v>15541</v>
      </c>
      <c r="I1002" s="11" t="s">
        <v>16162</v>
      </c>
      <c r="J1002" s="12" t="str">
        <f t="shared" si="62"/>
        <v>(${Variables:E1_3_8_6_kcat} * E1_3_8_6 * C00016 * C00527)/(${Variables:E1_3_8_6_km} + (E1_3_8_6 * C00016 * C00527))</v>
      </c>
      <c r="K1002" s="11" t="str">
        <f t="shared" si="63"/>
        <v>r1001: C00016 + C00527 -&gt; C00011 + C00877 + C01352 | (${Variables:E1_3_8_6_kcat} * E1_3_8_6 * C00016 * C00527)/(${Variables:E1_3_8_6_km} + (E1_3_8_6 * C00016 * C00527))</v>
      </c>
    </row>
    <row r="1003" spans="1:11" ht="45" customHeight="1" x14ac:dyDescent="0.25">
      <c r="A1003" t="s">
        <v>3877</v>
      </c>
      <c r="B1003" t="s">
        <v>3878</v>
      </c>
      <c r="C1003" s="5" t="s">
        <v>9671</v>
      </c>
      <c r="D1003">
        <f t="shared" si="60"/>
        <v>1002</v>
      </c>
      <c r="E1003" t="str">
        <f t="shared" si="61"/>
        <v>E1_3_8_6</v>
      </c>
      <c r="F1003" s="11" t="s">
        <v>8320</v>
      </c>
      <c r="G1003" s="11" t="s">
        <v>8320</v>
      </c>
      <c r="H1003" s="11" t="s">
        <v>15542</v>
      </c>
      <c r="I1003" s="11" t="s">
        <v>16163</v>
      </c>
      <c r="J1003" s="12" t="str">
        <f t="shared" si="62"/>
        <v>(${Variables:E1_3_8_6_kcat} * E1_3_8_6 * C02411)/(${Variables:E1_3_8_6_km} + (E1_3_8_6 * C02411))</v>
      </c>
      <c r="K1003" s="11" t="str">
        <f t="shared" si="63"/>
        <v>r1002: C02411 -&gt; C00011 + C00877 | (${Variables:E1_3_8_6_kcat} * E1_3_8_6 * C02411)/(${Variables:E1_3_8_6_km} + (E1_3_8_6 * C02411))</v>
      </c>
    </row>
    <row r="1004" spans="1:11" ht="45" customHeight="1" x14ac:dyDescent="0.25">
      <c r="A1004" t="s">
        <v>3877</v>
      </c>
      <c r="B1004" t="s">
        <v>3878</v>
      </c>
      <c r="C1004" s="5" t="s">
        <v>9671</v>
      </c>
      <c r="D1004">
        <f t="shared" si="60"/>
        <v>1003</v>
      </c>
      <c r="E1004" t="str">
        <f t="shared" si="61"/>
        <v>E1_3_8_6</v>
      </c>
      <c r="F1004" s="11" t="s">
        <v>8769</v>
      </c>
      <c r="G1004" s="11" t="s">
        <v>8935</v>
      </c>
      <c r="H1004" s="11" t="s">
        <v>9132</v>
      </c>
      <c r="I1004" s="11" t="s">
        <v>9331</v>
      </c>
      <c r="J1004" s="12" t="str">
        <f t="shared" si="62"/>
        <v>(${Variables:E1_3_8_6_kcat} * E1_3_8_6 * C00527 * C04253)/(${Variables:E1_3_8_6_km} + (E1_3_8_6 * C00527 * C04253))</v>
      </c>
      <c r="K1004" s="11" t="str">
        <f t="shared" si="63"/>
        <v>r1003: C00527 + C04253 -&gt; C02411 + C04570 | (${Variables:E1_3_8_6_kcat} * E1_3_8_6 * C00527 * C04253)/(${Variables:E1_3_8_6_km} + (E1_3_8_6 * C00527 * C04253))</v>
      </c>
    </row>
    <row r="1005" spans="1:11" ht="45" customHeight="1" x14ac:dyDescent="0.25">
      <c r="A1005" t="s">
        <v>3880</v>
      </c>
      <c r="B1005" t="s">
        <v>3881</v>
      </c>
      <c r="C1005" s="5" t="s">
        <v>9386</v>
      </c>
      <c r="D1005">
        <f t="shared" si="60"/>
        <v>1004</v>
      </c>
      <c r="E1005" t="str">
        <f t="shared" si="61"/>
        <v>E2_7_7_7</v>
      </c>
      <c r="F1005" s="11" t="s">
        <v>13933</v>
      </c>
      <c r="G1005" s="11" t="s">
        <v>14536</v>
      </c>
      <c r="H1005" s="11" t="s">
        <v>8988</v>
      </c>
      <c r="I1005" s="11" t="s">
        <v>9187</v>
      </c>
      <c r="J1005" s="12" t="str">
        <f t="shared" si="62"/>
        <v>(${Variables:E2_7_7_7_kcat} * E2_7_7_7 * C00039 * C00677)/(${Variables:E2_7_7_7_km} + (E2_7_7_7 * C00039 * C00677))</v>
      </c>
      <c r="K1005" s="11" t="str">
        <f t="shared" si="63"/>
        <v>r1004: C00039 + C00677 -&gt; C00013 + C00039 | (${Variables:E2_7_7_7_kcat} * E2_7_7_7 * C00039 * C00677)/(${Variables:E2_7_7_7_km} + (E2_7_7_7 * C00039 * C00677))</v>
      </c>
    </row>
    <row r="1006" spans="1:11" ht="45" customHeight="1" x14ac:dyDescent="0.25">
      <c r="A1006" t="s">
        <v>3880</v>
      </c>
      <c r="B1006" t="s">
        <v>3881</v>
      </c>
      <c r="C1006" s="5" t="s">
        <v>9386</v>
      </c>
      <c r="D1006">
        <f t="shared" si="60"/>
        <v>1005</v>
      </c>
      <c r="E1006" t="str">
        <f t="shared" si="61"/>
        <v>E2_7_7_7</v>
      </c>
      <c r="F1006" s="11" t="s">
        <v>13934</v>
      </c>
      <c r="G1006" s="11" t="s">
        <v>14537</v>
      </c>
      <c r="H1006" s="11" t="s">
        <v>8988</v>
      </c>
      <c r="I1006" s="11" t="s">
        <v>9187</v>
      </c>
      <c r="J1006" s="12" t="str">
        <f t="shared" si="62"/>
        <v>(${Variables:E2_7_7_7_kcat} * E2_7_7_7 * C00039 * C00131)/(${Variables:E2_7_7_7_km} + (E2_7_7_7 * C00039 * C00131))</v>
      </c>
      <c r="K1006" s="11" t="str">
        <f t="shared" si="63"/>
        <v>r1005: C00039 + C00131 -&gt; C00013 + C00039 | (${Variables:E2_7_7_7_kcat} * E2_7_7_7 * C00039 * C00131)/(${Variables:E2_7_7_7_km} + (E2_7_7_7 * C00039 * C00131))</v>
      </c>
    </row>
    <row r="1007" spans="1:11" ht="45" customHeight="1" x14ac:dyDescent="0.25">
      <c r="A1007" t="s">
        <v>3880</v>
      </c>
      <c r="B1007" t="s">
        <v>3881</v>
      </c>
      <c r="C1007" s="5" t="s">
        <v>9386</v>
      </c>
      <c r="D1007">
        <f t="shared" si="60"/>
        <v>1006</v>
      </c>
      <c r="E1007" t="str">
        <f t="shared" si="61"/>
        <v>E2_7_7_7</v>
      </c>
      <c r="F1007" s="11" t="s">
        <v>13935</v>
      </c>
      <c r="G1007" s="11" t="s">
        <v>14538</v>
      </c>
      <c r="H1007" s="11" t="s">
        <v>8988</v>
      </c>
      <c r="I1007" s="11" t="s">
        <v>9187</v>
      </c>
      <c r="J1007" s="12" t="str">
        <f t="shared" si="62"/>
        <v>(${Variables:E2_7_7_7_kcat} * E2_7_7_7 * C00039 * C00286)/(${Variables:E2_7_7_7_km} + (E2_7_7_7 * C00039 * C00286))</v>
      </c>
      <c r="K1007" s="11" t="str">
        <f t="shared" si="63"/>
        <v>r1006: C00039 + C00286 -&gt; C00013 + C00039 | (${Variables:E2_7_7_7_kcat} * E2_7_7_7 * C00039 * C00286)/(${Variables:E2_7_7_7_km} + (E2_7_7_7 * C00039 * C00286))</v>
      </c>
    </row>
    <row r="1008" spans="1:11" ht="45" customHeight="1" x14ac:dyDescent="0.25">
      <c r="A1008" t="s">
        <v>3880</v>
      </c>
      <c r="B1008" t="s">
        <v>3881</v>
      </c>
      <c r="C1008" s="5" t="s">
        <v>9386</v>
      </c>
      <c r="D1008">
        <f t="shared" si="60"/>
        <v>1007</v>
      </c>
      <c r="E1008" t="str">
        <f t="shared" si="61"/>
        <v>E2_7_7_7</v>
      </c>
      <c r="F1008" s="11" t="s">
        <v>13936</v>
      </c>
      <c r="G1008" s="11" t="s">
        <v>14539</v>
      </c>
      <c r="H1008" s="11" t="s">
        <v>8988</v>
      </c>
      <c r="I1008" s="11" t="s">
        <v>9187</v>
      </c>
      <c r="J1008" s="12" t="str">
        <f t="shared" si="62"/>
        <v>(${Variables:E2_7_7_7_kcat} * E2_7_7_7 * C00039 * C00458)/(${Variables:E2_7_7_7_km} + (E2_7_7_7 * C00039 * C00458))</v>
      </c>
      <c r="K1008" s="11" t="str">
        <f t="shared" si="63"/>
        <v>r1007: C00039 + C00458 -&gt; C00013 + C00039 | (${Variables:E2_7_7_7_kcat} * E2_7_7_7 * C00039 * C00458)/(${Variables:E2_7_7_7_km} + (E2_7_7_7 * C00039 * C00458))</v>
      </c>
    </row>
    <row r="1009" spans="1:11" ht="45" customHeight="1" x14ac:dyDescent="0.25">
      <c r="A1009" t="s">
        <v>3880</v>
      </c>
      <c r="B1009" t="s">
        <v>3881</v>
      </c>
      <c r="C1009" s="5" t="s">
        <v>9386</v>
      </c>
      <c r="D1009">
        <f t="shared" si="60"/>
        <v>1008</v>
      </c>
      <c r="E1009" t="str">
        <f t="shared" si="61"/>
        <v>E2_7_7_7</v>
      </c>
      <c r="F1009" s="11" t="s">
        <v>13937</v>
      </c>
      <c r="G1009" s="11" t="s">
        <v>14540</v>
      </c>
      <c r="H1009" s="11" t="s">
        <v>8988</v>
      </c>
      <c r="I1009" s="11" t="s">
        <v>9187</v>
      </c>
      <c r="J1009" s="12" t="str">
        <f t="shared" si="62"/>
        <v>(${Variables:E2_7_7_7_kcat} * E2_7_7_7 * C00039 * C00459)/(${Variables:E2_7_7_7_km} + (E2_7_7_7 * C00039 * C00459))</v>
      </c>
      <c r="K1009" s="11" t="str">
        <f t="shared" si="63"/>
        <v>r1008: C00039 + C00459 -&gt; C00013 + C00039 | (${Variables:E2_7_7_7_kcat} * E2_7_7_7 * C00039 * C00459)/(${Variables:E2_7_7_7_km} + (E2_7_7_7 * C00039 * C00459))</v>
      </c>
    </row>
    <row r="1010" spans="1:11" ht="45" customHeight="1" x14ac:dyDescent="0.25">
      <c r="A1010" t="s">
        <v>3880</v>
      </c>
      <c r="B1010" t="s">
        <v>3881</v>
      </c>
      <c r="C1010" s="5" t="s">
        <v>9386</v>
      </c>
      <c r="D1010">
        <f t="shared" si="60"/>
        <v>1009</v>
      </c>
      <c r="E1010" t="str">
        <f t="shared" si="61"/>
        <v>E2_7_7_7</v>
      </c>
      <c r="F1010" s="11" t="s">
        <v>8088</v>
      </c>
      <c r="G1010" s="11" t="s">
        <v>8088</v>
      </c>
      <c r="H1010" s="11" t="s">
        <v>8391</v>
      </c>
      <c r="I1010" s="11" t="s">
        <v>8391</v>
      </c>
      <c r="J1010" s="12" t="str">
        <f t="shared" si="62"/>
        <v>(${Variables:E2_7_7_7_kcat} * E2_7_7_7 * C11039)/(${Variables:E2_7_7_7_km} + (E2_7_7_7 * C11039))</v>
      </c>
      <c r="K1010" s="11" t="str">
        <f t="shared" si="63"/>
        <v>r1009: C11039 -&gt; C21031 | (${Variables:E2_7_7_7_kcat} * E2_7_7_7 * C11039)/(${Variables:E2_7_7_7_km} + (E2_7_7_7 * C11039))</v>
      </c>
    </row>
    <row r="1011" spans="1:11" ht="45" customHeight="1" x14ac:dyDescent="0.25">
      <c r="A1011" t="s">
        <v>3889</v>
      </c>
      <c r="B1011" t="s">
        <v>3890</v>
      </c>
      <c r="C1011" s="5" t="s">
        <v>9672</v>
      </c>
      <c r="D1011">
        <f t="shared" si="60"/>
        <v>1010</v>
      </c>
      <c r="E1011" t="str">
        <f t="shared" si="61"/>
        <v>E1_1_1_79</v>
      </c>
      <c r="F1011" s="11" t="s">
        <v>14334</v>
      </c>
      <c r="G1011" s="11" t="s">
        <v>14937</v>
      </c>
      <c r="H1011" s="11" t="s">
        <v>15543</v>
      </c>
      <c r="I1011" s="11" t="s">
        <v>16164</v>
      </c>
      <c r="J1011" s="12" t="str">
        <f t="shared" si="62"/>
        <v>(${Variables:E1_1_1_79_kcat} * E1_1_1_79 * C00006 * C00160)/(${Variables:E1_1_1_79_km} + (E1_1_1_79 * C00006 * C00160))</v>
      </c>
      <c r="K1011" s="11" t="str">
        <f t="shared" si="63"/>
        <v>r1010: C00006 + C00160 -&gt; C00005 + C00048 + C00080 | (${Variables:E1_1_1_79_kcat} * E1_1_1_79 * C00006 * C00160)/(${Variables:E1_1_1_79_km} + (E1_1_1_79 * C00006 * C00160))</v>
      </c>
    </row>
    <row r="1012" spans="1:11" ht="45" customHeight="1" x14ac:dyDescent="0.25">
      <c r="A1012" t="s">
        <v>3889</v>
      </c>
      <c r="B1012" t="s">
        <v>3890</v>
      </c>
      <c r="C1012" s="5" t="s">
        <v>9672</v>
      </c>
      <c r="D1012">
        <f t="shared" si="60"/>
        <v>1011</v>
      </c>
      <c r="E1012" t="str">
        <f t="shared" si="61"/>
        <v>E1_1_1_79</v>
      </c>
      <c r="F1012" s="11" t="s">
        <v>14335</v>
      </c>
      <c r="G1012" s="11" t="s">
        <v>14938</v>
      </c>
      <c r="H1012" s="11" t="s">
        <v>15544</v>
      </c>
      <c r="I1012" s="11" t="s">
        <v>16165</v>
      </c>
      <c r="J1012" s="12" t="str">
        <f t="shared" si="62"/>
        <v>(${Variables:E1_1_1_79_kcat} * E1_1_1_79 * C00006 * C00258)/(${Variables:E1_1_1_79_km} + (E1_1_1_79 * C00006 * C00258))</v>
      </c>
      <c r="K1012" s="11" t="str">
        <f t="shared" si="63"/>
        <v>r1011: C00006 + C00258 -&gt; C00005 + C00080 + C00168 | (${Variables:E1_1_1_79_kcat} * E1_1_1_79 * C00006 * C00258)/(${Variables:E1_1_1_79_km} + (E1_1_1_79 * C00006 * C00258))</v>
      </c>
    </row>
    <row r="1013" spans="1:11" ht="45" customHeight="1" x14ac:dyDescent="0.25">
      <c r="A1013" t="s">
        <v>3889</v>
      </c>
      <c r="B1013" t="s">
        <v>3890</v>
      </c>
      <c r="C1013" s="5" t="s">
        <v>9672</v>
      </c>
      <c r="D1013">
        <f t="shared" si="60"/>
        <v>1012</v>
      </c>
      <c r="E1013" t="str">
        <f t="shared" si="61"/>
        <v>E1_1_1_79</v>
      </c>
      <c r="F1013" s="11" t="s">
        <v>14336</v>
      </c>
      <c r="G1013" s="11" t="s">
        <v>14939</v>
      </c>
      <c r="H1013" s="11" t="s">
        <v>15545</v>
      </c>
      <c r="I1013" s="11" t="s">
        <v>16166</v>
      </c>
      <c r="J1013" s="12" t="str">
        <f t="shared" si="62"/>
        <v>(${Variables:E1_1_1_79_kcat} * E1_1_1_79 * C00003 * C00937)/(${Variables:E1_1_1_79_km} + (E1_1_1_79 * C00003 * C00937))</v>
      </c>
      <c r="K1013" s="11" t="str">
        <f t="shared" si="63"/>
        <v>r1012: C00003 + C00937 -&gt; C00004 + C00080 + C00546 | (${Variables:E1_1_1_79_kcat} * E1_1_1_79 * C00003 * C00937)/(${Variables:E1_1_1_79_km} + (E1_1_1_79 * C00003 * C00937))</v>
      </c>
    </row>
    <row r="1014" spans="1:11" ht="45" customHeight="1" x14ac:dyDescent="0.25">
      <c r="A1014" t="s">
        <v>3897</v>
      </c>
      <c r="B1014" t="s">
        <v>3898</v>
      </c>
      <c r="C1014" s="5" t="s">
        <v>9501</v>
      </c>
      <c r="D1014">
        <f t="shared" si="60"/>
        <v>1013</v>
      </c>
      <c r="E1014" t="str">
        <f t="shared" si="61"/>
        <v>E2_4_2_9</v>
      </c>
      <c r="F1014" s="11" t="s">
        <v>14088</v>
      </c>
      <c r="G1014" s="11" t="s">
        <v>14691</v>
      </c>
      <c r="H1014" s="11" t="s">
        <v>9057</v>
      </c>
      <c r="I1014" s="11" t="s">
        <v>9256</v>
      </c>
      <c r="J1014" s="12" t="str">
        <f t="shared" si="62"/>
        <v>(${Variables:E2_4_2_9_kcat} * E2_4_2_9 * C00013 * C00105)/(${Variables:E2_4_2_9_km} + (E2_4_2_9 * C00013 * C00105))</v>
      </c>
      <c r="K1014" s="11" t="str">
        <f t="shared" si="63"/>
        <v>r1013: C00013 + C00105 -&gt; C00106 + C00119 | (${Variables:E2_4_2_9_kcat} * E2_4_2_9 * C00013 * C00105)/(${Variables:E2_4_2_9_km} + (E2_4_2_9 * C00013 * C00105))</v>
      </c>
    </row>
    <row r="1015" spans="1:11" ht="45" customHeight="1" x14ac:dyDescent="0.25">
      <c r="A1015" t="s">
        <v>3900</v>
      </c>
      <c r="B1015" t="s">
        <v>3901</v>
      </c>
      <c r="C1015" s="5" t="s">
        <v>9673</v>
      </c>
      <c r="D1015">
        <f t="shared" si="60"/>
        <v>1014</v>
      </c>
      <c r="E1015" t="str">
        <f t="shared" si="61"/>
        <v>E2_1_3_2</v>
      </c>
      <c r="F1015" s="11" t="s">
        <v>14337</v>
      </c>
      <c r="G1015" s="11" t="s">
        <v>14940</v>
      </c>
      <c r="H1015" s="11" t="s">
        <v>9133</v>
      </c>
      <c r="I1015" s="11" t="s">
        <v>9332</v>
      </c>
      <c r="J1015" s="12" t="str">
        <f t="shared" si="62"/>
        <v>(${Variables:E2_1_3_2_kcat} * E2_1_3_2 * C00049 * C00169)/(${Variables:E2_1_3_2_km} + (E2_1_3_2 * C00049 * C00169))</v>
      </c>
      <c r="K1015" s="11" t="str">
        <f t="shared" si="63"/>
        <v>r1014: C00049 + C00169 -&gt; C00009 + C00438 | (${Variables:E2_1_3_2_kcat} * E2_1_3_2 * C00049 * C00169)/(${Variables:E2_1_3_2_km} + (E2_1_3_2 * C00049 * C00169))</v>
      </c>
    </row>
    <row r="1016" spans="1:11" ht="45" customHeight="1" x14ac:dyDescent="0.25">
      <c r="A1016" t="s">
        <v>3903</v>
      </c>
      <c r="B1016" t="s">
        <v>3904</v>
      </c>
      <c r="C1016" s="5" t="s">
        <v>9674</v>
      </c>
      <c r="D1016">
        <f t="shared" si="60"/>
        <v>1015</v>
      </c>
      <c r="E1016" t="str">
        <f t="shared" si="61"/>
        <v>E3_5_2_3</v>
      </c>
      <c r="F1016" s="11" t="s">
        <v>14338</v>
      </c>
      <c r="G1016" s="11" t="s">
        <v>14941</v>
      </c>
      <c r="H1016" s="11" t="s">
        <v>8585</v>
      </c>
      <c r="I1016" s="11" t="s">
        <v>8585</v>
      </c>
      <c r="J1016" s="12" t="str">
        <f t="shared" si="62"/>
        <v>(${Variables:E3_5_2_3_kcat} * E3_5_2_3 * C00001 * C00337)/(${Variables:E3_5_2_3_km} + (E3_5_2_3 * C00001 * C00337))</v>
      </c>
      <c r="K1016" s="11" t="str">
        <f t="shared" si="63"/>
        <v>r1015: C00001 + C00337 -&gt; C00438 | (${Variables:E3_5_2_3_kcat} * E3_5_2_3 * C00001 * C00337)/(${Variables:E3_5_2_3_km} + (E3_5_2_3 * C00001 * C00337))</v>
      </c>
    </row>
    <row r="1017" spans="1:11" ht="45" customHeight="1" x14ac:dyDescent="0.25">
      <c r="A1017" t="s">
        <v>3908</v>
      </c>
      <c r="B1017" t="s">
        <v>3909</v>
      </c>
      <c r="C1017" s="5" t="s">
        <v>9675</v>
      </c>
      <c r="D1017">
        <f t="shared" si="60"/>
        <v>1016</v>
      </c>
      <c r="E1017" t="str">
        <f t="shared" si="61"/>
        <v>E1_3_98_1</v>
      </c>
      <c r="F1017" s="11" t="s">
        <v>14339</v>
      </c>
      <c r="G1017" s="11" t="s">
        <v>14942</v>
      </c>
      <c r="H1017" s="11" t="s">
        <v>15546</v>
      </c>
      <c r="I1017" s="11" t="s">
        <v>16167</v>
      </c>
      <c r="J1017" s="12" t="str">
        <f t="shared" si="62"/>
        <v>(${Variables:E1_3_98_1_kcat} * E1_3_98_1 * C00122 * C00337)/(${Variables:E1_3_98_1_km} + (E1_3_98_1 * C00122 * C00337))</v>
      </c>
      <c r="K1017" s="11" t="str">
        <f t="shared" si="63"/>
        <v>r1016: C00122 + C00337 -&gt; C00042 + C00295 | (${Variables:E1_3_98_1_kcat} * E1_3_98_1 * C00122 * C00337)/(${Variables:E1_3_98_1_km} + (E1_3_98_1 * C00122 * C00337))</v>
      </c>
    </row>
    <row r="1018" spans="1:11" ht="45" customHeight="1" x14ac:dyDescent="0.25">
      <c r="A1018" t="s">
        <v>3932</v>
      </c>
      <c r="B1018" t="s">
        <v>3933</v>
      </c>
      <c r="C1018" s="5" t="s">
        <v>9676</v>
      </c>
      <c r="D1018">
        <f t="shared" si="60"/>
        <v>1017</v>
      </c>
      <c r="E1018" t="str">
        <f t="shared" si="61"/>
        <v>E1_1_1_42</v>
      </c>
      <c r="F1018" s="11" t="s">
        <v>14340</v>
      </c>
      <c r="G1018" s="11" t="s">
        <v>14943</v>
      </c>
      <c r="H1018" s="11" t="s">
        <v>15547</v>
      </c>
      <c r="I1018" s="11" t="s">
        <v>16168</v>
      </c>
      <c r="J1018" s="12" t="str">
        <f t="shared" si="62"/>
        <v>(${Variables:E1_1_1_42_kcat} * E1_1_1_42 * C00006 * C00311)/(${Variables:E1_1_1_42_km} + (E1_1_1_42 * C00006 * C00311))</v>
      </c>
      <c r="K1018" s="11" t="str">
        <f t="shared" si="63"/>
        <v>r1017: C00006 + C00311 -&gt; C00005 + C00011 + C00026 + C00080 | (${Variables:E1_1_1_42_kcat} * E1_1_1_42 * C00006 * C00311)/(${Variables:E1_1_1_42_km} + (E1_1_1_42 * C00006 * C00311))</v>
      </c>
    </row>
    <row r="1019" spans="1:11" ht="45" customHeight="1" x14ac:dyDescent="0.25">
      <c r="A1019" t="s">
        <v>3932</v>
      </c>
      <c r="B1019" t="s">
        <v>3933</v>
      </c>
      <c r="C1019" s="5" t="s">
        <v>9676</v>
      </c>
      <c r="D1019">
        <f t="shared" si="60"/>
        <v>1018</v>
      </c>
      <c r="E1019" t="str">
        <f t="shared" si="61"/>
        <v>E1_1_1_42</v>
      </c>
      <c r="F1019" s="11" t="s">
        <v>8321</v>
      </c>
      <c r="G1019" s="11" t="s">
        <v>8321</v>
      </c>
      <c r="H1019" s="11" t="s">
        <v>15548</v>
      </c>
      <c r="I1019" s="11" t="s">
        <v>16169</v>
      </c>
      <c r="J1019" s="12" t="str">
        <f t="shared" si="62"/>
        <v>(${Variables:E1_1_1_42_kcat} * E1_1_1_42 * C05379)/(${Variables:E1_1_1_42_km} + (E1_1_1_42 * C05379))</v>
      </c>
      <c r="K1019" s="11" t="str">
        <f t="shared" si="63"/>
        <v>r1018: C05379 -&gt; C00011 + C00026 | (${Variables:E1_1_1_42_kcat} * E1_1_1_42 * C05379)/(${Variables:E1_1_1_42_km} + (E1_1_1_42 * C05379))</v>
      </c>
    </row>
    <row r="1020" spans="1:11" ht="45" customHeight="1" x14ac:dyDescent="0.25">
      <c r="A1020" t="s">
        <v>3932</v>
      </c>
      <c r="B1020" t="s">
        <v>3933</v>
      </c>
      <c r="C1020" s="5" t="s">
        <v>9676</v>
      </c>
      <c r="D1020">
        <f t="shared" si="60"/>
        <v>1019</v>
      </c>
      <c r="E1020" t="str">
        <f t="shared" si="61"/>
        <v>E1_1_1_42</v>
      </c>
      <c r="F1020" s="11" t="s">
        <v>14340</v>
      </c>
      <c r="G1020" s="11" t="s">
        <v>14943</v>
      </c>
      <c r="H1020" s="11" t="s">
        <v>15549</v>
      </c>
      <c r="I1020" s="11" t="s">
        <v>16170</v>
      </c>
      <c r="J1020" s="12" t="str">
        <f t="shared" si="62"/>
        <v>(${Variables:E1_1_1_42_kcat} * E1_1_1_42 * C00006 * C00311)/(${Variables:E1_1_1_42_km} + (E1_1_1_42 * C00006 * C00311))</v>
      </c>
      <c r="K1020" s="11" t="str">
        <f t="shared" si="63"/>
        <v>r1019: C00006 + C00311 -&gt; C00005 + C00080 + C05379 | (${Variables:E1_1_1_42_kcat} * E1_1_1_42 * C00006 * C00311)/(${Variables:E1_1_1_42_km} + (E1_1_1_42 * C00006 * C00311))</v>
      </c>
    </row>
    <row r="1021" spans="1:11" ht="45" customHeight="1" x14ac:dyDescent="0.25">
      <c r="A1021" t="s">
        <v>3959</v>
      </c>
      <c r="B1021" t="s">
        <v>3960</v>
      </c>
      <c r="C1021" s="5" t="s">
        <v>9677</v>
      </c>
      <c r="D1021">
        <f t="shared" si="60"/>
        <v>1020</v>
      </c>
      <c r="E1021" t="str">
        <f t="shared" si="61"/>
        <v>E6_1_1_19</v>
      </c>
      <c r="F1021" s="11" t="s">
        <v>8770</v>
      </c>
      <c r="G1021" s="11" t="s">
        <v>8936</v>
      </c>
      <c r="H1021" s="11" t="s">
        <v>15550</v>
      </c>
      <c r="I1021" s="11" t="s">
        <v>16171</v>
      </c>
      <c r="J1021" s="12" t="str">
        <f t="shared" si="62"/>
        <v>(${Variables:E6_1_1_19_kcat} * E6_1_1_19 * C00002 * C00062 * C01636)/(${Variables:E6_1_1_19_km} + (E6_1_1_19 * C00002 * C00062 * C01636))</v>
      </c>
      <c r="K1021" s="11" t="str">
        <f t="shared" si="63"/>
        <v>r1020: C00002 + C00062 + C01636 -&gt; C00013 + C00020 + C02163 | (${Variables:E6_1_1_19_kcat} * E6_1_1_19 * C00002 * C00062 * C01636)/(${Variables:E6_1_1_19_km} + (E6_1_1_19 * C00002 * C00062 * C01636))</v>
      </c>
    </row>
    <row r="1022" spans="1:11" ht="45" customHeight="1" x14ac:dyDescent="0.25">
      <c r="A1022" t="s">
        <v>3965</v>
      </c>
      <c r="B1022" t="s">
        <v>3966</v>
      </c>
      <c r="C1022" s="5" t="s">
        <v>9678</v>
      </c>
      <c r="D1022">
        <f t="shared" si="60"/>
        <v>1021</v>
      </c>
      <c r="E1022" t="str">
        <f t="shared" si="61"/>
        <v>E2_7_1_76</v>
      </c>
      <c r="F1022" s="11" t="s">
        <v>8771</v>
      </c>
      <c r="G1022" s="11" t="s">
        <v>8937</v>
      </c>
      <c r="H1022" s="11" t="s">
        <v>9134</v>
      </c>
      <c r="I1022" s="11" t="s">
        <v>9333</v>
      </c>
      <c r="J1022" s="12" t="str">
        <f t="shared" si="62"/>
        <v>(${Variables:E2_7_1_76_kcat} * E2_7_1_76 * C00002 * C00559)/(${Variables:E2_7_1_76_km} + (E2_7_1_76 * C00002 * C00559))</v>
      </c>
      <c r="K1022" s="11" t="str">
        <f t="shared" si="63"/>
        <v>r1021: C00002 + C00559 -&gt; C00008 + C00360 | (${Variables:E2_7_1_76_kcat} * E2_7_1_76 * C00002 * C00559)/(${Variables:E2_7_1_76_km} + (E2_7_1_76 * C00002 * C00559))</v>
      </c>
    </row>
    <row r="1023" spans="1:11" ht="45" customHeight="1" x14ac:dyDescent="0.25">
      <c r="A1023" t="s">
        <v>3967</v>
      </c>
      <c r="B1023" t="s">
        <v>3968</v>
      </c>
      <c r="C1023" s="5" t="s">
        <v>9678</v>
      </c>
      <c r="D1023">
        <f t="shared" si="60"/>
        <v>1022</v>
      </c>
      <c r="E1023" t="str">
        <f t="shared" si="61"/>
        <v>E2_7_1_76</v>
      </c>
      <c r="F1023" s="11" t="s">
        <v>8771</v>
      </c>
      <c r="G1023" s="11" t="s">
        <v>8937</v>
      </c>
      <c r="H1023" s="11" t="s">
        <v>9134</v>
      </c>
      <c r="I1023" s="11" t="s">
        <v>9333</v>
      </c>
      <c r="J1023" s="12" t="str">
        <f t="shared" si="62"/>
        <v>(${Variables:E2_7_1_76_kcat} * E2_7_1_76 * C00002 * C00559)/(${Variables:E2_7_1_76_km} + (E2_7_1_76 * C00002 * C00559))</v>
      </c>
      <c r="K1023" s="11" t="str">
        <f t="shared" si="63"/>
        <v>r1022: C00002 + C00559 -&gt; C00008 + C00360 | (${Variables:E2_7_1_76_kcat} * E2_7_1_76 * C00002 * C00559)/(${Variables:E2_7_1_76_km} + (E2_7_1_76 * C00002 * C00559))</v>
      </c>
    </row>
    <row r="1024" spans="1:11" ht="45" customHeight="1" x14ac:dyDescent="0.25">
      <c r="A1024" t="s">
        <v>3981</v>
      </c>
      <c r="B1024" t="s">
        <v>3982</v>
      </c>
      <c r="C1024" s="5" t="s">
        <v>9679</v>
      </c>
      <c r="D1024">
        <f t="shared" si="60"/>
        <v>1023</v>
      </c>
      <c r="E1024" t="str">
        <f t="shared" si="61"/>
        <v>E3_6_1_31</v>
      </c>
      <c r="F1024" s="11" t="s">
        <v>14341</v>
      </c>
      <c r="G1024" s="11" t="s">
        <v>14944</v>
      </c>
      <c r="H1024" s="11" t="s">
        <v>15551</v>
      </c>
      <c r="I1024" s="11" t="s">
        <v>16172</v>
      </c>
      <c r="J1024" s="12" t="str">
        <f t="shared" si="62"/>
        <v>(${Variables:E3_6_1_31_kcat} * E3_6_1_31 * C00001 * C02739)/(${Variables:E3_6_1_31_km} + (E3_6_1_31 * C00001 * C02739))</v>
      </c>
      <c r="K1024" s="11" t="str">
        <f t="shared" si="63"/>
        <v>r1023: C00001 + C02739 -&gt; C00013 + C02741 | (${Variables:E3_6_1_31_kcat} * E3_6_1_31 * C00001 * C02739)/(${Variables:E3_6_1_31_km} + (E3_6_1_31 * C00001 * C02739))</v>
      </c>
    </row>
    <row r="1025" spans="1:11" ht="45" customHeight="1" x14ac:dyDescent="0.25">
      <c r="A1025" t="s">
        <v>3986</v>
      </c>
      <c r="B1025" t="s">
        <v>3987</v>
      </c>
      <c r="C1025" s="5" t="s">
        <v>9555</v>
      </c>
      <c r="D1025">
        <f t="shared" si="60"/>
        <v>1024</v>
      </c>
      <c r="E1025" t="str">
        <f t="shared" si="61"/>
        <v>E3_1_3_11</v>
      </c>
      <c r="F1025" s="11" t="s">
        <v>14169</v>
      </c>
      <c r="G1025" s="11" t="s">
        <v>14772</v>
      </c>
      <c r="H1025" s="11" t="s">
        <v>15373</v>
      </c>
      <c r="I1025" s="11" t="s">
        <v>15994</v>
      </c>
      <c r="J1025" s="12" t="str">
        <f t="shared" si="62"/>
        <v>(${Variables:E3_1_3_11_kcat} * E3_1_3_11 * C00001 * C00354)/(${Variables:E3_1_3_11_km} + (E3_1_3_11 * C00001 * C00354))</v>
      </c>
      <c r="K1025" s="11" t="str">
        <f t="shared" si="63"/>
        <v>r1024: C00001 + C00354 -&gt; C00009 + C00085 | (${Variables:E3_1_3_11_kcat} * E3_1_3_11 * C00001 * C00354)/(${Variables:E3_1_3_11_km} + (E3_1_3_11 * C00001 * C00354))</v>
      </c>
    </row>
    <row r="1026" spans="1:11" ht="45" customHeight="1" x14ac:dyDescent="0.25">
      <c r="A1026" t="s">
        <v>3986</v>
      </c>
      <c r="B1026" t="s">
        <v>3987</v>
      </c>
      <c r="C1026" s="5" t="s">
        <v>9555</v>
      </c>
      <c r="D1026">
        <f t="shared" si="60"/>
        <v>1025</v>
      </c>
      <c r="E1026" t="str">
        <f t="shared" si="61"/>
        <v>E3_1_3_11</v>
      </c>
      <c r="F1026" s="11" t="s">
        <v>14170</v>
      </c>
      <c r="G1026" s="11" t="s">
        <v>14773</v>
      </c>
      <c r="H1026" s="11" t="s">
        <v>15374</v>
      </c>
      <c r="I1026" s="11" t="s">
        <v>15995</v>
      </c>
      <c r="J1026" s="12" t="str">
        <f t="shared" si="62"/>
        <v>(${Variables:E3_1_3_11_kcat} * E3_1_3_11 * C00001 * C05378)/(${Variables:E3_1_3_11_km} + (E3_1_3_11 * C00001 * C05378))</v>
      </c>
      <c r="K1026" s="11" t="str">
        <f t="shared" si="63"/>
        <v>r1025: C00001 + C05378 -&gt; C00009 + C05345 | (${Variables:E3_1_3_11_kcat} * E3_1_3_11 * C00001 * C05378)/(${Variables:E3_1_3_11_km} + (E3_1_3_11 * C00001 * C05378))</v>
      </c>
    </row>
    <row r="1027" spans="1:11" ht="45" customHeight="1" x14ac:dyDescent="0.25">
      <c r="A1027" t="s">
        <v>3986</v>
      </c>
      <c r="B1027" t="s">
        <v>3987</v>
      </c>
      <c r="C1027" s="5" t="s">
        <v>9555</v>
      </c>
      <c r="D1027">
        <f t="shared" ref="D1027:D1090" si="64">ROW()-1</f>
        <v>1026</v>
      </c>
      <c r="E1027" t="str">
        <f t="shared" ref="E1027:E1090" si="65">_xlfn.CONCAT("E", C1027)</f>
        <v>E3_1_3_11</v>
      </c>
      <c r="F1027" s="11" t="s">
        <v>14171</v>
      </c>
      <c r="G1027" s="11" t="s">
        <v>14774</v>
      </c>
      <c r="H1027" s="11" t="s">
        <v>15375</v>
      </c>
      <c r="I1027" s="11" t="s">
        <v>15996</v>
      </c>
      <c r="J1027" s="12" t="str">
        <f t="shared" ref="J1027:J1090" si="66">CONCATENATE("(${Variables:",E1027,"_kcat","} * ",E1027," * ",G1027,")","/(${Variables:",E1027,"_km","} + (",E1027," * ",G1027,"))")</f>
        <v>(${Variables:E3_1_3_11_kcat} * E3_1_3_11 * C00001 * C00447)/(${Variables:E3_1_3_11_km} + (E3_1_3_11 * C00001 * C00447))</v>
      </c>
      <c r="K1027" s="11" t="str">
        <f t="shared" ref="K1027:K1090" si="67">CONCATENATE("r",D1027,": ",F1027," -&gt; ",H1027," | ",J1027)</f>
        <v>r1026: C00001 + C00447 -&gt; C00009 + C05382 | (${Variables:E3_1_3_11_kcat} * E3_1_3_11 * C00001 * C00447)/(${Variables:E3_1_3_11_km} + (E3_1_3_11 * C00001 * C00447))</v>
      </c>
    </row>
    <row r="1028" spans="1:11" ht="45" customHeight="1" x14ac:dyDescent="0.25">
      <c r="A1028" t="s">
        <v>3993</v>
      </c>
      <c r="B1028" t="s">
        <v>3994</v>
      </c>
      <c r="C1028" s="5" t="s">
        <v>9594</v>
      </c>
      <c r="D1028">
        <f t="shared" si="64"/>
        <v>1027</v>
      </c>
      <c r="E1028" t="str">
        <f t="shared" si="65"/>
        <v>E1_2_7_5</v>
      </c>
      <c r="F1028" s="11" t="s">
        <v>14240</v>
      </c>
      <c r="G1028" s="11" t="s">
        <v>14843</v>
      </c>
      <c r="H1028" s="11" t="s">
        <v>15447</v>
      </c>
      <c r="I1028" s="11" t="s">
        <v>16068</v>
      </c>
      <c r="J1028" s="12" t="str">
        <f t="shared" si="66"/>
        <v>(${Variables:E1_2_7_5_kcat} * E1_2_7_5 * C00001 * C00071 * C00139)/(${Variables:E1_2_7_5_km} + (E1_2_7_5 * C00001 * C00071 * C00139))</v>
      </c>
      <c r="K1028" s="11" t="str">
        <f t="shared" si="67"/>
        <v>r1027: C00001 + C00071 + C00139 -&gt; C00060 + C00080 + C00138 | (${Variables:E1_2_7_5_kcat} * E1_2_7_5 * C00001 * C00071 * C00139)/(${Variables:E1_2_7_5_km} + (E1_2_7_5 * C00001 * C00071 * C00139))</v>
      </c>
    </row>
    <row r="1029" spans="1:11" ht="45" customHeight="1" x14ac:dyDescent="0.25">
      <c r="A1029" t="s">
        <v>3993</v>
      </c>
      <c r="B1029" t="s">
        <v>3994</v>
      </c>
      <c r="C1029" s="5" t="s">
        <v>9594</v>
      </c>
      <c r="D1029">
        <f t="shared" si="64"/>
        <v>1028</v>
      </c>
      <c r="E1029" t="str">
        <f t="shared" si="65"/>
        <v>E1_2_7_5</v>
      </c>
      <c r="F1029" s="11" t="s">
        <v>14241</v>
      </c>
      <c r="G1029" s="11" t="s">
        <v>14844</v>
      </c>
      <c r="H1029" s="11" t="s">
        <v>15448</v>
      </c>
      <c r="I1029" s="11" t="s">
        <v>16069</v>
      </c>
      <c r="J1029" s="12" t="str">
        <f t="shared" si="66"/>
        <v>(${Variables:E1_2_7_5_kcat} * E1_2_7_5 * C00001 * C00139 * C00577)/(${Variables:E1_2_7_5_km} + (E1_2_7_5 * C00001 * C00139 * C00577))</v>
      </c>
      <c r="K1029" s="11" t="str">
        <f t="shared" si="67"/>
        <v>r1028: C00001 + C00139 + C00577 -&gt; C00080 + C00138 + C00258 | (${Variables:E1_2_7_5_kcat} * E1_2_7_5 * C00001 * C00139 * C00577)/(${Variables:E1_2_7_5_km} + (E1_2_7_5 * C00001 * C00139 * C00577))</v>
      </c>
    </row>
    <row r="1030" spans="1:11" ht="45" customHeight="1" x14ac:dyDescent="0.25">
      <c r="A1030" t="s">
        <v>4014</v>
      </c>
      <c r="B1030" t="s">
        <v>4015</v>
      </c>
      <c r="C1030" s="5" t="s">
        <v>9680</v>
      </c>
      <c r="D1030">
        <f t="shared" si="64"/>
        <v>1029</v>
      </c>
      <c r="E1030" t="str">
        <f t="shared" si="65"/>
        <v>E6_1_1_23</v>
      </c>
      <c r="F1030" s="11" t="s">
        <v>8772</v>
      </c>
      <c r="G1030" s="11" t="s">
        <v>8938</v>
      </c>
      <c r="H1030" s="11" t="s">
        <v>15552</v>
      </c>
      <c r="I1030" s="11" t="s">
        <v>16173</v>
      </c>
      <c r="J1030" s="12" t="str">
        <f t="shared" si="66"/>
        <v>(${Variables:E6_1_1_23_kcat} * E6_1_1_23 * C00002 * C00049 * C01637)/(${Variables:E6_1_1_23_km} + (E6_1_1_23 * C00002 * C00049 * C01637))</v>
      </c>
      <c r="K1030" s="11" t="str">
        <f t="shared" si="67"/>
        <v>r1029: C00002 + C00049 + C01637 -&gt; C00013 + C00020 + C06113 | (${Variables:E6_1_1_23_kcat} * E6_1_1_23 * C00002 * C00049 * C01637)/(${Variables:E6_1_1_23_km} + (E6_1_1_23 * C00002 * C00049 * C01637))</v>
      </c>
    </row>
    <row r="1031" spans="1:11" ht="45" customHeight="1" x14ac:dyDescent="0.25">
      <c r="A1031" t="s">
        <v>4014</v>
      </c>
      <c r="B1031" t="s">
        <v>4015</v>
      </c>
      <c r="C1031" s="5" t="s">
        <v>9680</v>
      </c>
      <c r="D1031">
        <f t="shared" si="64"/>
        <v>1030</v>
      </c>
      <c r="E1031" t="str">
        <f t="shared" si="65"/>
        <v>E6_1_1_23</v>
      </c>
      <c r="F1031" s="11" t="s">
        <v>14342</v>
      </c>
      <c r="G1031" s="11" t="s">
        <v>14945</v>
      </c>
      <c r="H1031" s="11" t="s">
        <v>15553</v>
      </c>
      <c r="I1031" s="11" t="s">
        <v>16174</v>
      </c>
      <c r="J1031" s="12" t="str">
        <f t="shared" si="66"/>
        <v>(${Variables:E6_1_1_23_kcat} * E6_1_1_23 * C00002 * C00049 * C01638)/(${Variables:E6_1_1_23_km} + (E6_1_1_23 * C00002 * C00049 * C01638))</v>
      </c>
      <c r="K1031" s="11" t="str">
        <f t="shared" si="67"/>
        <v>r1030: C00002 + C00049 + C01638 -&gt; C00013 + C00020 + C02984 | (${Variables:E6_1_1_23_kcat} * E6_1_1_23 * C00002 * C00049 * C01638)/(${Variables:E6_1_1_23_km} + (E6_1_1_23 * C00002 * C00049 * C01638))</v>
      </c>
    </row>
    <row r="1032" spans="1:11" ht="45" customHeight="1" x14ac:dyDescent="0.25">
      <c r="A1032" t="s">
        <v>4017</v>
      </c>
      <c r="B1032" t="s">
        <v>4018</v>
      </c>
      <c r="C1032" s="5" t="s">
        <v>9681</v>
      </c>
      <c r="D1032">
        <f t="shared" si="64"/>
        <v>1031</v>
      </c>
      <c r="E1032" t="str">
        <f t="shared" si="65"/>
        <v>E1_3_5_1</v>
      </c>
      <c r="F1032" s="11" t="s">
        <v>14343</v>
      </c>
      <c r="G1032" s="11" t="s">
        <v>14946</v>
      </c>
      <c r="H1032" s="11" t="s">
        <v>15554</v>
      </c>
      <c r="I1032" s="11" t="s">
        <v>16175</v>
      </c>
      <c r="J1032" s="12" t="str">
        <f t="shared" si="66"/>
        <v>(${Variables:E1_3_5_1_kcat} * E1_3_5_1 * C00042 * C15602)/(${Variables:E1_3_5_1_km} + (E1_3_5_1 * C00042 * C15602))</v>
      </c>
      <c r="K1032" s="11" t="str">
        <f t="shared" si="67"/>
        <v>r1031: C00042 + C15602 -&gt; C00122 + C15603 | (${Variables:E1_3_5_1_kcat} * E1_3_5_1 * C00042 * C15602)/(${Variables:E1_3_5_1_km} + (E1_3_5_1 * C00042 * C15602))</v>
      </c>
    </row>
    <row r="1033" spans="1:11" ht="45" customHeight="1" x14ac:dyDescent="0.25">
      <c r="A1033" t="s">
        <v>4017</v>
      </c>
      <c r="B1033" t="s">
        <v>4018</v>
      </c>
      <c r="C1033" s="5" t="s">
        <v>9681</v>
      </c>
      <c r="D1033">
        <f t="shared" si="64"/>
        <v>1032</v>
      </c>
      <c r="E1033" t="str">
        <f t="shared" si="65"/>
        <v>E1_3_5_1</v>
      </c>
      <c r="F1033" s="11" t="s">
        <v>14344</v>
      </c>
      <c r="G1033" s="11" t="s">
        <v>14947</v>
      </c>
      <c r="H1033" s="11" t="s">
        <v>15555</v>
      </c>
      <c r="I1033" s="11" t="s">
        <v>16176</v>
      </c>
      <c r="J1033" s="12" t="str">
        <f t="shared" si="66"/>
        <v>(${Variables:E1_3_5_1_kcat} * E1_3_5_1 * C00042 * C00399)/(${Variables:E1_3_5_1_km} + (E1_3_5_1 * C00042 * C00399))</v>
      </c>
      <c r="K1033" s="11" t="str">
        <f t="shared" si="67"/>
        <v>r1032: C00042 + C00399 -&gt; C00122 + C00390 | (${Variables:E1_3_5_1_kcat} * E1_3_5_1 * C00042 * C00399)/(${Variables:E1_3_5_1_km} + (E1_3_5_1 * C00042 * C00399))</v>
      </c>
    </row>
    <row r="1034" spans="1:11" ht="45" customHeight="1" x14ac:dyDescent="0.25">
      <c r="A1034" t="s">
        <v>4020</v>
      </c>
      <c r="B1034" t="s">
        <v>4021</v>
      </c>
      <c r="C1034" s="5" t="s">
        <v>9681</v>
      </c>
      <c r="D1034">
        <f t="shared" si="64"/>
        <v>1033</v>
      </c>
      <c r="E1034" t="str">
        <f t="shared" si="65"/>
        <v>E1_3_5_1</v>
      </c>
      <c r="F1034" s="11" t="s">
        <v>14343</v>
      </c>
      <c r="G1034" s="11" t="s">
        <v>14946</v>
      </c>
      <c r="H1034" s="11" t="s">
        <v>15554</v>
      </c>
      <c r="I1034" s="11" t="s">
        <v>16175</v>
      </c>
      <c r="J1034" s="12" t="str">
        <f t="shared" si="66"/>
        <v>(${Variables:E1_3_5_1_kcat} * E1_3_5_1 * C00042 * C15602)/(${Variables:E1_3_5_1_km} + (E1_3_5_1 * C00042 * C15602))</v>
      </c>
      <c r="K1034" s="11" t="str">
        <f t="shared" si="67"/>
        <v>r1033: C00042 + C15602 -&gt; C00122 + C15603 | (${Variables:E1_3_5_1_kcat} * E1_3_5_1 * C00042 * C15602)/(${Variables:E1_3_5_1_km} + (E1_3_5_1 * C00042 * C15602))</v>
      </c>
    </row>
    <row r="1035" spans="1:11" ht="45" customHeight="1" x14ac:dyDescent="0.25">
      <c r="A1035" t="s">
        <v>4020</v>
      </c>
      <c r="B1035" t="s">
        <v>4021</v>
      </c>
      <c r="C1035" s="5" t="s">
        <v>9681</v>
      </c>
      <c r="D1035">
        <f t="shared" si="64"/>
        <v>1034</v>
      </c>
      <c r="E1035" t="str">
        <f t="shared" si="65"/>
        <v>E1_3_5_1</v>
      </c>
      <c r="F1035" s="11" t="s">
        <v>14344</v>
      </c>
      <c r="G1035" s="11" t="s">
        <v>14947</v>
      </c>
      <c r="H1035" s="11" t="s">
        <v>15555</v>
      </c>
      <c r="I1035" s="11" t="s">
        <v>16176</v>
      </c>
      <c r="J1035" s="12" t="str">
        <f t="shared" si="66"/>
        <v>(${Variables:E1_3_5_1_kcat} * E1_3_5_1 * C00042 * C00399)/(${Variables:E1_3_5_1_km} + (E1_3_5_1 * C00042 * C00399))</v>
      </c>
      <c r="K1035" s="11" t="str">
        <f t="shared" si="67"/>
        <v>r1034: C00042 + C00399 -&gt; C00122 + C00390 | (${Variables:E1_3_5_1_kcat} * E1_3_5_1 * C00042 * C00399)/(${Variables:E1_3_5_1_km} + (E1_3_5_1 * C00042 * C00399))</v>
      </c>
    </row>
    <row r="1036" spans="1:11" ht="45" customHeight="1" x14ac:dyDescent="0.25">
      <c r="A1036" t="s">
        <v>4029</v>
      </c>
      <c r="B1036" t="s">
        <v>4030</v>
      </c>
      <c r="C1036" s="5" t="s">
        <v>9682</v>
      </c>
      <c r="D1036">
        <f t="shared" si="64"/>
        <v>1035</v>
      </c>
      <c r="E1036" t="str">
        <f t="shared" si="65"/>
        <v>E4_1_1_50</v>
      </c>
      <c r="F1036" s="11" t="s">
        <v>8773</v>
      </c>
      <c r="G1036" s="11" t="s">
        <v>8939</v>
      </c>
      <c r="H1036" s="11" t="s">
        <v>15556</v>
      </c>
      <c r="I1036" s="11" t="s">
        <v>16177</v>
      </c>
      <c r="J1036" s="12" t="str">
        <f t="shared" si="66"/>
        <v>(${Variables:E4_1_1_50_kcat} * E4_1_1_50 * C00019 * C00080)/(${Variables:E4_1_1_50_km} + (E4_1_1_50 * C00019 * C00080))</v>
      </c>
      <c r="K1036" s="11" t="str">
        <f t="shared" si="67"/>
        <v>r1035: C00019 + C00080 -&gt; C00011 + C01137 | (${Variables:E4_1_1_50_kcat} * E4_1_1_50 * C00019 * C00080)/(${Variables:E4_1_1_50_km} + (E4_1_1_50 * C00019 * C00080))</v>
      </c>
    </row>
    <row r="1037" spans="1:11" ht="45" customHeight="1" x14ac:dyDescent="0.25">
      <c r="A1037" t="s">
        <v>4044</v>
      </c>
      <c r="B1037" t="s">
        <v>4045</v>
      </c>
      <c r="C1037" s="5" t="s">
        <v>9507</v>
      </c>
      <c r="D1037">
        <f t="shared" si="64"/>
        <v>1036</v>
      </c>
      <c r="E1037" t="str">
        <f t="shared" si="65"/>
        <v>E6_2_1_3</v>
      </c>
      <c r="F1037" s="11" t="s">
        <v>14103</v>
      </c>
      <c r="G1037" s="11" t="s">
        <v>14706</v>
      </c>
      <c r="H1037" s="11" t="s">
        <v>15304</v>
      </c>
      <c r="I1037" s="11" t="s">
        <v>15925</v>
      </c>
      <c r="J1037" s="12" t="str">
        <f t="shared" si="66"/>
        <v>(${Variables:E6_2_1_3_kcat} * E6_2_1_3 * C00002 * C00010 * C00638)/(${Variables:E6_2_1_3_km} + (E6_2_1_3 * C00002 * C00010 * C00638))</v>
      </c>
      <c r="K1037" s="11" t="str">
        <f t="shared" si="67"/>
        <v>r1036: C00002 + C00010 + C00638 -&gt; C00013 + C00020 + C02843 | (${Variables:E6_2_1_3_kcat} * E6_2_1_3 * C00002 * C00010 * C00638)/(${Variables:E6_2_1_3_km} + (E6_2_1_3 * C00002 * C00010 * C00638))</v>
      </c>
    </row>
    <row r="1038" spans="1:11" ht="45" customHeight="1" x14ac:dyDescent="0.25">
      <c r="A1038" t="s">
        <v>4044</v>
      </c>
      <c r="B1038" t="s">
        <v>4045</v>
      </c>
      <c r="C1038" s="5" t="s">
        <v>9507</v>
      </c>
      <c r="D1038">
        <f t="shared" si="64"/>
        <v>1037</v>
      </c>
      <c r="E1038" t="str">
        <f t="shared" si="65"/>
        <v>E6_2_1_3</v>
      </c>
      <c r="F1038" s="11" t="s">
        <v>14104</v>
      </c>
      <c r="G1038" s="11" t="s">
        <v>14707</v>
      </c>
      <c r="H1038" s="11" t="s">
        <v>15305</v>
      </c>
      <c r="I1038" s="11" t="s">
        <v>15926</v>
      </c>
      <c r="J1038" s="12" t="str">
        <f t="shared" si="66"/>
        <v>(${Variables:E6_2_1_3_kcat} * E6_2_1_3 * C00002 * C00010 * C00249)/(${Variables:E6_2_1_3_km} + (E6_2_1_3 * C00002 * C00010 * C00249))</v>
      </c>
      <c r="K1038" s="11" t="str">
        <f t="shared" si="67"/>
        <v>r1037: C00002 + C00010 + C00249 -&gt; C00013 + C00020 + C00154 | (${Variables:E6_2_1_3_kcat} * E6_2_1_3 * C00002 * C00010 * C00249)/(${Variables:E6_2_1_3_km} + (E6_2_1_3 * C00002 * C00010 * C00249))</v>
      </c>
    </row>
    <row r="1039" spans="1:11" ht="45" customHeight="1" x14ac:dyDescent="0.25">
      <c r="A1039" t="s">
        <v>4047</v>
      </c>
      <c r="B1039" t="s">
        <v>4048</v>
      </c>
      <c r="C1039" s="5" t="s">
        <v>9445</v>
      </c>
      <c r="D1039">
        <f t="shared" si="64"/>
        <v>1038</v>
      </c>
      <c r="E1039" t="str">
        <f t="shared" si="65"/>
        <v>E2_8_1_7</v>
      </c>
      <c r="F1039" s="11" t="s">
        <v>14029</v>
      </c>
      <c r="G1039" s="11" t="s">
        <v>14632</v>
      </c>
      <c r="H1039" s="11" t="s">
        <v>15235</v>
      </c>
      <c r="I1039" s="11" t="s">
        <v>15856</v>
      </c>
      <c r="J1039" s="12" t="str">
        <f t="shared" si="66"/>
        <v>(${Variables:E2_8_1_7_kcat} * E2_8_1_7 * C00097 * C15811)/(${Variables:E2_8_1_7_km} + (E2_8_1_7 * C00097 * C15811))</v>
      </c>
      <c r="K1039" s="11" t="str">
        <f t="shared" si="67"/>
        <v>r1038: C00097 + C15811 -&gt; C00041 + C15812 | (${Variables:E2_8_1_7_kcat} * E2_8_1_7 * C00097 * C15811)/(${Variables:E2_8_1_7_km} + (E2_8_1_7 * C00097 * C15811))</v>
      </c>
    </row>
    <row r="1040" spans="1:11" ht="45" customHeight="1" x14ac:dyDescent="0.25">
      <c r="A1040" t="s">
        <v>4047</v>
      </c>
      <c r="B1040" t="s">
        <v>4048</v>
      </c>
      <c r="C1040" s="5" t="s">
        <v>9445</v>
      </c>
      <c r="D1040">
        <f t="shared" si="64"/>
        <v>1039</v>
      </c>
      <c r="E1040" t="str">
        <f t="shared" si="65"/>
        <v>E2_8_1_7</v>
      </c>
      <c r="F1040" s="11" t="s">
        <v>8685</v>
      </c>
      <c r="G1040" s="11" t="s">
        <v>8851</v>
      </c>
      <c r="H1040" s="11" t="s">
        <v>9024</v>
      </c>
      <c r="I1040" s="11" t="s">
        <v>9223</v>
      </c>
      <c r="J1040" s="12" t="str">
        <f t="shared" si="66"/>
        <v>(${Variables:E2_8_1_7_kcat} * E2_8_1_7 * C00097 * C02743)/(${Variables:E2_8_1_7_km} + (E2_8_1_7 * C00097 * C02743))</v>
      </c>
      <c r="K1040" s="11" t="str">
        <f t="shared" si="67"/>
        <v>r1039: C00097 + C02743 -&gt; C00041 + C21440 | (${Variables:E2_8_1_7_kcat} * E2_8_1_7 * C00097 * C02743)/(${Variables:E2_8_1_7_km} + (E2_8_1_7 * C00097 * C02743))</v>
      </c>
    </row>
    <row r="1041" spans="1:11" ht="45" customHeight="1" x14ac:dyDescent="0.25">
      <c r="A1041" t="s">
        <v>4047</v>
      </c>
      <c r="B1041" t="s">
        <v>4048</v>
      </c>
      <c r="C1041" s="5" t="s">
        <v>9445</v>
      </c>
      <c r="D1041">
        <f t="shared" si="64"/>
        <v>1040</v>
      </c>
      <c r="E1041" t="str">
        <f t="shared" si="65"/>
        <v>E2_8_1_7</v>
      </c>
      <c r="F1041" s="11" t="s">
        <v>14030</v>
      </c>
      <c r="G1041" s="11" t="s">
        <v>14633</v>
      </c>
      <c r="H1041" s="11" t="s">
        <v>9025</v>
      </c>
      <c r="I1041" s="11" t="s">
        <v>9224</v>
      </c>
      <c r="J1041" s="12" t="str">
        <f t="shared" si="66"/>
        <v>(${Variables:E2_8_1_7_kcat} * E2_8_1_7 * C02743 * C15812)/(${Variables:E2_8_1_7_km} + (E2_8_1_7 * C02743 * C15812))</v>
      </c>
      <c r="K1041" s="11" t="str">
        <f t="shared" si="67"/>
        <v>r1040: C02743 + C15812 -&gt; C15811 + C21440 | (${Variables:E2_8_1_7_kcat} * E2_8_1_7 * C02743 * C15812)/(${Variables:E2_8_1_7_km} + (E2_8_1_7 * C02743 * C15812))</v>
      </c>
    </row>
    <row r="1042" spans="1:11" ht="45" customHeight="1" x14ac:dyDescent="0.25">
      <c r="A1042" t="s">
        <v>4062</v>
      </c>
      <c r="B1042" t="s">
        <v>4063</v>
      </c>
      <c r="C1042" s="5" t="s">
        <v>9683</v>
      </c>
      <c r="D1042">
        <f t="shared" si="64"/>
        <v>1041</v>
      </c>
      <c r="E1042" t="str">
        <f t="shared" si="65"/>
        <v>E2_3_1_179</v>
      </c>
      <c r="F1042" s="11" t="s">
        <v>8774</v>
      </c>
      <c r="G1042" s="11" t="s">
        <v>8940</v>
      </c>
      <c r="H1042" s="11" t="s">
        <v>15557</v>
      </c>
      <c r="I1042" s="11" t="s">
        <v>16178</v>
      </c>
      <c r="J1042" s="12" t="str">
        <f t="shared" si="66"/>
        <v>(${Variables:E2_3_1_179_kcat} * E2_3_1_179 * C00173 * C01209)/(${Variables:E2_3_1_179_km} + (E2_3_1_179 * C00173 * C01209))</v>
      </c>
      <c r="K1042" s="11" t="str">
        <f t="shared" si="67"/>
        <v>r1041: C00173 + C01209 -&gt; C00011 + C00229 + C00685 | (${Variables:E2_3_1_179_kcat} * E2_3_1_179 * C00173 * C01209)/(${Variables:E2_3_1_179_km} + (E2_3_1_179 * C00173 * C01209))</v>
      </c>
    </row>
    <row r="1043" spans="1:11" ht="45" customHeight="1" x14ac:dyDescent="0.25">
      <c r="A1043" t="s">
        <v>4062</v>
      </c>
      <c r="B1043" t="s">
        <v>4063</v>
      </c>
      <c r="C1043" s="5" t="s">
        <v>9683</v>
      </c>
      <c r="D1043">
        <f t="shared" si="64"/>
        <v>1042</v>
      </c>
      <c r="E1043" t="str">
        <f t="shared" si="65"/>
        <v>E2_3_1_179</v>
      </c>
      <c r="F1043" s="11" t="s">
        <v>14345</v>
      </c>
      <c r="G1043" s="11" t="s">
        <v>14948</v>
      </c>
      <c r="H1043" s="11" t="s">
        <v>15558</v>
      </c>
      <c r="I1043" s="11" t="s">
        <v>16179</v>
      </c>
      <c r="J1043" s="12" t="str">
        <f t="shared" si="66"/>
        <v>(${Variables:E2_3_1_179_kcat} * E2_3_1_179 * C01209 * C03939)/(${Variables:E2_3_1_179_km} + (E2_3_1_179 * C01209 * C03939))</v>
      </c>
      <c r="K1043" s="11" t="str">
        <f t="shared" si="67"/>
        <v>r1042: C01209 + C03939 -&gt; C00011 + C00229 + C05744 | (${Variables:E2_3_1_179_kcat} * E2_3_1_179 * C01209 * C03939)/(${Variables:E2_3_1_179_km} + (E2_3_1_179 * C01209 * C03939))</v>
      </c>
    </row>
    <row r="1044" spans="1:11" ht="45" customHeight="1" x14ac:dyDescent="0.25">
      <c r="A1044" t="s">
        <v>4062</v>
      </c>
      <c r="B1044" t="s">
        <v>4063</v>
      </c>
      <c r="C1044" s="5" t="s">
        <v>9683</v>
      </c>
      <c r="D1044">
        <f t="shared" si="64"/>
        <v>1043</v>
      </c>
      <c r="E1044" t="str">
        <f t="shared" si="65"/>
        <v>E2_3_1_179</v>
      </c>
      <c r="F1044" s="11" t="s">
        <v>14346</v>
      </c>
      <c r="G1044" s="11" t="s">
        <v>14949</v>
      </c>
      <c r="H1044" s="11" t="s">
        <v>15559</v>
      </c>
      <c r="I1044" s="11" t="s">
        <v>16180</v>
      </c>
      <c r="J1044" s="12" t="str">
        <f t="shared" si="66"/>
        <v>(${Variables:E2_3_1_179_kcat} * E2_3_1_179 * C01209 * C05223)/(${Variables:E2_3_1_179_km} + (E2_3_1_179 * C01209 * C05223))</v>
      </c>
      <c r="K1044" s="11" t="str">
        <f t="shared" si="67"/>
        <v>r1043: C01209 + C05223 -&gt; C00011 + C00229 + C05759 | (${Variables:E2_3_1_179_kcat} * E2_3_1_179 * C01209 * C05223)/(${Variables:E2_3_1_179_km} + (E2_3_1_179 * C01209 * C05223))</v>
      </c>
    </row>
    <row r="1045" spans="1:11" ht="45" customHeight="1" x14ac:dyDescent="0.25">
      <c r="A1045" t="s">
        <v>4062</v>
      </c>
      <c r="B1045" t="s">
        <v>4063</v>
      </c>
      <c r="C1045" s="5" t="s">
        <v>9683</v>
      </c>
      <c r="D1045">
        <f t="shared" si="64"/>
        <v>1044</v>
      </c>
      <c r="E1045" t="str">
        <f t="shared" si="65"/>
        <v>E2_3_1_179</v>
      </c>
      <c r="F1045" s="11" t="s">
        <v>14347</v>
      </c>
      <c r="G1045" s="11" t="s">
        <v>14950</v>
      </c>
      <c r="H1045" s="11" t="s">
        <v>15560</v>
      </c>
      <c r="I1045" s="11" t="s">
        <v>16181</v>
      </c>
      <c r="J1045" s="12" t="str">
        <f t="shared" si="66"/>
        <v>(${Variables:E2_3_1_179_kcat} * E2_3_1_179 * C01209 * C05745)/(${Variables:E2_3_1_179_km} + (E2_3_1_179 * C01209 * C05745))</v>
      </c>
      <c r="K1045" s="11" t="str">
        <f t="shared" si="67"/>
        <v>r1044: C01209 + C05745 -&gt; C00011 + C00229 + C05746 | (${Variables:E2_3_1_179_kcat} * E2_3_1_179 * C01209 * C05745)/(${Variables:E2_3_1_179_km} + (E2_3_1_179 * C01209 * C05745))</v>
      </c>
    </row>
    <row r="1046" spans="1:11" ht="45" customHeight="1" x14ac:dyDescent="0.25">
      <c r="A1046" t="s">
        <v>4062</v>
      </c>
      <c r="B1046" t="s">
        <v>4063</v>
      </c>
      <c r="C1046" s="5" t="s">
        <v>9683</v>
      </c>
      <c r="D1046">
        <f t="shared" si="64"/>
        <v>1045</v>
      </c>
      <c r="E1046" t="str">
        <f t="shared" si="65"/>
        <v>E2_3_1_179</v>
      </c>
      <c r="F1046" s="11" t="s">
        <v>14348</v>
      </c>
      <c r="G1046" s="11" t="s">
        <v>14951</v>
      </c>
      <c r="H1046" s="11" t="s">
        <v>15561</v>
      </c>
      <c r="I1046" s="11" t="s">
        <v>16182</v>
      </c>
      <c r="J1046" s="12" t="str">
        <f t="shared" si="66"/>
        <v>(${Variables:E2_3_1_179_kcat} * E2_3_1_179 * C01209 * C05749)/(${Variables:E2_3_1_179_km} + (E2_3_1_179 * C01209 * C05749))</v>
      </c>
      <c r="K1046" s="11" t="str">
        <f t="shared" si="67"/>
        <v>r1045: C01209 + C05749 -&gt; C00011 + C00229 + C05750 | (${Variables:E2_3_1_179_kcat} * E2_3_1_179 * C01209 * C05749)/(${Variables:E2_3_1_179_km} + (E2_3_1_179 * C01209 * C05749))</v>
      </c>
    </row>
    <row r="1047" spans="1:11" ht="45" customHeight="1" x14ac:dyDescent="0.25">
      <c r="A1047" t="s">
        <v>4062</v>
      </c>
      <c r="B1047" t="s">
        <v>4063</v>
      </c>
      <c r="C1047" s="5" t="s">
        <v>9683</v>
      </c>
      <c r="D1047">
        <f t="shared" si="64"/>
        <v>1046</v>
      </c>
      <c r="E1047" t="str">
        <f t="shared" si="65"/>
        <v>E2_3_1_179</v>
      </c>
      <c r="F1047" s="11" t="s">
        <v>14349</v>
      </c>
      <c r="G1047" s="11" t="s">
        <v>14952</v>
      </c>
      <c r="H1047" s="11" t="s">
        <v>15562</v>
      </c>
      <c r="I1047" s="11" t="s">
        <v>16183</v>
      </c>
      <c r="J1047" s="12" t="str">
        <f t="shared" si="66"/>
        <v>(${Variables:E2_3_1_179_kcat} * E2_3_1_179 * C01209 * C05752)/(${Variables:E2_3_1_179_km} + (E2_3_1_179 * C01209 * C05752))</v>
      </c>
      <c r="K1047" s="11" t="str">
        <f t="shared" si="67"/>
        <v>r1046: C01209 + C05752 -&gt; C00011 + C00229 + C05753 | (${Variables:E2_3_1_179_kcat} * E2_3_1_179 * C01209 * C05752)/(${Variables:E2_3_1_179_km} + (E2_3_1_179 * C01209 * C05752))</v>
      </c>
    </row>
    <row r="1048" spans="1:11" ht="45" customHeight="1" x14ac:dyDescent="0.25">
      <c r="A1048" t="s">
        <v>4062</v>
      </c>
      <c r="B1048" t="s">
        <v>4063</v>
      </c>
      <c r="C1048" s="5" t="s">
        <v>9683</v>
      </c>
      <c r="D1048">
        <f t="shared" si="64"/>
        <v>1047</v>
      </c>
      <c r="E1048" t="str">
        <f t="shared" si="65"/>
        <v>E2_3_1_179</v>
      </c>
      <c r="F1048" s="11" t="s">
        <v>14350</v>
      </c>
      <c r="G1048" s="11" t="s">
        <v>14953</v>
      </c>
      <c r="H1048" s="11" t="s">
        <v>15563</v>
      </c>
      <c r="I1048" s="11" t="s">
        <v>16184</v>
      </c>
      <c r="J1048" s="12" t="str">
        <f t="shared" si="66"/>
        <v>(${Variables:E2_3_1_179_kcat} * E2_3_1_179 * C01209 * C05755)/(${Variables:E2_3_1_179_km} + (E2_3_1_179 * C01209 * C05755))</v>
      </c>
      <c r="K1048" s="11" t="str">
        <f t="shared" si="67"/>
        <v>r1047: C01209 + C05755 -&gt; C00011 + C00229 + C05756 | (${Variables:E2_3_1_179_kcat} * E2_3_1_179 * C01209 * C05755)/(${Variables:E2_3_1_179_km} + (E2_3_1_179 * C01209 * C05755))</v>
      </c>
    </row>
    <row r="1049" spans="1:11" ht="45" customHeight="1" x14ac:dyDescent="0.25">
      <c r="A1049" t="s">
        <v>4062</v>
      </c>
      <c r="B1049" t="s">
        <v>4063</v>
      </c>
      <c r="C1049" s="5" t="s">
        <v>9683</v>
      </c>
      <c r="D1049">
        <f t="shared" si="64"/>
        <v>1048</v>
      </c>
      <c r="E1049" t="str">
        <f t="shared" si="65"/>
        <v>E2_3_1_179</v>
      </c>
      <c r="F1049" s="11" t="s">
        <v>14351</v>
      </c>
      <c r="G1049" s="11" t="s">
        <v>14954</v>
      </c>
      <c r="H1049" s="11" t="s">
        <v>15564</v>
      </c>
      <c r="I1049" s="11" t="s">
        <v>16185</v>
      </c>
      <c r="J1049" s="12" t="str">
        <f t="shared" si="66"/>
        <v>(${Variables:E2_3_1_179_kcat} * E2_3_1_179 * C01209 * C05761)/(${Variables:E2_3_1_179_km} + (E2_3_1_179 * C01209 * C05761))</v>
      </c>
      <c r="K1049" s="11" t="str">
        <f t="shared" si="67"/>
        <v>r1048: C01209 + C05761 -&gt; C00011 + C00229 + C05762 | (${Variables:E2_3_1_179_kcat} * E2_3_1_179 * C01209 * C05761)/(${Variables:E2_3_1_179_km} + (E2_3_1_179 * C01209 * C05761))</v>
      </c>
    </row>
    <row r="1050" spans="1:11" ht="45" customHeight="1" x14ac:dyDescent="0.25">
      <c r="A1050" t="s">
        <v>4062</v>
      </c>
      <c r="B1050" t="s">
        <v>4063</v>
      </c>
      <c r="C1050" s="5" t="s">
        <v>9683</v>
      </c>
      <c r="D1050">
        <f t="shared" si="64"/>
        <v>1049</v>
      </c>
      <c r="E1050" t="str">
        <f t="shared" si="65"/>
        <v>E2_3_1_179</v>
      </c>
      <c r="F1050" s="11" t="s">
        <v>14352</v>
      </c>
      <c r="G1050" s="11" t="s">
        <v>14955</v>
      </c>
      <c r="H1050" s="11" t="s">
        <v>15565</v>
      </c>
      <c r="I1050" s="11" t="s">
        <v>16186</v>
      </c>
      <c r="J1050" s="12" t="str">
        <f t="shared" si="66"/>
        <v>(${Variables:E2_3_1_179_kcat} * E2_3_1_179 * C01209 * C05764)/(${Variables:E2_3_1_179_km} + (E2_3_1_179 * C01209 * C05764))</v>
      </c>
      <c r="K1050" s="11" t="str">
        <f t="shared" si="67"/>
        <v>r1049: C01209 + C05764 -&gt; C00011 + C00229 + C16219 | (${Variables:E2_3_1_179_kcat} * E2_3_1_179 * C01209 * C05764)/(${Variables:E2_3_1_179_km} + (E2_3_1_179 * C01209 * C05764))</v>
      </c>
    </row>
    <row r="1051" spans="1:11" ht="45" customHeight="1" x14ac:dyDescent="0.25">
      <c r="A1051" t="s">
        <v>4062</v>
      </c>
      <c r="B1051" t="s">
        <v>4063</v>
      </c>
      <c r="C1051" s="5" t="s">
        <v>9683</v>
      </c>
      <c r="D1051">
        <f t="shared" si="64"/>
        <v>1050</v>
      </c>
      <c r="E1051" t="str">
        <f t="shared" si="65"/>
        <v>E2_3_1_179</v>
      </c>
      <c r="F1051" s="11" t="s">
        <v>14353</v>
      </c>
      <c r="G1051" s="11" t="s">
        <v>14956</v>
      </c>
      <c r="H1051" s="11" t="s">
        <v>15566</v>
      </c>
      <c r="I1051" s="11" t="s">
        <v>16187</v>
      </c>
      <c r="J1051" s="12" t="str">
        <f t="shared" si="66"/>
        <v>(${Variables:E2_3_1_179_kcat} * E2_3_1_179 * C01209 * C19673)/(${Variables:E2_3_1_179_km} + (E2_3_1_179 * C01209 * C19673))</v>
      </c>
      <c r="K1051" s="11" t="str">
        <f t="shared" si="67"/>
        <v>r1050: C01209 + C19673 -&gt; C00011 + C00229 + C20372 | (${Variables:E2_3_1_179_kcat} * E2_3_1_179 * C01209 * C19673)/(${Variables:E2_3_1_179_km} + (E2_3_1_179 * C01209 * C19673))</v>
      </c>
    </row>
    <row r="1052" spans="1:11" ht="45" customHeight="1" x14ac:dyDescent="0.25">
      <c r="A1052" t="s">
        <v>4062</v>
      </c>
      <c r="B1052" t="s">
        <v>4063</v>
      </c>
      <c r="C1052" s="5" t="s">
        <v>9683</v>
      </c>
      <c r="D1052">
        <f t="shared" si="64"/>
        <v>1051</v>
      </c>
      <c r="E1052" t="str">
        <f t="shared" si="65"/>
        <v>E2_3_1_179</v>
      </c>
      <c r="F1052" s="11" t="s">
        <v>14354</v>
      </c>
      <c r="G1052" s="11" t="s">
        <v>14957</v>
      </c>
      <c r="H1052" s="11" t="s">
        <v>15567</v>
      </c>
      <c r="I1052" s="11" t="s">
        <v>16188</v>
      </c>
      <c r="J1052" s="12" t="str">
        <f t="shared" si="66"/>
        <v>(${Variables:E2_3_1_179_kcat} * E2_3_1_179 * C01209 * C20375)/(${Variables:E2_3_1_179_km} + (E2_3_1_179 * C01209 * C20375))</v>
      </c>
      <c r="K1052" s="11" t="str">
        <f t="shared" si="67"/>
        <v>r1051: C01209 + C20375 -&gt; C00011 + C00229 + C20376 | (${Variables:E2_3_1_179_kcat} * E2_3_1_179 * C01209 * C20375)/(${Variables:E2_3_1_179_km} + (E2_3_1_179 * C01209 * C20375))</v>
      </c>
    </row>
    <row r="1053" spans="1:11" ht="45" customHeight="1" x14ac:dyDescent="0.25">
      <c r="A1053" t="s">
        <v>4065</v>
      </c>
      <c r="B1053" t="s">
        <v>4066</v>
      </c>
      <c r="C1053" s="5" t="s">
        <v>9684</v>
      </c>
      <c r="D1053">
        <f t="shared" si="64"/>
        <v>1052</v>
      </c>
      <c r="E1053" t="str">
        <f t="shared" si="65"/>
        <v>E3_1_5_1</v>
      </c>
      <c r="F1053" s="11" t="s">
        <v>14355</v>
      </c>
      <c r="G1053" s="11" t="s">
        <v>14958</v>
      </c>
      <c r="H1053" s="11" t="s">
        <v>9135</v>
      </c>
      <c r="I1053" s="11" t="s">
        <v>9334</v>
      </c>
      <c r="J1053" s="12" t="str">
        <f t="shared" si="66"/>
        <v>(${Variables:E3_1_5_1_kcat} * E3_1_5_1 * C00001 * C00286)/(${Variables:E3_1_5_1_km} + (E3_1_5_1 * C00001 * C00286))</v>
      </c>
      <c r="K1053" s="11" t="str">
        <f t="shared" si="67"/>
        <v>r1052: C00001 + C00286 -&gt; C00330 + C00536 | (${Variables:E3_1_5_1_kcat} * E3_1_5_1 * C00001 * C00286)/(${Variables:E3_1_5_1_km} + (E3_1_5_1 * C00001 * C00286))</v>
      </c>
    </row>
    <row r="1054" spans="1:11" ht="45" customHeight="1" x14ac:dyDescent="0.25">
      <c r="A1054" t="s">
        <v>4068</v>
      </c>
      <c r="B1054" t="s">
        <v>4069</v>
      </c>
      <c r="C1054" s="5" t="s">
        <v>9608</v>
      </c>
      <c r="D1054">
        <f t="shared" si="64"/>
        <v>1053</v>
      </c>
      <c r="E1054" t="str">
        <f t="shared" si="65"/>
        <v>E2_6_1_1</v>
      </c>
      <c r="F1054" s="11" t="s">
        <v>14253</v>
      </c>
      <c r="G1054" s="11" t="s">
        <v>14856</v>
      </c>
      <c r="H1054" s="11" t="s">
        <v>15463</v>
      </c>
      <c r="I1054" s="11" t="s">
        <v>16084</v>
      </c>
      <c r="J1054" s="12" t="str">
        <f t="shared" si="66"/>
        <v>(${Variables:E2_6_1_1_kcat} * E2_6_1_1 * C00026 * C00049)/(${Variables:E2_6_1_1_km} + (E2_6_1_1 * C00026 * C00049))</v>
      </c>
      <c r="K1054" s="11" t="str">
        <f t="shared" si="67"/>
        <v>r1053: C00026 + C00049 -&gt; C00025 + C00036 | (${Variables:E2_6_1_1_kcat} * E2_6_1_1 * C00026 * C00049)/(${Variables:E2_6_1_1_km} + (E2_6_1_1 * C00026 * C00049))</v>
      </c>
    </row>
    <row r="1055" spans="1:11" ht="45" customHeight="1" x14ac:dyDescent="0.25">
      <c r="A1055" t="s">
        <v>4068</v>
      </c>
      <c r="B1055" t="s">
        <v>4069</v>
      </c>
      <c r="C1055" s="5" t="s">
        <v>9608</v>
      </c>
      <c r="D1055">
        <f t="shared" si="64"/>
        <v>1054</v>
      </c>
      <c r="E1055" t="str">
        <f t="shared" si="65"/>
        <v>E2_6_1_1</v>
      </c>
      <c r="F1055" s="11" t="s">
        <v>14254</v>
      </c>
      <c r="G1055" s="11" t="s">
        <v>14857</v>
      </c>
      <c r="H1055" s="11" t="s">
        <v>15464</v>
      </c>
      <c r="I1055" s="11" t="s">
        <v>16085</v>
      </c>
      <c r="J1055" s="12" t="str">
        <f t="shared" si="66"/>
        <v>(${Variables:E2_6_1_1_kcat} * E2_6_1_1 * C00026 * C00079)/(${Variables:E2_6_1_1_km} + (E2_6_1_1 * C00026 * C00079))</v>
      </c>
      <c r="K1055" s="11" t="str">
        <f t="shared" si="67"/>
        <v>r1054: C00026 + C00079 -&gt; C00025 + C00166 | (${Variables:E2_6_1_1_kcat} * E2_6_1_1 * C00026 * C00079)/(${Variables:E2_6_1_1_km} + (E2_6_1_1 * C00026 * C00079))</v>
      </c>
    </row>
    <row r="1056" spans="1:11" ht="45" customHeight="1" x14ac:dyDescent="0.25">
      <c r="A1056" t="s">
        <v>4068</v>
      </c>
      <c r="B1056" t="s">
        <v>4069</v>
      </c>
      <c r="C1056" s="5" t="s">
        <v>9608</v>
      </c>
      <c r="D1056">
        <f t="shared" si="64"/>
        <v>1055</v>
      </c>
      <c r="E1056" t="str">
        <f t="shared" si="65"/>
        <v>E2_6_1_1</v>
      </c>
      <c r="F1056" s="11" t="s">
        <v>14255</v>
      </c>
      <c r="G1056" s="11" t="s">
        <v>14858</v>
      </c>
      <c r="H1056" s="11" t="s">
        <v>15465</v>
      </c>
      <c r="I1056" s="11" t="s">
        <v>16086</v>
      </c>
      <c r="J1056" s="12" t="str">
        <f t="shared" si="66"/>
        <v>(${Variables:E2_6_1_1_kcat} * E2_6_1_1 * C00026 * C00082)/(${Variables:E2_6_1_1_km} + (E2_6_1_1 * C00026 * C00082))</v>
      </c>
      <c r="K1056" s="11" t="str">
        <f t="shared" si="67"/>
        <v>r1055: C00026 + C00082 -&gt; C00025 + C01179 | (${Variables:E2_6_1_1_kcat} * E2_6_1_1 * C00026 * C00082)/(${Variables:E2_6_1_1_km} + (E2_6_1_1 * C00026 * C00082))</v>
      </c>
    </row>
    <row r="1057" spans="1:11" ht="45" customHeight="1" x14ac:dyDescent="0.25">
      <c r="A1057" t="s">
        <v>4068</v>
      </c>
      <c r="B1057" t="s">
        <v>4069</v>
      </c>
      <c r="C1057" s="5" t="s">
        <v>9608</v>
      </c>
      <c r="D1057">
        <f t="shared" si="64"/>
        <v>1056</v>
      </c>
      <c r="E1057" t="str">
        <f t="shared" si="65"/>
        <v>E2_6_1_1</v>
      </c>
      <c r="F1057" s="11" t="s">
        <v>14256</v>
      </c>
      <c r="G1057" s="11" t="s">
        <v>14859</v>
      </c>
      <c r="H1057" s="11" t="s">
        <v>15466</v>
      </c>
      <c r="I1057" s="11" t="s">
        <v>16087</v>
      </c>
      <c r="J1057" s="12" t="str">
        <f t="shared" si="66"/>
        <v>(${Variables:E2_6_1_1_kcat} * E2_6_1_1 * C00026 * C00097)/(${Variables:E2_6_1_1_km} + (E2_6_1_1 * C00026 * C00097))</v>
      </c>
      <c r="K1057" s="11" t="str">
        <f t="shared" si="67"/>
        <v>r1056: C00026 + C00097 -&gt; C00025 + C00957 | (${Variables:E2_6_1_1_kcat} * E2_6_1_1 * C00026 * C00097)/(${Variables:E2_6_1_1_km} + (E2_6_1_1 * C00026 * C00097))</v>
      </c>
    </row>
    <row r="1058" spans="1:11" ht="45" customHeight="1" x14ac:dyDescent="0.25">
      <c r="A1058" t="s">
        <v>4068</v>
      </c>
      <c r="B1058" t="s">
        <v>4069</v>
      </c>
      <c r="C1058" s="5" t="s">
        <v>9608</v>
      </c>
      <c r="D1058">
        <f t="shared" si="64"/>
        <v>1057</v>
      </c>
      <c r="E1058" t="str">
        <f t="shared" si="65"/>
        <v>E2_6_1_1</v>
      </c>
      <c r="F1058" s="11" t="s">
        <v>14256</v>
      </c>
      <c r="G1058" s="11" t="s">
        <v>14859</v>
      </c>
      <c r="H1058" s="11" t="s">
        <v>15467</v>
      </c>
      <c r="I1058" s="11" t="s">
        <v>16088</v>
      </c>
      <c r="J1058" s="12" t="str">
        <f t="shared" si="66"/>
        <v>(${Variables:E2_6_1_1_kcat} * E2_6_1_1 * C00026 * C00097)/(${Variables:E2_6_1_1_km} + (E2_6_1_1 * C00026 * C00097))</v>
      </c>
      <c r="K1058" s="11" t="str">
        <f t="shared" si="67"/>
        <v>r1057: C00026 + C00097 -&gt; C00302 + C00957 | (${Variables:E2_6_1_1_kcat} * E2_6_1_1 * C00026 * C00097)/(${Variables:E2_6_1_1_km} + (E2_6_1_1 * C00026 * C00097))</v>
      </c>
    </row>
    <row r="1059" spans="1:11" ht="45" customHeight="1" x14ac:dyDescent="0.25">
      <c r="A1059" t="s">
        <v>4068</v>
      </c>
      <c r="B1059" t="s">
        <v>4069</v>
      </c>
      <c r="C1059" s="5" t="s">
        <v>9608</v>
      </c>
      <c r="D1059">
        <f t="shared" si="64"/>
        <v>1058</v>
      </c>
      <c r="E1059" t="str">
        <f t="shared" si="65"/>
        <v>E2_6_1_1</v>
      </c>
      <c r="F1059" s="11" t="s">
        <v>14257</v>
      </c>
      <c r="G1059" s="11" t="s">
        <v>14860</v>
      </c>
      <c r="H1059" s="11" t="s">
        <v>15468</v>
      </c>
      <c r="I1059" s="11" t="s">
        <v>16089</v>
      </c>
      <c r="J1059" s="12" t="str">
        <f t="shared" si="66"/>
        <v>(${Variables:E2_6_1_1_kcat} * E2_6_1_1 * C00026 * C00506)/(${Variables:E2_6_1_1_km} + (E2_6_1_1 * C00026 * C00506))</v>
      </c>
      <c r="K1059" s="11" t="str">
        <f t="shared" si="67"/>
        <v>r1058: C00026 + C00506 -&gt; C00025 + C05528 | (${Variables:E2_6_1_1_kcat} * E2_6_1_1 * C00026 * C00506)/(${Variables:E2_6_1_1_km} + (E2_6_1_1 * C00026 * C00506))</v>
      </c>
    </row>
    <row r="1060" spans="1:11" ht="45" customHeight="1" x14ac:dyDescent="0.25">
      <c r="A1060" t="s">
        <v>4068</v>
      </c>
      <c r="B1060" t="s">
        <v>4069</v>
      </c>
      <c r="C1060" s="5" t="s">
        <v>9608</v>
      </c>
      <c r="D1060">
        <f t="shared" si="64"/>
        <v>1059</v>
      </c>
      <c r="E1060" t="str">
        <f t="shared" si="65"/>
        <v>E2_6_1_1</v>
      </c>
      <c r="F1060" s="11" t="s">
        <v>14258</v>
      </c>
      <c r="G1060" s="11" t="s">
        <v>14861</v>
      </c>
      <c r="H1060" s="11" t="s">
        <v>15469</v>
      </c>
      <c r="I1060" s="11" t="s">
        <v>16090</v>
      </c>
      <c r="J1060" s="12" t="str">
        <f t="shared" si="66"/>
        <v>(${Variables:E2_6_1_1_kcat} * E2_6_1_1 * C00026 * C00606)/(${Variables:E2_6_1_1_km} + (E2_6_1_1 * C00026 * C00606))</v>
      </c>
      <c r="K1060" s="11" t="str">
        <f t="shared" si="67"/>
        <v>r1059: C00026 + C00606 -&gt; C00025 + C05527 | (${Variables:E2_6_1_1_kcat} * E2_6_1_1 * C00026 * C00606)/(${Variables:E2_6_1_1_km} + (E2_6_1_1 * C00026 * C00606))</v>
      </c>
    </row>
    <row r="1061" spans="1:11" ht="45" customHeight="1" x14ac:dyDescent="0.25">
      <c r="A1061" t="s">
        <v>4068</v>
      </c>
      <c r="B1061" t="s">
        <v>4069</v>
      </c>
      <c r="C1061" s="5" t="s">
        <v>9608</v>
      </c>
      <c r="D1061">
        <f t="shared" si="64"/>
        <v>1060</v>
      </c>
      <c r="E1061" t="str">
        <f t="shared" si="65"/>
        <v>E2_6_1_1</v>
      </c>
      <c r="F1061" s="11" t="s">
        <v>14259</v>
      </c>
      <c r="G1061" s="11" t="s">
        <v>14862</v>
      </c>
      <c r="H1061" s="11" t="s">
        <v>15470</v>
      </c>
      <c r="I1061" s="11" t="s">
        <v>16091</v>
      </c>
      <c r="J1061" s="12" t="str">
        <f t="shared" si="66"/>
        <v>(${Variables:E2_6_1_1_kcat} * E2_6_1_1 * C00026 * C05947)/(${Variables:E2_6_1_1_km} + (E2_6_1_1 * C00026 * C05947))</v>
      </c>
      <c r="K1061" s="11" t="str">
        <f t="shared" si="67"/>
        <v>r1060: C00026 + C05947 -&gt; C00025 + C05946 | (${Variables:E2_6_1_1_kcat} * E2_6_1_1 * C00026 * C05947)/(${Variables:E2_6_1_1_km} + (E2_6_1_1 * C00026 * C05947))</v>
      </c>
    </row>
    <row r="1062" spans="1:11" ht="45" customHeight="1" x14ac:dyDescent="0.25">
      <c r="A1062" t="s">
        <v>4071</v>
      </c>
      <c r="B1062" t="s">
        <v>4072</v>
      </c>
      <c r="C1062" s="5" t="s">
        <v>9579</v>
      </c>
      <c r="D1062">
        <f t="shared" si="64"/>
        <v>1061</v>
      </c>
      <c r="E1062" t="str">
        <f t="shared" si="65"/>
        <v>E6_2_1_30</v>
      </c>
      <c r="F1062" s="11" t="s">
        <v>14222</v>
      </c>
      <c r="G1062" s="11" t="s">
        <v>14825</v>
      </c>
      <c r="H1062" s="11" t="s">
        <v>15429</v>
      </c>
      <c r="I1062" s="11" t="s">
        <v>16050</v>
      </c>
      <c r="J1062" s="12" t="str">
        <f t="shared" si="66"/>
        <v>(${Variables:E6_2_1_30_kcat} * E6_2_1_30 * C00002 * C00010 * C07086)/(${Variables:E6_2_1_30_km} + (E6_2_1_30 * C00002 * C00010 * C07086))</v>
      </c>
      <c r="K1062" s="11" t="str">
        <f t="shared" si="67"/>
        <v>r1061: C00002 + C00010 + C07086 -&gt; C00013 + C00020 + C00582 | (${Variables:E6_2_1_30_kcat} * E6_2_1_30 * C00002 * C00010 * C07086)/(${Variables:E6_2_1_30_km} + (E6_2_1_30 * C00002 * C00010 * C07086))</v>
      </c>
    </row>
    <row r="1063" spans="1:11" ht="45" customHeight="1" x14ac:dyDescent="0.25">
      <c r="A1063" t="s">
        <v>4074</v>
      </c>
      <c r="B1063" t="s">
        <v>4075</v>
      </c>
      <c r="C1063" s="5" t="s">
        <v>9685</v>
      </c>
      <c r="D1063">
        <f t="shared" si="64"/>
        <v>1062</v>
      </c>
      <c r="E1063" t="str">
        <f t="shared" si="65"/>
        <v>E2_7_1_15</v>
      </c>
      <c r="F1063" s="11" t="s">
        <v>8775</v>
      </c>
      <c r="G1063" s="11" t="s">
        <v>8941</v>
      </c>
      <c r="H1063" s="11" t="s">
        <v>9136</v>
      </c>
      <c r="I1063" s="11" t="s">
        <v>9335</v>
      </c>
      <c r="J1063" s="12" t="str">
        <f t="shared" si="66"/>
        <v>(${Variables:E2_7_1_15_kcat} * E2_7_1_15 * C00002 * C00121)/(${Variables:E2_7_1_15_km} + (E2_7_1_15 * C00002 * C00121))</v>
      </c>
      <c r="K1063" s="11" t="str">
        <f t="shared" si="67"/>
        <v>r1062: C00002 + C00121 -&gt; C00008 + C00117 | (${Variables:E2_7_1_15_kcat} * E2_7_1_15 * C00002 * C00121)/(${Variables:E2_7_1_15_km} + (E2_7_1_15 * C00002 * C00121))</v>
      </c>
    </row>
    <row r="1064" spans="1:11" ht="45" customHeight="1" x14ac:dyDescent="0.25">
      <c r="A1064" t="s">
        <v>4074</v>
      </c>
      <c r="B1064" t="s">
        <v>4075</v>
      </c>
      <c r="C1064" s="5" t="s">
        <v>9685</v>
      </c>
      <c r="D1064">
        <f t="shared" si="64"/>
        <v>1063</v>
      </c>
      <c r="E1064" t="str">
        <f t="shared" si="65"/>
        <v>E2_7_1_15</v>
      </c>
      <c r="F1064" s="11" t="s">
        <v>14356</v>
      </c>
      <c r="G1064" s="11" t="s">
        <v>14959</v>
      </c>
      <c r="H1064" s="11" t="s">
        <v>15568</v>
      </c>
      <c r="I1064" s="11" t="s">
        <v>16189</v>
      </c>
      <c r="J1064" s="12" t="str">
        <f t="shared" si="66"/>
        <v>(${Variables:E2_7_1_15_kcat} * E2_7_1_15 * C00008 * C00673)/(${Variables:E2_7_1_15_km} + (E2_7_1_15 * C00008 * C00673))</v>
      </c>
      <c r="K1064" s="11" t="str">
        <f t="shared" si="67"/>
        <v>r1063: C00008 + C00673 -&gt; C00002 + C01801 | (${Variables:E2_7_1_15_kcat} * E2_7_1_15 * C00008 * C00673)/(${Variables:E2_7_1_15_km} + (E2_7_1_15 * C00008 * C00673))</v>
      </c>
    </row>
    <row r="1065" spans="1:11" ht="45" customHeight="1" x14ac:dyDescent="0.25">
      <c r="A1065" t="s">
        <v>4080</v>
      </c>
      <c r="B1065" t="s">
        <v>4081</v>
      </c>
      <c r="C1065" s="5" t="s">
        <v>9686</v>
      </c>
      <c r="D1065">
        <f t="shared" si="64"/>
        <v>1064</v>
      </c>
      <c r="E1065" t="str">
        <f t="shared" si="65"/>
        <v>E4_2_1_19</v>
      </c>
      <c r="F1065" s="11" t="s">
        <v>8328</v>
      </c>
      <c r="G1065" s="11" t="s">
        <v>8328</v>
      </c>
      <c r="H1065" s="11" t="s">
        <v>15569</v>
      </c>
      <c r="I1065" s="11" t="s">
        <v>16190</v>
      </c>
      <c r="J1065" s="12" t="str">
        <f t="shared" si="66"/>
        <v>(${Variables:E4_2_1_19_kcat} * E4_2_1_19 * C04666)/(${Variables:E4_2_1_19_km} + (E4_2_1_19 * C04666))</v>
      </c>
      <c r="K1065" s="11" t="str">
        <f t="shared" si="67"/>
        <v>r1064: C04666 -&gt; C00001 + C01267 | (${Variables:E4_2_1_19_kcat} * E4_2_1_19 * C04666)/(${Variables:E4_2_1_19_km} + (E4_2_1_19 * C04666))</v>
      </c>
    </row>
    <row r="1066" spans="1:11" ht="45" customHeight="1" x14ac:dyDescent="0.25">
      <c r="A1066" t="s">
        <v>4083</v>
      </c>
      <c r="B1066" t="s">
        <v>4084</v>
      </c>
      <c r="C1066" s="5" t="s">
        <v>9687</v>
      </c>
      <c r="D1066">
        <f t="shared" si="64"/>
        <v>1065</v>
      </c>
      <c r="E1066" t="str">
        <f t="shared" si="65"/>
        <v>E2_6_1_9</v>
      </c>
      <c r="F1066" s="11" t="s">
        <v>14357</v>
      </c>
      <c r="G1066" s="11" t="s">
        <v>14960</v>
      </c>
      <c r="H1066" s="11" t="s">
        <v>15570</v>
      </c>
      <c r="I1066" s="11" t="s">
        <v>16191</v>
      </c>
      <c r="J1066" s="12" t="str">
        <f t="shared" si="66"/>
        <v>(${Variables:E2_6_1_9_kcat} * E2_6_1_9 * C00026 * C01100)/(${Variables:E2_6_1_9_km} + (E2_6_1_9 * C00026 * C01100))</v>
      </c>
      <c r="K1066" s="11" t="str">
        <f t="shared" si="67"/>
        <v>r1065: C00026 + C01100 -&gt; C00025 + C01267 | (${Variables:E2_6_1_9_kcat} * E2_6_1_9 * C00026 * C01100)/(${Variables:E2_6_1_9_km} + (E2_6_1_9 * C00026 * C01100))</v>
      </c>
    </row>
    <row r="1067" spans="1:11" ht="45" customHeight="1" x14ac:dyDescent="0.25">
      <c r="A1067" t="s">
        <v>4083</v>
      </c>
      <c r="B1067" t="s">
        <v>4084</v>
      </c>
      <c r="C1067" s="5" t="s">
        <v>9687</v>
      </c>
      <c r="D1067">
        <f t="shared" si="64"/>
        <v>1066</v>
      </c>
      <c r="E1067" t="str">
        <f t="shared" si="65"/>
        <v>E2_6_1_9</v>
      </c>
      <c r="F1067" s="11" t="s">
        <v>14254</v>
      </c>
      <c r="G1067" s="11" t="s">
        <v>14857</v>
      </c>
      <c r="H1067" s="11" t="s">
        <v>15464</v>
      </c>
      <c r="I1067" s="11" t="s">
        <v>16085</v>
      </c>
      <c r="J1067" s="12" t="str">
        <f t="shared" si="66"/>
        <v>(${Variables:E2_6_1_9_kcat} * E2_6_1_9 * C00026 * C00079)/(${Variables:E2_6_1_9_km} + (E2_6_1_9 * C00026 * C00079))</v>
      </c>
      <c r="K1067" s="11" t="str">
        <f t="shared" si="67"/>
        <v>r1066: C00026 + C00079 -&gt; C00025 + C00166 | (${Variables:E2_6_1_9_kcat} * E2_6_1_9 * C00026 * C00079)/(${Variables:E2_6_1_9_km} + (E2_6_1_9 * C00026 * C00079))</v>
      </c>
    </row>
    <row r="1068" spans="1:11" ht="45" customHeight="1" x14ac:dyDescent="0.25">
      <c r="A1068" t="s">
        <v>4083</v>
      </c>
      <c r="B1068" t="s">
        <v>4084</v>
      </c>
      <c r="C1068" s="5" t="s">
        <v>9687</v>
      </c>
      <c r="D1068">
        <f t="shared" si="64"/>
        <v>1067</v>
      </c>
      <c r="E1068" t="str">
        <f t="shared" si="65"/>
        <v>E2_6_1_9</v>
      </c>
      <c r="F1068" s="11" t="s">
        <v>14255</v>
      </c>
      <c r="G1068" s="11" t="s">
        <v>14858</v>
      </c>
      <c r="H1068" s="11" t="s">
        <v>15465</v>
      </c>
      <c r="I1068" s="11" t="s">
        <v>16086</v>
      </c>
      <c r="J1068" s="12" t="str">
        <f t="shared" si="66"/>
        <v>(${Variables:E2_6_1_9_kcat} * E2_6_1_9 * C00026 * C00082)/(${Variables:E2_6_1_9_km} + (E2_6_1_9 * C00026 * C00082))</v>
      </c>
      <c r="K1068" s="11" t="str">
        <f t="shared" si="67"/>
        <v>r1067: C00026 + C00082 -&gt; C00025 + C01179 | (${Variables:E2_6_1_9_kcat} * E2_6_1_9 * C00026 * C00082)/(${Variables:E2_6_1_9_km} + (E2_6_1_9 * C00026 * C00082))</v>
      </c>
    </row>
    <row r="1069" spans="1:11" ht="45" customHeight="1" x14ac:dyDescent="0.25">
      <c r="A1069" t="s">
        <v>4093</v>
      </c>
      <c r="B1069" t="s">
        <v>4094</v>
      </c>
      <c r="C1069" s="5" t="s">
        <v>9688</v>
      </c>
      <c r="D1069">
        <f t="shared" si="64"/>
        <v>1068</v>
      </c>
      <c r="E1069" t="str">
        <f t="shared" si="65"/>
        <v>E2_7_4_16</v>
      </c>
      <c r="F1069" s="11" t="s">
        <v>8776</v>
      </c>
      <c r="G1069" s="11" t="s">
        <v>8942</v>
      </c>
      <c r="H1069" s="11" t="s">
        <v>9137</v>
      </c>
      <c r="I1069" s="11" t="s">
        <v>9336</v>
      </c>
      <c r="J1069" s="12" t="str">
        <f t="shared" si="66"/>
        <v>(${Variables:E2_7_4_16_kcat} * E2_7_4_16 * C00002 * C01081)/(${Variables:E2_7_4_16_km} + (E2_7_4_16 * C00002 * C01081))</v>
      </c>
      <c r="K1069" s="11" t="str">
        <f t="shared" si="67"/>
        <v>r1068: C00002 + C01081 -&gt; C00008 + C00068 | (${Variables:E2_7_4_16_kcat} * E2_7_4_16 * C00002 * C01081)/(${Variables:E2_7_4_16_km} + (E2_7_4_16 * C00002 * C01081))</v>
      </c>
    </row>
    <row r="1070" spans="1:11" ht="45" customHeight="1" x14ac:dyDescent="0.25">
      <c r="A1070" t="s">
        <v>4097</v>
      </c>
      <c r="B1070" t="s">
        <v>4098</v>
      </c>
      <c r="C1070" s="5" t="s">
        <v>9531</v>
      </c>
      <c r="D1070">
        <f t="shared" si="64"/>
        <v>1069</v>
      </c>
      <c r="E1070" t="str">
        <f t="shared" si="65"/>
        <v>E2_4_1_187</v>
      </c>
      <c r="F1070" s="11" t="s">
        <v>8713</v>
      </c>
      <c r="G1070" s="11" t="s">
        <v>8879</v>
      </c>
      <c r="H1070" s="11" t="s">
        <v>9072</v>
      </c>
      <c r="I1070" s="11" t="s">
        <v>9271</v>
      </c>
      <c r="J1070" s="12" t="str">
        <f t="shared" si="66"/>
        <v>(${Variables:E2_4_1_187_kcat} * E2_4_1_187 * C01170 * C01289)/(${Variables:E2_4_1_187_km} + (E2_4_1_187 * C01170 * C01289))</v>
      </c>
      <c r="K1070" s="11" t="str">
        <f t="shared" si="67"/>
        <v>r1069: C01170 + C01289 -&gt; C00015 + C04881 | (${Variables:E2_4_1_187_kcat} * E2_4_1_187 * C01170 * C01289)/(${Variables:E2_4_1_187_km} + (E2_4_1_187 * C01170 * C01289))</v>
      </c>
    </row>
    <row r="1071" spans="1:11" ht="45" customHeight="1" x14ac:dyDescent="0.25">
      <c r="A1071" t="s">
        <v>4097</v>
      </c>
      <c r="B1071" t="s">
        <v>4098</v>
      </c>
      <c r="C1071" s="5" t="s">
        <v>9531</v>
      </c>
      <c r="D1071">
        <f t="shared" si="64"/>
        <v>1070</v>
      </c>
      <c r="E1071" t="str">
        <f t="shared" si="65"/>
        <v>E2_4_1_187</v>
      </c>
      <c r="F1071" s="11" t="s">
        <v>14137</v>
      </c>
      <c r="G1071" s="11" t="s">
        <v>14740</v>
      </c>
      <c r="H1071" s="11" t="s">
        <v>15339</v>
      </c>
      <c r="I1071" s="11" t="s">
        <v>15960</v>
      </c>
      <c r="J1071" s="12" t="str">
        <f t="shared" si="66"/>
        <v>(${Variables:E2_4_1_187_kcat} * E2_4_1_187 * G11112 * G13164)/(${Variables:E2_4_1_187_km} + (E2_4_1_187 * G11112 * G13164))</v>
      </c>
      <c r="K1071" s="11" t="str">
        <f t="shared" si="67"/>
        <v>r1070: G11112 + G13164 -&gt; G00177 + G10619 | (${Variables:E2_4_1_187_kcat} * E2_4_1_187 * G11112 * G13164)/(${Variables:E2_4_1_187_km} + (E2_4_1_187 * G11112 * G13164))</v>
      </c>
    </row>
    <row r="1072" spans="1:11" ht="45" customHeight="1" x14ac:dyDescent="0.25">
      <c r="A1072" t="s">
        <v>4104</v>
      </c>
      <c r="B1072" t="s">
        <v>4105</v>
      </c>
      <c r="C1072" s="5" t="s">
        <v>9536</v>
      </c>
      <c r="D1072">
        <f t="shared" si="64"/>
        <v>1071</v>
      </c>
      <c r="E1072" t="str">
        <f t="shared" si="65"/>
        <v>E2_1_1_72</v>
      </c>
      <c r="F1072" s="11" t="s">
        <v>8715</v>
      </c>
      <c r="G1072" s="11" t="s">
        <v>8881</v>
      </c>
      <c r="H1072" s="11" t="s">
        <v>9074</v>
      </c>
      <c r="I1072" s="11" t="s">
        <v>9273</v>
      </c>
      <c r="J1072" s="12" t="str">
        <f t="shared" si="66"/>
        <v>(${Variables:E2_1_1_72_kcat} * E2_1_1_72 * C00019 * C00821)/(${Variables:E2_1_1_72_km} + (E2_1_1_72 * C00019 * C00821))</v>
      </c>
      <c r="K1072" s="11" t="str">
        <f t="shared" si="67"/>
        <v>r1071: C00019 + C00821 -&gt; C00021 + C03391 | (${Variables:E2_1_1_72_kcat} * E2_1_1_72 * C00019 * C00821)/(${Variables:E2_1_1_72_km} + (E2_1_1_72 * C00019 * C00821))</v>
      </c>
    </row>
    <row r="1073" spans="1:11" ht="45" customHeight="1" x14ac:dyDescent="0.25">
      <c r="A1073" t="s">
        <v>4120</v>
      </c>
      <c r="B1073" t="s">
        <v>4121</v>
      </c>
      <c r="C1073" s="5" t="s">
        <v>9689</v>
      </c>
      <c r="D1073">
        <f t="shared" si="64"/>
        <v>1072</v>
      </c>
      <c r="E1073" t="str">
        <f t="shared" si="65"/>
        <v>E2_1_1_182</v>
      </c>
      <c r="F1073" s="11" t="s">
        <v>8777</v>
      </c>
      <c r="G1073" s="11" t="s">
        <v>8943</v>
      </c>
      <c r="H1073" s="11" t="s">
        <v>9138</v>
      </c>
      <c r="I1073" s="11" t="s">
        <v>9337</v>
      </c>
      <c r="J1073" s="12" t="str">
        <f t="shared" si="66"/>
        <v>(${Variables:E2_1_1_182_kcat} * E2_1_1_182 * C00019 * C20648)/(${Variables:E2_1_1_182_km} + (E2_1_1_182 * C00019 * C20648))</v>
      </c>
      <c r="K1073" s="11" t="str">
        <f t="shared" si="67"/>
        <v>r1072: C00019 + C20648 -&gt; C00021 + C20796 | (${Variables:E2_1_1_182_kcat} * E2_1_1_182 * C00019 * C20648)/(${Variables:E2_1_1_182_km} + (E2_1_1_182 * C00019 * C20648))</v>
      </c>
    </row>
    <row r="1074" spans="1:11" ht="45" customHeight="1" x14ac:dyDescent="0.25">
      <c r="A1074" t="s">
        <v>4123</v>
      </c>
      <c r="B1074" t="s">
        <v>4124</v>
      </c>
      <c r="C1074" s="5" t="s">
        <v>9690</v>
      </c>
      <c r="D1074">
        <f t="shared" si="64"/>
        <v>1073</v>
      </c>
      <c r="E1074" t="str">
        <f t="shared" si="65"/>
        <v>E7_1_1_2</v>
      </c>
      <c r="F1074" s="11" t="s">
        <v>14358</v>
      </c>
      <c r="G1074" s="11" t="s">
        <v>14961</v>
      </c>
      <c r="H1074" s="11" t="s">
        <v>15571</v>
      </c>
      <c r="I1074" s="11" t="s">
        <v>16192</v>
      </c>
      <c r="J1074" s="12" t="str">
        <f t="shared" si="66"/>
        <v>(${Variables:E7_1_1_2_kcat} * E7_1_1_2 * C00004 * C00080 * C00399)/(${Variables:E7_1_1_2_km} + (E7_1_1_2 * C00004 * C00080 * C00399))</v>
      </c>
      <c r="K1074" s="11" t="str">
        <f t="shared" si="67"/>
        <v>r1073: C00004 + C00080 + C00399 -&gt; C00003 + C00080 + C00390 | (${Variables:E7_1_1_2_kcat} * E7_1_1_2 * C00004 * C00080 * C00399)/(${Variables:E7_1_1_2_km} + (E7_1_1_2 * C00004 * C00080 * C00399))</v>
      </c>
    </row>
    <row r="1075" spans="1:11" ht="45" customHeight="1" x14ac:dyDescent="0.25">
      <c r="A1075" t="s">
        <v>4126</v>
      </c>
      <c r="B1075" t="s">
        <v>4127</v>
      </c>
      <c r="C1075" s="5" t="s">
        <v>9690</v>
      </c>
      <c r="D1075">
        <f t="shared" si="64"/>
        <v>1074</v>
      </c>
      <c r="E1075" t="str">
        <f t="shared" si="65"/>
        <v>E7_1_1_2</v>
      </c>
      <c r="F1075" s="11" t="s">
        <v>14358</v>
      </c>
      <c r="G1075" s="11" t="s">
        <v>14961</v>
      </c>
      <c r="H1075" s="11" t="s">
        <v>15571</v>
      </c>
      <c r="I1075" s="11" t="s">
        <v>16192</v>
      </c>
      <c r="J1075" s="12" t="str">
        <f t="shared" si="66"/>
        <v>(${Variables:E7_1_1_2_kcat} * E7_1_1_2 * C00004 * C00080 * C00399)/(${Variables:E7_1_1_2_km} + (E7_1_1_2 * C00004 * C00080 * C00399))</v>
      </c>
      <c r="K1075" s="11" t="str">
        <f t="shared" si="67"/>
        <v>r1074: C00004 + C00080 + C00399 -&gt; C00003 + C00080 + C00390 | (${Variables:E7_1_1_2_kcat} * E7_1_1_2 * C00004 * C00080 * C00399)/(${Variables:E7_1_1_2_km} + (E7_1_1_2 * C00004 * C00080 * C00399))</v>
      </c>
    </row>
    <row r="1076" spans="1:11" ht="45" customHeight="1" x14ac:dyDescent="0.25">
      <c r="A1076" t="s">
        <v>4129</v>
      </c>
      <c r="B1076" t="s">
        <v>4130</v>
      </c>
      <c r="C1076" s="5" t="s">
        <v>9690</v>
      </c>
      <c r="D1076">
        <f t="shared" si="64"/>
        <v>1075</v>
      </c>
      <c r="E1076" t="str">
        <f t="shared" si="65"/>
        <v>E7_1_1_2</v>
      </c>
      <c r="F1076" s="11" t="s">
        <v>14358</v>
      </c>
      <c r="G1076" s="11" t="s">
        <v>14961</v>
      </c>
      <c r="H1076" s="11" t="s">
        <v>15571</v>
      </c>
      <c r="I1076" s="11" t="s">
        <v>16192</v>
      </c>
      <c r="J1076" s="12" t="str">
        <f t="shared" si="66"/>
        <v>(${Variables:E7_1_1_2_kcat} * E7_1_1_2 * C00004 * C00080 * C00399)/(${Variables:E7_1_1_2_km} + (E7_1_1_2 * C00004 * C00080 * C00399))</v>
      </c>
      <c r="K1076" s="11" t="str">
        <f t="shared" si="67"/>
        <v>r1075: C00004 + C00080 + C00399 -&gt; C00003 + C00080 + C00390 | (${Variables:E7_1_1_2_kcat} * E7_1_1_2 * C00004 * C00080 * C00399)/(${Variables:E7_1_1_2_km} + (E7_1_1_2 * C00004 * C00080 * C00399))</v>
      </c>
    </row>
    <row r="1077" spans="1:11" ht="45" customHeight="1" x14ac:dyDescent="0.25">
      <c r="A1077" t="s">
        <v>4132</v>
      </c>
      <c r="B1077" t="s">
        <v>4133</v>
      </c>
      <c r="C1077" s="5" t="s">
        <v>9690</v>
      </c>
      <c r="D1077">
        <f t="shared" si="64"/>
        <v>1076</v>
      </c>
      <c r="E1077" t="str">
        <f t="shared" si="65"/>
        <v>E7_1_1_2</v>
      </c>
      <c r="F1077" s="11" t="s">
        <v>14358</v>
      </c>
      <c r="G1077" s="11" t="s">
        <v>14961</v>
      </c>
      <c r="H1077" s="11" t="s">
        <v>15571</v>
      </c>
      <c r="I1077" s="11" t="s">
        <v>16192</v>
      </c>
      <c r="J1077" s="12" t="str">
        <f t="shared" si="66"/>
        <v>(${Variables:E7_1_1_2_kcat} * E7_1_1_2 * C00004 * C00080 * C00399)/(${Variables:E7_1_1_2_km} + (E7_1_1_2 * C00004 * C00080 * C00399))</v>
      </c>
      <c r="K1077" s="11" t="str">
        <f t="shared" si="67"/>
        <v>r1076: C00004 + C00080 + C00399 -&gt; C00003 + C00080 + C00390 | (${Variables:E7_1_1_2_kcat} * E7_1_1_2 * C00004 * C00080 * C00399)/(${Variables:E7_1_1_2_km} + (E7_1_1_2 * C00004 * C00080 * C00399))</v>
      </c>
    </row>
    <row r="1078" spans="1:11" ht="45" customHeight="1" x14ac:dyDescent="0.25">
      <c r="A1078" t="s">
        <v>4135</v>
      </c>
      <c r="B1078" t="s">
        <v>4136</v>
      </c>
      <c r="C1078" s="5" t="s">
        <v>9690</v>
      </c>
      <c r="D1078">
        <f t="shared" si="64"/>
        <v>1077</v>
      </c>
      <c r="E1078" t="str">
        <f t="shared" si="65"/>
        <v>E7_1_1_2</v>
      </c>
      <c r="F1078" s="11" t="s">
        <v>14358</v>
      </c>
      <c r="G1078" s="11" t="s">
        <v>14961</v>
      </c>
      <c r="H1078" s="11" t="s">
        <v>15571</v>
      </c>
      <c r="I1078" s="11" t="s">
        <v>16192</v>
      </c>
      <c r="J1078" s="12" t="str">
        <f t="shared" si="66"/>
        <v>(${Variables:E7_1_1_2_kcat} * E7_1_1_2 * C00004 * C00080 * C00399)/(${Variables:E7_1_1_2_km} + (E7_1_1_2 * C00004 * C00080 * C00399))</v>
      </c>
      <c r="K1078" s="11" t="str">
        <f t="shared" si="67"/>
        <v>r1077: C00004 + C00080 + C00399 -&gt; C00003 + C00080 + C00390 | (${Variables:E7_1_1_2_kcat} * E7_1_1_2 * C00004 * C00080 * C00399)/(${Variables:E7_1_1_2_km} + (E7_1_1_2 * C00004 * C00080 * C00399))</v>
      </c>
    </row>
    <row r="1079" spans="1:11" ht="45" customHeight="1" x14ac:dyDescent="0.25">
      <c r="A1079" t="s">
        <v>4137</v>
      </c>
      <c r="B1079" t="s">
        <v>4138</v>
      </c>
      <c r="C1079" s="5" t="s">
        <v>9690</v>
      </c>
      <c r="D1079">
        <f t="shared" si="64"/>
        <v>1078</v>
      </c>
      <c r="E1079" t="str">
        <f t="shared" si="65"/>
        <v>E7_1_1_2</v>
      </c>
      <c r="F1079" s="11" t="s">
        <v>14358</v>
      </c>
      <c r="G1079" s="11" t="s">
        <v>14961</v>
      </c>
      <c r="H1079" s="11" t="s">
        <v>15571</v>
      </c>
      <c r="I1079" s="11" t="s">
        <v>16192</v>
      </c>
      <c r="J1079" s="12" t="str">
        <f t="shared" si="66"/>
        <v>(${Variables:E7_1_1_2_kcat} * E7_1_1_2 * C00004 * C00080 * C00399)/(${Variables:E7_1_1_2_km} + (E7_1_1_2 * C00004 * C00080 * C00399))</v>
      </c>
      <c r="K1079" s="11" t="str">
        <f t="shared" si="67"/>
        <v>r1078: C00004 + C00080 + C00399 -&gt; C00003 + C00080 + C00390 | (${Variables:E7_1_1_2_kcat} * E7_1_1_2 * C00004 * C00080 * C00399)/(${Variables:E7_1_1_2_km} + (E7_1_1_2 * C00004 * C00080 * C00399))</v>
      </c>
    </row>
    <row r="1080" spans="1:11" ht="45" customHeight="1" x14ac:dyDescent="0.25">
      <c r="A1080" t="s">
        <v>4140</v>
      </c>
      <c r="B1080" t="s">
        <v>4141</v>
      </c>
      <c r="C1080" s="5" t="s">
        <v>9690</v>
      </c>
      <c r="D1080">
        <f t="shared" si="64"/>
        <v>1079</v>
      </c>
      <c r="E1080" t="str">
        <f t="shared" si="65"/>
        <v>E7_1_1_2</v>
      </c>
      <c r="F1080" s="11" t="s">
        <v>14358</v>
      </c>
      <c r="G1080" s="11" t="s">
        <v>14961</v>
      </c>
      <c r="H1080" s="11" t="s">
        <v>15571</v>
      </c>
      <c r="I1080" s="11" t="s">
        <v>16192</v>
      </c>
      <c r="J1080" s="12" t="str">
        <f t="shared" si="66"/>
        <v>(${Variables:E7_1_1_2_kcat} * E7_1_1_2 * C00004 * C00080 * C00399)/(${Variables:E7_1_1_2_km} + (E7_1_1_2 * C00004 * C00080 * C00399))</v>
      </c>
      <c r="K1080" s="11" t="str">
        <f t="shared" si="67"/>
        <v>r1079: C00004 + C00080 + C00399 -&gt; C00003 + C00080 + C00390 | (${Variables:E7_1_1_2_kcat} * E7_1_1_2 * C00004 * C00080 * C00399)/(${Variables:E7_1_1_2_km} + (E7_1_1_2 * C00004 * C00080 * C00399))</v>
      </c>
    </row>
    <row r="1081" spans="1:11" ht="45" customHeight="1" x14ac:dyDescent="0.25">
      <c r="A1081" t="s">
        <v>4143</v>
      </c>
      <c r="B1081" t="s">
        <v>4144</v>
      </c>
      <c r="C1081" s="5" t="s">
        <v>9690</v>
      </c>
      <c r="D1081">
        <f t="shared" si="64"/>
        <v>1080</v>
      </c>
      <c r="E1081" t="str">
        <f t="shared" si="65"/>
        <v>E7_1_1_2</v>
      </c>
      <c r="F1081" s="11" t="s">
        <v>14358</v>
      </c>
      <c r="G1081" s="11" t="s">
        <v>14961</v>
      </c>
      <c r="H1081" s="11" t="s">
        <v>15571</v>
      </c>
      <c r="I1081" s="11" t="s">
        <v>16192</v>
      </c>
      <c r="J1081" s="12" t="str">
        <f t="shared" si="66"/>
        <v>(${Variables:E7_1_1_2_kcat} * E7_1_1_2 * C00004 * C00080 * C00399)/(${Variables:E7_1_1_2_km} + (E7_1_1_2 * C00004 * C00080 * C00399))</v>
      </c>
      <c r="K1081" s="11" t="str">
        <f t="shared" si="67"/>
        <v>r1080: C00004 + C00080 + C00399 -&gt; C00003 + C00080 + C00390 | (${Variables:E7_1_1_2_kcat} * E7_1_1_2 * C00004 * C00080 * C00399)/(${Variables:E7_1_1_2_km} + (E7_1_1_2 * C00004 * C00080 * C00399))</v>
      </c>
    </row>
    <row r="1082" spans="1:11" ht="45" customHeight="1" x14ac:dyDescent="0.25">
      <c r="A1082" t="s">
        <v>4146</v>
      </c>
      <c r="B1082" t="s">
        <v>4147</v>
      </c>
      <c r="C1082" s="5" t="s">
        <v>9690</v>
      </c>
      <c r="D1082">
        <f t="shared" si="64"/>
        <v>1081</v>
      </c>
      <c r="E1082" t="str">
        <f t="shared" si="65"/>
        <v>E7_1_1_2</v>
      </c>
      <c r="F1082" s="11" t="s">
        <v>14358</v>
      </c>
      <c r="G1082" s="11" t="s">
        <v>14961</v>
      </c>
      <c r="H1082" s="11" t="s">
        <v>15571</v>
      </c>
      <c r="I1082" s="11" t="s">
        <v>16192</v>
      </c>
      <c r="J1082" s="12" t="str">
        <f t="shared" si="66"/>
        <v>(${Variables:E7_1_1_2_kcat} * E7_1_1_2 * C00004 * C00080 * C00399)/(${Variables:E7_1_1_2_km} + (E7_1_1_2 * C00004 * C00080 * C00399))</v>
      </c>
      <c r="K1082" s="11" t="str">
        <f t="shared" si="67"/>
        <v>r1081: C00004 + C00080 + C00399 -&gt; C00003 + C00080 + C00390 | (${Variables:E7_1_1_2_kcat} * E7_1_1_2 * C00004 * C00080 * C00399)/(${Variables:E7_1_1_2_km} + (E7_1_1_2 * C00004 * C00080 * C00399))</v>
      </c>
    </row>
    <row r="1083" spans="1:11" ht="45" customHeight="1" x14ac:dyDescent="0.25">
      <c r="A1083" t="s">
        <v>4149</v>
      </c>
      <c r="B1083" t="s">
        <v>4150</v>
      </c>
      <c r="C1083" s="5" t="s">
        <v>9690</v>
      </c>
      <c r="D1083">
        <f t="shared" si="64"/>
        <v>1082</v>
      </c>
      <c r="E1083" t="str">
        <f t="shared" si="65"/>
        <v>E7_1_1_2</v>
      </c>
      <c r="F1083" s="11" t="s">
        <v>14358</v>
      </c>
      <c r="G1083" s="11" t="s">
        <v>14961</v>
      </c>
      <c r="H1083" s="11" t="s">
        <v>15571</v>
      </c>
      <c r="I1083" s="11" t="s">
        <v>16192</v>
      </c>
      <c r="J1083" s="12" t="str">
        <f t="shared" si="66"/>
        <v>(${Variables:E7_1_1_2_kcat} * E7_1_1_2 * C00004 * C00080 * C00399)/(${Variables:E7_1_1_2_km} + (E7_1_1_2 * C00004 * C00080 * C00399))</v>
      </c>
      <c r="K1083" s="11" t="str">
        <f t="shared" si="67"/>
        <v>r1082: C00004 + C00080 + C00399 -&gt; C00003 + C00080 + C00390 | (${Variables:E7_1_1_2_kcat} * E7_1_1_2 * C00004 * C00080 * C00399)/(${Variables:E7_1_1_2_km} + (E7_1_1_2 * C00004 * C00080 * C00399))</v>
      </c>
    </row>
    <row r="1084" spans="1:11" ht="45" customHeight="1" x14ac:dyDescent="0.25">
      <c r="A1084" t="s">
        <v>4152</v>
      </c>
      <c r="B1084" t="s">
        <v>4153</v>
      </c>
      <c r="C1084" s="5" t="s">
        <v>9690</v>
      </c>
      <c r="D1084">
        <f t="shared" si="64"/>
        <v>1083</v>
      </c>
      <c r="E1084" t="str">
        <f t="shared" si="65"/>
        <v>E7_1_1_2</v>
      </c>
      <c r="F1084" s="11" t="s">
        <v>14358</v>
      </c>
      <c r="G1084" s="11" t="s">
        <v>14961</v>
      </c>
      <c r="H1084" s="11" t="s">
        <v>15571</v>
      </c>
      <c r="I1084" s="11" t="s">
        <v>16192</v>
      </c>
      <c r="J1084" s="12" t="str">
        <f t="shared" si="66"/>
        <v>(${Variables:E7_1_1_2_kcat} * E7_1_1_2 * C00004 * C00080 * C00399)/(${Variables:E7_1_1_2_km} + (E7_1_1_2 * C00004 * C00080 * C00399))</v>
      </c>
      <c r="K1084" s="11" t="str">
        <f t="shared" si="67"/>
        <v>r1083: C00004 + C00080 + C00399 -&gt; C00003 + C00080 + C00390 | (${Variables:E7_1_1_2_kcat} * E7_1_1_2 * C00004 * C00080 * C00399)/(${Variables:E7_1_1_2_km} + (E7_1_1_2 * C00004 * C00080 * C00399))</v>
      </c>
    </row>
    <row r="1085" spans="1:11" ht="45" customHeight="1" x14ac:dyDescent="0.25">
      <c r="A1085" t="s">
        <v>4155</v>
      </c>
      <c r="B1085" t="s">
        <v>4156</v>
      </c>
      <c r="C1085" s="5" t="s">
        <v>9690</v>
      </c>
      <c r="D1085">
        <f t="shared" si="64"/>
        <v>1084</v>
      </c>
      <c r="E1085" t="str">
        <f t="shared" si="65"/>
        <v>E7_1_1_2</v>
      </c>
      <c r="F1085" s="11" t="s">
        <v>14358</v>
      </c>
      <c r="G1085" s="11" t="s">
        <v>14961</v>
      </c>
      <c r="H1085" s="11" t="s">
        <v>15571</v>
      </c>
      <c r="I1085" s="11" t="s">
        <v>16192</v>
      </c>
      <c r="J1085" s="12" t="str">
        <f t="shared" si="66"/>
        <v>(${Variables:E7_1_1_2_kcat} * E7_1_1_2 * C00004 * C00080 * C00399)/(${Variables:E7_1_1_2_km} + (E7_1_1_2 * C00004 * C00080 * C00399))</v>
      </c>
      <c r="K1085" s="11" t="str">
        <f t="shared" si="67"/>
        <v>r1084: C00004 + C00080 + C00399 -&gt; C00003 + C00080 + C00390 | (${Variables:E7_1_1_2_kcat} * E7_1_1_2 * C00004 * C00080 * C00399)/(${Variables:E7_1_1_2_km} + (E7_1_1_2 * C00004 * C00080 * C00399))</v>
      </c>
    </row>
    <row r="1086" spans="1:11" ht="45" customHeight="1" x14ac:dyDescent="0.25">
      <c r="A1086" t="s">
        <v>4158</v>
      </c>
      <c r="B1086" t="s">
        <v>4159</v>
      </c>
      <c r="C1086" s="5" t="s">
        <v>9690</v>
      </c>
      <c r="D1086">
        <f t="shared" si="64"/>
        <v>1085</v>
      </c>
      <c r="E1086" t="str">
        <f t="shared" si="65"/>
        <v>E7_1_1_2</v>
      </c>
      <c r="F1086" s="11" t="s">
        <v>14358</v>
      </c>
      <c r="G1086" s="11" t="s">
        <v>14961</v>
      </c>
      <c r="H1086" s="11" t="s">
        <v>15571</v>
      </c>
      <c r="I1086" s="11" t="s">
        <v>16192</v>
      </c>
      <c r="J1086" s="12" t="str">
        <f t="shared" si="66"/>
        <v>(${Variables:E7_1_1_2_kcat} * E7_1_1_2 * C00004 * C00080 * C00399)/(${Variables:E7_1_1_2_km} + (E7_1_1_2 * C00004 * C00080 * C00399))</v>
      </c>
      <c r="K1086" s="11" t="str">
        <f t="shared" si="67"/>
        <v>r1085: C00004 + C00080 + C00399 -&gt; C00003 + C00080 + C00390 | (${Variables:E7_1_1_2_kcat} * E7_1_1_2 * C00004 * C00080 * C00399)/(${Variables:E7_1_1_2_km} + (E7_1_1_2 * C00004 * C00080 * C00399))</v>
      </c>
    </row>
    <row r="1087" spans="1:11" ht="45" customHeight="1" x14ac:dyDescent="0.25">
      <c r="A1087" t="s">
        <v>4161</v>
      </c>
      <c r="B1087" t="s">
        <v>4162</v>
      </c>
      <c r="C1087" s="5" t="s">
        <v>9690</v>
      </c>
      <c r="D1087">
        <f t="shared" si="64"/>
        <v>1086</v>
      </c>
      <c r="E1087" t="str">
        <f t="shared" si="65"/>
        <v>E7_1_1_2</v>
      </c>
      <c r="F1087" s="11" t="s">
        <v>14358</v>
      </c>
      <c r="G1087" s="11" t="s">
        <v>14961</v>
      </c>
      <c r="H1087" s="11" t="s">
        <v>15571</v>
      </c>
      <c r="I1087" s="11" t="s">
        <v>16192</v>
      </c>
      <c r="J1087" s="12" t="str">
        <f t="shared" si="66"/>
        <v>(${Variables:E7_1_1_2_kcat} * E7_1_1_2 * C00004 * C00080 * C00399)/(${Variables:E7_1_1_2_km} + (E7_1_1_2 * C00004 * C00080 * C00399))</v>
      </c>
      <c r="K1087" s="11" t="str">
        <f t="shared" si="67"/>
        <v>r1086: C00004 + C00080 + C00399 -&gt; C00003 + C00080 + C00390 | (${Variables:E7_1_1_2_kcat} * E7_1_1_2 * C00004 * C00080 * C00399)/(${Variables:E7_1_1_2_km} + (E7_1_1_2 * C00004 * C00080 * C00399))</v>
      </c>
    </row>
    <row r="1088" spans="1:11" ht="45" customHeight="1" x14ac:dyDescent="0.25">
      <c r="A1088" t="s">
        <v>4166</v>
      </c>
      <c r="B1088" t="s">
        <v>4167</v>
      </c>
      <c r="C1088" s="5" t="s">
        <v>9691</v>
      </c>
      <c r="D1088">
        <f t="shared" si="64"/>
        <v>1087</v>
      </c>
      <c r="E1088" t="str">
        <f t="shared" si="65"/>
        <v>E4_2_1_3</v>
      </c>
      <c r="F1088" s="11" t="s">
        <v>8331</v>
      </c>
      <c r="G1088" s="11" t="s">
        <v>8331</v>
      </c>
      <c r="H1088" s="11" t="s">
        <v>8156</v>
      </c>
      <c r="I1088" s="11" t="s">
        <v>8156</v>
      </c>
      <c r="J1088" s="12" t="str">
        <f t="shared" si="66"/>
        <v>(${Variables:E4_2_1_3_kcat} * E4_2_1_3 * C00158)/(${Variables:E4_2_1_3_km} + (E4_2_1_3 * C00158))</v>
      </c>
      <c r="K1088" s="11" t="str">
        <f t="shared" si="67"/>
        <v>r1087: C00158 -&gt; C00311 | (${Variables:E4_2_1_3_kcat} * E4_2_1_3 * C00158)/(${Variables:E4_2_1_3_km} + (E4_2_1_3 * C00158))</v>
      </c>
    </row>
    <row r="1089" spans="1:11" ht="45" customHeight="1" x14ac:dyDescent="0.25">
      <c r="A1089" t="s">
        <v>4166</v>
      </c>
      <c r="B1089" t="s">
        <v>4167</v>
      </c>
      <c r="C1089" s="5" t="s">
        <v>9691</v>
      </c>
      <c r="D1089">
        <f t="shared" si="64"/>
        <v>1088</v>
      </c>
      <c r="E1089" t="str">
        <f t="shared" si="65"/>
        <v>E4_2_1_3</v>
      </c>
      <c r="F1089" s="11" t="s">
        <v>8331</v>
      </c>
      <c r="G1089" s="11" t="s">
        <v>8331</v>
      </c>
      <c r="H1089" s="11" t="s">
        <v>15572</v>
      </c>
      <c r="I1089" s="11" t="s">
        <v>16193</v>
      </c>
      <c r="J1089" s="12" t="str">
        <f t="shared" si="66"/>
        <v>(${Variables:E4_2_1_3_kcat} * E4_2_1_3 * C00158)/(${Variables:E4_2_1_3_km} + (E4_2_1_3 * C00158))</v>
      </c>
      <c r="K1089" s="11" t="str">
        <f t="shared" si="67"/>
        <v>r1088: C00158 -&gt; C00001 + C00417 | (${Variables:E4_2_1_3_kcat} * E4_2_1_3 * C00158)/(${Variables:E4_2_1_3_km} + (E4_2_1_3 * C00158))</v>
      </c>
    </row>
    <row r="1090" spans="1:11" ht="45" customHeight="1" x14ac:dyDescent="0.25">
      <c r="A1090" t="s">
        <v>4166</v>
      </c>
      <c r="B1090" t="s">
        <v>4167</v>
      </c>
      <c r="C1090" s="5" t="s">
        <v>9691</v>
      </c>
      <c r="D1090">
        <f t="shared" si="64"/>
        <v>1089</v>
      </c>
      <c r="E1090" t="str">
        <f t="shared" si="65"/>
        <v>E4_2_1_3</v>
      </c>
      <c r="F1090" s="11" t="s">
        <v>8156</v>
      </c>
      <c r="G1090" s="11" t="s">
        <v>8156</v>
      </c>
      <c r="H1090" s="11" t="s">
        <v>15572</v>
      </c>
      <c r="I1090" s="11" t="s">
        <v>16193</v>
      </c>
      <c r="J1090" s="12" t="str">
        <f t="shared" si="66"/>
        <v>(${Variables:E4_2_1_3_kcat} * E4_2_1_3 * C00311)/(${Variables:E4_2_1_3_km} + (E4_2_1_3 * C00311))</v>
      </c>
      <c r="K1090" s="11" t="str">
        <f t="shared" si="67"/>
        <v>r1089: C00311 -&gt; C00001 + C00417 | (${Variables:E4_2_1_3_kcat} * E4_2_1_3 * C00311)/(${Variables:E4_2_1_3_km} + (E4_2_1_3 * C00311))</v>
      </c>
    </row>
    <row r="1091" spans="1:11" ht="45" customHeight="1" x14ac:dyDescent="0.25">
      <c r="A1091" t="s">
        <v>4220</v>
      </c>
      <c r="B1091" t="s">
        <v>4221</v>
      </c>
      <c r="C1091" s="5" t="s">
        <v>9692</v>
      </c>
      <c r="D1091">
        <f t="shared" ref="D1091:D1154" si="68">ROW()-1</f>
        <v>1090</v>
      </c>
      <c r="E1091" t="str">
        <f t="shared" ref="E1091:E1154" si="69">_xlfn.CONCAT("E", C1091)</f>
        <v>E2_7_11_1</v>
      </c>
      <c r="F1091" s="11" t="s">
        <v>8778</v>
      </c>
      <c r="G1091" s="11" t="s">
        <v>8944</v>
      </c>
      <c r="H1091" s="11" t="s">
        <v>9139</v>
      </c>
      <c r="I1091" s="11" t="s">
        <v>9338</v>
      </c>
      <c r="J1091" s="12" t="str">
        <f t="shared" ref="J1091:J1154" si="70">CONCATENATE("(${Variables:",E1091,"_kcat","} * ",E1091," * ",G1091,")","/(${Variables:",E1091,"_km","} + (",E1091," * ",G1091,"))")</f>
        <v>(${Variables:E2_7_11_1_kcat} * E2_7_11_1 * C00002 * C00017)/(${Variables:E2_7_11_1_km} + (E2_7_11_1 * C00002 * C00017))</v>
      </c>
      <c r="K1091" s="11" t="str">
        <f t="shared" ref="K1091:K1154" si="71">CONCATENATE("r",D1091,": ",F1091," -&gt; ",H1091," | ",J1091)</f>
        <v>r1090: C00002 + C00017 -&gt; C00008 + C00562 | (${Variables:E2_7_11_1_kcat} * E2_7_11_1 * C00002 * C00017)/(${Variables:E2_7_11_1_km} + (E2_7_11_1 * C00002 * C00017))</v>
      </c>
    </row>
    <row r="1092" spans="1:11" ht="45" customHeight="1" x14ac:dyDescent="0.25">
      <c r="A1092" t="s">
        <v>4220</v>
      </c>
      <c r="B1092" t="s">
        <v>4221</v>
      </c>
      <c r="C1092" s="5" t="s">
        <v>9692</v>
      </c>
      <c r="D1092">
        <f t="shared" si="68"/>
        <v>1091</v>
      </c>
      <c r="E1092" t="str">
        <f t="shared" si="69"/>
        <v>E2_7_11_1</v>
      </c>
      <c r="F1092" s="11" t="s">
        <v>8779</v>
      </c>
      <c r="G1092" s="11" t="s">
        <v>8945</v>
      </c>
      <c r="H1092" s="11" t="s">
        <v>9140</v>
      </c>
      <c r="I1092" s="11" t="s">
        <v>9339</v>
      </c>
      <c r="J1092" s="12" t="str">
        <f t="shared" si="70"/>
        <v>(${Variables:E2_7_11_1_kcat} * E2_7_11_1 * C00002 * C01609)/(${Variables:E2_7_11_1_km} + (E2_7_11_1 * C00002 * C01609))</v>
      </c>
      <c r="K1092" s="11" t="str">
        <f t="shared" si="71"/>
        <v>r1091: C00002 + C01609 -&gt; C00008 + C02729 | (${Variables:E2_7_11_1_kcat} * E2_7_11_1 * C00002 * C01609)/(${Variables:E2_7_11_1_km} + (E2_7_11_1 * C00002 * C01609))</v>
      </c>
    </row>
    <row r="1093" spans="1:11" ht="45" customHeight="1" x14ac:dyDescent="0.25">
      <c r="A1093" t="s">
        <v>4223</v>
      </c>
      <c r="B1093" t="s">
        <v>4224</v>
      </c>
      <c r="C1093" s="5" t="s">
        <v>9693</v>
      </c>
      <c r="D1093">
        <f t="shared" si="68"/>
        <v>1092</v>
      </c>
      <c r="E1093" t="str">
        <f t="shared" si="69"/>
        <v>E6_2_1_16</v>
      </c>
      <c r="F1093" s="11" t="s">
        <v>14359</v>
      </c>
      <c r="G1093" s="11" t="s">
        <v>14962</v>
      </c>
      <c r="H1093" s="11" t="s">
        <v>15573</v>
      </c>
      <c r="I1093" s="11" t="s">
        <v>16194</v>
      </c>
      <c r="J1093" s="12" t="str">
        <f t="shared" si="70"/>
        <v>(${Variables:E6_2_1_16_kcat} * E6_2_1_16 * C00002 * C00010 * C00164)/(${Variables:E6_2_1_16_km} + (E6_2_1_16 * C00002 * C00010 * C00164))</v>
      </c>
      <c r="K1093" s="11" t="str">
        <f t="shared" si="71"/>
        <v>r1092: C00002 + C00010 + C00164 -&gt; C00013 + C00020 + C00332 | (${Variables:E6_2_1_16_kcat} * E6_2_1_16 * C00002 * C00010 * C00164)/(${Variables:E6_2_1_16_km} + (E6_2_1_16 * C00002 * C00010 * C00164))</v>
      </c>
    </row>
    <row r="1094" spans="1:11" ht="45" customHeight="1" x14ac:dyDescent="0.25">
      <c r="A1094" t="s">
        <v>4240</v>
      </c>
      <c r="B1094" t="s">
        <v>4241</v>
      </c>
      <c r="C1094" s="5" t="s">
        <v>9694</v>
      </c>
      <c r="D1094">
        <f t="shared" si="68"/>
        <v>1093</v>
      </c>
      <c r="E1094" t="str">
        <f t="shared" si="69"/>
        <v>E1_1_1_23</v>
      </c>
      <c r="F1094" s="11" t="s">
        <v>14360</v>
      </c>
      <c r="G1094" s="11" t="s">
        <v>14963</v>
      </c>
      <c r="H1094" s="11" t="s">
        <v>15574</v>
      </c>
      <c r="I1094" s="11" t="s">
        <v>16195</v>
      </c>
      <c r="J1094" s="12" t="str">
        <f t="shared" si="70"/>
        <v>(${Variables:E1_1_1_23_kcat} * E1_1_1_23 * C00001 * C00003 * C00860)/(${Variables:E1_1_1_23_km} + (E1_1_1_23 * C00001 * C00003 * C00860))</v>
      </c>
      <c r="K1094" s="11" t="str">
        <f t="shared" si="71"/>
        <v>r1093: C00001 + C00003 + C00860 -&gt; C00004 + C00080 + C00135 | (${Variables:E1_1_1_23_kcat} * E1_1_1_23 * C00001 * C00003 * C00860)/(${Variables:E1_1_1_23_km} + (E1_1_1_23 * C00001 * C00003 * C00860))</v>
      </c>
    </row>
    <row r="1095" spans="1:11" ht="45" customHeight="1" x14ac:dyDescent="0.25">
      <c r="A1095" t="s">
        <v>4240</v>
      </c>
      <c r="B1095" t="s">
        <v>4241</v>
      </c>
      <c r="C1095" s="5" t="s">
        <v>9694</v>
      </c>
      <c r="D1095">
        <f t="shared" si="68"/>
        <v>1094</v>
      </c>
      <c r="E1095" t="str">
        <f t="shared" si="69"/>
        <v>E1_1_1_23</v>
      </c>
      <c r="F1095" s="11" t="s">
        <v>14361</v>
      </c>
      <c r="G1095" s="11" t="s">
        <v>14964</v>
      </c>
      <c r="H1095" s="11" t="s">
        <v>15574</v>
      </c>
      <c r="I1095" s="11" t="s">
        <v>16195</v>
      </c>
      <c r="J1095" s="12" t="str">
        <f t="shared" si="70"/>
        <v>(${Variables:E1_1_1_23_kcat} * E1_1_1_23 * C00001 * C00003 * C01929)/(${Variables:E1_1_1_23_km} + (E1_1_1_23 * C00001 * C00003 * C01929))</v>
      </c>
      <c r="K1095" s="11" t="str">
        <f t="shared" si="71"/>
        <v>r1094: C00001 + C00003 + C01929 -&gt; C00004 + C00080 + C00135 | (${Variables:E1_1_1_23_kcat} * E1_1_1_23 * C00001 * C00003 * C01929)/(${Variables:E1_1_1_23_km} + (E1_1_1_23 * C00001 * C00003 * C01929))</v>
      </c>
    </row>
    <row r="1096" spans="1:11" ht="45" customHeight="1" x14ac:dyDescent="0.25">
      <c r="A1096" t="s">
        <v>4240</v>
      </c>
      <c r="B1096" t="s">
        <v>4241</v>
      </c>
      <c r="C1096" s="5" t="s">
        <v>9694</v>
      </c>
      <c r="D1096">
        <f t="shared" si="68"/>
        <v>1095</v>
      </c>
      <c r="E1096" t="str">
        <f t="shared" si="69"/>
        <v>E1_1_1_23</v>
      </c>
      <c r="F1096" s="11" t="s">
        <v>14362</v>
      </c>
      <c r="G1096" s="11" t="s">
        <v>14965</v>
      </c>
      <c r="H1096" s="11" t="s">
        <v>15575</v>
      </c>
      <c r="I1096" s="11" t="s">
        <v>16196</v>
      </c>
      <c r="J1096" s="12" t="str">
        <f t="shared" si="70"/>
        <v>(${Variables:E1_1_1_23_kcat} * E1_1_1_23 * C00003 * C00860)/(${Variables:E1_1_1_23_km} + (E1_1_1_23 * C00003 * C00860))</v>
      </c>
      <c r="K1096" s="11" t="str">
        <f t="shared" si="71"/>
        <v>r1095: C00003 + C00860 -&gt; C00004 + C00080 + C01929 | (${Variables:E1_1_1_23_kcat} * E1_1_1_23 * C00003 * C00860)/(${Variables:E1_1_1_23_km} + (E1_1_1_23 * C00003 * C00860))</v>
      </c>
    </row>
    <row r="1097" spans="1:11" ht="45" customHeight="1" x14ac:dyDescent="0.25">
      <c r="A1097" t="s">
        <v>4263</v>
      </c>
      <c r="B1097" t="s">
        <v>4264</v>
      </c>
      <c r="C1097" s="5" t="s">
        <v>9695</v>
      </c>
      <c r="D1097">
        <f t="shared" si="68"/>
        <v>1096</v>
      </c>
      <c r="E1097" t="str">
        <f t="shared" si="69"/>
        <v>E6_1_1_21</v>
      </c>
      <c r="F1097" s="11" t="s">
        <v>8780</v>
      </c>
      <c r="G1097" s="11" t="s">
        <v>8946</v>
      </c>
      <c r="H1097" s="11" t="s">
        <v>15576</v>
      </c>
      <c r="I1097" s="11" t="s">
        <v>16197</v>
      </c>
      <c r="J1097" s="12" t="str">
        <f t="shared" si="70"/>
        <v>(${Variables:E6_1_1_21_kcat} * E6_1_1_21 * C00002 * C00135 * C01643)/(${Variables:E6_1_1_21_km} + (E6_1_1_21 * C00002 * C00135 * C01643))</v>
      </c>
      <c r="K1097" s="11" t="str">
        <f t="shared" si="71"/>
        <v>r1096: C00002 + C00135 + C01643 -&gt; C00013 + C00020 + C02988 | (${Variables:E6_1_1_21_kcat} * E6_1_1_21 * C00002 * C00135 * C01643)/(${Variables:E6_1_1_21_km} + (E6_1_1_21 * C00002 * C00135 * C01643))</v>
      </c>
    </row>
    <row r="1098" spans="1:11" ht="45" customHeight="1" x14ac:dyDescent="0.25">
      <c r="A1098" t="s">
        <v>4266</v>
      </c>
      <c r="B1098" t="s">
        <v>4267</v>
      </c>
      <c r="C1098" s="5" t="s">
        <v>9696</v>
      </c>
      <c r="D1098">
        <f t="shared" si="68"/>
        <v>1097</v>
      </c>
      <c r="E1098" t="str">
        <f t="shared" si="69"/>
        <v>E6_1_1_12</v>
      </c>
      <c r="F1098" s="11" t="s">
        <v>14342</v>
      </c>
      <c r="G1098" s="11" t="s">
        <v>14945</v>
      </c>
      <c r="H1098" s="11" t="s">
        <v>15553</v>
      </c>
      <c r="I1098" s="11" t="s">
        <v>16174</v>
      </c>
      <c r="J1098" s="12" t="str">
        <f t="shared" si="70"/>
        <v>(${Variables:E6_1_1_12_kcat} * E6_1_1_12 * C00002 * C00049 * C01638)/(${Variables:E6_1_1_12_km} + (E6_1_1_12 * C00002 * C00049 * C01638))</v>
      </c>
      <c r="K1098" s="11" t="str">
        <f t="shared" si="71"/>
        <v>r1097: C00002 + C00049 + C01638 -&gt; C00013 + C00020 + C02984 | (${Variables:E6_1_1_12_kcat} * E6_1_1_12 * C00002 * C00049 * C01638)/(${Variables:E6_1_1_12_km} + (E6_1_1_12 * C00002 * C00049 * C01638))</v>
      </c>
    </row>
    <row r="1099" spans="1:11" ht="45" customHeight="1" x14ac:dyDescent="0.25">
      <c r="A1099" t="s">
        <v>4274</v>
      </c>
      <c r="B1099" t="s">
        <v>4275</v>
      </c>
      <c r="C1099" s="5" t="s">
        <v>9697</v>
      </c>
      <c r="D1099">
        <f t="shared" si="68"/>
        <v>1098</v>
      </c>
      <c r="E1099" t="str">
        <f t="shared" si="69"/>
        <v>E6_1_1_22</v>
      </c>
      <c r="F1099" s="11" t="s">
        <v>8781</v>
      </c>
      <c r="G1099" s="11" t="s">
        <v>8947</v>
      </c>
      <c r="H1099" s="11" t="s">
        <v>15577</v>
      </c>
      <c r="I1099" s="11" t="s">
        <v>16198</v>
      </c>
      <c r="J1099" s="12" t="str">
        <f t="shared" si="70"/>
        <v>(${Variables:E6_1_1_22_kcat} * E6_1_1_22 * C00002 * C00152 * C01637)/(${Variables:E6_1_1_22_km} + (E6_1_1_22 * C00002 * C00152 * C01637))</v>
      </c>
      <c r="K1099" s="11" t="str">
        <f t="shared" si="71"/>
        <v>r1098: C00002 + C00152 + C01637 -&gt; C00013 + C00020 + C03402 | (${Variables:E6_1_1_22_kcat} * E6_1_1_22 * C00002 * C00152 * C01637)/(${Variables:E6_1_1_22_km} + (E6_1_1_22 * C00002 * C00152 * C01637))</v>
      </c>
    </row>
    <row r="1100" spans="1:11" ht="45" customHeight="1" x14ac:dyDescent="0.25">
      <c r="A1100" t="s">
        <v>4287</v>
      </c>
      <c r="B1100" t="s">
        <v>4288</v>
      </c>
      <c r="C1100" s="5" t="s">
        <v>9698</v>
      </c>
      <c r="D1100">
        <f t="shared" si="68"/>
        <v>1099</v>
      </c>
      <c r="E1100" t="str">
        <f t="shared" si="69"/>
        <v>E1_1_1_153</v>
      </c>
      <c r="F1100" s="11" t="s">
        <v>14363</v>
      </c>
      <c r="G1100" s="11" t="s">
        <v>14966</v>
      </c>
      <c r="H1100" s="11" t="s">
        <v>15578</v>
      </c>
      <c r="I1100" s="11" t="s">
        <v>16199</v>
      </c>
      <c r="J1100" s="12" t="str">
        <f t="shared" si="70"/>
        <v>(${Variables:E1_1_1_153_kcat} * E1_1_1_153 * C00006 * C02953)/(${Variables:E1_1_1_153_km} + (E1_1_1_153 * C00006 * C02953))</v>
      </c>
      <c r="K1100" s="11" t="str">
        <f t="shared" si="71"/>
        <v>r1099: C00006 + C02953 -&gt; C00005 + C00080 + C00835 | (${Variables:E1_1_1_153_kcat} * E1_1_1_153 * C00006 * C02953)/(${Variables:E1_1_1_153_km} + (E1_1_1_153 * C00006 * C02953))</v>
      </c>
    </row>
    <row r="1101" spans="1:11" ht="45" customHeight="1" x14ac:dyDescent="0.25">
      <c r="A1101" t="s">
        <v>4287</v>
      </c>
      <c r="B1101" t="s">
        <v>4288</v>
      </c>
      <c r="C1101" s="5" t="s">
        <v>9698</v>
      </c>
      <c r="D1101">
        <f t="shared" si="68"/>
        <v>1100</v>
      </c>
      <c r="E1101" t="str">
        <f t="shared" si="69"/>
        <v>E1_1_1_153</v>
      </c>
      <c r="F1101" s="11" t="s">
        <v>14364</v>
      </c>
      <c r="G1101" s="11" t="s">
        <v>14967</v>
      </c>
      <c r="H1101" s="11" t="s">
        <v>15579</v>
      </c>
      <c r="I1101" s="11" t="s">
        <v>16200</v>
      </c>
      <c r="J1101" s="12" t="str">
        <f t="shared" si="70"/>
        <v>(${Variables:E1_1_1_153_kcat} * E1_1_1_153 * C00006 * C00272)/(${Variables:E1_1_1_153_km} + (E1_1_1_153 * C00006 * C00272))</v>
      </c>
      <c r="K1101" s="11" t="str">
        <f t="shared" si="71"/>
        <v>r1100: C00006 + C00272 -&gt; C00005 + C00080 + C03684 | (${Variables:E1_1_1_153_kcat} * E1_1_1_153 * C00006 * C00272)/(${Variables:E1_1_1_153_km} + (E1_1_1_153 * C00006 * C00272))</v>
      </c>
    </row>
    <row r="1102" spans="1:11" ht="45" customHeight="1" x14ac:dyDescent="0.25">
      <c r="A1102" t="s">
        <v>4287</v>
      </c>
      <c r="B1102" t="s">
        <v>4288</v>
      </c>
      <c r="C1102" s="5" t="s">
        <v>9698</v>
      </c>
      <c r="D1102">
        <f t="shared" si="68"/>
        <v>1101</v>
      </c>
      <c r="E1102" t="str">
        <f t="shared" si="69"/>
        <v>E1_1_1_153</v>
      </c>
      <c r="F1102" s="11" t="s">
        <v>14364</v>
      </c>
      <c r="G1102" s="11" t="s">
        <v>14967</v>
      </c>
      <c r="H1102" s="11" t="s">
        <v>15580</v>
      </c>
      <c r="I1102" s="11" t="s">
        <v>16201</v>
      </c>
      <c r="J1102" s="12" t="str">
        <f t="shared" si="70"/>
        <v>(${Variables:E1_1_1_153_kcat} * E1_1_1_153 * C00006 * C00272)/(${Variables:E1_1_1_153_km} + (E1_1_1_153 * C00006 * C00272))</v>
      </c>
      <c r="K1102" s="11" t="str">
        <f t="shared" si="71"/>
        <v>r1101: C00006 + C00272 -&gt; C00005 + C00080 + C04244 | (${Variables:E1_1_1_153_kcat} * E1_1_1_153 * C00006 * C00272)/(${Variables:E1_1_1_153_km} + (E1_1_1_153 * C00006 * C00272))</v>
      </c>
    </row>
    <row r="1103" spans="1:11" ht="45" customHeight="1" x14ac:dyDescent="0.25">
      <c r="A1103" t="s">
        <v>4287</v>
      </c>
      <c r="B1103" t="s">
        <v>4288</v>
      </c>
      <c r="C1103" s="5" t="s">
        <v>9698</v>
      </c>
      <c r="D1103">
        <f t="shared" si="68"/>
        <v>1102</v>
      </c>
      <c r="E1103" t="str">
        <f t="shared" si="69"/>
        <v>E1_1_1_153</v>
      </c>
      <c r="F1103" s="11" t="s">
        <v>8336</v>
      </c>
      <c r="G1103" s="11" t="s">
        <v>8336</v>
      </c>
      <c r="H1103" s="11" t="s">
        <v>8593</v>
      </c>
      <c r="I1103" s="11" t="s">
        <v>8593</v>
      </c>
      <c r="J1103" s="12" t="str">
        <f t="shared" si="70"/>
        <v>(${Variables:E1_1_1_153_kcat} * E1_1_1_153 * C04244)/(${Variables:E1_1_1_153_km} + (E1_1_1_153 * C04244))</v>
      </c>
      <c r="K1103" s="11" t="str">
        <f t="shared" si="71"/>
        <v>r1102: C04244 -&gt; C21640 | (${Variables:E1_1_1_153_kcat} * E1_1_1_153 * C04244)/(${Variables:E1_1_1_153_km} + (E1_1_1_153 * C04244))</v>
      </c>
    </row>
    <row r="1104" spans="1:11" ht="45" customHeight="1" x14ac:dyDescent="0.25">
      <c r="A1104" t="s">
        <v>4287</v>
      </c>
      <c r="B1104" t="s">
        <v>4288</v>
      </c>
      <c r="C1104" s="5" t="s">
        <v>9698</v>
      </c>
      <c r="D1104">
        <f t="shared" si="68"/>
        <v>1103</v>
      </c>
      <c r="E1104" t="str">
        <f t="shared" si="69"/>
        <v>E1_1_1_153</v>
      </c>
      <c r="F1104" s="11" t="s">
        <v>14365</v>
      </c>
      <c r="G1104" s="11" t="s">
        <v>14968</v>
      </c>
      <c r="H1104" s="11" t="s">
        <v>15579</v>
      </c>
      <c r="I1104" s="11" t="s">
        <v>16200</v>
      </c>
      <c r="J1104" s="12" t="str">
        <f t="shared" si="70"/>
        <v>(${Variables:E1_1_1_153_kcat} * E1_1_1_153 * C00006 * C21640)/(${Variables:E1_1_1_153_km} + (E1_1_1_153 * C00006 * C21640))</v>
      </c>
      <c r="K1104" s="11" t="str">
        <f t="shared" si="71"/>
        <v>r1103: C00006 + C21640 -&gt; C00005 + C00080 + C03684 | (${Variables:E1_1_1_153_kcat} * E1_1_1_153 * C00006 * C21640)/(${Variables:E1_1_1_153_km} + (E1_1_1_153 * C00006 * C21640))</v>
      </c>
    </row>
    <row r="1105" spans="1:11" ht="45" customHeight="1" x14ac:dyDescent="0.25">
      <c r="A1105" t="s">
        <v>4325</v>
      </c>
      <c r="B1105" t="s">
        <v>4326</v>
      </c>
      <c r="C1105" s="5" t="s">
        <v>9699</v>
      </c>
      <c r="D1105">
        <f t="shared" si="68"/>
        <v>1104</v>
      </c>
      <c r="E1105" t="str">
        <f t="shared" si="69"/>
        <v>E2_2_1_2</v>
      </c>
      <c r="F1105" s="11" t="s">
        <v>14366</v>
      </c>
      <c r="G1105" s="11" t="s">
        <v>14969</v>
      </c>
      <c r="H1105" s="11" t="s">
        <v>15581</v>
      </c>
      <c r="I1105" s="11" t="s">
        <v>16202</v>
      </c>
      <c r="J1105" s="12" t="str">
        <f t="shared" si="70"/>
        <v>(${Variables:E2_2_1_2_kcat} * E2_2_1_2 * C00118 * C05382)/(${Variables:E2_2_1_2_km} + (E2_2_1_2 * C00118 * C05382))</v>
      </c>
      <c r="K1105" s="11" t="str">
        <f t="shared" si="71"/>
        <v>r1104: C00118 + C05382 -&gt; C00085 + C00279 | (${Variables:E2_2_1_2_kcat} * E2_2_1_2 * C00118 * C05382)/(${Variables:E2_2_1_2_km} + (E2_2_1_2 * C00118 * C05382))</v>
      </c>
    </row>
    <row r="1106" spans="1:11" ht="45" customHeight="1" x14ac:dyDescent="0.25">
      <c r="A1106" t="s">
        <v>4325</v>
      </c>
      <c r="B1106" t="s">
        <v>4326</v>
      </c>
      <c r="C1106" s="5" t="s">
        <v>9699</v>
      </c>
      <c r="D1106">
        <f t="shared" si="68"/>
        <v>1105</v>
      </c>
      <c r="E1106" t="str">
        <f t="shared" si="69"/>
        <v>E2_2_1_2</v>
      </c>
      <c r="F1106" s="11" t="s">
        <v>14366</v>
      </c>
      <c r="G1106" s="11" t="s">
        <v>14969</v>
      </c>
      <c r="H1106" s="11" t="s">
        <v>9141</v>
      </c>
      <c r="I1106" s="11" t="s">
        <v>9340</v>
      </c>
      <c r="J1106" s="12" t="str">
        <f t="shared" si="70"/>
        <v>(${Variables:E2_2_1_2_kcat} * E2_2_1_2 * C00118 * C05382)/(${Variables:E2_2_1_2_km} + (E2_2_1_2 * C00118 * C05382))</v>
      </c>
      <c r="K1106" s="11" t="str">
        <f t="shared" si="71"/>
        <v>r1105: C00118 + C05382 -&gt; C00279 + C05345 | (${Variables:E2_2_1_2_kcat} * E2_2_1_2 * C00118 * C05382)/(${Variables:E2_2_1_2_km} + (E2_2_1_2 * C00118 * C05382))</v>
      </c>
    </row>
    <row r="1107" spans="1:11" ht="45" customHeight="1" x14ac:dyDescent="0.25">
      <c r="A1107" t="s">
        <v>4328</v>
      </c>
      <c r="B1107" t="s">
        <v>4329</v>
      </c>
      <c r="C1107" s="5" t="s">
        <v>9700</v>
      </c>
      <c r="D1107">
        <f t="shared" si="68"/>
        <v>1106</v>
      </c>
      <c r="E1107" t="str">
        <f t="shared" si="69"/>
        <v>E6_1_1_5</v>
      </c>
      <c r="F1107" s="11" t="s">
        <v>8782</v>
      </c>
      <c r="G1107" s="11" t="s">
        <v>8948</v>
      </c>
      <c r="H1107" s="11" t="s">
        <v>15582</v>
      </c>
      <c r="I1107" s="11" t="s">
        <v>16203</v>
      </c>
      <c r="J1107" s="12" t="str">
        <f t="shared" si="70"/>
        <v>(${Variables:E6_1_1_5_kcat} * E6_1_1_5 * C00002 * C00407 * C01644)/(${Variables:E6_1_1_5_km} + (E6_1_1_5 * C00002 * C00407 * C01644))</v>
      </c>
      <c r="K1107" s="11" t="str">
        <f t="shared" si="71"/>
        <v>r1106: C00002 + C00407 + C01644 -&gt; C00013 + C00020 + C03127 | (${Variables:E6_1_1_5_kcat} * E6_1_1_5 * C00002 * C00407 * C01644)/(${Variables:E6_1_1_5_km} + (E6_1_1_5 * C00002 * C00407 * C01644))</v>
      </c>
    </row>
    <row r="1108" spans="1:11" ht="45" customHeight="1" x14ac:dyDescent="0.25">
      <c r="A1108" t="s">
        <v>4349</v>
      </c>
      <c r="B1108" t="s">
        <v>4350</v>
      </c>
      <c r="C1108" s="5" t="s">
        <v>9522</v>
      </c>
      <c r="D1108">
        <f t="shared" si="68"/>
        <v>1107</v>
      </c>
      <c r="E1108" t="str">
        <f t="shared" si="69"/>
        <v>E2_7_7_72</v>
      </c>
      <c r="F1108" s="11" t="s">
        <v>14125</v>
      </c>
      <c r="G1108" s="11" t="s">
        <v>14728</v>
      </c>
      <c r="H1108" s="11" t="s">
        <v>15328</v>
      </c>
      <c r="I1108" s="11" t="s">
        <v>15949</v>
      </c>
      <c r="J1108" s="12" t="str">
        <f t="shared" si="70"/>
        <v>(${Variables:E2_7_7_72_kcat} * E2_7_7_72 * C00002 * C00063 * C02211)/(${Variables:E2_7_7_72_km} + (E2_7_7_72 * C00002 * C00063 * C02211))</v>
      </c>
      <c r="K1108" s="11" t="str">
        <f t="shared" si="71"/>
        <v>r1107: C00002 + C00063 + C02211 -&gt; C00013 + C19085 | (${Variables:E2_7_7_72_kcat} * E2_7_7_72 * C00002 * C00063 * C02211)/(${Variables:E2_7_7_72_km} + (E2_7_7_72 * C00002 * C00063 * C02211))</v>
      </c>
    </row>
    <row r="1109" spans="1:11" ht="45" customHeight="1" x14ac:dyDescent="0.25">
      <c r="A1109" t="s">
        <v>4349</v>
      </c>
      <c r="B1109" t="s">
        <v>4350</v>
      </c>
      <c r="C1109" s="5" t="s">
        <v>9522</v>
      </c>
      <c r="D1109">
        <f t="shared" si="68"/>
        <v>1108</v>
      </c>
      <c r="E1109" t="str">
        <f t="shared" si="69"/>
        <v>E2_7_7_72</v>
      </c>
      <c r="F1109" s="11" t="s">
        <v>14126</v>
      </c>
      <c r="G1109" s="11" t="s">
        <v>14729</v>
      </c>
      <c r="H1109" s="11" t="s">
        <v>15329</v>
      </c>
      <c r="I1109" s="11" t="s">
        <v>15950</v>
      </c>
      <c r="J1109" s="12" t="str">
        <f t="shared" si="70"/>
        <v>(${Variables:E2_7_7_72_kcat} * E2_7_7_72 * C00063 * C02211)/(${Variables:E2_7_7_72_km} + (E2_7_7_72 * C00063 * C02211))</v>
      </c>
      <c r="K1109" s="11" t="str">
        <f t="shared" si="71"/>
        <v>r1108: C00063 + C02211 -&gt; C00013 + C19078 | (${Variables:E2_7_7_72_kcat} * E2_7_7_72 * C00063 * C02211)/(${Variables:E2_7_7_72_km} + (E2_7_7_72 * C00063 * C02211))</v>
      </c>
    </row>
    <row r="1110" spans="1:11" ht="45" customHeight="1" x14ac:dyDescent="0.25">
      <c r="A1110" t="s">
        <v>4349</v>
      </c>
      <c r="B1110" t="s">
        <v>4350</v>
      </c>
      <c r="C1110" s="5" t="s">
        <v>9522</v>
      </c>
      <c r="D1110">
        <f t="shared" si="68"/>
        <v>1109</v>
      </c>
      <c r="E1110" t="str">
        <f t="shared" si="69"/>
        <v>E2_7_7_72</v>
      </c>
      <c r="F1110" s="11" t="s">
        <v>14127</v>
      </c>
      <c r="G1110" s="11" t="s">
        <v>14730</v>
      </c>
      <c r="H1110" s="11" t="s">
        <v>15330</v>
      </c>
      <c r="I1110" s="11" t="s">
        <v>15951</v>
      </c>
      <c r="J1110" s="12" t="str">
        <f t="shared" si="70"/>
        <v>(${Variables:E2_7_7_72_kcat} * E2_7_7_72 * C00063 * C19078)/(${Variables:E2_7_7_72_km} + (E2_7_7_72 * C00063 * C19078))</v>
      </c>
      <c r="K1110" s="11" t="str">
        <f t="shared" si="71"/>
        <v>r1109: C00063 + C19078 -&gt; C00013 + C19080 | (${Variables:E2_7_7_72_kcat} * E2_7_7_72 * C00063 * C19078)/(${Variables:E2_7_7_72_km} + (E2_7_7_72 * C00063 * C19078))</v>
      </c>
    </row>
    <row r="1111" spans="1:11" ht="45" customHeight="1" x14ac:dyDescent="0.25">
      <c r="A1111" t="s">
        <v>4349</v>
      </c>
      <c r="B1111" t="s">
        <v>4350</v>
      </c>
      <c r="C1111" s="5" t="s">
        <v>9522</v>
      </c>
      <c r="D1111">
        <f t="shared" si="68"/>
        <v>1110</v>
      </c>
      <c r="E1111" t="str">
        <f t="shared" si="69"/>
        <v>E2_7_7_72</v>
      </c>
      <c r="F1111" s="11" t="s">
        <v>14128</v>
      </c>
      <c r="G1111" s="11" t="s">
        <v>14731</v>
      </c>
      <c r="H1111" s="11" t="s">
        <v>15328</v>
      </c>
      <c r="I1111" s="11" t="s">
        <v>15949</v>
      </c>
      <c r="J1111" s="12" t="str">
        <f t="shared" si="70"/>
        <v>(${Variables:E2_7_7_72_kcat} * E2_7_7_72 * C00002 * C19080)/(${Variables:E2_7_7_72_km} + (E2_7_7_72 * C00002 * C19080))</v>
      </c>
      <c r="K1111" s="11" t="str">
        <f t="shared" si="71"/>
        <v>r1110: C00002 + C19080 -&gt; C00013 + C19085 | (${Variables:E2_7_7_72_kcat} * E2_7_7_72 * C00002 * C19080)/(${Variables:E2_7_7_72_km} + (E2_7_7_72 * C00002 * C19080))</v>
      </c>
    </row>
    <row r="1112" spans="1:11" ht="45" customHeight="1" x14ac:dyDescent="0.25">
      <c r="A1112" t="s">
        <v>4368</v>
      </c>
      <c r="B1112" t="s">
        <v>4369</v>
      </c>
      <c r="C1112" s="5" t="s">
        <v>9536</v>
      </c>
      <c r="D1112">
        <f t="shared" si="68"/>
        <v>1111</v>
      </c>
      <c r="E1112" t="str">
        <f t="shared" si="69"/>
        <v>E2_1_1_72</v>
      </c>
      <c r="F1112" s="11" t="s">
        <v>8715</v>
      </c>
      <c r="G1112" s="11" t="s">
        <v>8881</v>
      </c>
      <c r="H1112" s="11" t="s">
        <v>9074</v>
      </c>
      <c r="I1112" s="11" t="s">
        <v>9273</v>
      </c>
      <c r="J1112" s="12" t="str">
        <f t="shared" si="70"/>
        <v>(${Variables:E2_1_1_72_kcat} * E2_1_1_72 * C00019 * C00821)/(${Variables:E2_1_1_72_km} + (E2_1_1_72 * C00019 * C00821))</v>
      </c>
      <c r="K1112" s="11" t="str">
        <f t="shared" si="71"/>
        <v>r1111: C00019 + C00821 -&gt; C00021 + C03391 | (${Variables:E2_1_1_72_kcat} * E2_1_1_72 * C00019 * C00821)/(${Variables:E2_1_1_72_km} + (E2_1_1_72 * C00019 * C00821))</v>
      </c>
    </row>
    <row r="1113" spans="1:11" ht="45" customHeight="1" x14ac:dyDescent="0.25">
      <c r="A1113" t="s">
        <v>4386</v>
      </c>
      <c r="B1113" t="s">
        <v>4387</v>
      </c>
      <c r="C1113" s="5" t="s">
        <v>9701</v>
      </c>
      <c r="D1113">
        <f t="shared" si="68"/>
        <v>1112</v>
      </c>
      <c r="E1113" t="str">
        <f t="shared" si="69"/>
        <v>E2_7_4_22</v>
      </c>
      <c r="F1113" s="11" t="s">
        <v>8783</v>
      </c>
      <c r="G1113" s="11" t="s">
        <v>8949</v>
      </c>
      <c r="H1113" s="11" t="s">
        <v>9142</v>
      </c>
      <c r="I1113" s="11" t="s">
        <v>9341</v>
      </c>
      <c r="J1113" s="12" t="str">
        <f t="shared" si="70"/>
        <v>(${Variables:E2_7_4_22_kcat} * E2_7_4_22 * C00002 * C00105)/(${Variables:E2_7_4_22_km} + (E2_7_4_22 * C00002 * C00105))</v>
      </c>
      <c r="K1113" s="11" t="str">
        <f t="shared" si="71"/>
        <v>r1112: C00002 + C00105 -&gt; C00008 + C00015 | (${Variables:E2_7_4_22_kcat} * E2_7_4_22 * C00002 * C00105)/(${Variables:E2_7_4_22_km} + (E2_7_4_22 * C00002 * C00105))</v>
      </c>
    </row>
    <row r="1114" spans="1:11" ht="45" customHeight="1" x14ac:dyDescent="0.25">
      <c r="A1114" t="s">
        <v>4392</v>
      </c>
      <c r="B1114" t="s">
        <v>4393</v>
      </c>
      <c r="C1114" s="5" t="s">
        <v>9702</v>
      </c>
      <c r="D1114">
        <f t="shared" si="68"/>
        <v>1113</v>
      </c>
      <c r="E1114" t="str">
        <f t="shared" si="69"/>
        <v>E2_7_7_41</v>
      </c>
      <c r="F1114" s="11" t="s">
        <v>8784</v>
      </c>
      <c r="G1114" s="11" t="s">
        <v>8950</v>
      </c>
      <c r="H1114" s="11" t="s">
        <v>9143</v>
      </c>
      <c r="I1114" s="11" t="s">
        <v>9342</v>
      </c>
      <c r="J1114" s="12" t="str">
        <f t="shared" si="70"/>
        <v>(${Variables:E2_7_7_41_kcat} * E2_7_7_41 * C00063 * C00416)/(${Variables:E2_7_7_41_km} + (E2_7_7_41 * C00063 * C00416))</v>
      </c>
      <c r="K1114" s="11" t="str">
        <f t="shared" si="71"/>
        <v>r1113: C00063 + C00416 -&gt; C00013 + C00269 | (${Variables:E2_7_7_41_kcat} * E2_7_7_41 * C00063 * C00416)/(${Variables:E2_7_7_41_km} + (E2_7_7_41 * C00063 * C00416))</v>
      </c>
    </row>
    <row r="1115" spans="1:11" ht="45" customHeight="1" x14ac:dyDescent="0.25">
      <c r="A1115" t="s">
        <v>4395</v>
      </c>
      <c r="B1115" t="s">
        <v>4396</v>
      </c>
      <c r="C1115" s="5" t="s">
        <v>9703</v>
      </c>
      <c r="D1115">
        <f t="shared" si="68"/>
        <v>1114</v>
      </c>
      <c r="E1115" t="str">
        <f t="shared" si="69"/>
        <v>E1_1_1_267</v>
      </c>
      <c r="F1115" s="11" t="s">
        <v>14367</v>
      </c>
      <c r="G1115" s="11" t="s">
        <v>14970</v>
      </c>
      <c r="H1115" s="11" t="s">
        <v>15583</v>
      </c>
      <c r="I1115" s="11" t="s">
        <v>16204</v>
      </c>
      <c r="J1115" s="12" t="str">
        <f t="shared" si="70"/>
        <v>(${Variables:E1_1_1_267_kcat} * E1_1_1_267 * C00006 * C11434)/(${Variables:E1_1_1_267_km} + (E1_1_1_267 * C00006 * C11434))</v>
      </c>
      <c r="K1115" s="11" t="str">
        <f t="shared" si="71"/>
        <v>r1114: C00006 + C11434 -&gt; C00005 + C00080 + C11437 | (${Variables:E1_1_1_267_kcat} * E1_1_1_267 * C00006 * C11434)/(${Variables:E1_1_1_267_km} + (E1_1_1_267 * C00006 * C11434))</v>
      </c>
    </row>
    <row r="1116" spans="1:11" ht="45" customHeight="1" x14ac:dyDescent="0.25">
      <c r="A1116" t="s">
        <v>4406</v>
      </c>
      <c r="B1116" t="s">
        <v>4407</v>
      </c>
      <c r="C1116" s="5" t="s">
        <v>9704</v>
      </c>
      <c r="D1116">
        <f t="shared" si="68"/>
        <v>1115</v>
      </c>
      <c r="E1116" t="str">
        <f t="shared" si="69"/>
        <v>E1_5_1_2</v>
      </c>
      <c r="F1116" s="11" t="s">
        <v>14368</v>
      </c>
      <c r="G1116" s="11" t="s">
        <v>14971</v>
      </c>
      <c r="H1116" s="11" t="s">
        <v>15584</v>
      </c>
      <c r="I1116" s="11" t="s">
        <v>16205</v>
      </c>
      <c r="J1116" s="12" t="str">
        <f t="shared" si="70"/>
        <v>(${Variables:E1_5_1_2_kcat} * E1_5_1_2 * C00003 * C00148)/(${Variables:E1_5_1_2_km} + (E1_5_1_2 * C00003 * C00148))</v>
      </c>
      <c r="K1116" s="11" t="str">
        <f t="shared" si="71"/>
        <v>r1115: C00003 + C00148 -&gt; C00004 + C00080 + C03912 | (${Variables:E1_5_1_2_kcat} * E1_5_1_2 * C00003 * C00148)/(${Variables:E1_5_1_2_km} + (E1_5_1_2 * C00003 * C00148))</v>
      </c>
    </row>
    <row r="1117" spans="1:11" ht="45" customHeight="1" x14ac:dyDescent="0.25">
      <c r="A1117" t="s">
        <v>4406</v>
      </c>
      <c r="B1117" t="s">
        <v>4407</v>
      </c>
      <c r="C1117" s="5" t="s">
        <v>9704</v>
      </c>
      <c r="D1117">
        <f t="shared" si="68"/>
        <v>1116</v>
      </c>
      <c r="E1117" t="str">
        <f t="shared" si="69"/>
        <v>E1_5_1_2</v>
      </c>
      <c r="F1117" s="11" t="s">
        <v>14369</v>
      </c>
      <c r="G1117" s="11" t="s">
        <v>14972</v>
      </c>
      <c r="H1117" s="11" t="s">
        <v>15585</v>
      </c>
      <c r="I1117" s="11" t="s">
        <v>16206</v>
      </c>
      <c r="J1117" s="12" t="str">
        <f t="shared" si="70"/>
        <v>(${Variables:E1_5_1_2_kcat} * E1_5_1_2 * C00006 * C00148)/(${Variables:E1_5_1_2_km} + (E1_5_1_2 * C00006 * C00148))</v>
      </c>
      <c r="K1117" s="11" t="str">
        <f t="shared" si="71"/>
        <v>r1116: C00006 + C00148 -&gt; C00005 + C00080 + C03912 | (${Variables:E1_5_1_2_kcat} * E1_5_1_2 * C00006 * C00148)/(${Variables:E1_5_1_2_km} + (E1_5_1_2 * C00006 * C00148))</v>
      </c>
    </row>
    <row r="1118" spans="1:11" ht="45" customHeight="1" x14ac:dyDescent="0.25">
      <c r="A1118" t="s">
        <v>4406</v>
      </c>
      <c r="B1118" t="s">
        <v>4407</v>
      </c>
      <c r="C1118" s="5" t="s">
        <v>9704</v>
      </c>
      <c r="D1118">
        <f t="shared" si="68"/>
        <v>1117</v>
      </c>
      <c r="E1118" t="str">
        <f t="shared" si="69"/>
        <v>E1_5_1_2</v>
      </c>
      <c r="F1118" s="11" t="s">
        <v>14370</v>
      </c>
      <c r="G1118" s="11" t="s">
        <v>14973</v>
      </c>
      <c r="H1118" s="11" t="s">
        <v>15586</v>
      </c>
      <c r="I1118" s="11" t="s">
        <v>16207</v>
      </c>
      <c r="J1118" s="12" t="str">
        <f t="shared" si="70"/>
        <v>(${Variables:E1_5_1_2_kcat} * E1_5_1_2 * C00003 * C01157)/(${Variables:E1_5_1_2_km} + (E1_5_1_2 * C00003 * C01157))</v>
      </c>
      <c r="K1118" s="11" t="str">
        <f t="shared" si="71"/>
        <v>r1117: C00003 + C01157 -&gt; C00004 + C00080 + C04281 | (${Variables:E1_5_1_2_kcat} * E1_5_1_2 * C00003 * C01157)/(${Variables:E1_5_1_2_km} + (E1_5_1_2 * C00003 * C01157))</v>
      </c>
    </row>
    <row r="1119" spans="1:11" ht="45" customHeight="1" x14ac:dyDescent="0.25">
      <c r="A1119" t="s">
        <v>4406</v>
      </c>
      <c r="B1119" t="s">
        <v>4407</v>
      </c>
      <c r="C1119" s="5" t="s">
        <v>9704</v>
      </c>
      <c r="D1119">
        <f t="shared" si="68"/>
        <v>1118</v>
      </c>
      <c r="E1119" t="str">
        <f t="shared" si="69"/>
        <v>E1_5_1_2</v>
      </c>
      <c r="F1119" s="11" t="s">
        <v>14371</v>
      </c>
      <c r="G1119" s="11" t="s">
        <v>14974</v>
      </c>
      <c r="H1119" s="11" t="s">
        <v>15587</v>
      </c>
      <c r="I1119" s="11" t="s">
        <v>16208</v>
      </c>
      <c r="J1119" s="12" t="str">
        <f t="shared" si="70"/>
        <v>(${Variables:E1_5_1_2_kcat} * E1_5_1_2 * C00006 * C01157)/(${Variables:E1_5_1_2_km} + (E1_5_1_2 * C00006 * C01157))</v>
      </c>
      <c r="K1119" s="11" t="str">
        <f t="shared" si="71"/>
        <v>r1118: C00006 + C01157 -&gt; C00005 + C00080 + C04281 | (${Variables:E1_5_1_2_kcat} * E1_5_1_2 * C00006 * C01157)/(${Variables:E1_5_1_2_km} + (E1_5_1_2 * C00006 * C01157))</v>
      </c>
    </row>
    <row r="1120" spans="1:11" ht="45" customHeight="1" x14ac:dyDescent="0.25">
      <c r="A1120" t="s">
        <v>4455</v>
      </c>
      <c r="B1120" t="s">
        <v>4456</v>
      </c>
      <c r="C1120" s="5" t="s">
        <v>9705</v>
      </c>
      <c r="D1120">
        <f t="shared" si="68"/>
        <v>1119</v>
      </c>
      <c r="E1120" t="str">
        <f t="shared" si="69"/>
        <v>E4_1_1_37</v>
      </c>
      <c r="F1120" s="11" t="s">
        <v>8340</v>
      </c>
      <c r="G1120" s="11" t="s">
        <v>8340</v>
      </c>
      <c r="H1120" s="11" t="s">
        <v>15588</v>
      </c>
      <c r="I1120" s="11" t="s">
        <v>16209</v>
      </c>
      <c r="J1120" s="12" t="str">
        <f t="shared" si="70"/>
        <v>(${Variables:E4_1_1_37_kcat} * E4_1_1_37 * C01051)/(${Variables:E4_1_1_37_km} + (E4_1_1_37 * C01051))</v>
      </c>
      <c r="K1120" s="11" t="str">
        <f t="shared" si="71"/>
        <v>r1119: C01051 -&gt; C00011 + C03263 | (${Variables:E4_1_1_37_kcat} * E4_1_1_37 * C01051)/(${Variables:E4_1_1_37_km} + (E4_1_1_37 * C01051))</v>
      </c>
    </row>
    <row r="1121" spans="1:11" ht="45" customHeight="1" x14ac:dyDescent="0.25">
      <c r="A1121" t="s">
        <v>4455</v>
      </c>
      <c r="B1121" t="s">
        <v>4456</v>
      </c>
      <c r="C1121" s="5" t="s">
        <v>9705</v>
      </c>
      <c r="D1121">
        <f t="shared" si="68"/>
        <v>1120</v>
      </c>
      <c r="E1121" t="str">
        <f t="shared" si="69"/>
        <v>E4_1_1_37</v>
      </c>
      <c r="F1121" s="11" t="s">
        <v>8341</v>
      </c>
      <c r="G1121" s="11" t="s">
        <v>8341</v>
      </c>
      <c r="H1121" s="11" t="s">
        <v>15589</v>
      </c>
      <c r="I1121" s="11" t="s">
        <v>16210</v>
      </c>
      <c r="J1121" s="12" t="str">
        <f t="shared" si="70"/>
        <v>(${Variables:E4_1_1_37_kcat} * E4_1_1_37 * C05766)/(${Variables:E4_1_1_37_km} + (E4_1_1_37 * C05766))</v>
      </c>
      <c r="K1121" s="11" t="str">
        <f t="shared" si="71"/>
        <v>r1120: C05766 -&gt; C00011 + C05768 | (${Variables:E4_1_1_37_kcat} * E4_1_1_37 * C05766)/(${Variables:E4_1_1_37_km} + (E4_1_1_37 * C05766))</v>
      </c>
    </row>
    <row r="1122" spans="1:11" ht="45" customHeight="1" x14ac:dyDescent="0.25">
      <c r="A1122" t="s">
        <v>4458</v>
      </c>
      <c r="B1122" t="s">
        <v>4459</v>
      </c>
      <c r="C1122" s="5" t="s">
        <v>9706</v>
      </c>
      <c r="D1122">
        <f t="shared" si="68"/>
        <v>1121</v>
      </c>
      <c r="E1122" t="str">
        <f t="shared" si="69"/>
        <v>E4_98_1_1</v>
      </c>
      <c r="F1122" s="11" t="s">
        <v>8785</v>
      </c>
      <c r="G1122" s="11" t="s">
        <v>8951</v>
      </c>
      <c r="H1122" s="11" t="s">
        <v>9144</v>
      </c>
      <c r="I1122" s="11" t="s">
        <v>9343</v>
      </c>
      <c r="J1122" s="12" t="str">
        <f t="shared" si="70"/>
        <v>(${Variables:E4_98_1_1_kcat} * E4_98_1_1 * C02191 * C14818)/(${Variables:E4_98_1_1_km} + (E4_98_1_1 * C02191 * C14818))</v>
      </c>
      <c r="K1122" s="11" t="str">
        <f t="shared" si="71"/>
        <v>r1121: C02191 + C14818 -&gt; C00032 + C00080 | (${Variables:E4_98_1_1_kcat} * E4_98_1_1 * C02191 * C14818)/(${Variables:E4_98_1_1_km} + (E4_98_1_1 * C02191 * C14818))</v>
      </c>
    </row>
    <row r="1123" spans="1:11" ht="45" customHeight="1" x14ac:dyDescent="0.25">
      <c r="A1123" t="s">
        <v>4461</v>
      </c>
      <c r="B1123" t="s">
        <v>4462</v>
      </c>
      <c r="C1123" s="5" t="s">
        <v>9707</v>
      </c>
      <c r="D1123">
        <f t="shared" si="68"/>
        <v>1122</v>
      </c>
      <c r="E1123" t="str">
        <f t="shared" si="69"/>
        <v>E1_3_3_4</v>
      </c>
      <c r="F1123" s="11" t="s">
        <v>14372</v>
      </c>
      <c r="G1123" s="11" t="s">
        <v>14975</v>
      </c>
      <c r="H1123" s="11" t="s">
        <v>15590</v>
      </c>
      <c r="I1123" s="11" t="s">
        <v>16211</v>
      </c>
      <c r="J1123" s="12" t="str">
        <f t="shared" si="70"/>
        <v>(${Variables:E1_3_3_4_kcat} * E1_3_3_4 * C00007 * C01079)/(${Variables:E1_3_3_4_km} + (E1_3_3_4 * C00007 * C01079))</v>
      </c>
      <c r="K1123" s="11" t="str">
        <f t="shared" si="71"/>
        <v>r1122: C00007 + C01079 -&gt; C00027 + C02191 | (${Variables:E1_3_3_4_kcat} * E1_3_3_4 * C00007 * C01079)/(${Variables:E1_3_3_4_km} + (E1_3_3_4 * C00007 * C01079))</v>
      </c>
    </row>
    <row r="1124" spans="1:11" ht="45" customHeight="1" x14ac:dyDescent="0.25">
      <c r="A1124" t="s">
        <v>4485</v>
      </c>
      <c r="B1124" t="s">
        <v>4486</v>
      </c>
      <c r="C1124" s="5" t="s">
        <v>9708</v>
      </c>
      <c r="D1124">
        <f t="shared" si="68"/>
        <v>1123</v>
      </c>
      <c r="E1124" t="str">
        <f t="shared" si="69"/>
        <v>E1_1_1_14</v>
      </c>
      <c r="F1124" s="11" t="s">
        <v>14373</v>
      </c>
      <c r="G1124" s="11" t="s">
        <v>14976</v>
      </c>
      <c r="H1124" s="11" t="s">
        <v>15591</v>
      </c>
      <c r="I1124" s="11" t="s">
        <v>16212</v>
      </c>
      <c r="J1124" s="12" t="str">
        <f t="shared" si="70"/>
        <v>(${Variables:E1_1_1_14_kcat} * E1_1_1_14 * C00003 * C01507)/(${Variables:E1_1_1_14_km} + (E1_1_1_14 * C00003 * C01507))</v>
      </c>
      <c r="K1124" s="11" t="str">
        <f t="shared" si="71"/>
        <v>r1123: C00003 + C01507 -&gt; C00004 + C00080 + C00247 | (${Variables:E1_1_1_14_kcat} * E1_1_1_14 * C00003 * C01507)/(${Variables:E1_1_1_14_km} + (E1_1_1_14 * C00003 * C01507))</v>
      </c>
    </row>
    <row r="1125" spans="1:11" ht="45" customHeight="1" x14ac:dyDescent="0.25">
      <c r="A1125" t="s">
        <v>4485</v>
      </c>
      <c r="B1125" t="s">
        <v>4486</v>
      </c>
      <c r="C1125" s="5" t="s">
        <v>9708</v>
      </c>
      <c r="D1125">
        <f t="shared" si="68"/>
        <v>1124</v>
      </c>
      <c r="E1125" t="str">
        <f t="shared" si="69"/>
        <v>E1_1_1_14</v>
      </c>
      <c r="F1125" s="11" t="s">
        <v>14374</v>
      </c>
      <c r="G1125" s="11" t="s">
        <v>14977</v>
      </c>
      <c r="H1125" s="11" t="s">
        <v>15592</v>
      </c>
      <c r="I1125" s="11" t="s">
        <v>16213</v>
      </c>
      <c r="J1125" s="12" t="str">
        <f t="shared" si="70"/>
        <v>(${Variables:E1_1_1_14_kcat} * E1_1_1_14 * C00003 * C00794)/(${Variables:E1_1_1_14_km} + (E1_1_1_14 * C00003 * C00794))</v>
      </c>
      <c r="K1125" s="11" t="str">
        <f t="shared" si="71"/>
        <v>r1124: C00003 + C00794 -&gt; C00004 + C00080 + C00095 | (${Variables:E1_1_1_14_kcat} * E1_1_1_14 * C00003 * C00794)/(${Variables:E1_1_1_14_km} + (E1_1_1_14 * C00003 * C00794))</v>
      </c>
    </row>
    <row r="1126" spans="1:11" ht="45" customHeight="1" x14ac:dyDescent="0.25">
      <c r="A1126" t="s">
        <v>4485</v>
      </c>
      <c r="B1126" t="s">
        <v>4486</v>
      </c>
      <c r="C1126" s="5" t="s">
        <v>9708</v>
      </c>
      <c r="D1126">
        <f t="shared" si="68"/>
        <v>1125</v>
      </c>
      <c r="E1126" t="str">
        <f t="shared" si="69"/>
        <v>E1_1_1_14</v>
      </c>
      <c r="F1126" s="11" t="s">
        <v>14375</v>
      </c>
      <c r="G1126" s="11" t="s">
        <v>14978</v>
      </c>
      <c r="H1126" s="11" t="s">
        <v>15593</v>
      </c>
      <c r="I1126" s="11" t="s">
        <v>16214</v>
      </c>
      <c r="J1126" s="12" t="str">
        <f t="shared" si="70"/>
        <v>(${Variables:E1_1_1_14_kcat} * E1_1_1_14 * C00003 * C00379)/(${Variables:E1_1_1_14_km} + (E1_1_1_14 * C00003 * C00379))</v>
      </c>
      <c r="K1126" s="11" t="str">
        <f t="shared" si="71"/>
        <v>r1125: C00003 + C00379 -&gt; C00004 + C00080 + C00310 | (${Variables:E1_1_1_14_kcat} * E1_1_1_14 * C00003 * C00379)/(${Variables:E1_1_1_14_km} + (E1_1_1_14 * C00003 * C00379))</v>
      </c>
    </row>
    <row r="1127" spans="1:11" ht="45" customHeight="1" x14ac:dyDescent="0.25">
      <c r="A1127" t="s">
        <v>4507</v>
      </c>
      <c r="B1127" t="s">
        <v>4508</v>
      </c>
      <c r="C1127" s="5" t="s">
        <v>9709</v>
      </c>
      <c r="D1127">
        <f t="shared" si="68"/>
        <v>1126</v>
      </c>
      <c r="E1127" t="str">
        <f t="shared" si="69"/>
        <v>E6_1_1_10</v>
      </c>
      <c r="F1127" s="11" t="s">
        <v>8786</v>
      </c>
      <c r="G1127" s="11" t="s">
        <v>8952</v>
      </c>
      <c r="H1127" s="11" t="s">
        <v>15594</v>
      </c>
      <c r="I1127" s="11" t="s">
        <v>16215</v>
      </c>
      <c r="J1127" s="12" t="str">
        <f t="shared" si="70"/>
        <v>(${Variables:E6_1_1_10_kcat} * E6_1_1_10 * C00002 * C00073 * C01647)/(${Variables:E6_1_1_10_km} + (E6_1_1_10 * C00002 * C00073 * C01647))</v>
      </c>
      <c r="K1127" s="11" t="str">
        <f t="shared" si="71"/>
        <v>r1126: C00002 + C00073 + C01647 -&gt; C00013 + C00020 + C02430 | (${Variables:E6_1_1_10_kcat} * E6_1_1_10 * C00002 * C00073 * C01647)/(${Variables:E6_1_1_10_km} + (E6_1_1_10 * C00002 * C00073 * C01647))</v>
      </c>
    </row>
    <row r="1128" spans="1:11" ht="45" customHeight="1" x14ac:dyDescent="0.25">
      <c r="A1128" t="s">
        <v>4507</v>
      </c>
      <c r="B1128" t="s">
        <v>4508</v>
      </c>
      <c r="C1128" s="5" t="s">
        <v>9709</v>
      </c>
      <c r="D1128">
        <f t="shared" si="68"/>
        <v>1127</v>
      </c>
      <c r="E1128" t="str">
        <f t="shared" si="69"/>
        <v>E6_1_1_10</v>
      </c>
      <c r="F1128" s="11" t="s">
        <v>14376</v>
      </c>
      <c r="G1128" s="11" t="s">
        <v>14979</v>
      </c>
      <c r="H1128" s="11" t="s">
        <v>15595</v>
      </c>
      <c r="I1128" s="11" t="s">
        <v>16216</v>
      </c>
      <c r="J1128" s="12" t="str">
        <f t="shared" si="70"/>
        <v>(${Variables:E6_1_1_10_kcat} * E6_1_1_10 * C00002 * C01647 * C05335)/(${Variables:E6_1_1_10_km} + (E6_1_1_10 * C00002 * C01647 * C05335))</v>
      </c>
      <c r="K1128" s="11" t="str">
        <f t="shared" si="71"/>
        <v>r1127: C00002 + C01647 + C05335 -&gt; C00013 + C00020 + C05336 | (${Variables:E6_1_1_10_kcat} * E6_1_1_10 * C00002 * C01647 * C05335)/(${Variables:E6_1_1_10_km} + (E6_1_1_10 * C00002 * C01647 * C05335))</v>
      </c>
    </row>
    <row r="1129" spans="1:11" ht="45" customHeight="1" x14ac:dyDescent="0.25">
      <c r="A1129" t="s">
        <v>4518</v>
      </c>
      <c r="B1129" t="s">
        <v>4519</v>
      </c>
      <c r="C1129" s="5" t="s">
        <v>9710</v>
      </c>
      <c r="D1129">
        <f t="shared" si="68"/>
        <v>1128</v>
      </c>
      <c r="E1129" t="str">
        <f t="shared" si="69"/>
        <v>E5_3_1_6</v>
      </c>
      <c r="F1129" s="11" t="s">
        <v>8344</v>
      </c>
      <c r="G1129" s="11" t="s">
        <v>8344</v>
      </c>
      <c r="H1129" s="11" t="s">
        <v>8214</v>
      </c>
      <c r="I1129" s="11" t="s">
        <v>8214</v>
      </c>
      <c r="J1129" s="12" t="str">
        <f t="shared" si="70"/>
        <v>(${Variables:E5_3_1_6_kcat} * E5_3_1_6 * C00117)/(${Variables:E5_3_1_6_km} + (E5_3_1_6 * C00117))</v>
      </c>
      <c r="K1129" s="11" t="str">
        <f t="shared" si="71"/>
        <v>r1128: C00117 -&gt; C00199 | (${Variables:E5_3_1_6_kcat} * E5_3_1_6 * C00117)/(${Variables:E5_3_1_6_km} + (E5_3_1_6 * C00117))</v>
      </c>
    </row>
    <row r="1130" spans="1:11" ht="45" customHeight="1" x14ac:dyDescent="0.25">
      <c r="A1130" t="s">
        <v>4518</v>
      </c>
      <c r="B1130" t="s">
        <v>4519</v>
      </c>
      <c r="C1130" s="5" t="s">
        <v>9710</v>
      </c>
      <c r="D1130">
        <f t="shared" si="68"/>
        <v>1129</v>
      </c>
      <c r="E1130" t="str">
        <f t="shared" si="69"/>
        <v>E5_3_1_6</v>
      </c>
      <c r="F1130" s="11" t="s">
        <v>8345</v>
      </c>
      <c r="G1130" s="11" t="s">
        <v>8345</v>
      </c>
      <c r="H1130" s="11" t="s">
        <v>8598</v>
      </c>
      <c r="I1130" s="11" t="s">
        <v>8598</v>
      </c>
      <c r="J1130" s="12" t="str">
        <f t="shared" si="70"/>
        <v>(${Variables:E5_3_1_6_kcat} * E5_3_1_6 * C02962)/(${Variables:E5_3_1_6_km} + (E5_3_1_6 * C02962))</v>
      </c>
      <c r="K1130" s="11" t="str">
        <f t="shared" si="71"/>
        <v>r1129: C02962 -&gt; C18096 | (${Variables:E5_3_1_6_kcat} * E5_3_1_6 * C02962)/(${Variables:E5_3_1_6_km} + (E5_3_1_6 * C02962))</v>
      </c>
    </row>
    <row r="1131" spans="1:11" ht="45" customHeight="1" x14ac:dyDescent="0.25">
      <c r="A1131" t="s">
        <v>4521</v>
      </c>
      <c r="B1131" t="s">
        <v>4522</v>
      </c>
      <c r="C1131" s="5" t="s">
        <v>9711</v>
      </c>
      <c r="D1131">
        <f t="shared" si="68"/>
        <v>1130</v>
      </c>
      <c r="E1131" t="str">
        <f t="shared" si="69"/>
        <v>E1_11_1_24</v>
      </c>
      <c r="F1131" s="11" t="s">
        <v>8787</v>
      </c>
      <c r="G1131" s="11" t="s">
        <v>8953</v>
      </c>
      <c r="H1131" s="11" t="s">
        <v>15596</v>
      </c>
      <c r="I1131" s="11" t="s">
        <v>16217</v>
      </c>
      <c r="J1131" s="12" t="str">
        <f t="shared" si="70"/>
        <v>(${Variables:E1_11_1_24_kcat} * E1_11_1_24 * C00342 * C15498)/(${Variables:E1_11_1_24_km} + (E1_11_1_24 * C00342 * C15498))</v>
      </c>
      <c r="K1131" s="11" t="str">
        <f t="shared" si="71"/>
        <v>r1130: C00342 + C15498 -&gt; C00001 + C00343 + C01335 | (${Variables:E1_11_1_24_kcat} * E1_11_1_24 * C00342 * C15498)/(${Variables:E1_11_1_24_km} + (E1_11_1_24 * C00342 * C15498))</v>
      </c>
    </row>
    <row r="1132" spans="1:11" ht="45" customHeight="1" x14ac:dyDescent="0.25">
      <c r="A1132" t="s">
        <v>4521</v>
      </c>
      <c r="B1132" t="s">
        <v>4522</v>
      </c>
      <c r="C1132" s="5" t="s">
        <v>9712</v>
      </c>
      <c r="D1132">
        <f t="shared" si="68"/>
        <v>1131</v>
      </c>
      <c r="E1132" t="str">
        <f t="shared" si="69"/>
        <v>E1_11_1_25</v>
      </c>
      <c r="F1132" s="11" t="s">
        <v>8788</v>
      </c>
      <c r="G1132" s="11" t="s">
        <v>8954</v>
      </c>
      <c r="H1132" s="11" t="s">
        <v>15597</v>
      </c>
      <c r="I1132" s="11" t="s">
        <v>16218</v>
      </c>
      <c r="J1132" s="12" t="str">
        <f t="shared" si="70"/>
        <v>(${Variables:E1_11_1_25_kcat} * E1_11_1_25 * C07292 * C15498)/(${Variables:E1_11_1_25_km} + (E1_11_1_25 * C07292 * C15498))</v>
      </c>
      <c r="K1132" s="11" t="str">
        <f t="shared" si="71"/>
        <v>r1131: C07292 + C15498 -&gt; C00001 + C01335 + C07293 | (${Variables:E1_11_1_25_kcat} * E1_11_1_25 * C07292 * C15498)/(${Variables:E1_11_1_25_km} + (E1_11_1_25 * C07292 * C15498))</v>
      </c>
    </row>
    <row r="1133" spans="1:11" ht="45" customHeight="1" x14ac:dyDescent="0.25">
      <c r="A1133" t="s">
        <v>4521</v>
      </c>
      <c r="B1133" t="s">
        <v>4522</v>
      </c>
      <c r="C1133" s="5" t="s">
        <v>9713</v>
      </c>
      <c r="D1133">
        <f t="shared" si="68"/>
        <v>1132</v>
      </c>
      <c r="E1133" t="str">
        <f t="shared" si="69"/>
        <v>E1_11_1_26</v>
      </c>
      <c r="F1133" s="11" t="s">
        <v>14377</v>
      </c>
      <c r="G1133" s="11" t="s">
        <v>14980</v>
      </c>
      <c r="H1133" s="11" t="s">
        <v>15598</v>
      </c>
      <c r="I1133" s="11" t="s">
        <v>16219</v>
      </c>
      <c r="J1133" s="12" t="str">
        <f t="shared" si="70"/>
        <v>(${Variables:E1_11_1_26_kcat} * E1_11_1_26 * C00004 * C00080 * C15498)/(${Variables:E1_11_1_26_km} + (E1_11_1_26 * C00004 * C00080 * C15498))</v>
      </c>
      <c r="K1133" s="11" t="str">
        <f t="shared" si="71"/>
        <v>r1132: C00004 + C00080 + C15498 -&gt; C00001 + C00003 + C01335 | (${Variables:E1_11_1_26_kcat} * E1_11_1_26 * C00004 * C00080 * C15498)/(${Variables:E1_11_1_26_km} + (E1_11_1_26 * C00004 * C00080 * C15498))</v>
      </c>
    </row>
    <row r="1134" spans="1:11" ht="45" customHeight="1" x14ac:dyDescent="0.25">
      <c r="A1134" t="s">
        <v>4521</v>
      </c>
      <c r="B1134" t="s">
        <v>4522</v>
      </c>
      <c r="C1134" s="5" t="s">
        <v>9714</v>
      </c>
      <c r="D1134">
        <f t="shared" si="68"/>
        <v>1133</v>
      </c>
      <c r="E1134" t="str">
        <f t="shared" si="69"/>
        <v>E1_11_1_27</v>
      </c>
      <c r="F1134" s="11" t="s">
        <v>8789</v>
      </c>
      <c r="G1134" s="11" t="s">
        <v>8955</v>
      </c>
      <c r="H1134" s="11" t="s">
        <v>15599</v>
      </c>
      <c r="I1134" s="11" t="s">
        <v>16220</v>
      </c>
      <c r="J1134" s="12" t="str">
        <f t="shared" si="70"/>
        <v>(${Variables:E1_11_1_27_kcat} * E1_11_1_27 * C00051 * C15498)/(${Variables:E1_11_1_27_km} + (E1_11_1_27 * C00051 * C15498))</v>
      </c>
      <c r="K1134" s="11" t="str">
        <f t="shared" si="71"/>
        <v>r1133: C00051 + C15498 -&gt; C00001 + C00127 + C01335 | (${Variables:E1_11_1_27_kcat} * E1_11_1_27 * C00051 * C15498)/(${Variables:E1_11_1_27_km} + (E1_11_1_27 * C00051 * C15498))</v>
      </c>
    </row>
    <row r="1135" spans="1:11" ht="45" customHeight="1" x14ac:dyDescent="0.25">
      <c r="A1135" t="s">
        <v>4521</v>
      </c>
      <c r="B1135" t="s">
        <v>4522</v>
      </c>
      <c r="C1135" s="5" t="s">
        <v>9715</v>
      </c>
      <c r="D1135">
        <f t="shared" si="68"/>
        <v>1134</v>
      </c>
      <c r="E1135" t="str">
        <f t="shared" si="69"/>
        <v>E1_11_1_28</v>
      </c>
      <c r="F1135" s="11" t="s">
        <v>14378</v>
      </c>
      <c r="G1135" s="11" t="s">
        <v>14981</v>
      </c>
      <c r="H1135" s="11" t="s">
        <v>15600</v>
      </c>
      <c r="I1135" s="11" t="s">
        <v>16221</v>
      </c>
      <c r="J1135" s="12" t="str">
        <f t="shared" si="70"/>
        <v>(${Variables:E1_11_1_28_kcat} * E1_11_1_28 * C15498 * C16832)/(${Variables:E1_11_1_28_km} + (E1_11_1_28 * C15498 * C16832))</v>
      </c>
      <c r="K1135" s="11" t="str">
        <f t="shared" si="71"/>
        <v>r1134: C15498 + C16832 -&gt; C00001 + C01335 + C16237 | (${Variables:E1_11_1_28_kcat} * E1_11_1_28 * C15498 * C16832)/(${Variables:E1_11_1_28_km} + (E1_11_1_28 * C15498 * C16832))</v>
      </c>
    </row>
    <row r="1136" spans="1:11" ht="45" customHeight="1" x14ac:dyDescent="0.25">
      <c r="A1136" t="s">
        <v>4521</v>
      </c>
      <c r="B1136" t="s">
        <v>4522</v>
      </c>
      <c r="C1136" s="5" t="s">
        <v>9715</v>
      </c>
      <c r="D1136">
        <f t="shared" si="68"/>
        <v>1135</v>
      </c>
      <c r="E1136" t="str">
        <f t="shared" si="69"/>
        <v>E1_11_1_28</v>
      </c>
      <c r="F1136" s="11" t="s">
        <v>14379</v>
      </c>
      <c r="G1136" s="11" t="s">
        <v>14982</v>
      </c>
      <c r="H1136" s="11" t="s">
        <v>15601</v>
      </c>
      <c r="I1136" s="11" t="s">
        <v>16222</v>
      </c>
      <c r="J1136" s="12" t="str">
        <f t="shared" si="70"/>
        <v>(${Variables:E1_11_1_28_kcat} * E1_11_1_28 * C15498 * C15973)/(${Variables:E1_11_1_28_km} + (E1_11_1_28 * C15498 * C15973))</v>
      </c>
      <c r="K1136" s="11" t="str">
        <f t="shared" si="71"/>
        <v>r1135: C15498 + C15973 -&gt; C00001 + C01335 + C15972 | (${Variables:E1_11_1_28_kcat} * E1_11_1_28 * C15498 * C15973)/(${Variables:E1_11_1_28_km} + (E1_11_1_28 * C15498 * C15973))</v>
      </c>
    </row>
    <row r="1137" spans="1:11" ht="45" customHeight="1" x14ac:dyDescent="0.25">
      <c r="A1137" t="s">
        <v>4530</v>
      </c>
      <c r="B1137" t="s">
        <v>4531</v>
      </c>
      <c r="C1137" s="5" t="s">
        <v>9716</v>
      </c>
      <c r="D1137">
        <f t="shared" si="68"/>
        <v>1136</v>
      </c>
      <c r="E1137" t="str">
        <f t="shared" si="69"/>
        <v>E4_2_1_20</v>
      </c>
      <c r="F1137" s="11" t="s">
        <v>14380</v>
      </c>
      <c r="G1137" s="11" t="s">
        <v>14983</v>
      </c>
      <c r="H1137" s="11" t="s">
        <v>15602</v>
      </c>
      <c r="I1137" s="11" t="s">
        <v>16223</v>
      </c>
      <c r="J1137" s="12" t="str">
        <f t="shared" si="70"/>
        <v>(${Variables:E4_2_1_20_kcat} * E4_2_1_20 * C00065 * C00463)/(${Variables:E4_2_1_20_km} + (E4_2_1_20 * C00065 * C00463))</v>
      </c>
      <c r="K1137" s="11" t="str">
        <f t="shared" si="71"/>
        <v>r1136: C00065 + C00463 -&gt; C00001 + C00078 | (${Variables:E4_2_1_20_kcat} * E4_2_1_20 * C00065 * C00463)/(${Variables:E4_2_1_20_km} + (E4_2_1_20 * C00065 * C00463))</v>
      </c>
    </row>
    <row r="1138" spans="1:11" ht="45" customHeight="1" x14ac:dyDescent="0.25">
      <c r="A1138" t="s">
        <v>4530</v>
      </c>
      <c r="B1138" t="s">
        <v>4531</v>
      </c>
      <c r="C1138" s="5" t="s">
        <v>9716</v>
      </c>
      <c r="D1138">
        <f t="shared" si="68"/>
        <v>1137</v>
      </c>
      <c r="E1138" t="str">
        <f t="shared" si="69"/>
        <v>E4_2_1_20</v>
      </c>
      <c r="F1138" s="11" t="s">
        <v>10432</v>
      </c>
      <c r="G1138" s="11" t="s">
        <v>10432</v>
      </c>
      <c r="H1138" s="11" t="s">
        <v>15603</v>
      </c>
      <c r="I1138" s="11" t="s">
        <v>16224</v>
      </c>
      <c r="J1138" s="12" t="str">
        <f t="shared" si="70"/>
        <v>(${Variables:E4_2_1_20_kcat} * E4_2_1_20 * C03506)/(${Variables:E4_2_1_20_km} + (E4_2_1_20 * C03506))</v>
      </c>
      <c r="K1138" s="11" t="str">
        <f t="shared" si="71"/>
        <v>r1137: C03506 -&gt; C00118 + C00463 | (${Variables:E4_2_1_20_kcat} * E4_2_1_20 * C03506)/(${Variables:E4_2_1_20_km} + (E4_2_1_20 * C03506))</v>
      </c>
    </row>
    <row r="1139" spans="1:11" ht="45" customHeight="1" x14ac:dyDescent="0.25">
      <c r="A1139" t="s">
        <v>4530</v>
      </c>
      <c r="B1139" t="s">
        <v>4531</v>
      </c>
      <c r="C1139" s="5" t="s">
        <v>9716</v>
      </c>
      <c r="D1139">
        <f t="shared" si="68"/>
        <v>1138</v>
      </c>
      <c r="E1139" t="str">
        <f t="shared" si="69"/>
        <v>E4_2_1_20</v>
      </c>
      <c r="F1139" s="11" t="s">
        <v>14381</v>
      </c>
      <c r="G1139" s="11" t="s">
        <v>14984</v>
      </c>
      <c r="H1139" s="11" t="s">
        <v>15604</v>
      </c>
      <c r="I1139" s="11" t="s">
        <v>16225</v>
      </c>
      <c r="J1139" s="12" t="str">
        <f t="shared" si="70"/>
        <v>(${Variables:E4_2_1_20_kcat} * E4_2_1_20 * C00065 * C03506)/(${Variables:E4_2_1_20_km} + (E4_2_1_20 * C00065 * C03506))</v>
      </c>
      <c r="K1139" s="11" t="str">
        <f t="shared" si="71"/>
        <v>r1138: C00065 + C03506 -&gt; C00001 + C00078 + C00118 | (${Variables:E4_2_1_20_kcat} * E4_2_1_20 * C00065 * C03506)/(${Variables:E4_2_1_20_km} + (E4_2_1_20 * C00065 * C03506))</v>
      </c>
    </row>
    <row r="1140" spans="1:11" ht="45" customHeight="1" x14ac:dyDescent="0.25">
      <c r="A1140" t="s">
        <v>4533</v>
      </c>
      <c r="B1140" t="s">
        <v>4534</v>
      </c>
      <c r="C1140" s="5" t="s">
        <v>9716</v>
      </c>
      <c r="D1140">
        <f t="shared" si="68"/>
        <v>1139</v>
      </c>
      <c r="E1140" t="str">
        <f t="shared" si="69"/>
        <v>E4_2_1_20</v>
      </c>
      <c r="F1140" s="11" t="s">
        <v>14380</v>
      </c>
      <c r="G1140" s="11" t="s">
        <v>14983</v>
      </c>
      <c r="H1140" s="11" t="s">
        <v>15602</v>
      </c>
      <c r="I1140" s="11" t="s">
        <v>16223</v>
      </c>
      <c r="J1140" s="12" t="str">
        <f t="shared" si="70"/>
        <v>(${Variables:E4_2_1_20_kcat} * E4_2_1_20 * C00065 * C00463)/(${Variables:E4_2_1_20_km} + (E4_2_1_20 * C00065 * C00463))</v>
      </c>
      <c r="K1140" s="11" t="str">
        <f t="shared" si="71"/>
        <v>r1139: C00065 + C00463 -&gt; C00001 + C00078 | (${Variables:E4_2_1_20_kcat} * E4_2_1_20 * C00065 * C00463)/(${Variables:E4_2_1_20_km} + (E4_2_1_20 * C00065 * C00463))</v>
      </c>
    </row>
    <row r="1141" spans="1:11" ht="45" customHeight="1" x14ac:dyDescent="0.25">
      <c r="A1141" t="s">
        <v>4533</v>
      </c>
      <c r="B1141" t="s">
        <v>4534</v>
      </c>
      <c r="C1141" s="5" t="s">
        <v>9716</v>
      </c>
      <c r="D1141">
        <f t="shared" si="68"/>
        <v>1140</v>
      </c>
      <c r="E1141" t="str">
        <f t="shared" si="69"/>
        <v>E4_2_1_20</v>
      </c>
      <c r="F1141" s="11" t="s">
        <v>10432</v>
      </c>
      <c r="G1141" s="11" t="s">
        <v>10432</v>
      </c>
      <c r="H1141" s="11" t="s">
        <v>15603</v>
      </c>
      <c r="I1141" s="11" t="s">
        <v>16224</v>
      </c>
      <c r="J1141" s="12" t="str">
        <f t="shared" si="70"/>
        <v>(${Variables:E4_2_1_20_kcat} * E4_2_1_20 * C03506)/(${Variables:E4_2_1_20_km} + (E4_2_1_20 * C03506))</v>
      </c>
      <c r="K1141" s="11" t="str">
        <f t="shared" si="71"/>
        <v>r1140: C03506 -&gt; C00118 + C00463 | (${Variables:E4_2_1_20_kcat} * E4_2_1_20 * C03506)/(${Variables:E4_2_1_20_km} + (E4_2_1_20 * C03506))</v>
      </c>
    </row>
    <row r="1142" spans="1:11" ht="45" customHeight="1" x14ac:dyDescent="0.25">
      <c r="A1142" t="s">
        <v>4533</v>
      </c>
      <c r="B1142" t="s">
        <v>4534</v>
      </c>
      <c r="C1142" s="5" t="s">
        <v>9716</v>
      </c>
      <c r="D1142">
        <f t="shared" si="68"/>
        <v>1141</v>
      </c>
      <c r="E1142" t="str">
        <f t="shared" si="69"/>
        <v>E4_2_1_20</v>
      </c>
      <c r="F1142" s="11" t="s">
        <v>14381</v>
      </c>
      <c r="G1142" s="11" t="s">
        <v>14984</v>
      </c>
      <c r="H1142" s="11" t="s">
        <v>15604</v>
      </c>
      <c r="I1142" s="11" t="s">
        <v>16225</v>
      </c>
      <c r="J1142" s="12" t="str">
        <f t="shared" si="70"/>
        <v>(${Variables:E4_2_1_20_kcat} * E4_2_1_20 * C00065 * C03506)/(${Variables:E4_2_1_20_km} + (E4_2_1_20 * C00065 * C03506))</v>
      </c>
      <c r="K1142" s="11" t="str">
        <f t="shared" si="71"/>
        <v>r1141: C00065 + C03506 -&gt; C00001 + C00078 + C00118 | (${Variables:E4_2_1_20_kcat} * E4_2_1_20 * C00065 * C03506)/(${Variables:E4_2_1_20_km} + (E4_2_1_20 * C00065 * C03506))</v>
      </c>
    </row>
    <row r="1143" spans="1:11" ht="45" customHeight="1" x14ac:dyDescent="0.25">
      <c r="A1143" t="s">
        <v>4539</v>
      </c>
      <c r="B1143" t="s">
        <v>4540</v>
      </c>
      <c r="C1143" s="5" t="s">
        <v>9717</v>
      </c>
      <c r="D1143">
        <f t="shared" si="68"/>
        <v>1142</v>
      </c>
      <c r="E1143" t="str">
        <f t="shared" si="69"/>
        <v>E6_5_1_2</v>
      </c>
      <c r="F1143" s="11" t="s">
        <v>14382</v>
      </c>
      <c r="G1143" s="11" t="s">
        <v>14985</v>
      </c>
      <c r="H1143" s="11" t="s">
        <v>15605</v>
      </c>
      <c r="I1143" s="11" t="s">
        <v>16226</v>
      </c>
      <c r="J1143" s="12" t="str">
        <f t="shared" si="70"/>
        <v>(${Variables:E6_5_1_2_kcat} * E6_5_1_2 * C00003 * C00039 * C02128)/(${Variables:E6_5_1_2_km} + (E6_5_1_2 * C00003 * C00039 * C02128))</v>
      </c>
      <c r="K1143" s="11" t="str">
        <f t="shared" si="71"/>
        <v>r1142: C00003 + C00039 + C02128 -&gt; C00020 + C00039 + C00455 | (${Variables:E6_5_1_2_kcat} * E6_5_1_2 * C00003 * C00039 * C02128)/(${Variables:E6_5_1_2_km} + (E6_5_1_2 * C00003 * C00039 * C02128))</v>
      </c>
    </row>
    <row r="1144" spans="1:11" ht="45" customHeight="1" x14ac:dyDescent="0.25">
      <c r="A1144" t="s">
        <v>4547</v>
      </c>
      <c r="B1144" t="s">
        <v>4548</v>
      </c>
      <c r="C1144" s="5" t="s">
        <v>9718</v>
      </c>
      <c r="D1144">
        <f t="shared" si="68"/>
        <v>1143</v>
      </c>
      <c r="E1144" t="str">
        <f t="shared" si="69"/>
        <v>E2_5_1_16</v>
      </c>
      <c r="F1144" s="11" t="s">
        <v>14383</v>
      </c>
      <c r="G1144" s="11" t="s">
        <v>14986</v>
      </c>
      <c r="H1144" s="11" t="s">
        <v>15606</v>
      </c>
      <c r="I1144" s="11" t="s">
        <v>16227</v>
      </c>
      <c r="J1144" s="12" t="str">
        <f t="shared" si="70"/>
        <v>(${Variables:E2_5_1_16_kcat} * E2_5_1_16 * C00134 * C01137)/(${Variables:E2_5_1_16_km} + (E2_5_1_16 * C00134 * C01137))</v>
      </c>
      <c r="K1144" s="11" t="str">
        <f t="shared" si="71"/>
        <v>r1143: C00134 + C01137 -&gt; C00170 + C00315 | (${Variables:E2_5_1_16_kcat} * E2_5_1_16 * C00134 * C01137)/(${Variables:E2_5_1_16_km} + (E2_5_1_16 * C00134 * C01137))</v>
      </c>
    </row>
    <row r="1145" spans="1:11" ht="45" customHeight="1" x14ac:dyDescent="0.25">
      <c r="A1145" t="s">
        <v>4547</v>
      </c>
      <c r="B1145" t="s">
        <v>4548</v>
      </c>
      <c r="C1145" s="5" t="s">
        <v>9718</v>
      </c>
      <c r="D1145">
        <f t="shared" si="68"/>
        <v>1144</v>
      </c>
      <c r="E1145" t="str">
        <f t="shared" si="69"/>
        <v>E2_5_1_16</v>
      </c>
      <c r="F1145" s="11" t="s">
        <v>14384</v>
      </c>
      <c r="G1145" s="11" t="s">
        <v>14987</v>
      </c>
      <c r="H1145" s="11" t="s">
        <v>15607</v>
      </c>
      <c r="I1145" s="11" t="s">
        <v>16228</v>
      </c>
      <c r="J1145" s="12" t="str">
        <f t="shared" si="70"/>
        <v>(${Variables:E2_5_1_16_kcat} * E2_5_1_16 * C01137 * C01672)/(${Variables:E2_5_1_16_km} + (E2_5_1_16 * C01137 * C01672))</v>
      </c>
      <c r="K1145" s="11" t="str">
        <f t="shared" si="71"/>
        <v>r1144: C01137 + C01672 -&gt; C00170 + C16565 | (${Variables:E2_5_1_16_kcat} * E2_5_1_16 * C01137 * C01672)/(${Variables:E2_5_1_16_km} + (E2_5_1_16 * C01137 * C01672))</v>
      </c>
    </row>
    <row r="1146" spans="1:11" ht="45" customHeight="1" x14ac:dyDescent="0.25">
      <c r="A1146" t="s">
        <v>4549</v>
      </c>
      <c r="B1146" t="s">
        <v>4550</v>
      </c>
      <c r="C1146" s="5" t="s">
        <v>9682</v>
      </c>
      <c r="D1146">
        <f t="shared" si="68"/>
        <v>1145</v>
      </c>
      <c r="E1146" t="str">
        <f t="shared" si="69"/>
        <v>E4_1_1_50</v>
      </c>
      <c r="F1146" s="11" t="s">
        <v>8773</v>
      </c>
      <c r="G1146" s="11" t="s">
        <v>8939</v>
      </c>
      <c r="H1146" s="11" t="s">
        <v>15556</v>
      </c>
      <c r="I1146" s="11" t="s">
        <v>16177</v>
      </c>
      <c r="J1146" s="12" t="str">
        <f t="shared" si="70"/>
        <v>(${Variables:E4_1_1_50_kcat} * E4_1_1_50 * C00019 * C00080)/(${Variables:E4_1_1_50_km} + (E4_1_1_50 * C00019 * C00080))</v>
      </c>
      <c r="K1146" s="11" t="str">
        <f t="shared" si="71"/>
        <v>r1145: C00019 + C00080 -&gt; C00011 + C01137 | (${Variables:E4_1_1_50_kcat} * E4_1_1_50 * C00019 * C00080)/(${Variables:E4_1_1_50_km} + (E4_1_1_50 * C00019 * C00080))</v>
      </c>
    </row>
    <row r="1147" spans="1:11" ht="45" customHeight="1" x14ac:dyDescent="0.25">
      <c r="A1147" t="s">
        <v>4563</v>
      </c>
      <c r="B1147" t="s">
        <v>4564</v>
      </c>
      <c r="C1147" s="5" t="s">
        <v>9719</v>
      </c>
      <c r="D1147">
        <f t="shared" si="68"/>
        <v>1146</v>
      </c>
      <c r="E1147" t="str">
        <f t="shared" si="69"/>
        <v>E4_2_1_51</v>
      </c>
      <c r="F1147" s="11" t="s">
        <v>8537</v>
      </c>
      <c r="G1147" s="11" t="s">
        <v>8537</v>
      </c>
      <c r="H1147" s="11" t="s">
        <v>15608</v>
      </c>
      <c r="I1147" s="11" t="s">
        <v>16229</v>
      </c>
      <c r="J1147" s="12" t="str">
        <f t="shared" si="70"/>
        <v>(${Variables:E4_2_1_51_kcat} * E4_2_1_51 * C00254)/(${Variables:E4_2_1_51_km} + (E4_2_1_51 * C00254))</v>
      </c>
      <c r="K1147" s="11" t="str">
        <f t="shared" si="71"/>
        <v>r1146: C00254 -&gt; C00001 + C00011 + C00166 | (${Variables:E4_2_1_51_kcat} * E4_2_1_51 * C00254)/(${Variables:E4_2_1_51_km} + (E4_2_1_51 * C00254))</v>
      </c>
    </row>
    <row r="1148" spans="1:11" ht="45" customHeight="1" x14ac:dyDescent="0.25">
      <c r="A1148" t="s">
        <v>4563</v>
      </c>
      <c r="B1148" t="s">
        <v>4564</v>
      </c>
      <c r="C1148" s="5" t="s">
        <v>9719</v>
      </c>
      <c r="D1148">
        <f t="shared" si="68"/>
        <v>1147</v>
      </c>
      <c r="E1148" t="str">
        <f t="shared" si="69"/>
        <v>E4_2_1_51</v>
      </c>
      <c r="F1148" s="11" t="s">
        <v>10460</v>
      </c>
      <c r="G1148" s="11" t="s">
        <v>10460</v>
      </c>
      <c r="H1148" s="11" t="s">
        <v>15609</v>
      </c>
      <c r="I1148" s="11" t="s">
        <v>16230</v>
      </c>
      <c r="J1148" s="12" t="str">
        <f t="shared" si="70"/>
        <v>(${Variables:E4_2_1_51_kcat} * E4_2_1_51 * C00826)/(${Variables:E4_2_1_51_km} + (E4_2_1_51 * C00826))</v>
      </c>
      <c r="K1148" s="11" t="str">
        <f t="shared" si="71"/>
        <v>r1147: C00826 -&gt; C00001 + C00011 + C00079 | (${Variables:E4_2_1_51_kcat} * E4_2_1_51 * C00826)/(${Variables:E4_2_1_51_km} + (E4_2_1_51 * C00826))</v>
      </c>
    </row>
    <row r="1149" spans="1:11" ht="45" customHeight="1" x14ac:dyDescent="0.25">
      <c r="A1149" t="s">
        <v>4565</v>
      </c>
      <c r="B1149" t="s">
        <v>4566</v>
      </c>
      <c r="C1149" s="5" t="s">
        <v>9577</v>
      </c>
      <c r="D1149">
        <f t="shared" si="68"/>
        <v>1148</v>
      </c>
      <c r="E1149" t="str">
        <f t="shared" si="69"/>
        <v>E2_7_1_4</v>
      </c>
      <c r="F1149" s="11" t="s">
        <v>8732</v>
      </c>
      <c r="G1149" s="11" t="s">
        <v>8898</v>
      </c>
      <c r="H1149" s="11" t="s">
        <v>9091</v>
      </c>
      <c r="I1149" s="11" t="s">
        <v>9290</v>
      </c>
      <c r="J1149" s="12" t="str">
        <f t="shared" si="70"/>
        <v>(${Variables:E2_7_1_4_kcat} * E2_7_1_4 * C00002 * C00095)/(${Variables:E2_7_1_4_km} + (E2_7_1_4 * C00002 * C00095))</v>
      </c>
      <c r="K1149" s="11" t="str">
        <f t="shared" si="71"/>
        <v>r1148: C00002 + C00095 -&gt; C00008 + C00085 | (${Variables:E2_7_1_4_kcat} * E2_7_1_4 * C00002 * C00095)/(${Variables:E2_7_1_4_km} + (E2_7_1_4 * C00002 * C00095))</v>
      </c>
    </row>
    <row r="1150" spans="1:11" ht="45" customHeight="1" x14ac:dyDescent="0.25">
      <c r="A1150" t="s">
        <v>4565</v>
      </c>
      <c r="B1150" t="s">
        <v>4566</v>
      </c>
      <c r="C1150" s="5" t="s">
        <v>9577</v>
      </c>
      <c r="D1150">
        <f t="shared" si="68"/>
        <v>1149</v>
      </c>
      <c r="E1150" t="str">
        <f t="shared" si="69"/>
        <v>E2_7_1_4</v>
      </c>
      <c r="F1150" s="11" t="s">
        <v>8732</v>
      </c>
      <c r="G1150" s="11" t="s">
        <v>8898</v>
      </c>
      <c r="H1150" s="11" t="s">
        <v>9092</v>
      </c>
      <c r="I1150" s="11" t="s">
        <v>9291</v>
      </c>
      <c r="J1150" s="12" t="str">
        <f t="shared" si="70"/>
        <v>(${Variables:E2_7_1_4_kcat} * E2_7_1_4 * C00002 * C00095)/(${Variables:E2_7_1_4_km} + (E2_7_1_4 * C00002 * C00095))</v>
      </c>
      <c r="K1150" s="11" t="str">
        <f t="shared" si="71"/>
        <v>r1149: C00002 + C00095 -&gt; C00008 + C05345 | (${Variables:E2_7_1_4_kcat} * E2_7_1_4 * C00002 * C00095)/(${Variables:E2_7_1_4_km} + (E2_7_1_4 * C00002 * C00095))</v>
      </c>
    </row>
    <row r="1151" spans="1:11" ht="45" customHeight="1" x14ac:dyDescent="0.25">
      <c r="A1151" t="s">
        <v>4565</v>
      </c>
      <c r="B1151" t="s">
        <v>4566</v>
      </c>
      <c r="C1151" s="5" t="s">
        <v>9577</v>
      </c>
      <c r="D1151">
        <f t="shared" si="68"/>
        <v>1150</v>
      </c>
      <c r="E1151" t="str">
        <f t="shared" si="69"/>
        <v>E2_7_1_4</v>
      </c>
      <c r="F1151" s="11" t="s">
        <v>8733</v>
      </c>
      <c r="G1151" s="11" t="s">
        <v>8899</v>
      </c>
      <c r="H1151" s="11" t="s">
        <v>9092</v>
      </c>
      <c r="I1151" s="11" t="s">
        <v>9291</v>
      </c>
      <c r="J1151" s="12" t="str">
        <f t="shared" si="70"/>
        <v>(${Variables:E2_7_1_4_kcat} * E2_7_1_4 * C00002 * C02336)/(${Variables:E2_7_1_4_km} + (E2_7_1_4 * C00002 * C02336))</v>
      </c>
      <c r="K1151" s="11" t="str">
        <f t="shared" si="71"/>
        <v>r1150: C00002 + C02336 -&gt; C00008 + C05345 | (${Variables:E2_7_1_4_kcat} * E2_7_1_4 * C00002 * C02336)/(${Variables:E2_7_1_4_km} + (E2_7_1_4 * C00002 * C02336))</v>
      </c>
    </row>
    <row r="1152" spans="1:11" ht="45" customHeight="1" x14ac:dyDescent="0.25">
      <c r="A1152" t="s">
        <v>4607</v>
      </c>
      <c r="B1152" t="s">
        <v>4608</v>
      </c>
      <c r="C1152" s="5" t="s">
        <v>9575</v>
      </c>
      <c r="D1152">
        <f t="shared" si="68"/>
        <v>1151</v>
      </c>
      <c r="E1152" t="str">
        <f t="shared" si="69"/>
        <v>E4_6_1_1</v>
      </c>
      <c r="F1152" s="11" t="s">
        <v>8251</v>
      </c>
      <c r="G1152" s="11" t="s">
        <v>8251</v>
      </c>
      <c r="H1152" s="11" t="s">
        <v>15400</v>
      </c>
      <c r="I1152" s="11" t="s">
        <v>16021</v>
      </c>
      <c r="J1152" s="12" t="str">
        <f t="shared" si="70"/>
        <v>(${Variables:E4_6_1_1_kcat} * E4_6_1_1 * C00002)/(${Variables:E4_6_1_1_km} + (E4_6_1_1 * C00002))</v>
      </c>
      <c r="K1152" s="11" t="str">
        <f t="shared" si="71"/>
        <v>r1151: C00002 -&gt; C00013 + C00575 | (${Variables:E4_6_1_1_kcat} * E4_6_1_1 * C00002)/(${Variables:E4_6_1_1_km} + (E4_6_1_1 * C00002))</v>
      </c>
    </row>
    <row r="1153" spans="1:11" ht="45" customHeight="1" x14ac:dyDescent="0.25">
      <c r="A1153" t="s">
        <v>4607</v>
      </c>
      <c r="B1153" t="s">
        <v>4608</v>
      </c>
      <c r="C1153" s="5" t="s">
        <v>9575</v>
      </c>
      <c r="D1153">
        <f t="shared" si="68"/>
        <v>1152</v>
      </c>
      <c r="E1153" t="str">
        <f t="shared" si="69"/>
        <v>E4_6_1_1</v>
      </c>
      <c r="F1153" s="11" t="s">
        <v>8252</v>
      </c>
      <c r="G1153" s="11" t="s">
        <v>8252</v>
      </c>
      <c r="H1153" s="11" t="s">
        <v>15401</v>
      </c>
      <c r="I1153" s="11" t="s">
        <v>16022</v>
      </c>
      <c r="J1153" s="12" t="str">
        <f t="shared" si="70"/>
        <v>(${Variables:E4_6_1_1_kcat} * E4_6_1_1 * C00044)/(${Variables:E4_6_1_1_km} + (E4_6_1_1 * C00044))</v>
      </c>
      <c r="K1153" s="11" t="str">
        <f t="shared" si="71"/>
        <v>r1152: C00044 -&gt; C00013 + C00942 | (${Variables:E4_6_1_1_kcat} * E4_6_1_1 * C00044)/(${Variables:E4_6_1_1_km} + (E4_6_1_1 * C00044))</v>
      </c>
    </row>
    <row r="1154" spans="1:11" ht="45" customHeight="1" x14ac:dyDescent="0.25">
      <c r="A1154" t="s">
        <v>4612</v>
      </c>
      <c r="B1154" t="s">
        <v>4613</v>
      </c>
      <c r="C1154" s="5" t="s">
        <v>9720</v>
      </c>
      <c r="D1154">
        <f t="shared" si="68"/>
        <v>1153</v>
      </c>
      <c r="E1154" t="str">
        <f t="shared" si="69"/>
        <v>E1_1_1_37</v>
      </c>
      <c r="F1154" s="11" t="s">
        <v>14385</v>
      </c>
      <c r="G1154" s="11" t="s">
        <v>14988</v>
      </c>
      <c r="H1154" s="11" t="s">
        <v>15610</v>
      </c>
      <c r="I1154" s="11" t="s">
        <v>16231</v>
      </c>
      <c r="J1154" s="12" t="str">
        <f t="shared" si="70"/>
        <v>(${Variables:E1_1_1_37_kcat} * E1_1_1_37 * C00003 * C00149)/(${Variables:E1_1_1_37_km} + (E1_1_1_37 * C00003 * C00149))</v>
      </c>
      <c r="K1154" s="11" t="str">
        <f t="shared" si="71"/>
        <v>r1153: C00003 + C00149 -&gt; C00004 + C00036 + C00080 | (${Variables:E1_1_1_37_kcat} * E1_1_1_37 * C00003 * C00149)/(${Variables:E1_1_1_37_km} + (E1_1_1_37 * C00003 * C00149))</v>
      </c>
    </row>
    <row r="1155" spans="1:11" ht="45" customHeight="1" x14ac:dyDescent="0.25">
      <c r="A1155" t="s">
        <v>4612</v>
      </c>
      <c r="B1155" t="s">
        <v>4613</v>
      </c>
      <c r="C1155" s="5" t="s">
        <v>9720</v>
      </c>
      <c r="D1155">
        <f t="shared" ref="D1155:D1218" si="72">ROW()-1</f>
        <v>1154</v>
      </c>
      <c r="E1155" t="str">
        <f t="shared" ref="E1155:E1218" si="73">_xlfn.CONCAT("E", C1155)</f>
        <v>E1_1_1_37</v>
      </c>
      <c r="F1155" s="11" t="s">
        <v>14386</v>
      </c>
      <c r="G1155" s="11" t="s">
        <v>14989</v>
      </c>
      <c r="H1155" s="11" t="s">
        <v>15611</v>
      </c>
      <c r="I1155" s="11" t="s">
        <v>16232</v>
      </c>
      <c r="J1155" s="12" t="str">
        <f t="shared" ref="J1155:J1218" si="74">CONCATENATE("(${Variables:",E1155,"_kcat","} * ",E1155," * ",G1155,")","/(${Variables:",E1155,"_km","} + (",E1155," * ",G1155,"))")</f>
        <v>(${Variables:E1_1_1_37_kcat} * E1_1_1_37 * C00003 * C11537)/(${Variables:E1_1_1_37_km} + (E1_1_1_37 * C00003 * C11537))</v>
      </c>
      <c r="K1155" s="11" t="str">
        <f t="shared" ref="K1155:K1218" si="75">CONCATENATE("r",D1155,": ",F1155," -&gt; ",H1155," | ",J1155)</f>
        <v>r1154: C00003 + C11537 -&gt; C00004 + C00080 + C05528 | (${Variables:E1_1_1_37_kcat} * E1_1_1_37 * C00003 * C11537)/(${Variables:E1_1_1_37_km} + (E1_1_1_37 * C00003 * C11537))</v>
      </c>
    </row>
    <row r="1156" spans="1:11" ht="45" customHeight="1" x14ac:dyDescent="0.25">
      <c r="A1156" t="s">
        <v>4615</v>
      </c>
      <c r="B1156" t="s">
        <v>4616</v>
      </c>
      <c r="C1156" s="5" t="s">
        <v>9721</v>
      </c>
      <c r="D1156">
        <f t="shared" si="72"/>
        <v>1155</v>
      </c>
      <c r="E1156" t="str">
        <f t="shared" si="73"/>
        <v>E2_7_2_4</v>
      </c>
      <c r="F1156" s="11" t="s">
        <v>14387</v>
      </c>
      <c r="G1156" s="11" t="s">
        <v>14990</v>
      </c>
      <c r="H1156" s="11" t="s">
        <v>15612</v>
      </c>
      <c r="I1156" s="11" t="s">
        <v>16233</v>
      </c>
      <c r="J1156" s="12" t="str">
        <f t="shared" si="74"/>
        <v>(${Variables:E2_7_2_4_kcat} * E2_7_2_4 * C00002 * C00049)/(${Variables:E2_7_2_4_km} + (E2_7_2_4 * C00002 * C00049))</v>
      </c>
      <c r="K1156" s="11" t="str">
        <f t="shared" si="75"/>
        <v>r1155: C00002 + C00049 -&gt; C00008 + C03082 | (${Variables:E2_7_2_4_kcat} * E2_7_2_4 * C00002 * C00049)/(${Variables:E2_7_2_4_km} + (E2_7_2_4 * C00002 * C00049))</v>
      </c>
    </row>
    <row r="1157" spans="1:11" ht="45" customHeight="1" x14ac:dyDescent="0.25">
      <c r="A1157" t="s">
        <v>4620</v>
      </c>
      <c r="B1157" t="s">
        <v>4621</v>
      </c>
      <c r="C1157" s="5" t="s">
        <v>9722</v>
      </c>
      <c r="D1157">
        <f t="shared" si="72"/>
        <v>1156</v>
      </c>
      <c r="E1157" t="str">
        <f t="shared" si="73"/>
        <v>E2_1_1_172</v>
      </c>
      <c r="F1157" s="11" t="s">
        <v>14388</v>
      </c>
      <c r="G1157" s="11" t="s">
        <v>14991</v>
      </c>
      <c r="H1157" s="11" t="s">
        <v>15613</v>
      </c>
      <c r="I1157" s="11" t="s">
        <v>16234</v>
      </c>
      <c r="J1157" s="12" t="str">
        <f t="shared" si="74"/>
        <v>(${Variables:E2_1_1_172_kcat} * E2_1_1_172 * C00019 * C00240)/(${Variables:E2_1_1_172_km} + (E2_1_1_172 * C00019 * C00240))</v>
      </c>
      <c r="K1157" s="11" t="str">
        <f t="shared" si="75"/>
        <v>r1156: C00019 + C00240 -&gt; C00021 + C04153 | (${Variables:E2_1_1_172_kcat} * E2_1_1_172 * C00019 * C00240)/(${Variables:E2_1_1_172_km} + (E2_1_1_172 * C00019 * C00240))</v>
      </c>
    </row>
    <row r="1158" spans="1:11" ht="45" customHeight="1" x14ac:dyDescent="0.25">
      <c r="A1158" t="s">
        <v>4630</v>
      </c>
      <c r="B1158" t="s">
        <v>4631</v>
      </c>
      <c r="C1158" s="5" t="s">
        <v>9548</v>
      </c>
      <c r="D1158">
        <f t="shared" si="72"/>
        <v>1157</v>
      </c>
      <c r="E1158" t="str">
        <f t="shared" si="73"/>
        <v>E3_6_1_13</v>
      </c>
      <c r="F1158" s="11" t="s">
        <v>14165</v>
      </c>
      <c r="G1158" s="11" t="s">
        <v>14768</v>
      </c>
      <c r="H1158" s="11" t="s">
        <v>9078</v>
      </c>
      <c r="I1158" s="11" t="s">
        <v>9277</v>
      </c>
      <c r="J1158" s="12" t="str">
        <f t="shared" si="74"/>
        <v>(${Variables:E3_6_1_13_kcat} * E3_6_1_13 * C00001 * C00301)/(${Variables:E3_6_1_13_km} + (E3_6_1_13 * C00001 * C00301))</v>
      </c>
      <c r="K1158" s="11" t="str">
        <f t="shared" si="75"/>
        <v>r1157: C00001 + C00301 -&gt; C00020 + C00117 | (${Variables:E3_6_1_13_kcat} * E3_6_1_13 * C00001 * C00301)/(${Variables:E3_6_1_13_km} + (E3_6_1_13 * C00001 * C00301))</v>
      </c>
    </row>
    <row r="1159" spans="1:11" ht="45" customHeight="1" x14ac:dyDescent="0.25">
      <c r="A1159" t="s">
        <v>4633</v>
      </c>
      <c r="B1159" t="s">
        <v>4634</v>
      </c>
      <c r="C1159" s="5" t="s">
        <v>9723</v>
      </c>
      <c r="D1159">
        <f t="shared" si="72"/>
        <v>1158</v>
      </c>
      <c r="E1159" t="str">
        <f t="shared" si="73"/>
        <v>E2_7_1_26</v>
      </c>
      <c r="F1159" s="11" t="s">
        <v>14389</v>
      </c>
      <c r="G1159" s="11" t="s">
        <v>14992</v>
      </c>
      <c r="H1159" s="11" t="s">
        <v>15614</v>
      </c>
      <c r="I1159" s="11" t="s">
        <v>16235</v>
      </c>
      <c r="J1159" s="12" t="str">
        <f t="shared" si="74"/>
        <v>(${Variables:E2_7_1_26_kcat} * E2_7_1_26 * C00002 * C00255)/(${Variables:E2_7_1_26_km} + (E2_7_1_26 * C00002 * C00255))</v>
      </c>
      <c r="K1159" s="11" t="str">
        <f t="shared" si="75"/>
        <v>r1158: C00002 + C00255 -&gt; C00008 + C00061 | (${Variables:E2_7_1_26_kcat} * E2_7_1_26 * C00002 * C00255)/(${Variables:E2_7_1_26_km} + (E2_7_1_26 * C00002 * C00255))</v>
      </c>
    </row>
    <row r="1160" spans="1:11" ht="45" customHeight="1" x14ac:dyDescent="0.25">
      <c r="A1160" t="s">
        <v>4636</v>
      </c>
      <c r="B1160" t="s">
        <v>4637</v>
      </c>
      <c r="C1160" s="5" t="s">
        <v>9724</v>
      </c>
      <c r="D1160">
        <f t="shared" si="72"/>
        <v>1159</v>
      </c>
      <c r="E1160" t="str">
        <f t="shared" si="73"/>
        <v>E1_4_4_2</v>
      </c>
      <c r="F1160" s="11" t="s">
        <v>14390</v>
      </c>
      <c r="G1160" s="11" t="s">
        <v>14993</v>
      </c>
      <c r="H1160" s="11" t="s">
        <v>15615</v>
      </c>
      <c r="I1160" s="11" t="s">
        <v>16236</v>
      </c>
      <c r="J1160" s="12" t="str">
        <f t="shared" si="74"/>
        <v>(${Variables:E1_4_4_2_kcat} * E1_4_4_2 * C00037 * C02051)/(${Variables:E1_4_4_2_km} + (E1_4_4_2 * C00037 * C02051))</v>
      </c>
      <c r="K1160" s="11" t="str">
        <f t="shared" si="75"/>
        <v>r1159: C00037 + C02051 -&gt; C00011 + C01242 | (${Variables:E1_4_4_2_kcat} * E1_4_4_2 * C00037 * C02051)/(${Variables:E1_4_4_2_km} + (E1_4_4_2 * C00037 * C02051))</v>
      </c>
    </row>
    <row r="1161" spans="1:11" ht="45" customHeight="1" x14ac:dyDescent="0.25">
      <c r="A1161" t="s">
        <v>4639</v>
      </c>
      <c r="B1161" t="s">
        <v>4640</v>
      </c>
      <c r="C1161" s="5" t="s">
        <v>9724</v>
      </c>
      <c r="D1161">
        <f t="shared" si="72"/>
        <v>1160</v>
      </c>
      <c r="E1161" t="str">
        <f t="shared" si="73"/>
        <v>E1_4_4_2</v>
      </c>
      <c r="F1161" s="11" t="s">
        <v>14390</v>
      </c>
      <c r="G1161" s="11" t="s">
        <v>14993</v>
      </c>
      <c r="H1161" s="11" t="s">
        <v>15615</v>
      </c>
      <c r="I1161" s="11" t="s">
        <v>16236</v>
      </c>
      <c r="J1161" s="12" t="str">
        <f t="shared" si="74"/>
        <v>(${Variables:E1_4_4_2_kcat} * E1_4_4_2 * C00037 * C02051)/(${Variables:E1_4_4_2_km} + (E1_4_4_2 * C00037 * C02051))</v>
      </c>
      <c r="K1161" s="11" t="str">
        <f t="shared" si="75"/>
        <v>r1160: C00037 + C02051 -&gt; C00011 + C01242 | (${Variables:E1_4_4_2_kcat} * E1_4_4_2 * C00037 * C02051)/(${Variables:E1_4_4_2_km} + (E1_4_4_2 * C00037 * C02051))</v>
      </c>
    </row>
    <row r="1162" spans="1:11" ht="45" customHeight="1" x14ac:dyDescent="0.25">
      <c r="A1162" t="s">
        <v>4645</v>
      </c>
      <c r="B1162" t="s">
        <v>4646</v>
      </c>
      <c r="C1162" s="5" t="s">
        <v>9725</v>
      </c>
      <c r="D1162">
        <f t="shared" si="72"/>
        <v>1161</v>
      </c>
      <c r="E1162" t="str">
        <f t="shared" si="73"/>
        <v>E2_1_2_10</v>
      </c>
      <c r="F1162" s="11" t="s">
        <v>14391</v>
      </c>
      <c r="G1162" s="11" t="s">
        <v>14994</v>
      </c>
      <c r="H1162" s="11" t="s">
        <v>15616</v>
      </c>
      <c r="I1162" s="11" t="s">
        <v>16237</v>
      </c>
      <c r="J1162" s="12" t="str">
        <f t="shared" si="74"/>
        <v>(${Variables:E2_1_2_10_kcat} * E2_1_2_10 * C00101 * C01242)/(${Variables:E2_1_2_10_km} + (E2_1_2_10 * C00101 * C01242))</v>
      </c>
      <c r="K1162" s="11" t="str">
        <f t="shared" si="75"/>
        <v>r1161: C00101 + C01242 -&gt; C00014 + C00143 + C02972 | (${Variables:E2_1_2_10_kcat} * E2_1_2_10 * C00101 * C01242)/(${Variables:E2_1_2_10_km} + (E2_1_2_10 * C00101 * C01242))</v>
      </c>
    </row>
    <row r="1163" spans="1:11" ht="45" customHeight="1" x14ac:dyDescent="0.25">
      <c r="A1163" t="s">
        <v>4645</v>
      </c>
      <c r="B1163" t="s">
        <v>4646</v>
      </c>
      <c r="C1163" s="5" t="s">
        <v>9725</v>
      </c>
      <c r="D1163">
        <f t="shared" si="72"/>
        <v>1162</v>
      </c>
      <c r="E1163" t="str">
        <f t="shared" si="73"/>
        <v>E2_1_2_10</v>
      </c>
      <c r="F1163" s="11" t="s">
        <v>10103</v>
      </c>
      <c r="G1163" s="11" t="s">
        <v>10103</v>
      </c>
      <c r="H1163" s="11" t="s">
        <v>15617</v>
      </c>
      <c r="I1163" s="11" t="s">
        <v>16238</v>
      </c>
      <c r="J1163" s="12" t="str">
        <f t="shared" si="74"/>
        <v>(${Variables:E2_1_2_10_kcat} * E2_1_2_10 * C03479)/(${Variables:E2_1_2_10_km} + (E2_1_2_10 * C03479))</v>
      </c>
      <c r="K1163" s="11" t="str">
        <f t="shared" si="75"/>
        <v>r1162: C03479 -&gt; C00001 + C00445 | (${Variables:E2_1_2_10_kcat} * E2_1_2_10 * C03479)/(${Variables:E2_1_2_10_km} + (E2_1_2_10 * C03479))</v>
      </c>
    </row>
    <row r="1164" spans="1:11" ht="45" customHeight="1" x14ac:dyDescent="0.25">
      <c r="A1164" t="s">
        <v>4654</v>
      </c>
      <c r="B1164" t="s">
        <v>4655</v>
      </c>
      <c r="C1164" s="5" t="s">
        <v>9726</v>
      </c>
      <c r="D1164">
        <f t="shared" si="72"/>
        <v>1163</v>
      </c>
      <c r="E1164" t="str">
        <f t="shared" si="73"/>
        <v>E1_1_1_38</v>
      </c>
      <c r="F1164" s="11" t="s">
        <v>14385</v>
      </c>
      <c r="G1164" s="11" t="s">
        <v>14988</v>
      </c>
      <c r="H1164" s="11" t="s">
        <v>15618</v>
      </c>
      <c r="I1164" s="11" t="s">
        <v>16239</v>
      </c>
      <c r="J1164" s="12" t="str">
        <f t="shared" si="74"/>
        <v>(${Variables:E1_1_1_38_kcat} * E1_1_1_38 * C00003 * C00149)/(${Variables:E1_1_1_38_km} + (E1_1_1_38 * C00003 * C00149))</v>
      </c>
      <c r="K1164" s="11" t="str">
        <f t="shared" si="75"/>
        <v>r1163: C00003 + C00149 -&gt; C00004 + C00011 + C00022 + C00080 | (${Variables:E1_1_1_38_kcat} * E1_1_1_38 * C00003 * C00149)/(${Variables:E1_1_1_38_km} + (E1_1_1_38 * C00003 * C00149))</v>
      </c>
    </row>
    <row r="1165" spans="1:11" ht="45" customHeight="1" x14ac:dyDescent="0.25">
      <c r="A1165" t="s">
        <v>4654</v>
      </c>
      <c r="B1165" t="s">
        <v>4655</v>
      </c>
      <c r="C1165" s="5" t="s">
        <v>9726</v>
      </c>
      <c r="D1165">
        <f t="shared" si="72"/>
        <v>1164</v>
      </c>
      <c r="E1165" t="str">
        <f t="shared" si="73"/>
        <v>E1_1_1_38</v>
      </c>
      <c r="F1165" s="11" t="s">
        <v>10338</v>
      </c>
      <c r="G1165" s="11" t="s">
        <v>10338</v>
      </c>
      <c r="H1165" s="11" t="s">
        <v>15619</v>
      </c>
      <c r="I1165" s="11" t="s">
        <v>16240</v>
      </c>
      <c r="J1165" s="12" t="str">
        <f t="shared" si="74"/>
        <v>(${Variables:E1_1_1_38_kcat} * E1_1_1_38 * C00036)/(${Variables:E1_1_1_38_km} + (E1_1_1_38 * C00036))</v>
      </c>
      <c r="K1165" s="11" t="str">
        <f t="shared" si="75"/>
        <v>r1164: C00036 -&gt; C00011 + C00022 | (${Variables:E1_1_1_38_kcat} * E1_1_1_38 * C00036)/(${Variables:E1_1_1_38_km} + (E1_1_1_38 * C00036))</v>
      </c>
    </row>
    <row r="1166" spans="1:11" ht="45" customHeight="1" x14ac:dyDescent="0.25">
      <c r="A1166" t="s">
        <v>4668</v>
      </c>
      <c r="B1166" t="s">
        <v>4669</v>
      </c>
      <c r="C1166" s="5" t="s">
        <v>9727</v>
      </c>
      <c r="D1166">
        <f t="shared" si="72"/>
        <v>1165</v>
      </c>
      <c r="E1166" t="str">
        <f t="shared" si="73"/>
        <v>E4_1_1_21</v>
      </c>
      <c r="F1166" s="11" t="s">
        <v>8349</v>
      </c>
      <c r="G1166" s="11" t="s">
        <v>8349</v>
      </c>
      <c r="H1166" s="11" t="s">
        <v>15620</v>
      </c>
      <c r="I1166" s="11" t="s">
        <v>16241</v>
      </c>
      <c r="J1166" s="12" t="str">
        <f t="shared" si="74"/>
        <v>(${Variables:E4_1_1_21_kcat} * E4_1_1_21 * C04751)/(${Variables:E4_1_1_21_km} + (E4_1_1_21 * C04751))</v>
      </c>
      <c r="K1166" s="11" t="str">
        <f t="shared" si="75"/>
        <v>r1165: C04751 -&gt; C00011 + C03373 | (${Variables:E4_1_1_21_kcat} * E4_1_1_21 * C04751)/(${Variables:E4_1_1_21_km} + (E4_1_1_21 * C04751))</v>
      </c>
    </row>
    <row r="1167" spans="1:11" ht="45" customHeight="1" x14ac:dyDescent="0.25">
      <c r="A1167" t="s">
        <v>4671</v>
      </c>
      <c r="B1167" t="s">
        <v>4672</v>
      </c>
      <c r="C1167" s="5" t="s">
        <v>9727</v>
      </c>
      <c r="D1167">
        <f t="shared" si="72"/>
        <v>1166</v>
      </c>
      <c r="E1167" t="str">
        <f t="shared" si="73"/>
        <v>E4_1_1_21</v>
      </c>
      <c r="F1167" s="11" t="s">
        <v>8349</v>
      </c>
      <c r="G1167" s="11" t="s">
        <v>8349</v>
      </c>
      <c r="H1167" s="11" t="s">
        <v>15620</v>
      </c>
      <c r="I1167" s="11" t="s">
        <v>16241</v>
      </c>
      <c r="J1167" s="12" t="str">
        <f t="shared" si="74"/>
        <v>(${Variables:E4_1_1_21_kcat} * E4_1_1_21 * C04751)/(${Variables:E4_1_1_21_km} + (E4_1_1_21 * C04751))</v>
      </c>
      <c r="K1167" s="11" t="str">
        <f t="shared" si="75"/>
        <v>r1166: C04751 -&gt; C00011 + C03373 | (${Variables:E4_1_1_21_kcat} * E4_1_1_21 * C04751)/(${Variables:E4_1_1_21_km} + (E4_1_1_21 * C04751))</v>
      </c>
    </row>
    <row r="1168" spans="1:11" ht="45" customHeight="1" x14ac:dyDescent="0.25">
      <c r="A1168" t="s">
        <v>4676</v>
      </c>
      <c r="B1168" t="s">
        <v>4677</v>
      </c>
      <c r="C1168" s="5" t="s">
        <v>9728</v>
      </c>
      <c r="D1168">
        <f t="shared" si="72"/>
        <v>1167</v>
      </c>
      <c r="E1168" t="str">
        <f t="shared" si="73"/>
        <v>E4_2_1_70</v>
      </c>
      <c r="F1168" s="11" t="s">
        <v>8790</v>
      </c>
      <c r="G1168" s="11" t="s">
        <v>8956</v>
      </c>
      <c r="H1168" s="11" t="s">
        <v>15621</v>
      </c>
      <c r="I1168" s="11" t="s">
        <v>16242</v>
      </c>
      <c r="J1168" s="12" t="str">
        <f t="shared" si="74"/>
        <v>(${Variables:E4_2_1_70_kcat} * E4_2_1_70 * C00106 * C00117)/(${Variables:E4_2_1_70_km} + (E4_2_1_70 * C00106 * C00117))</v>
      </c>
      <c r="K1168" s="11" t="str">
        <f t="shared" si="75"/>
        <v>r1167: C00106 + C00117 -&gt; C00001 + C01168 | (${Variables:E4_2_1_70_kcat} * E4_2_1_70 * C00106 * C00117)/(${Variables:E4_2_1_70_km} + (E4_2_1_70 * C00106 * C00117))</v>
      </c>
    </row>
    <row r="1169" spans="1:11" ht="45" customHeight="1" x14ac:dyDescent="0.25">
      <c r="A1169" t="s">
        <v>4679</v>
      </c>
      <c r="B1169" t="s">
        <v>4680</v>
      </c>
      <c r="C1169" s="5" t="s">
        <v>9729</v>
      </c>
      <c r="D1169">
        <f t="shared" si="72"/>
        <v>1168</v>
      </c>
      <c r="E1169" t="str">
        <f t="shared" si="73"/>
        <v>E2_1_2_11</v>
      </c>
      <c r="F1169" s="11" t="s">
        <v>14392</v>
      </c>
      <c r="G1169" s="11" t="s">
        <v>14995</v>
      </c>
      <c r="H1169" s="11" t="s">
        <v>9145</v>
      </c>
      <c r="I1169" s="11" t="s">
        <v>9344</v>
      </c>
      <c r="J1169" s="12" t="str">
        <f t="shared" si="74"/>
        <v>(${Variables:E2_1_2_11_kcat} * E2_1_2_11 * C00001 * C00141 * C00143)/(${Variables:E2_1_2_11_km} + (E2_1_2_11 * C00001 * C00141 * C00143))</v>
      </c>
      <c r="K1169" s="11" t="str">
        <f t="shared" si="75"/>
        <v>r1168: C00001 + C00141 + C00143 -&gt; C00101 + C00966 | (${Variables:E2_1_2_11_kcat} * E2_1_2_11 * C00001 * C00141 * C00143)/(${Variables:E2_1_2_11_km} + (E2_1_2_11 * C00001 * C00141 * C00143))</v>
      </c>
    </row>
    <row r="1170" spans="1:11" ht="45" customHeight="1" x14ac:dyDescent="0.25">
      <c r="A1170" t="s">
        <v>4679</v>
      </c>
      <c r="B1170" t="s">
        <v>4680</v>
      </c>
      <c r="C1170" s="5" t="s">
        <v>9729</v>
      </c>
      <c r="D1170">
        <f t="shared" si="72"/>
        <v>1169</v>
      </c>
      <c r="E1170" t="str">
        <f t="shared" si="73"/>
        <v>E2_1_2_11</v>
      </c>
      <c r="F1170" s="11" t="s">
        <v>8351</v>
      </c>
      <c r="G1170" s="11" t="s">
        <v>8351</v>
      </c>
      <c r="H1170" s="11" t="s">
        <v>15622</v>
      </c>
      <c r="I1170" s="11" t="s">
        <v>16243</v>
      </c>
      <c r="J1170" s="12" t="str">
        <f t="shared" si="74"/>
        <v>(${Variables:E2_1_2_11_kcat} * E2_1_2_11 * C00966)/(${Variables:E2_1_2_11_km} + (E2_1_2_11 * C00966))</v>
      </c>
      <c r="K1170" s="11" t="str">
        <f t="shared" si="75"/>
        <v>r1169: C00966 -&gt; C00067 + C00141 | (${Variables:E2_1_2_11_kcat} * E2_1_2_11 * C00966)/(${Variables:E2_1_2_11_km} + (E2_1_2_11 * C00966))</v>
      </c>
    </row>
    <row r="1171" spans="1:11" ht="45" customHeight="1" x14ac:dyDescent="0.25">
      <c r="A1171" t="s">
        <v>4692</v>
      </c>
      <c r="B1171" t="s">
        <v>4693</v>
      </c>
      <c r="C1171" s="5" t="s">
        <v>9730</v>
      </c>
      <c r="D1171">
        <f t="shared" si="72"/>
        <v>1170</v>
      </c>
      <c r="E1171" t="str">
        <f t="shared" si="73"/>
        <v>E1_1_5_3</v>
      </c>
      <c r="F1171" s="11" t="s">
        <v>8791</v>
      </c>
      <c r="G1171" s="11" t="s">
        <v>8957</v>
      </c>
      <c r="H1171" s="11" t="s">
        <v>9146</v>
      </c>
      <c r="I1171" s="11" t="s">
        <v>9345</v>
      </c>
      <c r="J1171" s="12" t="str">
        <f t="shared" si="74"/>
        <v>(${Variables:E1_1_5_3_kcat} * E1_1_5_3 * C00093 * C15602)/(${Variables:E1_1_5_3_km} + (E1_1_5_3 * C00093 * C15602))</v>
      </c>
      <c r="K1171" s="11" t="str">
        <f t="shared" si="75"/>
        <v>r1170: C00093 + C15602 -&gt; C00111 + C15603 | (${Variables:E1_1_5_3_kcat} * E1_1_5_3 * C00093 * C15602)/(${Variables:E1_1_5_3_km} + (E1_1_5_3 * C00093 * C15602))</v>
      </c>
    </row>
    <row r="1172" spans="1:11" ht="45" customHeight="1" x14ac:dyDescent="0.25">
      <c r="A1172" t="s">
        <v>4692</v>
      </c>
      <c r="B1172" t="s">
        <v>4693</v>
      </c>
      <c r="C1172" s="5" t="s">
        <v>9730</v>
      </c>
      <c r="D1172">
        <f t="shared" si="72"/>
        <v>1171</v>
      </c>
      <c r="E1172" t="str">
        <f t="shared" si="73"/>
        <v>E1_1_5_3</v>
      </c>
      <c r="F1172" s="11" t="s">
        <v>8792</v>
      </c>
      <c r="G1172" s="11" t="s">
        <v>8958</v>
      </c>
      <c r="H1172" s="11" t="s">
        <v>9147</v>
      </c>
      <c r="I1172" s="11" t="s">
        <v>9346</v>
      </c>
      <c r="J1172" s="12" t="str">
        <f t="shared" si="74"/>
        <v>(${Variables:E1_1_5_3_kcat} * E1_1_5_3 * C00093 * C00399)/(${Variables:E1_1_5_3_km} + (E1_1_5_3 * C00093 * C00399))</v>
      </c>
      <c r="K1172" s="11" t="str">
        <f t="shared" si="75"/>
        <v>r1171: C00093 + C00399 -&gt; C00111 + C00390 | (${Variables:E1_1_5_3_kcat} * E1_1_5_3 * C00093 * C00399)/(${Variables:E1_1_5_3_km} + (E1_1_5_3 * C00093 * C00399))</v>
      </c>
    </row>
    <row r="1173" spans="1:11" ht="45" customHeight="1" x14ac:dyDescent="0.25">
      <c r="A1173" t="s">
        <v>4692</v>
      </c>
      <c r="B1173" t="s">
        <v>4693</v>
      </c>
      <c r="C1173" s="5" t="s">
        <v>9730</v>
      </c>
      <c r="D1173">
        <f t="shared" si="72"/>
        <v>1172</v>
      </c>
      <c r="E1173" t="str">
        <f t="shared" si="73"/>
        <v>E1_1_5_3</v>
      </c>
      <c r="F1173" s="11" t="s">
        <v>14393</v>
      </c>
      <c r="G1173" s="11" t="s">
        <v>14996</v>
      </c>
      <c r="H1173" s="11" t="s">
        <v>9148</v>
      </c>
      <c r="I1173" s="11" t="s">
        <v>9347</v>
      </c>
      <c r="J1173" s="12" t="str">
        <f t="shared" si="74"/>
        <v>(${Variables:E1_1_5_3_kcat} * E1_1_5_3 * C00016 * C00093)/(${Variables:E1_1_5_3_km} + (E1_1_5_3 * C00016 * C00093))</v>
      </c>
      <c r="K1173" s="11" t="str">
        <f t="shared" si="75"/>
        <v>r1172: C00016 + C00093 -&gt; C00111 + C01352 | (${Variables:E1_1_5_3_kcat} * E1_1_5_3 * C00016 * C00093)/(${Variables:E1_1_5_3_km} + (E1_1_5_3 * C00016 * C00093))</v>
      </c>
    </row>
    <row r="1174" spans="1:11" ht="45" customHeight="1" x14ac:dyDescent="0.25">
      <c r="A1174" t="s">
        <v>4695</v>
      </c>
      <c r="B1174" t="s">
        <v>4696</v>
      </c>
      <c r="C1174" s="5" t="s">
        <v>9731</v>
      </c>
      <c r="D1174">
        <f t="shared" si="72"/>
        <v>1173</v>
      </c>
      <c r="E1174" t="str">
        <f t="shared" si="73"/>
        <v>E2_7_1_30</v>
      </c>
      <c r="F1174" s="11" t="s">
        <v>8793</v>
      </c>
      <c r="G1174" s="11" t="s">
        <v>8959</v>
      </c>
      <c r="H1174" s="11" t="s">
        <v>9149</v>
      </c>
      <c r="I1174" s="11" t="s">
        <v>9348</v>
      </c>
      <c r="J1174" s="12" t="str">
        <f t="shared" si="74"/>
        <v>(${Variables:E2_7_1_30_kcat} * E2_7_1_30 * C00002 * C00116)/(${Variables:E2_7_1_30_km} + (E2_7_1_30 * C00002 * C00116))</v>
      </c>
      <c r="K1174" s="11" t="str">
        <f t="shared" si="75"/>
        <v>r1173: C00002 + C00116 -&gt; C00008 + C00093 | (${Variables:E2_7_1_30_kcat} * E2_7_1_30 * C00002 * C00116)/(${Variables:E2_7_1_30_km} + (E2_7_1_30 * C00002 * C00116))</v>
      </c>
    </row>
    <row r="1175" spans="1:11" ht="45" customHeight="1" x14ac:dyDescent="0.25">
      <c r="A1175" t="s">
        <v>4698</v>
      </c>
      <c r="B1175" t="s">
        <v>4699</v>
      </c>
      <c r="C1175" s="5" t="s">
        <v>9732</v>
      </c>
      <c r="D1175">
        <f t="shared" si="72"/>
        <v>1174</v>
      </c>
      <c r="E1175" t="str">
        <f t="shared" si="73"/>
        <v>E2_7_7_10</v>
      </c>
      <c r="F1175" s="11" t="s">
        <v>8794</v>
      </c>
      <c r="G1175" s="11" t="s">
        <v>8960</v>
      </c>
      <c r="H1175" s="11" t="s">
        <v>9150</v>
      </c>
      <c r="I1175" s="11" t="s">
        <v>9349</v>
      </c>
      <c r="J1175" s="12" t="str">
        <f t="shared" si="74"/>
        <v>(${Variables:E2_7_7_10_kcat} * E2_7_7_10 * C00075 * C00446)/(${Variables:E2_7_7_10_km} + (E2_7_7_10 * C00075 * C00446))</v>
      </c>
      <c r="K1175" s="11" t="str">
        <f t="shared" si="75"/>
        <v>r1174: C00075 + C00446 -&gt; C00013 + C00052 | (${Variables:E2_7_7_10_kcat} * E2_7_7_10 * C00075 * C00446)/(${Variables:E2_7_7_10_km} + (E2_7_7_10 * C00075 * C00446))</v>
      </c>
    </row>
    <row r="1176" spans="1:11" ht="45" customHeight="1" x14ac:dyDescent="0.25">
      <c r="A1176" t="s">
        <v>4706</v>
      </c>
      <c r="B1176" t="s">
        <v>4707</v>
      </c>
      <c r="C1176" s="5" t="s">
        <v>9733</v>
      </c>
      <c r="D1176">
        <f t="shared" si="72"/>
        <v>1175</v>
      </c>
      <c r="E1176" t="str">
        <f t="shared" si="73"/>
        <v>E6_3_2_4</v>
      </c>
      <c r="F1176" s="11" t="s">
        <v>8795</v>
      </c>
      <c r="G1176" s="11" t="s">
        <v>8961</v>
      </c>
      <c r="H1176" s="11" t="s">
        <v>9151</v>
      </c>
      <c r="I1176" s="11" t="s">
        <v>9350</v>
      </c>
      <c r="J1176" s="12" t="str">
        <f t="shared" si="74"/>
        <v>(${Variables:E6_3_2_4_kcat} * E6_3_2_4 * C00002 * C00133)/(${Variables:E6_3_2_4_km} + (E6_3_2_4 * C00002 * C00133))</v>
      </c>
      <c r="K1176" s="11" t="str">
        <f t="shared" si="75"/>
        <v>r1175: C00002 + C00133 -&gt; C00008 + C00009 + C00993 | (${Variables:E6_3_2_4_kcat} * E6_3_2_4 * C00002 * C00133)/(${Variables:E6_3_2_4_km} + (E6_3_2_4 * C00002 * C00133))</v>
      </c>
    </row>
    <row r="1177" spans="1:11" ht="45" customHeight="1" x14ac:dyDescent="0.25">
      <c r="A1177" t="s">
        <v>4709</v>
      </c>
      <c r="B1177" t="s">
        <v>4710</v>
      </c>
      <c r="C1177" s="5" t="s">
        <v>9734</v>
      </c>
      <c r="D1177">
        <f t="shared" si="72"/>
        <v>1176</v>
      </c>
      <c r="E1177" t="str">
        <f t="shared" si="73"/>
        <v>E3_1_1_29</v>
      </c>
      <c r="F1177" s="11" t="s">
        <v>14394</v>
      </c>
      <c r="G1177" s="11" t="s">
        <v>14997</v>
      </c>
      <c r="H1177" s="11" t="s">
        <v>15623</v>
      </c>
      <c r="I1177" s="11" t="s">
        <v>16244</v>
      </c>
      <c r="J1177" s="12" t="str">
        <f t="shared" si="74"/>
        <v>(${Variables:E3_1_1_29_kcat} * E3_1_1_29 * C00001 * C03880)/(${Variables:E3_1_1_29_km} + (E3_1_1_29 * C00001 * C03880))</v>
      </c>
      <c r="K1177" s="11" t="str">
        <f t="shared" si="75"/>
        <v>r1176: C00001 + C03880 -&gt; C00066 + C03523 | (${Variables:E3_1_1_29_kcat} * E3_1_1_29 * C00001 * C03880)/(${Variables:E3_1_1_29_km} + (E3_1_1_29 * C00001 * C03880))</v>
      </c>
    </row>
    <row r="1178" spans="1:11" ht="45" customHeight="1" x14ac:dyDescent="0.25">
      <c r="A1178" t="s">
        <v>4715</v>
      </c>
      <c r="B1178" t="s">
        <v>4716</v>
      </c>
      <c r="C1178" s="5" t="s">
        <v>9735</v>
      </c>
      <c r="D1178">
        <f t="shared" si="72"/>
        <v>1177</v>
      </c>
      <c r="E1178" t="str">
        <f t="shared" si="73"/>
        <v>E2_7_6_1</v>
      </c>
      <c r="F1178" s="11" t="s">
        <v>8796</v>
      </c>
      <c r="G1178" s="11" t="s">
        <v>8962</v>
      </c>
      <c r="H1178" s="11" t="s">
        <v>9152</v>
      </c>
      <c r="I1178" s="11" t="s">
        <v>9351</v>
      </c>
      <c r="J1178" s="12" t="str">
        <f t="shared" si="74"/>
        <v>(${Variables:E2_7_6_1_kcat} * E2_7_6_1 * C00002 * C00117)/(${Variables:E2_7_6_1_km} + (E2_7_6_1 * C00002 * C00117))</v>
      </c>
      <c r="K1178" s="11" t="str">
        <f t="shared" si="75"/>
        <v>r1177: C00002 + C00117 -&gt; C00020 + C00119 | (${Variables:E2_7_6_1_kcat} * E2_7_6_1 * C00002 * C00117)/(${Variables:E2_7_6_1_km} + (E2_7_6_1 * C00002 * C00117))</v>
      </c>
    </row>
    <row r="1179" spans="1:11" ht="45" customHeight="1" x14ac:dyDescent="0.25">
      <c r="A1179" t="s">
        <v>4717</v>
      </c>
      <c r="B1179" t="s">
        <v>4718</v>
      </c>
      <c r="C1179" s="5" t="s">
        <v>9736</v>
      </c>
      <c r="D1179">
        <f t="shared" si="72"/>
        <v>1178</v>
      </c>
      <c r="E1179" t="str">
        <f t="shared" si="73"/>
        <v>E3_2_2_16</v>
      </c>
      <c r="F1179" s="11" t="s">
        <v>14395</v>
      </c>
      <c r="G1179" s="11" t="s">
        <v>14998</v>
      </c>
      <c r="H1179" s="11" t="s">
        <v>9153</v>
      </c>
      <c r="I1179" s="11" t="s">
        <v>9352</v>
      </c>
      <c r="J1179" s="12" t="str">
        <f t="shared" si="74"/>
        <v>(${Variables:E3_2_2_16_kcat} * E3_2_2_16 * C00001 * C00170)/(${Variables:E3_2_2_16_km} + (E3_2_2_16 * C00001 * C00170))</v>
      </c>
      <c r="K1179" s="11" t="str">
        <f t="shared" si="75"/>
        <v>r1178: C00001 + C00170 -&gt; C00147 + C03089 | (${Variables:E3_2_2_16_kcat} * E3_2_2_16 * C00001 * C00170)/(${Variables:E3_2_2_16_km} + (E3_2_2_16 * C00001 * C00170))</v>
      </c>
    </row>
    <row r="1180" spans="1:11" ht="45" customHeight="1" x14ac:dyDescent="0.25">
      <c r="A1180" t="s">
        <v>4720</v>
      </c>
      <c r="B1180" t="s">
        <v>4721</v>
      </c>
      <c r="C1180" s="5" t="s">
        <v>9737</v>
      </c>
      <c r="D1180">
        <f t="shared" si="72"/>
        <v>1179</v>
      </c>
      <c r="E1180" t="str">
        <f t="shared" si="73"/>
        <v>E4_4_1_21</v>
      </c>
      <c r="F1180" s="11" t="s">
        <v>8358</v>
      </c>
      <c r="G1180" s="11" t="s">
        <v>8358</v>
      </c>
      <c r="H1180" s="11" t="s">
        <v>15624</v>
      </c>
      <c r="I1180" s="11" t="s">
        <v>16245</v>
      </c>
      <c r="J1180" s="12" t="str">
        <f t="shared" si="74"/>
        <v>(${Variables:E4_4_1_21_kcat} * E4_4_1_21 * C03539)/(${Variables:E4_4_1_21_km} + (E4_4_1_21 * C03539))</v>
      </c>
      <c r="K1180" s="11" t="str">
        <f t="shared" si="75"/>
        <v>r1179: C03539 -&gt; C00155 + C11838 | (${Variables:E4_4_1_21_kcat} * E4_4_1_21 * C03539)/(${Variables:E4_4_1_21_km} + (E4_4_1_21 * C03539))</v>
      </c>
    </row>
    <row r="1181" spans="1:11" ht="45" customHeight="1" x14ac:dyDescent="0.25">
      <c r="A1181" t="s">
        <v>4723</v>
      </c>
      <c r="B1181" t="s">
        <v>4724</v>
      </c>
      <c r="C1181" s="5" t="s">
        <v>9738</v>
      </c>
      <c r="D1181">
        <f t="shared" si="72"/>
        <v>1180</v>
      </c>
      <c r="E1181" t="str">
        <f t="shared" si="73"/>
        <v>E6_3_5_2</v>
      </c>
      <c r="F1181" s="11" t="s">
        <v>14005</v>
      </c>
      <c r="G1181" s="11" t="s">
        <v>14608</v>
      </c>
      <c r="H1181" s="11" t="s">
        <v>15213</v>
      </c>
      <c r="I1181" s="11" t="s">
        <v>15834</v>
      </c>
      <c r="J1181" s="12" t="str">
        <f t="shared" si="74"/>
        <v>(${Variables:E6_3_5_2_kcat} * E6_3_5_2 * C00001 * C00064)/(${Variables:E6_3_5_2_km} + (E6_3_5_2 * C00001 * C00064))</v>
      </c>
      <c r="K1181" s="11" t="str">
        <f t="shared" si="75"/>
        <v>r1180: C00001 + C00064 -&gt; C00014 + C00025 | (${Variables:E6_3_5_2_kcat} * E6_3_5_2 * C00001 * C00064)/(${Variables:E6_3_5_2_km} + (E6_3_5_2 * C00001 * C00064))</v>
      </c>
    </row>
    <row r="1182" spans="1:11" ht="45" customHeight="1" x14ac:dyDescent="0.25">
      <c r="A1182" t="s">
        <v>4723</v>
      </c>
      <c r="B1182" t="s">
        <v>4724</v>
      </c>
      <c r="C1182" s="5" t="s">
        <v>9738</v>
      </c>
      <c r="D1182">
        <f t="shared" si="72"/>
        <v>1181</v>
      </c>
      <c r="E1182" t="str">
        <f t="shared" si="73"/>
        <v>E6_3_5_2</v>
      </c>
      <c r="F1182" s="11" t="s">
        <v>14396</v>
      </c>
      <c r="G1182" s="11" t="s">
        <v>14999</v>
      </c>
      <c r="H1182" s="11" t="s">
        <v>15625</v>
      </c>
      <c r="I1182" s="11" t="s">
        <v>16246</v>
      </c>
      <c r="J1182" s="12" t="str">
        <f t="shared" si="74"/>
        <v>(${Variables:E6_3_5_2_kcat} * E6_3_5_2 * C00002 * C00014 * C00655)/(${Variables:E6_3_5_2_km} + (E6_3_5_2 * C00002 * C00014 * C00655))</v>
      </c>
      <c r="K1182" s="11" t="str">
        <f t="shared" si="75"/>
        <v>r1181: C00002 + C00014 + C00655 -&gt; C00013 + C00020 + C00144 | (${Variables:E6_3_5_2_kcat} * E6_3_5_2 * C00002 * C00014 * C00655)/(${Variables:E6_3_5_2_km} + (E6_3_5_2 * C00002 * C00014 * C00655))</v>
      </c>
    </row>
    <row r="1183" spans="1:11" ht="45" customHeight="1" x14ac:dyDescent="0.25">
      <c r="A1183" t="s">
        <v>4723</v>
      </c>
      <c r="B1183" t="s">
        <v>4724</v>
      </c>
      <c r="C1183" s="5" t="s">
        <v>9738</v>
      </c>
      <c r="D1183">
        <f t="shared" si="72"/>
        <v>1182</v>
      </c>
      <c r="E1183" t="str">
        <f t="shared" si="73"/>
        <v>E6_3_5_2</v>
      </c>
      <c r="F1183" s="11" t="s">
        <v>14397</v>
      </c>
      <c r="G1183" s="11" t="s">
        <v>15000</v>
      </c>
      <c r="H1183" s="11" t="s">
        <v>15626</v>
      </c>
      <c r="I1183" s="11" t="s">
        <v>16247</v>
      </c>
      <c r="J1183" s="12" t="str">
        <f t="shared" si="74"/>
        <v>(${Variables:E6_3_5_2_kcat} * E6_3_5_2 * C00001 * C00002 * C00064 * C00655)/(${Variables:E6_3_5_2_km} + (E6_3_5_2 * C00001 * C00002 * C00064 * C00655))</v>
      </c>
      <c r="K1183" s="11" t="str">
        <f t="shared" si="75"/>
        <v>r1182: C00001 + C00002 + C00064 + C00655 -&gt; C00013 + C00020 + C00025 + C00144 | (${Variables:E6_3_5_2_kcat} * E6_3_5_2 * C00001 * C00002 * C00064 * C00655)/(${Variables:E6_3_5_2_km} + (E6_3_5_2 * C00001 * C00002 * C00064 * C00655))</v>
      </c>
    </row>
    <row r="1184" spans="1:11" ht="45" customHeight="1" x14ac:dyDescent="0.25">
      <c r="A1184" t="s">
        <v>4723</v>
      </c>
      <c r="B1184" t="s">
        <v>4724</v>
      </c>
      <c r="C1184" s="5" t="s">
        <v>9738</v>
      </c>
      <c r="D1184">
        <f t="shared" si="72"/>
        <v>1183</v>
      </c>
      <c r="E1184" t="str">
        <f t="shared" si="73"/>
        <v>E6_3_5_2</v>
      </c>
      <c r="F1184" s="11" t="s">
        <v>14398</v>
      </c>
      <c r="G1184" s="11" t="s">
        <v>15001</v>
      </c>
      <c r="H1184" s="11" t="s">
        <v>15627</v>
      </c>
      <c r="I1184" s="11" t="s">
        <v>16248</v>
      </c>
      <c r="J1184" s="12" t="str">
        <f t="shared" si="74"/>
        <v>(${Variables:E6_3_5_2_kcat} * E6_3_5_2 * C00001 * C00002 * C00064 * C16618)/(${Variables:E6_3_5_2_km} + (E6_3_5_2 * C00001 * C00002 * C00064 * C16618))</v>
      </c>
      <c r="K1184" s="11" t="str">
        <f t="shared" si="75"/>
        <v>r1183: C00001 + C00002 + C00064 + C16618 -&gt; C00013 + C00020 + C00025 + C16619 | (${Variables:E6_3_5_2_kcat} * E6_3_5_2 * C00001 * C00002 * C00064 * C16618)/(${Variables:E6_3_5_2_km} + (E6_3_5_2 * C00001 * C00002 * C00064 * C16618))</v>
      </c>
    </row>
    <row r="1185" spans="1:11" ht="45" customHeight="1" x14ac:dyDescent="0.25">
      <c r="A1185" t="s">
        <v>4747</v>
      </c>
      <c r="B1185" t="s">
        <v>4748</v>
      </c>
      <c r="C1185" s="5" t="s">
        <v>9739</v>
      </c>
      <c r="D1185">
        <f t="shared" si="72"/>
        <v>1184</v>
      </c>
      <c r="E1185" t="str">
        <f t="shared" si="73"/>
        <v>E6_4_1_4</v>
      </c>
      <c r="F1185" s="11" t="s">
        <v>14399</v>
      </c>
      <c r="G1185" s="11" t="s">
        <v>15002</v>
      </c>
      <c r="H1185" s="11" t="s">
        <v>9154</v>
      </c>
      <c r="I1185" s="11" t="s">
        <v>9353</v>
      </c>
      <c r="J1185" s="12" t="str">
        <f t="shared" si="74"/>
        <v>(${Variables:E6_4_1_4_kcat} * E6_4_1_4 * C00002 * C00288 * C03069)/(${Variables:E6_4_1_4_km} + (E6_4_1_4 * C00002 * C00288 * C03069))</v>
      </c>
      <c r="K1185" s="11" t="str">
        <f t="shared" si="75"/>
        <v>r1184: C00002 + C00288 + C03069 -&gt; C00008 + C00009 + C03231 | (${Variables:E6_4_1_4_kcat} * E6_4_1_4 * C00002 * C00288 * C03069)/(${Variables:E6_4_1_4_km} + (E6_4_1_4 * C00002 * C00288 * C03069))</v>
      </c>
    </row>
    <row r="1186" spans="1:11" ht="45" customHeight="1" x14ac:dyDescent="0.25">
      <c r="A1186" t="s">
        <v>4750</v>
      </c>
      <c r="B1186" t="s">
        <v>4751</v>
      </c>
      <c r="C1186" s="5" t="s">
        <v>9740</v>
      </c>
      <c r="D1186">
        <f t="shared" si="72"/>
        <v>1185</v>
      </c>
      <c r="E1186" t="str">
        <f t="shared" si="73"/>
        <v>E4_1_3_4</v>
      </c>
      <c r="F1186" s="11" t="s">
        <v>8359</v>
      </c>
      <c r="G1186" s="11" t="s">
        <v>8359</v>
      </c>
      <c r="H1186" s="11" t="s">
        <v>9155</v>
      </c>
      <c r="I1186" s="11" t="s">
        <v>9354</v>
      </c>
      <c r="J1186" s="12" t="str">
        <f t="shared" si="74"/>
        <v>(${Variables:E4_1_3_4_kcat} * E4_1_3_4 * C00356)/(${Variables:E4_1_3_4_km} + (E4_1_3_4 * C00356))</v>
      </c>
      <c r="K1186" s="11" t="str">
        <f t="shared" si="75"/>
        <v>r1185: C00356 -&gt; C00024 + C00164 | (${Variables:E4_1_3_4_kcat} * E4_1_3_4 * C00356)/(${Variables:E4_1_3_4_km} + (E4_1_3_4 * C00356))</v>
      </c>
    </row>
    <row r="1187" spans="1:11" ht="45" customHeight="1" x14ac:dyDescent="0.25">
      <c r="A1187" t="s">
        <v>4750</v>
      </c>
      <c r="B1187" t="s">
        <v>4751</v>
      </c>
      <c r="C1187" s="5" t="s">
        <v>9740</v>
      </c>
      <c r="D1187">
        <f t="shared" si="72"/>
        <v>1186</v>
      </c>
      <c r="E1187" t="str">
        <f t="shared" si="73"/>
        <v>E4_1_3_4</v>
      </c>
      <c r="F1187" s="11" t="s">
        <v>8360</v>
      </c>
      <c r="G1187" s="11" t="s">
        <v>8360</v>
      </c>
      <c r="H1187" s="11" t="s">
        <v>15628</v>
      </c>
      <c r="I1187" s="11" t="s">
        <v>16249</v>
      </c>
      <c r="J1187" s="12" t="str">
        <f t="shared" si="74"/>
        <v>(${Variables:E4_1_3_4_kcat} * E4_1_3_4 * C04675)/(${Variables:E4_1_3_4_km} + (E4_1_3_4 * C04675))</v>
      </c>
      <c r="K1187" s="11" t="str">
        <f t="shared" si="75"/>
        <v>r1186: C04675 -&gt; C00033 + C16466 | (${Variables:E4_1_3_4_kcat} * E4_1_3_4 * C04675)/(${Variables:E4_1_3_4_km} + (E4_1_3_4 * C04675))</v>
      </c>
    </row>
    <row r="1188" spans="1:11" ht="45" customHeight="1" x14ac:dyDescent="0.25">
      <c r="A1188" t="s">
        <v>4768</v>
      </c>
      <c r="B1188" t="s">
        <v>4769</v>
      </c>
      <c r="C1188" s="5" t="s">
        <v>9670</v>
      </c>
      <c r="D1188">
        <f t="shared" si="72"/>
        <v>1187</v>
      </c>
      <c r="E1188" t="str">
        <f t="shared" si="73"/>
        <v>E1_1_99_14</v>
      </c>
      <c r="F1188" s="11" t="s">
        <v>14332</v>
      </c>
      <c r="G1188" s="11" t="s">
        <v>14935</v>
      </c>
      <c r="H1188" s="11" t="s">
        <v>15539</v>
      </c>
      <c r="I1188" s="11" t="s">
        <v>16160</v>
      </c>
      <c r="J1188" s="12" t="str">
        <f t="shared" si="74"/>
        <v>(${Variables:E1_1_99_14_kcat} * E1_1_99_14 * C00028 * C00160)/(${Variables:E1_1_99_14_km} + (E1_1_99_14 * C00028 * C00160))</v>
      </c>
      <c r="K1188" s="11" t="str">
        <f t="shared" si="75"/>
        <v>r1187: C00028 + C00160 -&gt; C00030 + C00048 | (${Variables:E1_1_99_14_kcat} * E1_1_99_14 * C00028 * C00160)/(${Variables:E1_1_99_14_km} + (E1_1_99_14 * C00028 * C00160))</v>
      </c>
    </row>
    <row r="1189" spans="1:11" ht="45" customHeight="1" x14ac:dyDescent="0.25">
      <c r="A1189" t="s">
        <v>4771</v>
      </c>
      <c r="B1189" t="s">
        <v>4772</v>
      </c>
      <c r="C1189" s="5" t="s">
        <v>9670</v>
      </c>
      <c r="D1189">
        <f t="shared" si="72"/>
        <v>1188</v>
      </c>
      <c r="E1189" t="str">
        <f t="shared" si="73"/>
        <v>E1_1_99_14</v>
      </c>
      <c r="F1189" s="11" t="s">
        <v>14332</v>
      </c>
      <c r="G1189" s="11" t="s">
        <v>14935</v>
      </c>
      <c r="H1189" s="11" t="s">
        <v>15539</v>
      </c>
      <c r="I1189" s="11" t="s">
        <v>16160</v>
      </c>
      <c r="J1189" s="12" t="str">
        <f t="shared" si="74"/>
        <v>(${Variables:E1_1_99_14_kcat} * E1_1_99_14 * C00028 * C00160)/(${Variables:E1_1_99_14_km} + (E1_1_99_14 * C00028 * C00160))</v>
      </c>
      <c r="K1189" s="11" t="str">
        <f t="shared" si="75"/>
        <v>r1188: C00028 + C00160 -&gt; C00030 + C00048 | (${Variables:E1_1_99_14_kcat} * E1_1_99_14 * C00028 * C00160)/(${Variables:E1_1_99_14_km} + (E1_1_99_14 * C00028 * C00160))</v>
      </c>
    </row>
    <row r="1190" spans="1:11" ht="45" customHeight="1" x14ac:dyDescent="0.25">
      <c r="A1190" t="s">
        <v>4774</v>
      </c>
      <c r="B1190" t="s">
        <v>4775</v>
      </c>
      <c r="C1190" s="5" t="s">
        <v>9670</v>
      </c>
      <c r="D1190">
        <f t="shared" si="72"/>
        <v>1189</v>
      </c>
      <c r="E1190" t="str">
        <f t="shared" si="73"/>
        <v>E1_1_99_14</v>
      </c>
      <c r="F1190" s="11" t="s">
        <v>14332</v>
      </c>
      <c r="G1190" s="11" t="s">
        <v>14935</v>
      </c>
      <c r="H1190" s="11" t="s">
        <v>15539</v>
      </c>
      <c r="I1190" s="11" t="s">
        <v>16160</v>
      </c>
      <c r="J1190" s="12" t="str">
        <f t="shared" si="74"/>
        <v>(${Variables:E1_1_99_14_kcat} * E1_1_99_14 * C00028 * C00160)/(${Variables:E1_1_99_14_km} + (E1_1_99_14 * C00028 * C00160))</v>
      </c>
      <c r="K1190" s="11" t="str">
        <f t="shared" si="75"/>
        <v>r1189: C00028 + C00160 -&gt; C00030 + C00048 | (${Variables:E1_1_99_14_kcat} * E1_1_99_14 * C00028 * C00160)/(${Variables:E1_1_99_14_km} + (E1_1_99_14 * C00028 * C00160))</v>
      </c>
    </row>
    <row r="1191" spans="1:11" ht="45" customHeight="1" x14ac:dyDescent="0.25">
      <c r="A1191" t="s">
        <v>4790</v>
      </c>
      <c r="B1191" t="s">
        <v>4791</v>
      </c>
      <c r="C1191" s="5" t="s">
        <v>9741</v>
      </c>
      <c r="D1191">
        <f t="shared" si="72"/>
        <v>1190</v>
      </c>
      <c r="E1191" t="str">
        <f t="shared" si="73"/>
        <v>E1_6_5_9</v>
      </c>
      <c r="F1191" s="11" t="s">
        <v>14400</v>
      </c>
      <c r="G1191" s="11" t="s">
        <v>15003</v>
      </c>
      <c r="H1191" s="11" t="s">
        <v>15629</v>
      </c>
      <c r="I1191" s="11" t="s">
        <v>16250</v>
      </c>
      <c r="J1191" s="12" t="str">
        <f t="shared" si="74"/>
        <v>(${Variables:E1_6_5_9_kcat} * E1_6_5_9 * C00004 * C00080 * C15602)/(${Variables:E1_6_5_9_km} + (E1_6_5_9 * C00004 * C00080 * C15602))</v>
      </c>
      <c r="K1191" s="11" t="str">
        <f t="shared" si="75"/>
        <v>r1190: C00004 + C00080 + C15602 -&gt; C00003 + C15603 | (${Variables:E1_6_5_9_kcat} * E1_6_5_9 * C00004 * C00080 * C15602)/(${Variables:E1_6_5_9_km} + (E1_6_5_9 * C00004 * C00080 * C15602))</v>
      </c>
    </row>
    <row r="1192" spans="1:11" ht="45" customHeight="1" x14ac:dyDescent="0.25">
      <c r="A1192" t="s">
        <v>4790</v>
      </c>
      <c r="B1192" t="s">
        <v>4791</v>
      </c>
      <c r="C1192" s="5" t="s">
        <v>9741</v>
      </c>
      <c r="D1192">
        <f t="shared" si="72"/>
        <v>1191</v>
      </c>
      <c r="E1192" t="str">
        <f t="shared" si="73"/>
        <v>E1_6_5_9</v>
      </c>
      <c r="F1192" s="11" t="s">
        <v>14401</v>
      </c>
      <c r="G1192" s="11" t="s">
        <v>15004</v>
      </c>
      <c r="H1192" s="11" t="s">
        <v>14358</v>
      </c>
      <c r="I1192" s="11" t="s">
        <v>14961</v>
      </c>
      <c r="J1192" s="12" t="str">
        <f t="shared" si="74"/>
        <v>(${Variables:E1_6_5_9_kcat} * E1_6_5_9 * C00003 * C00390)/(${Variables:E1_6_5_9_km} + (E1_6_5_9 * C00003 * C00390))</v>
      </c>
      <c r="K1192" s="11" t="str">
        <f t="shared" si="75"/>
        <v>r1191: C00003 + C00390 -&gt; C00004 + C00080 + C00399 | (${Variables:E1_6_5_9_kcat} * E1_6_5_9 * C00003 * C00390)/(${Variables:E1_6_5_9_km} + (E1_6_5_9 * C00003 * C00390))</v>
      </c>
    </row>
    <row r="1193" spans="1:11" ht="45" customHeight="1" x14ac:dyDescent="0.25">
      <c r="A1193" t="s">
        <v>4796</v>
      </c>
      <c r="B1193" t="s">
        <v>4797</v>
      </c>
      <c r="C1193" s="5" t="s">
        <v>9610</v>
      </c>
      <c r="D1193">
        <f t="shared" si="72"/>
        <v>1192</v>
      </c>
      <c r="E1193" t="str">
        <f t="shared" si="73"/>
        <v>E2_7_2_3</v>
      </c>
      <c r="F1193" s="11" t="s">
        <v>8747</v>
      </c>
      <c r="G1193" s="11" t="s">
        <v>8913</v>
      </c>
      <c r="H1193" s="11" t="s">
        <v>9101</v>
      </c>
      <c r="I1193" s="11" t="s">
        <v>9300</v>
      </c>
      <c r="J1193" s="12" t="str">
        <f t="shared" si="74"/>
        <v>(${Variables:E2_7_2_3_kcat} * E2_7_2_3 * C00002 * C00197)/(${Variables:E2_7_2_3_km} + (E2_7_2_3 * C00002 * C00197))</v>
      </c>
      <c r="K1193" s="11" t="str">
        <f t="shared" si="75"/>
        <v>r1192: C00002 + C00197 -&gt; C00008 + C00236 | (${Variables:E2_7_2_3_kcat} * E2_7_2_3 * C00002 * C00197)/(${Variables:E2_7_2_3_km} + (E2_7_2_3 * C00002 * C00197))</v>
      </c>
    </row>
    <row r="1194" spans="1:11" ht="45" customHeight="1" x14ac:dyDescent="0.25">
      <c r="A1194" t="s">
        <v>4805</v>
      </c>
      <c r="B1194" t="s">
        <v>4806</v>
      </c>
      <c r="C1194" s="5" t="s">
        <v>9742</v>
      </c>
      <c r="D1194">
        <f t="shared" si="72"/>
        <v>1193</v>
      </c>
      <c r="E1194" t="str">
        <f t="shared" si="73"/>
        <v>E4_2_3_1</v>
      </c>
      <c r="F1194" s="11" t="s">
        <v>14402</v>
      </c>
      <c r="G1194" s="11" t="s">
        <v>15005</v>
      </c>
      <c r="H1194" s="11" t="s">
        <v>15630</v>
      </c>
      <c r="I1194" s="11" t="s">
        <v>16251</v>
      </c>
      <c r="J1194" s="12" t="str">
        <f t="shared" si="74"/>
        <v>(${Variables:E4_2_3_1_kcat} * E4_2_3_1 * C00001 * C01102)/(${Variables:E4_2_3_1_km} + (E4_2_3_1 * C00001 * C01102))</v>
      </c>
      <c r="K1194" s="11" t="str">
        <f t="shared" si="75"/>
        <v>r1193: C00001 + C01102 -&gt; C00009 + C00188 | (${Variables:E4_2_3_1_kcat} * E4_2_3_1 * C00001 * C01102)/(${Variables:E4_2_3_1_km} + (E4_2_3_1 * C00001 * C01102))</v>
      </c>
    </row>
    <row r="1195" spans="1:11" ht="45" customHeight="1" x14ac:dyDescent="0.25">
      <c r="A1195" t="s">
        <v>4805</v>
      </c>
      <c r="B1195" t="s">
        <v>4806</v>
      </c>
      <c r="C1195" s="5" t="s">
        <v>9742</v>
      </c>
      <c r="D1195">
        <f t="shared" si="72"/>
        <v>1194</v>
      </c>
      <c r="E1195" t="str">
        <f t="shared" si="73"/>
        <v>E4_2_3_1</v>
      </c>
      <c r="F1195" s="11" t="s">
        <v>14403</v>
      </c>
      <c r="G1195" s="11" t="s">
        <v>15006</v>
      </c>
      <c r="H1195" s="11" t="s">
        <v>15631</v>
      </c>
      <c r="I1195" s="11" t="s">
        <v>16252</v>
      </c>
      <c r="J1195" s="12" t="str">
        <f t="shared" si="74"/>
        <v>(${Variables:E4_2_3_1_kcat} * E4_2_3_1 * C00001 * C06055)/(${Variables:E4_2_3_1_km} + (E4_2_3_1 * C00001 * C06055))</v>
      </c>
      <c r="K1195" s="11" t="str">
        <f t="shared" si="75"/>
        <v>r1194: C00001 + C06055 -&gt; C00009 + C06056 | (${Variables:E4_2_3_1_kcat} * E4_2_3_1 * C00001 * C06055)/(${Variables:E4_2_3_1_km} + (E4_2_3_1 * C00001 * C06055))</v>
      </c>
    </row>
    <row r="1196" spans="1:11" ht="45" customHeight="1" x14ac:dyDescent="0.25">
      <c r="A1196" t="s">
        <v>4810</v>
      </c>
      <c r="B1196" t="s">
        <v>4811</v>
      </c>
      <c r="C1196" s="5" t="s">
        <v>9743</v>
      </c>
      <c r="D1196">
        <f t="shared" si="72"/>
        <v>1195</v>
      </c>
      <c r="E1196" t="str">
        <f t="shared" si="73"/>
        <v>E1_1_1_3</v>
      </c>
      <c r="F1196" s="11" t="s">
        <v>14404</v>
      </c>
      <c r="G1196" s="11" t="s">
        <v>15007</v>
      </c>
      <c r="H1196" s="11" t="s">
        <v>15632</v>
      </c>
      <c r="I1196" s="11" t="s">
        <v>16253</v>
      </c>
      <c r="J1196" s="12" t="str">
        <f t="shared" si="74"/>
        <v>(${Variables:E1_1_1_3_kcat} * E1_1_1_3 * C00003 * C00263)/(${Variables:E1_1_1_3_km} + (E1_1_1_3 * C00003 * C00263))</v>
      </c>
      <c r="K1196" s="11" t="str">
        <f t="shared" si="75"/>
        <v>r1195: C00003 + C00263 -&gt; C00004 + C00080 + C00441 | (${Variables:E1_1_1_3_kcat} * E1_1_1_3 * C00003 * C00263)/(${Variables:E1_1_1_3_km} + (E1_1_1_3 * C00003 * C00263))</v>
      </c>
    </row>
    <row r="1197" spans="1:11" ht="45" customHeight="1" x14ac:dyDescent="0.25">
      <c r="A1197" t="s">
        <v>4810</v>
      </c>
      <c r="B1197" t="s">
        <v>4811</v>
      </c>
      <c r="C1197" s="5" t="s">
        <v>9743</v>
      </c>
      <c r="D1197">
        <f t="shared" si="72"/>
        <v>1196</v>
      </c>
      <c r="E1197" t="str">
        <f t="shared" si="73"/>
        <v>E1_1_1_3</v>
      </c>
      <c r="F1197" s="11" t="s">
        <v>14405</v>
      </c>
      <c r="G1197" s="11" t="s">
        <v>15008</v>
      </c>
      <c r="H1197" s="11" t="s">
        <v>15633</v>
      </c>
      <c r="I1197" s="11" t="s">
        <v>16254</v>
      </c>
      <c r="J1197" s="12" t="str">
        <f t="shared" si="74"/>
        <v>(${Variables:E1_1_1_3_kcat} * E1_1_1_3 * C00006 * C00263)/(${Variables:E1_1_1_3_km} + (E1_1_1_3 * C00006 * C00263))</v>
      </c>
      <c r="K1197" s="11" t="str">
        <f t="shared" si="75"/>
        <v>r1196: C00006 + C00263 -&gt; C00005 + C00080 + C00441 | (${Variables:E1_1_1_3_kcat} * E1_1_1_3 * C00006 * C00263)/(${Variables:E1_1_1_3_km} + (E1_1_1_3 * C00006 * C00263))</v>
      </c>
    </row>
    <row r="1198" spans="1:11" ht="45" customHeight="1" x14ac:dyDescent="0.25">
      <c r="A1198" t="s">
        <v>4828</v>
      </c>
      <c r="B1198" t="s">
        <v>4829</v>
      </c>
      <c r="C1198" s="5" t="s">
        <v>9464</v>
      </c>
      <c r="D1198">
        <f t="shared" si="72"/>
        <v>1197</v>
      </c>
      <c r="E1198" t="str">
        <f t="shared" si="73"/>
        <v>E3_2_1_20</v>
      </c>
      <c r="F1198" s="11" t="s">
        <v>14052</v>
      </c>
      <c r="G1198" s="11" t="s">
        <v>14655</v>
      </c>
      <c r="H1198" s="11" t="s">
        <v>8307</v>
      </c>
      <c r="I1198" s="11" t="s">
        <v>8307</v>
      </c>
      <c r="J1198" s="12" t="str">
        <f t="shared" si="74"/>
        <v>(${Variables:E3_2_1_20_kcat} * E3_2_1_20 * C00001 * C00208)/(${Variables:E3_2_1_20_km} + (E3_2_1_20 * C00001 * C00208))</v>
      </c>
      <c r="K1198" s="11" t="str">
        <f t="shared" si="75"/>
        <v>r1197: C00001 + C00208 -&gt; C00031 | (${Variables:E3_2_1_20_kcat} * E3_2_1_20 * C00001 * C00208)/(${Variables:E3_2_1_20_km} + (E3_2_1_20 * C00001 * C00208))</v>
      </c>
    </row>
    <row r="1199" spans="1:11" ht="45" customHeight="1" x14ac:dyDescent="0.25">
      <c r="A1199" t="s">
        <v>4828</v>
      </c>
      <c r="B1199" t="s">
        <v>4829</v>
      </c>
      <c r="C1199" s="5" t="s">
        <v>9464</v>
      </c>
      <c r="D1199">
        <f t="shared" si="72"/>
        <v>1198</v>
      </c>
      <c r="E1199" t="str">
        <f t="shared" si="73"/>
        <v>E3_2_1_20</v>
      </c>
      <c r="F1199" s="11" t="s">
        <v>14053</v>
      </c>
      <c r="G1199" s="11" t="s">
        <v>14656</v>
      </c>
      <c r="H1199" s="11" t="s">
        <v>15264</v>
      </c>
      <c r="I1199" s="11" t="s">
        <v>15885</v>
      </c>
      <c r="J1199" s="12" t="str">
        <f t="shared" si="74"/>
        <v>(${Variables:E3_2_1_20_kcat} * E3_2_1_20 * C00001 * C00089)/(${Variables:E3_2_1_20_km} + (E3_2_1_20 * C00001 * C00089))</v>
      </c>
      <c r="K1199" s="11" t="str">
        <f t="shared" si="75"/>
        <v>r1198: C00001 + C00089 -&gt; C00031 + C00095 | (${Variables:E3_2_1_20_kcat} * E3_2_1_20 * C00001 * C00089)/(${Variables:E3_2_1_20_km} + (E3_2_1_20 * C00001 * C00089))</v>
      </c>
    </row>
    <row r="1200" spans="1:11" ht="45" customHeight="1" x14ac:dyDescent="0.25">
      <c r="A1200" t="s">
        <v>4828</v>
      </c>
      <c r="B1200" t="s">
        <v>4829</v>
      </c>
      <c r="C1200" s="5" t="s">
        <v>9464</v>
      </c>
      <c r="D1200">
        <f t="shared" si="72"/>
        <v>1199</v>
      </c>
      <c r="E1200" t="str">
        <f t="shared" si="73"/>
        <v>E3_2_1_20</v>
      </c>
      <c r="F1200" s="11" t="s">
        <v>14053</v>
      </c>
      <c r="G1200" s="11" t="s">
        <v>14656</v>
      </c>
      <c r="H1200" s="11" t="s">
        <v>15265</v>
      </c>
      <c r="I1200" s="11" t="s">
        <v>15886</v>
      </c>
      <c r="J1200" s="12" t="str">
        <f t="shared" si="74"/>
        <v>(${Variables:E3_2_1_20_kcat} * E3_2_1_20 * C00001 * C00089)/(${Variables:E3_2_1_20_km} + (E3_2_1_20 * C00001 * C00089))</v>
      </c>
      <c r="K1200" s="11" t="str">
        <f t="shared" si="75"/>
        <v>r1199: C00001 + C00089 -&gt; C00267 + C02336 | (${Variables:E3_2_1_20_kcat} * E3_2_1_20 * C00001 * C00089)/(${Variables:E3_2_1_20_km} + (E3_2_1_20 * C00001 * C00089))</v>
      </c>
    </row>
    <row r="1201" spans="1:11" ht="45" customHeight="1" x14ac:dyDescent="0.25">
      <c r="A1201" t="s">
        <v>4828</v>
      </c>
      <c r="B1201" t="s">
        <v>4829</v>
      </c>
      <c r="C1201" s="5" t="s">
        <v>9464</v>
      </c>
      <c r="D1201">
        <f t="shared" si="72"/>
        <v>1200</v>
      </c>
      <c r="E1201" t="str">
        <f t="shared" si="73"/>
        <v>E3_2_1_20</v>
      </c>
      <c r="F1201" s="11" t="s">
        <v>14406</v>
      </c>
      <c r="G1201" s="11" t="s">
        <v>15009</v>
      </c>
      <c r="H1201" s="11" t="s">
        <v>8454</v>
      </c>
      <c r="I1201" s="11" t="s">
        <v>8454</v>
      </c>
      <c r="J1201" s="12" t="str">
        <f t="shared" si="74"/>
        <v>(${Variables:E3_2_1_20_kcat} * E3_2_1_20 * C00001 * G00275)/(${Variables:E3_2_1_20_km} + (E3_2_1_20 * C00001 * G00275))</v>
      </c>
      <c r="K1201" s="11" t="str">
        <f t="shared" si="75"/>
        <v>r1200: C00001 + G00275 -&gt; C00267 | (${Variables:E3_2_1_20_kcat} * E3_2_1_20 * C00001 * G00275)/(${Variables:E3_2_1_20_km} + (E3_2_1_20 * C00001 * G00275))</v>
      </c>
    </row>
    <row r="1202" spans="1:11" ht="45" customHeight="1" x14ac:dyDescent="0.25">
      <c r="A1202" t="s">
        <v>4828</v>
      </c>
      <c r="B1202" t="s">
        <v>4829</v>
      </c>
      <c r="C1202" s="5" t="s">
        <v>9464</v>
      </c>
      <c r="D1202">
        <f t="shared" si="72"/>
        <v>1201</v>
      </c>
      <c r="E1202" t="str">
        <f t="shared" si="73"/>
        <v>E3_2_1_20</v>
      </c>
      <c r="F1202" s="11" t="s">
        <v>14054</v>
      </c>
      <c r="G1202" s="11" t="s">
        <v>14657</v>
      </c>
      <c r="H1202" s="11" t="s">
        <v>15264</v>
      </c>
      <c r="I1202" s="11" t="s">
        <v>15885</v>
      </c>
      <c r="J1202" s="12" t="str">
        <f t="shared" si="74"/>
        <v>(${Variables:E3_2_1_20_kcat} * E3_2_1_20 * C00001 * G00370)/(${Variables:E3_2_1_20_km} + (E3_2_1_20 * C00001 * G00370))</v>
      </c>
      <c r="K1202" s="11" t="str">
        <f t="shared" si="75"/>
        <v>r1201: C00001 + G00370 -&gt; C00031 + C00095 | (${Variables:E3_2_1_20_kcat} * E3_2_1_20 * C00001 * G00370)/(${Variables:E3_2_1_20_km} + (E3_2_1_20 * C00001 * G00370))</v>
      </c>
    </row>
    <row r="1203" spans="1:11" ht="45" customHeight="1" x14ac:dyDescent="0.25">
      <c r="A1203" t="s">
        <v>4828</v>
      </c>
      <c r="B1203" t="s">
        <v>4829</v>
      </c>
      <c r="C1203" s="5" t="s">
        <v>9464</v>
      </c>
      <c r="D1203">
        <f t="shared" si="72"/>
        <v>1202</v>
      </c>
      <c r="E1203" t="str">
        <f t="shared" si="73"/>
        <v>E3_2_1_20</v>
      </c>
      <c r="F1203" s="11" t="s">
        <v>14054</v>
      </c>
      <c r="G1203" s="11" t="s">
        <v>14657</v>
      </c>
      <c r="H1203" s="11" t="s">
        <v>15265</v>
      </c>
      <c r="I1203" s="11" t="s">
        <v>15886</v>
      </c>
      <c r="J1203" s="12" t="str">
        <f t="shared" si="74"/>
        <v>(${Variables:E3_2_1_20_kcat} * E3_2_1_20 * C00001 * G00370)/(${Variables:E3_2_1_20_km} + (E3_2_1_20 * C00001 * G00370))</v>
      </c>
      <c r="K1203" s="11" t="str">
        <f t="shared" si="75"/>
        <v>r1202: C00001 + G00370 -&gt; C00267 + C02336 | (${Variables:E3_2_1_20_kcat} * E3_2_1_20 * C00001 * G00370)/(${Variables:E3_2_1_20_km} + (E3_2_1_20 * C00001 * G00370))</v>
      </c>
    </row>
    <row r="1204" spans="1:11" ht="45" customHeight="1" x14ac:dyDescent="0.25">
      <c r="A1204" t="s">
        <v>4841</v>
      </c>
      <c r="B1204" t="s">
        <v>4842</v>
      </c>
      <c r="C1204" s="5" t="s">
        <v>9395</v>
      </c>
      <c r="D1204">
        <f t="shared" si="72"/>
        <v>1203</v>
      </c>
      <c r="E1204" t="str">
        <f t="shared" si="73"/>
        <v>E1_1_1_205</v>
      </c>
      <c r="F1204" s="11" t="s">
        <v>13963</v>
      </c>
      <c r="G1204" s="11" t="s">
        <v>14566</v>
      </c>
      <c r="H1204" s="11" t="s">
        <v>15154</v>
      </c>
      <c r="I1204" s="11" t="s">
        <v>15775</v>
      </c>
      <c r="J1204" s="12" t="str">
        <f t="shared" si="74"/>
        <v>(${Variables:E1_1_1_205_kcat} * E1_1_1_205 * C00001 * C00003 * C00130)/(${Variables:E1_1_1_205_km} + (E1_1_1_205 * C00001 * C00003 * C00130))</v>
      </c>
      <c r="K1204" s="11" t="str">
        <f t="shared" si="75"/>
        <v>r1203: C00001 + C00003 + C00130 -&gt; C00004 + C00080 + C00655 | (${Variables:E1_1_1_205_kcat} * E1_1_1_205 * C00001 * C00003 * C00130)/(${Variables:E1_1_1_205_km} + (E1_1_1_205 * C00001 * C00003 * C00130))</v>
      </c>
    </row>
    <row r="1205" spans="1:11" ht="45" customHeight="1" x14ac:dyDescent="0.25">
      <c r="A1205" t="s">
        <v>4841</v>
      </c>
      <c r="B1205" t="s">
        <v>4842</v>
      </c>
      <c r="C1205" s="5" t="s">
        <v>9395</v>
      </c>
      <c r="D1205">
        <f t="shared" si="72"/>
        <v>1204</v>
      </c>
      <c r="E1205" t="str">
        <f t="shared" si="73"/>
        <v>E1_1_1_205</v>
      </c>
      <c r="F1205" s="11" t="s">
        <v>13964</v>
      </c>
      <c r="G1205" s="11" t="s">
        <v>14567</v>
      </c>
      <c r="H1205" s="11" t="s">
        <v>15155</v>
      </c>
      <c r="I1205" s="11" t="s">
        <v>15776</v>
      </c>
      <c r="J1205" s="12" t="str">
        <f t="shared" si="74"/>
        <v>(${Variables:E1_1_1_205_kcat} * E1_1_1_205 * C00001 * C00003 * C04646)/(${Variables:E1_1_1_205_km} + (E1_1_1_205 * C00001 * C00003 * C04646))</v>
      </c>
      <c r="K1205" s="11" t="str">
        <f t="shared" si="75"/>
        <v>r1204: C00001 + C00003 + C04646 -&gt; C00004 + C00080 + C16618 | (${Variables:E1_1_1_205_kcat} * E1_1_1_205 * C00001 * C00003 * C04646)/(${Variables:E1_1_1_205_km} + (E1_1_1_205 * C00001 * C00003 * C04646))</v>
      </c>
    </row>
    <row r="1206" spans="1:11" ht="45" customHeight="1" x14ac:dyDescent="0.25">
      <c r="A1206" t="s">
        <v>4858</v>
      </c>
      <c r="B1206" t="s">
        <v>4859</v>
      </c>
      <c r="C1206" s="5" t="s">
        <v>9744</v>
      </c>
      <c r="D1206">
        <f t="shared" si="72"/>
        <v>1205</v>
      </c>
      <c r="E1206" t="str">
        <f t="shared" si="73"/>
        <v>E1_1_1_1</v>
      </c>
      <c r="F1206" s="11" t="s">
        <v>14407</v>
      </c>
      <c r="G1206" s="11" t="s">
        <v>15010</v>
      </c>
      <c r="H1206" s="11" t="s">
        <v>15634</v>
      </c>
      <c r="I1206" s="11" t="s">
        <v>16255</v>
      </c>
      <c r="J1206" s="12" t="str">
        <f t="shared" si="74"/>
        <v>(${Variables:E1_1_1_1_kcat} * E1_1_1_1 * C00003 * C00226)/(${Variables:E1_1_1_1_km} + (E1_1_1_1 * C00003 * C00226))</v>
      </c>
      <c r="K1206" s="11" t="str">
        <f t="shared" si="75"/>
        <v>r1205: C00003 + C00226 -&gt; C00004 + C00071 + C00080 | (${Variables:E1_1_1_1_kcat} * E1_1_1_1 * C00003 * C00226)/(${Variables:E1_1_1_1_km} + (E1_1_1_1 * C00003 * C00226))</v>
      </c>
    </row>
    <row r="1207" spans="1:11" ht="45" customHeight="1" x14ac:dyDescent="0.25">
      <c r="A1207" t="s">
        <v>4858</v>
      </c>
      <c r="B1207" t="s">
        <v>4859</v>
      </c>
      <c r="C1207" s="5" t="s">
        <v>9744</v>
      </c>
      <c r="D1207">
        <f t="shared" si="72"/>
        <v>1206</v>
      </c>
      <c r="E1207" t="str">
        <f t="shared" si="73"/>
        <v>E1_1_1_1</v>
      </c>
      <c r="F1207" s="11" t="s">
        <v>14408</v>
      </c>
      <c r="G1207" s="11" t="s">
        <v>15011</v>
      </c>
      <c r="H1207" s="11" t="s">
        <v>15635</v>
      </c>
      <c r="I1207" s="11" t="s">
        <v>16256</v>
      </c>
      <c r="J1207" s="12" t="str">
        <f t="shared" si="74"/>
        <v>(${Variables:E1_1_1_1_kcat} * E1_1_1_1 * C00003 * C00469)/(${Variables:E1_1_1_1_km} + (E1_1_1_1 * C00003 * C00469))</v>
      </c>
      <c r="K1207" s="11" t="str">
        <f t="shared" si="75"/>
        <v>r1206: C00003 + C00469 -&gt; C00004 + C00080 + C00084 | (${Variables:E1_1_1_1_kcat} * E1_1_1_1 * C00003 * C00469)/(${Variables:E1_1_1_1_km} + (E1_1_1_1 * C00003 * C00469))</v>
      </c>
    </row>
    <row r="1208" spans="1:11" ht="45" customHeight="1" x14ac:dyDescent="0.25">
      <c r="A1208" t="s">
        <v>4858</v>
      </c>
      <c r="B1208" t="s">
        <v>4859</v>
      </c>
      <c r="C1208" s="5" t="s">
        <v>9744</v>
      </c>
      <c r="D1208">
        <f t="shared" si="72"/>
        <v>1207</v>
      </c>
      <c r="E1208" t="str">
        <f t="shared" si="73"/>
        <v>E1_1_1_1</v>
      </c>
      <c r="F1208" s="11" t="s">
        <v>14409</v>
      </c>
      <c r="G1208" s="11" t="s">
        <v>15012</v>
      </c>
      <c r="H1208" s="11" t="s">
        <v>15636</v>
      </c>
      <c r="I1208" s="11" t="s">
        <v>16257</v>
      </c>
      <c r="J1208" s="12" t="str">
        <f t="shared" si="74"/>
        <v>(${Variables:E1_1_1_1_kcat} * E1_1_1_1 * C00003 * C00473)/(${Variables:E1_1_1_1_km} + (E1_1_1_1 * C00003 * C00473))</v>
      </c>
      <c r="K1208" s="11" t="str">
        <f t="shared" si="75"/>
        <v>r1207: C00003 + C00473 -&gt; C00004 + C00080 + C00376 | (${Variables:E1_1_1_1_kcat} * E1_1_1_1 * C00003 * C00473)/(${Variables:E1_1_1_1_km} + (E1_1_1_1 * C00003 * C00473))</v>
      </c>
    </row>
    <row r="1209" spans="1:11" ht="45" customHeight="1" x14ac:dyDescent="0.25">
      <c r="A1209" t="s">
        <v>4858</v>
      </c>
      <c r="B1209" t="s">
        <v>4859</v>
      </c>
      <c r="C1209" s="5" t="s">
        <v>9744</v>
      </c>
      <c r="D1209">
        <f t="shared" si="72"/>
        <v>1208</v>
      </c>
      <c r="E1209" t="str">
        <f t="shared" si="73"/>
        <v>E1_1_1_1</v>
      </c>
      <c r="F1209" s="11" t="s">
        <v>14410</v>
      </c>
      <c r="G1209" s="11" t="s">
        <v>15013</v>
      </c>
      <c r="H1209" s="11" t="s">
        <v>15637</v>
      </c>
      <c r="I1209" s="11" t="s">
        <v>16258</v>
      </c>
      <c r="J1209" s="12" t="str">
        <f t="shared" si="74"/>
        <v>(${Variables:E1_1_1_1_kcat} * E1_1_1_1 * C00003 * C00756)/(${Variables:E1_1_1_1_km} + (E1_1_1_1 * C00003 * C00756))</v>
      </c>
      <c r="K1209" s="11" t="str">
        <f t="shared" si="75"/>
        <v>r1208: C00003 + C00756 -&gt; C00004 + C00080 + C01545 | (${Variables:E1_1_1_1_kcat} * E1_1_1_1 * C00003 * C00756)/(${Variables:E1_1_1_1_km} + (E1_1_1_1 * C00003 * C00756))</v>
      </c>
    </row>
    <row r="1210" spans="1:11" ht="45" customHeight="1" x14ac:dyDescent="0.25">
      <c r="A1210" t="s">
        <v>4858</v>
      </c>
      <c r="B1210" t="s">
        <v>4859</v>
      </c>
      <c r="C1210" s="5" t="s">
        <v>9744</v>
      </c>
      <c r="D1210">
        <f t="shared" si="72"/>
        <v>1209</v>
      </c>
      <c r="E1210" t="str">
        <f t="shared" si="73"/>
        <v>E1_1_1_1</v>
      </c>
      <c r="F1210" s="11" t="s">
        <v>14411</v>
      </c>
      <c r="G1210" s="11" t="s">
        <v>15014</v>
      </c>
      <c r="H1210" s="11" t="s">
        <v>15638</v>
      </c>
      <c r="I1210" s="11" t="s">
        <v>16259</v>
      </c>
      <c r="J1210" s="12" t="str">
        <f t="shared" si="74"/>
        <v>(${Variables:E1_1_1_1_kcat} * E1_1_1_1 * C00003 * C05444)/(${Variables:E1_1_1_1_km} + (E1_1_1_1 * C00003 * C05444))</v>
      </c>
      <c r="K1210" s="11" t="str">
        <f t="shared" si="75"/>
        <v>r1209: C00003 + C05444 -&gt; C00004 + C00080 + C05445 | (${Variables:E1_1_1_1_kcat} * E1_1_1_1 * C00003 * C05444)/(${Variables:E1_1_1_1_km} + (E1_1_1_1 * C00003 * C05444))</v>
      </c>
    </row>
    <row r="1211" spans="1:11" ht="45" customHeight="1" x14ac:dyDescent="0.25">
      <c r="A1211" t="s">
        <v>4858</v>
      </c>
      <c r="B1211" t="s">
        <v>4859</v>
      </c>
      <c r="C1211" s="5" t="s">
        <v>9744</v>
      </c>
      <c r="D1211">
        <f t="shared" si="72"/>
        <v>1210</v>
      </c>
      <c r="E1211" t="str">
        <f t="shared" si="73"/>
        <v>E1_1_1_1</v>
      </c>
      <c r="F1211" s="11" t="s">
        <v>14412</v>
      </c>
      <c r="G1211" s="11" t="s">
        <v>15015</v>
      </c>
      <c r="H1211" s="11" t="s">
        <v>15639</v>
      </c>
      <c r="I1211" s="11" t="s">
        <v>16260</v>
      </c>
      <c r="J1211" s="12" t="str">
        <f t="shared" si="74"/>
        <v>(${Variables:E1_1_1_1_kcat} * E1_1_1_1 * C00003 * C05576)/(${Variables:E1_1_1_1_km} + (E1_1_1_1 * C00003 * C05576))</v>
      </c>
      <c r="K1211" s="11" t="str">
        <f t="shared" si="75"/>
        <v>r1210: C00003 + C05576 -&gt; C00004 + C00080 + C05577 | (${Variables:E1_1_1_1_kcat} * E1_1_1_1 * C00003 * C05576)/(${Variables:E1_1_1_1_km} + (E1_1_1_1 * C00003 * C05576))</v>
      </c>
    </row>
    <row r="1212" spans="1:11" ht="45" customHeight="1" x14ac:dyDescent="0.25">
      <c r="A1212" t="s">
        <v>4858</v>
      </c>
      <c r="B1212" t="s">
        <v>4859</v>
      </c>
      <c r="C1212" s="5" t="s">
        <v>9744</v>
      </c>
      <c r="D1212">
        <f t="shared" si="72"/>
        <v>1211</v>
      </c>
      <c r="E1212" t="str">
        <f t="shared" si="73"/>
        <v>E1_1_1_1</v>
      </c>
      <c r="F1212" s="11" t="s">
        <v>14413</v>
      </c>
      <c r="G1212" s="11" t="s">
        <v>15016</v>
      </c>
      <c r="H1212" s="11" t="s">
        <v>15640</v>
      </c>
      <c r="I1212" s="11" t="s">
        <v>16261</v>
      </c>
      <c r="J1212" s="12" t="str">
        <f t="shared" si="74"/>
        <v>(${Variables:E1_1_1_1_kcat} * E1_1_1_1 * C00003 * C06611)/(${Variables:E1_1_1_1_km} + (E1_1_1_1 * C00003 * C06611))</v>
      </c>
      <c r="K1212" s="11" t="str">
        <f t="shared" si="75"/>
        <v>r1211: C00003 + C06611 -&gt; C00004 + C00080 + C06613 | (${Variables:E1_1_1_1_kcat} * E1_1_1_1 * C00003 * C06611)/(${Variables:E1_1_1_1_km} + (E1_1_1_1 * C00003 * C06611))</v>
      </c>
    </row>
    <row r="1213" spans="1:11" ht="45" customHeight="1" x14ac:dyDescent="0.25">
      <c r="A1213" t="s">
        <v>4858</v>
      </c>
      <c r="B1213" t="s">
        <v>4859</v>
      </c>
      <c r="C1213" s="5" t="s">
        <v>9744</v>
      </c>
      <c r="D1213">
        <f t="shared" si="72"/>
        <v>1212</v>
      </c>
      <c r="E1213" t="str">
        <f t="shared" si="73"/>
        <v>E1_1_1_1</v>
      </c>
      <c r="F1213" s="11" t="s">
        <v>14414</v>
      </c>
      <c r="G1213" s="11" t="s">
        <v>15017</v>
      </c>
      <c r="H1213" s="11" t="s">
        <v>15641</v>
      </c>
      <c r="I1213" s="11" t="s">
        <v>16262</v>
      </c>
      <c r="J1213" s="12" t="str">
        <f t="shared" si="74"/>
        <v>(${Variables:E1_1_1_1_kcat} * E1_1_1_1 * C00003 * C06612)/(${Variables:E1_1_1_1_km} + (E1_1_1_1 * C00003 * C06612))</v>
      </c>
      <c r="K1213" s="11" t="str">
        <f t="shared" si="75"/>
        <v>r1212: C00003 + C06612 -&gt; C00004 + C00080 + C16348 | (${Variables:E1_1_1_1_kcat} * E1_1_1_1 * C00003 * C06612)/(${Variables:E1_1_1_1_km} + (E1_1_1_1 * C00003 * C06612))</v>
      </c>
    </row>
    <row r="1214" spans="1:11" ht="45" customHeight="1" x14ac:dyDescent="0.25">
      <c r="A1214" t="s">
        <v>4858</v>
      </c>
      <c r="B1214" t="s">
        <v>4859</v>
      </c>
      <c r="C1214" s="5" t="s">
        <v>9744</v>
      </c>
      <c r="D1214">
        <f t="shared" si="72"/>
        <v>1213</v>
      </c>
      <c r="E1214" t="str">
        <f t="shared" si="73"/>
        <v>E1_1_1_1</v>
      </c>
      <c r="F1214" s="11" t="s">
        <v>14415</v>
      </c>
      <c r="G1214" s="11" t="s">
        <v>15018</v>
      </c>
      <c r="H1214" s="11" t="s">
        <v>15642</v>
      </c>
      <c r="I1214" s="11" t="s">
        <v>16263</v>
      </c>
      <c r="J1214" s="12" t="str">
        <f t="shared" si="74"/>
        <v>(${Variables:E1_1_1_1_kcat} * E1_1_1_1 * C00003 * C14089)/(${Variables:E1_1_1_1_km} + (E1_1_1_1 * C00003 * C14089))</v>
      </c>
      <c r="K1214" s="11" t="str">
        <f t="shared" si="75"/>
        <v>r1213: C00003 + C14089 -&gt; C00004 + C00080 + C14090 | (${Variables:E1_1_1_1_kcat} * E1_1_1_1 * C00003 * C14089)/(${Variables:E1_1_1_1_km} + (E1_1_1_1 * C00003 * C14089))</v>
      </c>
    </row>
    <row r="1215" spans="1:11" ht="45" customHeight="1" x14ac:dyDescent="0.25">
      <c r="A1215" t="s">
        <v>4858</v>
      </c>
      <c r="B1215" t="s">
        <v>4859</v>
      </c>
      <c r="C1215" s="5" t="s">
        <v>9744</v>
      </c>
      <c r="D1215">
        <f t="shared" si="72"/>
        <v>1214</v>
      </c>
      <c r="E1215" t="str">
        <f t="shared" si="73"/>
        <v>E1_1_1_1</v>
      </c>
      <c r="F1215" s="11" t="s">
        <v>14416</v>
      </c>
      <c r="G1215" s="11" t="s">
        <v>15019</v>
      </c>
      <c r="H1215" s="11" t="s">
        <v>15643</v>
      </c>
      <c r="I1215" s="11" t="s">
        <v>16264</v>
      </c>
      <c r="J1215" s="12" t="str">
        <f t="shared" si="74"/>
        <v>(${Variables:E1_1_1_1_kcat} * E1_1_1_1 * C00003 * C02909)/(${Variables:E1_1_1_1_km} + (E1_1_1_1 * C00003 * C02909))</v>
      </c>
      <c r="K1215" s="11" t="str">
        <f t="shared" si="75"/>
        <v>r1214: C00003 + C02909 -&gt; C00004 + C00080 + C14099 | (${Variables:E1_1_1_1_kcat} * E1_1_1_1 * C00003 * C02909)/(${Variables:E1_1_1_1_km} + (E1_1_1_1 * C00003 * C02909))</v>
      </c>
    </row>
    <row r="1216" spans="1:11" ht="45" customHeight="1" x14ac:dyDescent="0.25">
      <c r="A1216" t="s">
        <v>4858</v>
      </c>
      <c r="B1216" t="s">
        <v>4859</v>
      </c>
      <c r="C1216" s="5" t="s">
        <v>9744</v>
      </c>
      <c r="D1216">
        <f t="shared" si="72"/>
        <v>1215</v>
      </c>
      <c r="E1216" t="str">
        <f t="shared" si="73"/>
        <v>E1_1_1_1</v>
      </c>
      <c r="F1216" s="11" t="s">
        <v>14417</v>
      </c>
      <c r="G1216" s="11" t="s">
        <v>15020</v>
      </c>
      <c r="H1216" s="11" t="s">
        <v>15644</v>
      </c>
      <c r="I1216" s="11" t="s">
        <v>16265</v>
      </c>
      <c r="J1216" s="12" t="str">
        <f t="shared" si="74"/>
        <v>(${Variables:E1_1_1_1_kcat} * E1_1_1_1 * C00004 * C00080 * C07645)/(${Variables:E1_1_1_1_km} + (E1_1_1_1 * C00004 * C00080 * C07645))</v>
      </c>
      <c r="K1216" s="11" t="str">
        <f t="shared" si="75"/>
        <v>r1215: C00004 + C00080 + C07645 -&gt; C00003 + C16551 | (${Variables:E1_1_1_1_kcat} * E1_1_1_1 * C00004 * C00080 * C07645)/(${Variables:E1_1_1_1_km} + (E1_1_1_1 * C00004 * C00080 * C07645))</v>
      </c>
    </row>
    <row r="1217" spans="1:11" ht="45" customHeight="1" x14ac:dyDescent="0.25">
      <c r="A1217" t="s">
        <v>4858</v>
      </c>
      <c r="B1217" t="s">
        <v>4859</v>
      </c>
      <c r="C1217" s="5" t="s">
        <v>9744</v>
      </c>
      <c r="D1217">
        <f t="shared" si="72"/>
        <v>1216</v>
      </c>
      <c r="E1217" t="str">
        <f t="shared" si="73"/>
        <v>E1_1_1_1</v>
      </c>
      <c r="F1217" s="11" t="s">
        <v>14418</v>
      </c>
      <c r="G1217" s="11" t="s">
        <v>15021</v>
      </c>
      <c r="H1217" s="11" t="s">
        <v>15645</v>
      </c>
      <c r="I1217" s="11" t="s">
        <v>16266</v>
      </c>
      <c r="J1217" s="12" t="str">
        <f t="shared" si="74"/>
        <v>(${Variables:E1_1_1_1_kcat} * E1_1_1_1 * C00003 * C16586)/(${Variables:E1_1_1_1_km} + (E1_1_1_1 * C00003 * C16586))</v>
      </c>
      <c r="K1217" s="11" t="str">
        <f t="shared" si="75"/>
        <v>r1216: C00003 + C16586 -&gt; C00004 + C00080 + C16587 | (${Variables:E1_1_1_1_kcat} * E1_1_1_1 * C00003 * C16586)/(${Variables:E1_1_1_1_km} + (E1_1_1_1 * C00003 * C16586))</v>
      </c>
    </row>
    <row r="1218" spans="1:11" ht="45" customHeight="1" x14ac:dyDescent="0.25">
      <c r="A1218" t="s">
        <v>4858</v>
      </c>
      <c r="B1218" t="s">
        <v>4859</v>
      </c>
      <c r="C1218" s="5" t="s">
        <v>9744</v>
      </c>
      <c r="D1218">
        <f t="shared" si="72"/>
        <v>1217</v>
      </c>
      <c r="E1218" t="str">
        <f t="shared" si="73"/>
        <v>E1_1_1_1</v>
      </c>
      <c r="F1218" s="11" t="s">
        <v>14419</v>
      </c>
      <c r="G1218" s="11" t="s">
        <v>15022</v>
      </c>
      <c r="H1218" s="11" t="s">
        <v>15646</v>
      </c>
      <c r="I1218" s="11" t="s">
        <v>16267</v>
      </c>
      <c r="J1218" s="12" t="str">
        <f t="shared" si="74"/>
        <v>(${Variables:E1_1_1_1_kcat} * E1_1_1_1 * C00003 * C00114)/(${Variables:E1_1_1_1_km} + (E1_1_1_1 * C00003 * C00114))</v>
      </c>
      <c r="K1218" s="11" t="str">
        <f t="shared" si="75"/>
        <v>r1217: C00003 + C00114 -&gt; C00004 + C00080 + C00576 | (${Variables:E1_1_1_1_kcat} * E1_1_1_1 * C00003 * C00114)/(${Variables:E1_1_1_1_km} + (E1_1_1_1 * C00003 * C00114))</v>
      </c>
    </row>
    <row r="1219" spans="1:11" ht="45" customHeight="1" x14ac:dyDescent="0.25">
      <c r="A1219" t="s">
        <v>4858</v>
      </c>
      <c r="B1219" t="s">
        <v>4859</v>
      </c>
      <c r="C1219" s="5" t="s">
        <v>9744</v>
      </c>
      <c r="D1219">
        <f t="shared" ref="D1219:D1282" si="76">ROW()-1</f>
        <v>1218</v>
      </c>
      <c r="E1219" t="str">
        <f t="shared" ref="E1219:E1282" si="77">_xlfn.CONCAT("E", C1219)</f>
        <v>E1_1_1_1</v>
      </c>
      <c r="F1219" s="11" t="s">
        <v>14420</v>
      </c>
      <c r="G1219" s="11" t="s">
        <v>15023</v>
      </c>
      <c r="H1219" s="11" t="s">
        <v>15647</v>
      </c>
      <c r="I1219" s="11" t="s">
        <v>16268</v>
      </c>
      <c r="J1219" s="12" t="str">
        <f t="shared" ref="J1219:J1282" si="78">CONCATENATE("(${Variables:",E1219,"_kcat","} * ",E1219," * ",G1219,")","/(${Variables:",E1219,"_km","} + (",E1219," * ",G1219,"))")</f>
        <v>(${Variables:E1_1_1_1_kcat} * E1_1_1_1 * C00006 * C00114)/(${Variables:E1_1_1_1_km} + (E1_1_1_1 * C00006 * C00114))</v>
      </c>
      <c r="K1219" s="11" t="str">
        <f t="shared" ref="K1219:K1282" si="79">CONCATENATE("r",D1219,": ",F1219," -&gt; ",H1219," | ",J1219)</f>
        <v>r1218: C00006 + C00114 -&gt; C00005 + C00080 + C00576 | (${Variables:E1_1_1_1_kcat} * E1_1_1_1 * C00006 * C00114)/(${Variables:E1_1_1_1_km} + (E1_1_1_1 * C00006 * C00114))</v>
      </c>
    </row>
    <row r="1220" spans="1:11" ht="45" customHeight="1" x14ac:dyDescent="0.25">
      <c r="A1220" t="s">
        <v>4858</v>
      </c>
      <c r="B1220" t="s">
        <v>4859</v>
      </c>
      <c r="C1220" s="5" t="s">
        <v>9744</v>
      </c>
      <c r="D1220">
        <f t="shared" si="76"/>
        <v>1219</v>
      </c>
      <c r="E1220" t="str">
        <f t="shared" si="77"/>
        <v>E1_1_1_1</v>
      </c>
      <c r="F1220" s="11" t="s">
        <v>14421</v>
      </c>
      <c r="G1220" s="11" t="s">
        <v>15024</v>
      </c>
      <c r="H1220" s="11" t="s">
        <v>15648</v>
      </c>
      <c r="I1220" s="11" t="s">
        <v>16269</v>
      </c>
      <c r="J1220" s="12" t="str">
        <f t="shared" si="78"/>
        <v>(${Variables:E1_1_1_1_kcat} * E1_1_1_1 * C00004 * C00080 * C16310)/(${Variables:E1_1_1_1_km} + (E1_1_1_1 * C00004 * C00080 * C16310))</v>
      </c>
      <c r="K1220" s="11" t="str">
        <f t="shared" si="79"/>
        <v>r1219: C00004 + C00080 + C16310 -&gt; C00003 + C08492 | (${Variables:E1_1_1_1_kcat} * E1_1_1_1 * C00004 * C00080 * C16310)/(${Variables:E1_1_1_1_km} + (E1_1_1_1 * C00004 * C00080 * C16310))</v>
      </c>
    </row>
    <row r="1221" spans="1:11" ht="45" customHeight="1" x14ac:dyDescent="0.25">
      <c r="A1221" t="s">
        <v>4858</v>
      </c>
      <c r="B1221" t="s">
        <v>4859</v>
      </c>
      <c r="C1221" s="5" t="s">
        <v>9744</v>
      </c>
      <c r="D1221">
        <f t="shared" si="76"/>
        <v>1220</v>
      </c>
      <c r="E1221" t="str">
        <f t="shared" si="77"/>
        <v>E1_1_1_1</v>
      </c>
      <c r="F1221" s="11" t="s">
        <v>14422</v>
      </c>
      <c r="G1221" s="11" t="s">
        <v>15025</v>
      </c>
      <c r="H1221" s="11" t="s">
        <v>15649</v>
      </c>
      <c r="I1221" s="11" t="s">
        <v>16270</v>
      </c>
      <c r="J1221" s="12" t="str">
        <f t="shared" si="78"/>
        <v>(${Variables:E1_1_1_1_kcat} * E1_1_1_1 * C00003 * C01612)/(${Variables:E1_1_1_1_km} + (E1_1_1_1 * C00003 * C01612))</v>
      </c>
      <c r="K1221" s="11" t="str">
        <f t="shared" si="79"/>
        <v>r1220: C00003 + C01612 -&gt; C00004 + C00080 + C01450 | (${Variables:E1_1_1_1_kcat} * E1_1_1_1 * C00003 * C01612)/(${Variables:E1_1_1_1_km} + (E1_1_1_1 * C00003 * C01612))</v>
      </c>
    </row>
    <row r="1222" spans="1:11" ht="45" customHeight="1" x14ac:dyDescent="0.25">
      <c r="A1222" t="s">
        <v>4858</v>
      </c>
      <c r="B1222" t="s">
        <v>4859</v>
      </c>
      <c r="C1222" s="5" t="s">
        <v>9744</v>
      </c>
      <c r="D1222">
        <f t="shared" si="76"/>
        <v>1221</v>
      </c>
      <c r="E1222" t="str">
        <f t="shared" si="77"/>
        <v>E1_1_1_1</v>
      </c>
      <c r="F1222" s="11" t="s">
        <v>14423</v>
      </c>
      <c r="G1222" s="11" t="s">
        <v>15026</v>
      </c>
      <c r="H1222" s="11" t="s">
        <v>15650</v>
      </c>
      <c r="I1222" s="11" t="s">
        <v>16271</v>
      </c>
      <c r="J1222" s="12" t="str">
        <f t="shared" si="78"/>
        <v>(${Variables:E1_1_1_1_kcat} * E1_1_1_1 * C00003 * C16595)/(${Variables:E1_1_1_1_km} + (E1_1_1_1 * C00003 * C16595))</v>
      </c>
      <c r="K1222" s="11" t="str">
        <f t="shared" si="79"/>
        <v>r1221: C00003 + C16595 -&gt; C00004 + C00080 + C16596 | (${Variables:E1_1_1_1_kcat} * E1_1_1_1 * C00003 * C16595)/(${Variables:E1_1_1_1_km} + (E1_1_1_1 * C00003 * C16595))</v>
      </c>
    </row>
    <row r="1223" spans="1:11" ht="45" customHeight="1" x14ac:dyDescent="0.25">
      <c r="A1223" t="s">
        <v>4858</v>
      </c>
      <c r="B1223" t="s">
        <v>4859</v>
      </c>
      <c r="C1223" s="5" t="s">
        <v>9744</v>
      </c>
      <c r="D1223">
        <f t="shared" si="76"/>
        <v>1222</v>
      </c>
      <c r="E1223" t="str">
        <f t="shared" si="77"/>
        <v>E1_1_1_1</v>
      </c>
      <c r="F1223" s="11" t="s">
        <v>14424</v>
      </c>
      <c r="G1223" s="11" t="s">
        <v>15027</v>
      </c>
      <c r="H1223" s="11" t="s">
        <v>15651</v>
      </c>
      <c r="I1223" s="11" t="s">
        <v>16272</v>
      </c>
      <c r="J1223" s="12" t="str">
        <f t="shared" si="78"/>
        <v>(${Variables:E1_1_1_1_kcat} * E1_1_1_1 * C00003 * C00418)/(${Variables:E1_1_1_1_km} + (E1_1_1_1 * C00003 * C00418))</v>
      </c>
      <c r="K1223" s="11" t="str">
        <f t="shared" si="79"/>
        <v>r1222: C00003 + C00418 -&gt; C00004 + C00080 + C00772 | (${Variables:E1_1_1_1_kcat} * E1_1_1_1 * C00003 * C00418)/(${Variables:E1_1_1_1_km} + (E1_1_1_1 * C00003 * C00418))</v>
      </c>
    </row>
    <row r="1224" spans="1:11" ht="45" customHeight="1" x14ac:dyDescent="0.25">
      <c r="A1224" t="s">
        <v>4858</v>
      </c>
      <c r="B1224" t="s">
        <v>4859</v>
      </c>
      <c r="C1224" s="5" t="s">
        <v>9744</v>
      </c>
      <c r="D1224">
        <f t="shared" si="76"/>
        <v>1223</v>
      </c>
      <c r="E1224" t="str">
        <f t="shared" si="77"/>
        <v>E1_1_1_1</v>
      </c>
      <c r="F1224" s="11" t="s">
        <v>14425</v>
      </c>
      <c r="G1224" s="11" t="s">
        <v>15028</v>
      </c>
      <c r="H1224" s="11" t="s">
        <v>15652</v>
      </c>
      <c r="I1224" s="11" t="s">
        <v>16273</v>
      </c>
      <c r="J1224" s="12" t="str">
        <f t="shared" si="78"/>
        <v>(${Variables:E1_1_1_1_kcat} * E1_1_1_1 * C00004 * C00080 * C06899)/(${Variables:E1_1_1_1_km} + (E1_1_1_1 * C00004 * C00080 * C06899))</v>
      </c>
      <c r="K1224" s="11" t="str">
        <f t="shared" si="79"/>
        <v>r1223: C00004 + C00080 + C06899 -&gt; C00001 + C00003 + C07490 | (${Variables:E1_1_1_1_kcat} * E1_1_1_1 * C00004 * C00080 * C06899)/(${Variables:E1_1_1_1_km} + (E1_1_1_1 * C00004 * C00080 * C06899))</v>
      </c>
    </row>
    <row r="1225" spans="1:11" ht="45" customHeight="1" x14ac:dyDescent="0.25">
      <c r="A1225" t="s">
        <v>4860</v>
      </c>
      <c r="B1225" t="s">
        <v>4861</v>
      </c>
      <c r="C1225" s="5" t="s">
        <v>9649</v>
      </c>
      <c r="D1225">
        <f t="shared" si="76"/>
        <v>1224</v>
      </c>
      <c r="E1225" t="str">
        <f t="shared" si="77"/>
        <v>E1_8_1_9</v>
      </c>
      <c r="F1225" s="11" t="s">
        <v>14305</v>
      </c>
      <c r="G1225" s="11" t="s">
        <v>14908</v>
      </c>
      <c r="H1225" s="11" t="s">
        <v>15514</v>
      </c>
      <c r="I1225" s="11" t="s">
        <v>16135</v>
      </c>
      <c r="J1225" s="12" t="str">
        <f t="shared" si="78"/>
        <v>(${Variables:E1_8_1_9_kcat} * E1_8_1_9 * C00006 * C00342)/(${Variables:E1_8_1_9_km} + (E1_8_1_9 * C00006 * C00342))</v>
      </c>
      <c r="K1225" s="11" t="str">
        <f t="shared" si="79"/>
        <v>r1224: C00006 + C00342 -&gt; C00005 + C00080 + C00343 | (${Variables:E1_8_1_9_kcat} * E1_8_1_9 * C00006 * C00342)/(${Variables:E1_8_1_9_km} + (E1_8_1_9 * C00006 * C00342))</v>
      </c>
    </row>
    <row r="1226" spans="1:11" ht="45" customHeight="1" x14ac:dyDescent="0.25">
      <c r="A1226" t="s">
        <v>4860</v>
      </c>
      <c r="B1226" t="s">
        <v>4861</v>
      </c>
      <c r="C1226" s="5" t="s">
        <v>9649</v>
      </c>
      <c r="D1226">
        <f t="shared" si="76"/>
        <v>1225</v>
      </c>
      <c r="E1226" t="str">
        <f t="shared" si="77"/>
        <v>E1_8_1_9</v>
      </c>
      <c r="F1226" s="11" t="s">
        <v>14306</v>
      </c>
      <c r="G1226" s="11" t="s">
        <v>14909</v>
      </c>
      <c r="H1226" s="11" t="s">
        <v>15515</v>
      </c>
      <c r="I1226" s="11" t="s">
        <v>16136</v>
      </c>
      <c r="J1226" s="12" t="str">
        <f t="shared" si="78"/>
        <v>(${Variables:E1_8_1_9_kcat} * E1_8_1_9 * C00006 * C00051 * C00097)/(${Variables:E1_8_1_9_km} + (E1_8_1_9 * C00006 * C00051 * C00097))</v>
      </c>
      <c r="K1226" s="11" t="str">
        <f t="shared" si="79"/>
        <v>r1225: C00006 + C00051 + C00097 -&gt; C00005 + C05526 | (${Variables:E1_8_1_9_kcat} * E1_8_1_9 * C00006 * C00051 * C00097)/(${Variables:E1_8_1_9_km} + (E1_8_1_9 * C00006 * C00051 * C00097))</v>
      </c>
    </row>
    <row r="1227" spans="1:11" ht="45" customHeight="1" x14ac:dyDescent="0.25">
      <c r="A1227" t="s">
        <v>4860</v>
      </c>
      <c r="B1227" t="s">
        <v>4861</v>
      </c>
      <c r="C1227" s="5" t="s">
        <v>9649</v>
      </c>
      <c r="D1227">
        <f t="shared" si="76"/>
        <v>1226</v>
      </c>
      <c r="E1227" t="str">
        <f t="shared" si="77"/>
        <v>E1_8_1_9</v>
      </c>
      <c r="F1227" s="11" t="s">
        <v>14307</v>
      </c>
      <c r="G1227" s="11" t="s">
        <v>14910</v>
      </c>
      <c r="H1227" s="11" t="s">
        <v>15516</v>
      </c>
      <c r="I1227" s="11" t="s">
        <v>16137</v>
      </c>
      <c r="J1227" s="12" t="str">
        <f t="shared" si="78"/>
        <v>(${Variables:E1_8_1_9_kcat} * E1_8_1_9 * C00001 * C00006 * C01528)/(${Variables:E1_8_1_9_km} + (E1_8_1_9 * C00001 * C00006 * C01528))</v>
      </c>
      <c r="K1227" s="11" t="str">
        <f t="shared" si="79"/>
        <v>r1226: C00001 + C00006 + C01528 -&gt; C00005 + C00080 + C05684 | (${Variables:E1_8_1_9_kcat} * E1_8_1_9 * C00001 * C00006 * C01528)/(${Variables:E1_8_1_9_km} + (E1_8_1_9 * C00001 * C00006 * C01528))</v>
      </c>
    </row>
    <row r="1228" spans="1:11" ht="45" customHeight="1" x14ac:dyDescent="0.25">
      <c r="A1228" t="s">
        <v>4860</v>
      </c>
      <c r="B1228" t="s">
        <v>4861</v>
      </c>
      <c r="C1228" s="5" t="s">
        <v>9649</v>
      </c>
      <c r="D1228">
        <f t="shared" si="76"/>
        <v>1227</v>
      </c>
      <c r="E1228" t="str">
        <f t="shared" si="77"/>
        <v>E1_8_1_9</v>
      </c>
      <c r="F1228" s="11" t="s">
        <v>8763</v>
      </c>
      <c r="G1228" s="11" t="s">
        <v>8929</v>
      </c>
      <c r="H1228" s="11" t="s">
        <v>15517</v>
      </c>
      <c r="I1228" s="11" t="s">
        <v>16138</v>
      </c>
      <c r="J1228" s="12" t="str">
        <f t="shared" si="78"/>
        <v>(${Variables:E1_8_1_9_kcat} * E1_8_1_9 * C00005 * C00080 * C18902)/(${Variables:E1_8_1_9_km} + (E1_8_1_9 * C00005 * C00080 * C18902))</v>
      </c>
      <c r="K1228" s="11" t="str">
        <f t="shared" si="79"/>
        <v>r1227: C00005 + C00080 + C18902 -&gt; C00001 + C00006 + C05703 | (${Variables:E1_8_1_9_kcat} * E1_8_1_9 * C00005 * C00080 * C18902)/(${Variables:E1_8_1_9_km} + (E1_8_1_9 * C00005 * C00080 * C18902))</v>
      </c>
    </row>
    <row r="1229" spans="1:11" ht="45" customHeight="1" x14ac:dyDescent="0.25">
      <c r="A1229" t="s">
        <v>4867</v>
      </c>
      <c r="B1229" t="s">
        <v>4868</v>
      </c>
      <c r="C1229" s="5" t="s">
        <v>9599</v>
      </c>
      <c r="D1229">
        <f t="shared" si="76"/>
        <v>1228</v>
      </c>
      <c r="E1229" t="str">
        <f t="shared" si="77"/>
        <v>E6_1_1_16</v>
      </c>
      <c r="F1229" s="11" t="s">
        <v>8740</v>
      </c>
      <c r="G1229" s="11" t="s">
        <v>8906</v>
      </c>
      <c r="H1229" s="11" t="s">
        <v>15451</v>
      </c>
      <c r="I1229" s="11" t="s">
        <v>16072</v>
      </c>
      <c r="J1229" s="12" t="str">
        <f t="shared" si="78"/>
        <v>(${Variables:E6_1_1_16_kcat} * E6_1_1_16 * C00002 * C00097 * C01639)/(${Variables:E6_1_1_16_km} + (E6_1_1_16 * C00002 * C00097 * C01639))</v>
      </c>
      <c r="K1229" s="11" t="str">
        <f t="shared" si="79"/>
        <v>r1228: C00002 + C00097 + C01639 -&gt; C00013 + C00020 + C03125 | (${Variables:E6_1_1_16_kcat} * E6_1_1_16 * C00002 * C00097 * C01639)/(${Variables:E6_1_1_16_km} + (E6_1_1_16 * C00002 * C00097 * C01639))</v>
      </c>
    </row>
    <row r="1230" spans="1:11" ht="45" customHeight="1" x14ac:dyDescent="0.25">
      <c r="A1230" t="s">
        <v>4876</v>
      </c>
      <c r="B1230" t="s">
        <v>4877</v>
      </c>
      <c r="C1230" s="5" t="s">
        <v>9745</v>
      </c>
      <c r="D1230">
        <f t="shared" si="76"/>
        <v>1229</v>
      </c>
      <c r="E1230" t="str">
        <f t="shared" si="77"/>
        <v>E3_5_99_6</v>
      </c>
      <c r="F1230" s="11" t="s">
        <v>14426</v>
      </c>
      <c r="G1230" s="11" t="s">
        <v>15029</v>
      </c>
      <c r="H1230" s="11" t="s">
        <v>15653</v>
      </c>
      <c r="I1230" s="11" t="s">
        <v>16274</v>
      </c>
      <c r="J1230" s="12" t="str">
        <f t="shared" si="78"/>
        <v>(${Variables:E3_5_99_6_kcat} * E3_5_99_6 * C00001 * C00352)/(${Variables:E3_5_99_6_km} + (E3_5_99_6 * C00001 * C00352))</v>
      </c>
      <c r="K1230" s="11" t="str">
        <f t="shared" si="79"/>
        <v>r1229: C00001 + C00352 -&gt; C00014 + C00085 | (${Variables:E3_5_99_6_kcat} * E3_5_99_6 * C00001 * C00352)/(${Variables:E3_5_99_6_km} + (E3_5_99_6 * C00001 * C00352))</v>
      </c>
    </row>
    <row r="1231" spans="1:11" ht="45" customHeight="1" x14ac:dyDescent="0.25">
      <c r="A1231" t="s">
        <v>4893</v>
      </c>
      <c r="B1231" t="s">
        <v>4894</v>
      </c>
      <c r="C1231" s="5" t="s">
        <v>9746</v>
      </c>
      <c r="D1231">
        <f t="shared" si="76"/>
        <v>1230</v>
      </c>
      <c r="E1231" t="str">
        <f t="shared" si="77"/>
        <v>E1_13_12_16</v>
      </c>
      <c r="F1231" s="11" t="s">
        <v>14427</v>
      </c>
      <c r="G1231" s="11" t="s">
        <v>15030</v>
      </c>
      <c r="H1231" s="11" t="s">
        <v>15654</v>
      </c>
      <c r="I1231" s="11" t="s">
        <v>16275</v>
      </c>
      <c r="J1231" s="12" t="str">
        <f t="shared" si="78"/>
        <v>(${Variables:E1_13_12_16_kcat} * E1_13_12_16 * C00007 * C01847 * C18091)/(${Variables:E1_13_12_16_km} + (E1_13_12_16 * C00007 * C01847 * C18091))</v>
      </c>
      <c r="K1231" s="11" t="str">
        <f t="shared" si="79"/>
        <v>r1230: C00007 + C01847 + C18091 -&gt; C00001 + C00061 + C00084 + C00088 | (${Variables:E1_13_12_16_kcat} * E1_13_12_16 * C00007 * C01847 * C18091)/(${Variables:E1_13_12_16_km} + (E1_13_12_16 * C00007 * C01847 * C18091))</v>
      </c>
    </row>
    <row r="1232" spans="1:11" ht="45" customHeight="1" x14ac:dyDescent="0.25">
      <c r="A1232" t="s">
        <v>4908</v>
      </c>
      <c r="B1232" t="s">
        <v>4909</v>
      </c>
      <c r="C1232" s="5" t="s">
        <v>9570</v>
      </c>
      <c r="D1232">
        <f t="shared" si="76"/>
        <v>1231</v>
      </c>
      <c r="E1232" t="str">
        <f t="shared" si="77"/>
        <v>E5_3_1_8</v>
      </c>
      <c r="F1232" s="11" t="s">
        <v>8250</v>
      </c>
      <c r="G1232" s="11" t="s">
        <v>8250</v>
      </c>
      <c r="H1232" s="11" t="s">
        <v>8523</v>
      </c>
      <c r="I1232" s="11" t="s">
        <v>8523</v>
      </c>
      <c r="J1232" s="12" t="str">
        <f t="shared" si="78"/>
        <v>(${Variables:E5_3_1_8_kcat} * E5_3_1_8 * C00275)/(${Variables:E5_3_1_8_km} + (E5_3_1_8 * C00275))</v>
      </c>
      <c r="K1232" s="11" t="str">
        <f t="shared" si="79"/>
        <v>r1231: C00275 -&gt; C00085 | (${Variables:E5_3_1_8_kcat} * E5_3_1_8 * C00275)/(${Variables:E5_3_1_8_km} + (E5_3_1_8 * C00275))</v>
      </c>
    </row>
    <row r="1233" spans="1:11" ht="45" customHeight="1" x14ac:dyDescent="0.25">
      <c r="A1233" t="s">
        <v>4908</v>
      </c>
      <c r="B1233" t="s">
        <v>4909</v>
      </c>
      <c r="C1233" s="5" t="s">
        <v>9570</v>
      </c>
      <c r="D1233">
        <f t="shared" si="76"/>
        <v>1232</v>
      </c>
      <c r="E1233" t="str">
        <f t="shared" si="77"/>
        <v>E5_3_1_8</v>
      </c>
      <c r="F1233" s="11" t="s">
        <v>8250</v>
      </c>
      <c r="G1233" s="11" t="s">
        <v>8250</v>
      </c>
      <c r="H1233" s="11" t="s">
        <v>8524</v>
      </c>
      <c r="I1233" s="11" t="s">
        <v>8524</v>
      </c>
      <c r="J1233" s="12" t="str">
        <f t="shared" si="78"/>
        <v>(${Variables:E5_3_1_8_kcat} * E5_3_1_8 * C00275)/(${Variables:E5_3_1_8_km} + (E5_3_1_8 * C00275))</v>
      </c>
      <c r="K1233" s="11" t="str">
        <f t="shared" si="79"/>
        <v>r1232: C00275 -&gt; C05345 | (${Variables:E5_3_1_8_kcat} * E5_3_1_8 * C00275)/(${Variables:E5_3_1_8_km} + (E5_3_1_8 * C00275))</v>
      </c>
    </row>
    <row r="1234" spans="1:11" ht="45" customHeight="1" x14ac:dyDescent="0.25">
      <c r="A1234" t="s">
        <v>4912</v>
      </c>
      <c r="B1234" t="s">
        <v>4913</v>
      </c>
      <c r="C1234" s="5" t="s">
        <v>9747</v>
      </c>
      <c r="D1234">
        <f t="shared" si="76"/>
        <v>1233</v>
      </c>
      <c r="E1234" t="str">
        <f t="shared" si="77"/>
        <v>E5_1_3_1</v>
      </c>
      <c r="F1234" s="11" t="s">
        <v>8214</v>
      </c>
      <c r="G1234" s="11" t="s">
        <v>8214</v>
      </c>
      <c r="H1234" s="11" t="s">
        <v>8610</v>
      </c>
      <c r="I1234" s="11" t="s">
        <v>8610</v>
      </c>
      <c r="J1234" s="12" t="str">
        <f t="shared" si="78"/>
        <v>(${Variables:E5_1_3_1_kcat} * E5_1_3_1 * C00199)/(${Variables:E5_1_3_1_km} + (E5_1_3_1 * C00199))</v>
      </c>
      <c r="K1234" s="11" t="str">
        <f t="shared" si="79"/>
        <v>r1233: C00199 -&gt; C00231 | (${Variables:E5_1_3_1_kcat} * E5_1_3_1 * C00199)/(${Variables:E5_1_3_1_km} + (E5_1_3_1 * C00199))</v>
      </c>
    </row>
    <row r="1235" spans="1:11" ht="45" customHeight="1" x14ac:dyDescent="0.25">
      <c r="A1235" t="s">
        <v>4917</v>
      </c>
      <c r="B1235" t="s">
        <v>4918</v>
      </c>
      <c r="C1235" s="5" t="s">
        <v>9748</v>
      </c>
      <c r="D1235">
        <f t="shared" si="76"/>
        <v>1234</v>
      </c>
      <c r="E1235" t="str">
        <f t="shared" si="77"/>
        <v>E2_2_1_1</v>
      </c>
      <c r="F1235" s="11" t="s">
        <v>14366</v>
      </c>
      <c r="G1235" s="11" t="s">
        <v>14969</v>
      </c>
      <c r="H1235" s="11" t="s">
        <v>9156</v>
      </c>
      <c r="I1235" s="11" t="s">
        <v>9355</v>
      </c>
      <c r="J1235" s="12" t="str">
        <f t="shared" si="78"/>
        <v>(${Variables:E2_2_1_1_kcat} * E2_2_1_1 * C00118 * C05382)/(${Variables:E2_2_1_1_km} + (E2_2_1_1 * C00118 * C05382))</v>
      </c>
      <c r="K1235" s="11" t="str">
        <f t="shared" si="79"/>
        <v>r1234: C00118 + C05382 -&gt; C00117 + C00231 | (${Variables:E2_2_1_1_kcat} * E2_2_1_1 * C00118 * C05382)/(${Variables:E2_2_1_1_km} + (E2_2_1_1 * C00118 * C05382))</v>
      </c>
    </row>
    <row r="1236" spans="1:11" ht="45" customHeight="1" x14ac:dyDescent="0.25">
      <c r="A1236" t="s">
        <v>4917</v>
      </c>
      <c r="B1236" t="s">
        <v>4918</v>
      </c>
      <c r="C1236" s="5" t="s">
        <v>9748</v>
      </c>
      <c r="D1236">
        <f t="shared" si="76"/>
        <v>1235</v>
      </c>
      <c r="E1236" t="str">
        <f t="shared" si="77"/>
        <v>E2_2_1_1</v>
      </c>
      <c r="F1236" s="11" t="s">
        <v>8797</v>
      </c>
      <c r="G1236" s="11" t="s">
        <v>8963</v>
      </c>
      <c r="H1236" s="11" t="s">
        <v>15655</v>
      </c>
      <c r="I1236" s="11" t="s">
        <v>16276</v>
      </c>
      <c r="J1236" s="12" t="str">
        <f t="shared" si="78"/>
        <v>(${Variables:E2_2_1_1_kcat} * E2_2_1_1 * C00085 * C00118)/(${Variables:E2_2_1_1_km} + (E2_2_1_1 * C00085 * C00118))</v>
      </c>
      <c r="K1236" s="11" t="str">
        <f t="shared" si="79"/>
        <v>r1235: C00085 + C00118 -&gt; C00231 + C00279 | (${Variables:E2_2_1_1_kcat} * E2_2_1_1 * C00085 * C00118)/(${Variables:E2_2_1_1_km} + (E2_2_1_1 * C00085 * C00118))</v>
      </c>
    </row>
    <row r="1237" spans="1:11" ht="45" customHeight="1" x14ac:dyDescent="0.25">
      <c r="A1237" t="s">
        <v>4917</v>
      </c>
      <c r="B1237" t="s">
        <v>4918</v>
      </c>
      <c r="C1237" s="5" t="s">
        <v>9748</v>
      </c>
      <c r="D1237">
        <f t="shared" si="76"/>
        <v>1236</v>
      </c>
      <c r="E1237" t="str">
        <f t="shared" si="77"/>
        <v>E2_2_1_1</v>
      </c>
      <c r="F1237" s="11" t="s">
        <v>14428</v>
      </c>
      <c r="G1237" s="11" t="s">
        <v>15031</v>
      </c>
      <c r="H1237" s="11" t="s">
        <v>15655</v>
      </c>
      <c r="I1237" s="11" t="s">
        <v>16276</v>
      </c>
      <c r="J1237" s="12" t="str">
        <f t="shared" si="78"/>
        <v>(${Variables:E2_2_1_1_kcat} * E2_2_1_1 * C00118 * C05345)/(${Variables:E2_2_1_1_km} + (E2_2_1_1 * C00118 * C05345))</v>
      </c>
      <c r="K1237" s="11" t="str">
        <f t="shared" si="79"/>
        <v>r1236: C00118 + C05345 -&gt; C00231 + C00279 | (${Variables:E2_2_1_1_kcat} * E2_2_1_1 * C00118 * C05345)/(${Variables:E2_2_1_1_km} + (E2_2_1_1 * C00118 * C05345))</v>
      </c>
    </row>
    <row r="1238" spans="1:11" ht="45" customHeight="1" x14ac:dyDescent="0.25">
      <c r="A1238" t="s">
        <v>4917</v>
      </c>
      <c r="B1238" t="s">
        <v>4918</v>
      </c>
      <c r="C1238" s="5" t="s">
        <v>9748</v>
      </c>
      <c r="D1238">
        <f t="shared" si="76"/>
        <v>1237</v>
      </c>
      <c r="E1238" t="str">
        <f t="shared" si="77"/>
        <v>E2_2_1_1</v>
      </c>
      <c r="F1238" s="11" t="s">
        <v>14429</v>
      </c>
      <c r="G1238" s="11" t="s">
        <v>15032</v>
      </c>
      <c r="H1238" s="11" t="s">
        <v>15656</v>
      </c>
      <c r="I1238" s="11" t="s">
        <v>16277</v>
      </c>
      <c r="J1238" s="12" t="str">
        <f t="shared" si="78"/>
        <v>(${Variables:E2_2_1_1_kcat} * E2_2_1_1 * C00117 * C12214)/(${Variables:E2_2_1_1_km} + (E2_2_1_1 * C00117 * C12214))</v>
      </c>
      <c r="K1238" s="11" t="str">
        <f t="shared" si="79"/>
        <v>r1237: C00117 + C12214 -&gt; C05382 + C12215 | (${Variables:E2_2_1_1_kcat} * E2_2_1_1 * C00117 * C12214)/(${Variables:E2_2_1_1_km} + (E2_2_1_1 * C00117 * C12214))</v>
      </c>
    </row>
    <row r="1239" spans="1:11" ht="45" customHeight="1" x14ac:dyDescent="0.25">
      <c r="A1239" t="s">
        <v>4917</v>
      </c>
      <c r="B1239" t="s">
        <v>4918</v>
      </c>
      <c r="C1239" s="5" t="s">
        <v>9748</v>
      </c>
      <c r="D1239">
        <f t="shared" si="76"/>
        <v>1238</v>
      </c>
      <c r="E1239" t="str">
        <f t="shared" si="77"/>
        <v>E2_2_1_1</v>
      </c>
      <c r="F1239" s="11" t="s">
        <v>14430</v>
      </c>
      <c r="G1239" s="11" t="s">
        <v>15033</v>
      </c>
      <c r="H1239" s="11" t="s">
        <v>15657</v>
      </c>
      <c r="I1239" s="11" t="s">
        <v>16278</v>
      </c>
      <c r="J1239" s="12" t="str">
        <f t="shared" si="78"/>
        <v>(${Variables:E2_2_1_1_kcat} * E2_2_1_1 * C00068 * C00231)/(${Variables:E2_2_1_1_km} + (E2_2_1_1 * C00068 * C00231))</v>
      </c>
      <c r="K1239" s="11" t="str">
        <f t="shared" si="79"/>
        <v>r1238: C00068 + C00231 -&gt; C00118 + C13378 | (${Variables:E2_2_1_1_kcat} * E2_2_1_1 * C00068 * C00231)/(${Variables:E2_2_1_1_km} + (E2_2_1_1 * C00068 * C00231))</v>
      </c>
    </row>
    <row r="1240" spans="1:11" ht="45" customHeight="1" x14ac:dyDescent="0.25">
      <c r="A1240" t="s">
        <v>4917</v>
      </c>
      <c r="B1240" t="s">
        <v>4918</v>
      </c>
      <c r="C1240" s="5" t="s">
        <v>9748</v>
      </c>
      <c r="D1240">
        <f t="shared" si="76"/>
        <v>1239</v>
      </c>
      <c r="E1240" t="str">
        <f t="shared" si="77"/>
        <v>E2_2_1_1</v>
      </c>
      <c r="F1240" s="11" t="s">
        <v>14431</v>
      </c>
      <c r="G1240" s="11" t="s">
        <v>15034</v>
      </c>
      <c r="H1240" s="11" t="s">
        <v>15658</v>
      </c>
      <c r="I1240" s="11" t="s">
        <v>16279</v>
      </c>
      <c r="J1240" s="12" t="str">
        <f t="shared" si="78"/>
        <v>(${Variables:E2_2_1_1_kcat} * E2_2_1_1 * C00068 * C05382)/(${Variables:E2_2_1_1_km} + (E2_2_1_1 * C00068 * C05382))</v>
      </c>
      <c r="K1240" s="11" t="str">
        <f t="shared" si="79"/>
        <v>r1239: C00068 + C05382 -&gt; C00117 + C13378 | (${Variables:E2_2_1_1_kcat} * E2_2_1_1 * C00068 * C05382)/(${Variables:E2_2_1_1_km} + (E2_2_1_1 * C00068 * C05382))</v>
      </c>
    </row>
    <row r="1241" spans="1:11" ht="45" customHeight="1" x14ac:dyDescent="0.25">
      <c r="A1241" t="s">
        <v>4940</v>
      </c>
      <c r="B1241" t="s">
        <v>4941</v>
      </c>
      <c r="C1241" s="5" t="s">
        <v>9749</v>
      </c>
      <c r="D1241">
        <f t="shared" si="76"/>
        <v>1240</v>
      </c>
      <c r="E1241" t="str">
        <f t="shared" si="77"/>
        <v>E6_1_1_15</v>
      </c>
      <c r="F1241" s="11" t="s">
        <v>8798</v>
      </c>
      <c r="G1241" s="11" t="s">
        <v>8964</v>
      </c>
      <c r="H1241" s="11" t="s">
        <v>15659</v>
      </c>
      <c r="I1241" s="11" t="s">
        <v>16280</v>
      </c>
      <c r="J1241" s="12" t="str">
        <f t="shared" si="78"/>
        <v>(${Variables:E6_1_1_15_kcat} * E6_1_1_15 * C00002 * C00148 * C01649)/(${Variables:E6_1_1_15_km} + (E6_1_1_15 * C00002 * C00148 * C01649))</v>
      </c>
      <c r="K1241" s="11" t="str">
        <f t="shared" si="79"/>
        <v>r1240: C00002 + C00148 + C01649 -&gt; C00013 + C00020 + C02702 | (${Variables:E6_1_1_15_kcat} * E6_1_1_15 * C00002 * C00148 * C01649)/(${Variables:E6_1_1_15_km} + (E6_1_1_15 * C00002 * C00148 * C01649))</v>
      </c>
    </row>
    <row r="1242" spans="1:11" ht="45" customHeight="1" x14ac:dyDescent="0.25">
      <c r="A1242" t="s">
        <v>4943</v>
      </c>
      <c r="B1242" t="s">
        <v>4944</v>
      </c>
      <c r="C1242" s="5" t="s">
        <v>9750</v>
      </c>
      <c r="D1242">
        <f t="shared" si="76"/>
        <v>1241</v>
      </c>
      <c r="E1242" t="str">
        <f t="shared" si="77"/>
        <v>E5_4_2_11</v>
      </c>
      <c r="F1242" s="11" t="s">
        <v>14432</v>
      </c>
      <c r="G1242" s="11" t="s">
        <v>15035</v>
      </c>
      <c r="H1242" s="11" t="s">
        <v>9157</v>
      </c>
      <c r="I1242" s="11" t="s">
        <v>9356</v>
      </c>
      <c r="J1242" s="12" t="str">
        <f t="shared" si="78"/>
        <v>(${Variables:E5_4_2_11_kcat} * E5_4_2_11 * C00615 * C01159)/(${Variables:E5_4_2_11_km} + (E5_4_2_11 * C00615 * C01159))</v>
      </c>
      <c r="K1242" s="11" t="str">
        <f t="shared" si="79"/>
        <v>r1241: C00615 + C01159 -&gt; C00197 + C04262 | (${Variables:E5_4_2_11_kcat} * E5_4_2_11 * C00615 * C01159)/(${Variables:E5_4_2_11_km} + (E5_4_2_11 * C00615 * C01159))</v>
      </c>
    </row>
    <row r="1243" spans="1:11" ht="45" customHeight="1" x14ac:dyDescent="0.25">
      <c r="A1243" t="s">
        <v>4943</v>
      </c>
      <c r="B1243" t="s">
        <v>4944</v>
      </c>
      <c r="C1243" s="5" t="s">
        <v>9750</v>
      </c>
      <c r="D1243">
        <f t="shared" si="76"/>
        <v>1242</v>
      </c>
      <c r="E1243" t="str">
        <f t="shared" si="77"/>
        <v>E5_4_2_11</v>
      </c>
      <c r="F1243" s="11" t="s">
        <v>8089</v>
      </c>
      <c r="G1243" s="11" t="s">
        <v>8089</v>
      </c>
      <c r="H1243" s="11" t="s">
        <v>8613</v>
      </c>
      <c r="I1243" s="11" t="s">
        <v>8613</v>
      </c>
      <c r="J1243" s="12" t="str">
        <f t="shared" si="78"/>
        <v>(${Variables:E5_4_2_11_kcat} * E5_4_2_11 * C00631)/(${Variables:E5_4_2_11_km} + (E5_4_2_11 * C00631))</v>
      </c>
      <c r="K1243" s="11" t="str">
        <f t="shared" si="79"/>
        <v>r1242: C00631 -&gt; C00197 | (${Variables:E5_4_2_11_kcat} * E5_4_2_11 * C00631)/(${Variables:E5_4_2_11_km} + (E5_4_2_11 * C00631))</v>
      </c>
    </row>
    <row r="1244" spans="1:11" ht="45" customHeight="1" x14ac:dyDescent="0.25">
      <c r="A1244" t="s">
        <v>4999</v>
      </c>
      <c r="B1244" t="s">
        <v>5000</v>
      </c>
      <c r="C1244" s="5" t="s">
        <v>9751</v>
      </c>
      <c r="D1244">
        <f t="shared" si="76"/>
        <v>1243</v>
      </c>
      <c r="E1244" t="str">
        <f t="shared" si="77"/>
        <v>E2_3_1_51</v>
      </c>
      <c r="F1244" s="11" t="s">
        <v>9158</v>
      </c>
      <c r="G1244" s="11" t="s">
        <v>9357</v>
      </c>
      <c r="H1244" s="11" t="s">
        <v>15660</v>
      </c>
      <c r="I1244" s="11" t="s">
        <v>16281</v>
      </c>
      <c r="J1244" s="12" t="str">
        <f t="shared" si="78"/>
        <v>(${Variables:E2_3_1_51_kcat} * E2_3_1_51 * C00010 * C00416)/(${Variables:E2_3_1_51_km} + (E2_3_1_51 * C00010 * C00416))</v>
      </c>
      <c r="K1244" s="11" t="str">
        <f t="shared" si="79"/>
        <v>r1243: C00010 + C00416 -&gt; C00040 + C00681 | (${Variables:E2_3_1_51_kcat} * E2_3_1_51 * C00010 * C00416)/(${Variables:E2_3_1_51_km} + (E2_3_1_51 * C00010 * C00416))</v>
      </c>
    </row>
    <row r="1245" spans="1:11" ht="45" customHeight="1" x14ac:dyDescent="0.25">
      <c r="A1245" t="s">
        <v>4999</v>
      </c>
      <c r="B1245" t="s">
        <v>5000</v>
      </c>
      <c r="C1245" s="5" t="s">
        <v>9751</v>
      </c>
      <c r="D1245">
        <f t="shared" si="76"/>
        <v>1244</v>
      </c>
      <c r="E1245" t="str">
        <f t="shared" si="77"/>
        <v>E2_3_1_51</v>
      </c>
      <c r="F1245" s="11" t="s">
        <v>8799</v>
      </c>
      <c r="G1245" s="11" t="s">
        <v>8965</v>
      </c>
      <c r="H1245" s="11" t="s">
        <v>9158</v>
      </c>
      <c r="I1245" s="11" t="s">
        <v>9357</v>
      </c>
      <c r="J1245" s="12" t="str">
        <f t="shared" si="78"/>
        <v>(${Variables:E2_3_1_51_kcat} * E2_3_1_51 * C00605 * C00681)/(${Variables:E2_3_1_51_km} + (E2_3_1_51 * C00605 * C00681))</v>
      </c>
      <c r="K1245" s="11" t="str">
        <f t="shared" si="79"/>
        <v>r1244: C00605 + C00681 -&gt; C00010 + C00416 | (${Variables:E2_3_1_51_kcat} * E2_3_1_51 * C00605 * C00681)/(${Variables:E2_3_1_51_km} + (E2_3_1_51 * C00605 * C00681))</v>
      </c>
    </row>
    <row r="1246" spans="1:11" ht="45" customHeight="1" x14ac:dyDescent="0.25">
      <c r="A1246" t="s">
        <v>4999</v>
      </c>
      <c r="B1246" t="s">
        <v>5000</v>
      </c>
      <c r="C1246" s="5" t="s">
        <v>9751</v>
      </c>
      <c r="D1246">
        <f t="shared" si="76"/>
        <v>1245</v>
      </c>
      <c r="E1246" t="str">
        <f t="shared" si="77"/>
        <v>E2_3_1_51</v>
      </c>
      <c r="F1246" s="11" t="s">
        <v>8800</v>
      </c>
      <c r="G1246" s="11" t="s">
        <v>8966</v>
      </c>
      <c r="H1246" s="11" t="s">
        <v>9159</v>
      </c>
      <c r="I1246" s="11" t="s">
        <v>9358</v>
      </c>
      <c r="J1246" s="12" t="str">
        <f t="shared" si="78"/>
        <v>(${Variables:E2_3_1_51_kcat} * E2_3_1_51 * C00173 * C00681)/(${Variables:E2_3_1_51_km} + (E2_3_1_51 * C00173 * C00681))</v>
      </c>
      <c r="K1246" s="11" t="str">
        <f t="shared" si="79"/>
        <v>r1245: C00173 + C00681 -&gt; C00229 + C00416 | (${Variables:E2_3_1_51_kcat} * E2_3_1_51 * C00173 * C00681)/(${Variables:E2_3_1_51_km} + (E2_3_1_51 * C00173 * C00681))</v>
      </c>
    </row>
    <row r="1247" spans="1:11" ht="45" customHeight="1" x14ac:dyDescent="0.25">
      <c r="A1247" t="s">
        <v>5006</v>
      </c>
      <c r="B1247" t="s">
        <v>5007</v>
      </c>
      <c r="C1247" s="5" t="s">
        <v>9570</v>
      </c>
      <c r="D1247">
        <f t="shared" si="76"/>
        <v>1246</v>
      </c>
      <c r="E1247" t="str">
        <f t="shared" si="77"/>
        <v>E5_3_1_8</v>
      </c>
      <c r="F1247" s="11" t="s">
        <v>8250</v>
      </c>
      <c r="G1247" s="11" t="s">
        <v>8250</v>
      </c>
      <c r="H1247" s="11" t="s">
        <v>8523</v>
      </c>
      <c r="I1247" s="11" t="s">
        <v>8523</v>
      </c>
      <c r="J1247" s="12" t="str">
        <f t="shared" si="78"/>
        <v>(${Variables:E5_3_1_8_kcat} * E5_3_1_8 * C00275)/(${Variables:E5_3_1_8_km} + (E5_3_1_8 * C00275))</v>
      </c>
      <c r="K1247" s="11" t="str">
        <f t="shared" si="79"/>
        <v>r1246: C00275 -&gt; C00085 | (${Variables:E5_3_1_8_kcat} * E5_3_1_8 * C00275)/(${Variables:E5_3_1_8_km} + (E5_3_1_8 * C00275))</v>
      </c>
    </row>
    <row r="1248" spans="1:11" ht="45" customHeight="1" x14ac:dyDescent="0.25">
      <c r="A1248" t="s">
        <v>5006</v>
      </c>
      <c r="B1248" t="s">
        <v>5007</v>
      </c>
      <c r="C1248" s="5" t="s">
        <v>9570</v>
      </c>
      <c r="D1248">
        <f t="shared" si="76"/>
        <v>1247</v>
      </c>
      <c r="E1248" t="str">
        <f t="shared" si="77"/>
        <v>E5_3_1_8</v>
      </c>
      <c r="F1248" s="11" t="s">
        <v>8250</v>
      </c>
      <c r="G1248" s="11" t="s">
        <v>8250</v>
      </c>
      <c r="H1248" s="11" t="s">
        <v>8524</v>
      </c>
      <c r="I1248" s="11" t="s">
        <v>8524</v>
      </c>
      <c r="J1248" s="12" t="str">
        <f t="shared" si="78"/>
        <v>(${Variables:E5_3_1_8_kcat} * E5_3_1_8 * C00275)/(${Variables:E5_3_1_8_km} + (E5_3_1_8 * C00275))</v>
      </c>
      <c r="K1248" s="11" t="str">
        <f t="shared" si="79"/>
        <v>r1247: C00275 -&gt; C05345 | (${Variables:E5_3_1_8_kcat} * E5_3_1_8 * C00275)/(${Variables:E5_3_1_8_km} + (E5_3_1_8 * C00275))</v>
      </c>
    </row>
    <row r="1249" spans="1:11" ht="45" customHeight="1" x14ac:dyDescent="0.25">
      <c r="A1249" t="s">
        <v>5009</v>
      </c>
      <c r="B1249" t="s">
        <v>5010</v>
      </c>
      <c r="C1249" s="5" t="s">
        <v>9752</v>
      </c>
      <c r="D1249">
        <f t="shared" si="76"/>
        <v>1248</v>
      </c>
      <c r="E1249" t="str">
        <f t="shared" si="77"/>
        <v>E2_5_1_19</v>
      </c>
      <c r="F1249" s="11" t="s">
        <v>8801</v>
      </c>
      <c r="G1249" s="11" t="s">
        <v>8967</v>
      </c>
      <c r="H1249" s="11" t="s">
        <v>9160</v>
      </c>
      <c r="I1249" s="11" t="s">
        <v>9359</v>
      </c>
      <c r="J1249" s="12" t="str">
        <f t="shared" si="78"/>
        <v>(${Variables:E2_5_1_19_kcat} * E2_5_1_19 * C00074 * C03175)/(${Variables:E2_5_1_19_km} + (E2_5_1_19 * C00074 * C03175))</v>
      </c>
      <c r="K1249" s="11" t="str">
        <f t="shared" si="79"/>
        <v>r1248: C00074 + C03175 -&gt; C00009 + C01269 | (${Variables:E2_5_1_19_kcat} * E2_5_1_19 * C00074 * C03175)/(${Variables:E2_5_1_19_km} + (E2_5_1_19 * C00074 * C03175))</v>
      </c>
    </row>
    <row r="1250" spans="1:11" ht="45" customHeight="1" x14ac:dyDescent="0.25">
      <c r="A1250" t="s">
        <v>5012</v>
      </c>
      <c r="B1250" t="s">
        <v>5013</v>
      </c>
      <c r="C1250" s="5" t="s">
        <v>9753</v>
      </c>
      <c r="D1250">
        <f t="shared" si="76"/>
        <v>1249</v>
      </c>
      <c r="E1250" t="str">
        <f t="shared" si="77"/>
        <v>E2_7_4_25</v>
      </c>
      <c r="F1250" s="11" t="s">
        <v>8802</v>
      </c>
      <c r="G1250" s="11" t="s">
        <v>8968</v>
      </c>
      <c r="H1250" s="11" t="s">
        <v>9161</v>
      </c>
      <c r="I1250" s="11" t="s">
        <v>9360</v>
      </c>
      <c r="J1250" s="12" t="str">
        <f t="shared" si="78"/>
        <v>(${Variables:E2_7_4_25_kcat} * E2_7_4_25 * C00002 * C00055)/(${Variables:E2_7_4_25_km} + (E2_7_4_25 * C00002 * C00055))</v>
      </c>
      <c r="K1250" s="11" t="str">
        <f t="shared" si="79"/>
        <v>r1249: C00002 + C00055 -&gt; C00008 + C00112 | (${Variables:E2_7_4_25_kcat} * E2_7_4_25 * C00002 * C00055)/(${Variables:E2_7_4_25_km} + (E2_7_4_25 * C00002 * C00055))</v>
      </c>
    </row>
    <row r="1251" spans="1:11" ht="45" customHeight="1" x14ac:dyDescent="0.25">
      <c r="A1251" t="s">
        <v>5012</v>
      </c>
      <c r="B1251" t="s">
        <v>5013</v>
      </c>
      <c r="C1251" s="5" t="s">
        <v>9753</v>
      </c>
      <c r="D1251">
        <f t="shared" si="76"/>
        <v>1250</v>
      </c>
      <c r="E1251" t="str">
        <f t="shared" si="77"/>
        <v>E2_7_4_25</v>
      </c>
      <c r="F1251" s="11" t="s">
        <v>8803</v>
      </c>
      <c r="G1251" s="11" t="s">
        <v>8969</v>
      </c>
      <c r="H1251" s="11" t="s">
        <v>9162</v>
      </c>
      <c r="I1251" s="11" t="s">
        <v>9361</v>
      </c>
      <c r="J1251" s="12" t="str">
        <f t="shared" si="78"/>
        <v>(${Variables:E2_7_4_25_kcat} * E2_7_4_25 * C00002 * C00239)/(${Variables:E2_7_4_25_km} + (E2_7_4_25 * C00002 * C00239))</v>
      </c>
      <c r="K1251" s="11" t="str">
        <f t="shared" si="79"/>
        <v>r1250: C00002 + C00239 -&gt; C00008 + C00705 | (${Variables:E2_7_4_25_kcat} * E2_7_4_25 * C00002 * C00239)/(${Variables:E2_7_4_25_km} + (E2_7_4_25 * C00002 * C00239))</v>
      </c>
    </row>
    <row r="1252" spans="1:11" ht="45" customHeight="1" x14ac:dyDescent="0.25">
      <c r="A1252" t="s">
        <v>5019</v>
      </c>
      <c r="B1252" t="s">
        <v>5020</v>
      </c>
      <c r="C1252" s="5" t="s">
        <v>9508</v>
      </c>
      <c r="D1252">
        <f t="shared" si="76"/>
        <v>1251</v>
      </c>
      <c r="E1252" t="str">
        <f t="shared" si="77"/>
        <v>E1_1_1_100</v>
      </c>
      <c r="F1252" s="11" t="s">
        <v>14105</v>
      </c>
      <c r="G1252" s="11" t="s">
        <v>14708</v>
      </c>
      <c r="H1252" s="11" t="s">
        <v>15306</v>
      </c>
      <c r="I1252" s="11" t="s">
        <v>15927</v>
      </c>
      <c r="J1252" s="12" t="str">
        <f t="shared" si="78"/>
        <v>(${Variables:E1_1_1_100_kcat} * E1_1_1_100 * C00006 * C01271)/(${Variables:E1_1_1_100_km} + (E1_1_1_100 * C00006 * C01271))</v>
      </c>
      <c r="K1252" s="11" t="str">
        <f t="shared" si="79"/>
        <v>r1251: C00006 + C01271 -&gt; C00005 + C00080 + C00685 | (${Variables:E1_1_1_100_kcat} * E1_1_1_100 * C00006 * C01271)/(${Variables:E1_1_1_100_km} + (E1_1_1_100 * C00006 * C01271))</v>
      </c>
    </row>
    <row r="1253" spans="1:11" ht="45" customHeight="1" x14ac:dyDescent="0.25">
      <c r="A1253" t="s">
        <v>5019</v>
      </c>
      <c r="B1253" t="s">
        <v>5020</v>
      </c>
      <c r="C1253" s="5" t="s">
        <v>9508</v>
      </c>
      <c r="D1253">
        <f t="shared" si="76"/>
        <v>1252</v>
      </c>
      <c r="E1253" t="str">
        <f t="shared" si="77"/>
        <v>E1_1_1_100</v>
      </c>
      <c r="F1253" s="11" t="s">
        <v>14106</v>
      </c>
      <c r="G1253" s="11" t="s">
        <v>14709</v>
      </c>
      <c r="H1253" s="11" t="s">
        <v>15307</v>
      </c>
      <c r="I1253" s="11" t="s">
        <v>15928</v>
      </c>
      <c r="J1253" s="12" t="str">
        <f t="shared" si="78"/>
        <v>(${Variables:E1_1_1_100_kcat} * E1_1_1_100 * C00006 * C04618)/(${Variables:E1_1_1_100_km} + (E1_1_1_100 * C00006 * C04618))</v>
      </c>
      <c r="K1253" s="11" t="str">
        <f t="shared" si="79"/>
        <v>r1252: C00006 + C04618 -&gt; C00005 + C00080 + C05744 | (${Variables:E1_1_1_100_kcat} * E1_1_1_100 * C00006 * C04618)/(${Variables:E1_1_1_100_km} + (E1_1_1_100 * C00006 * C04618))</v>
      </c>
    </row>
    <row r="1254" spans="1:11" ht="45" customHeight="1" x14ac:dyDescent="0.25">
      <c r="A1254" t="s">
        <v>5019</v>
      </c>
      <c r="B1254" t="s">
        <v>5020</v>
      </c>
      <c r="C1254" s="5" t="s">
        <v>9508</v>
      </c>
      <c r="D1254">
        <f t="shared" si="76"/>
        <v>1253</v>
      </c>
      <c r="E1254" t="str">
        <f t="shared" si="77"/>
        <v>E1_1_1_100</v>
      </c>
      <c r="F1254" s="11" t="s">
        <v>14107</v>
      </c>
      <c r="G1254" s="11" t="s">
        <v>14710</v>
      </c>
      <c r="H1254" s="11" t="s">
        <v>15308</v>
      </c>
      <c r="I1254" s="11" t="s">
        <v>15929</v>
      </c>
      <c r="J1254" s="12" t="str">
        <f t="shared" si="78"/>
        <v>(${Variables:E1_1_1_100_kcat} * E1_1_1_100 * C00006 * C04619)/(${Variables:E1_1_1_100_km} + (E1_1_1_100 * C00006 * C04619))</v>
      </c>
      <c r="K1254" s="11" t="str">
        <f t="shared" si="79"/>
        <v>r1253: C00006 + C04619 -&gt; C00005 + C05753 | (${Variables:E1_1_1_100_kcat} * E1_1_1_100 * C00006 * C04619)/(${Variables:E1_1_1_100_km} + (E1_1_1_100 * C00006 * C04619))</v>
      </c>
    </row>
    <row r="1255" spans="1:11" ht="45" customHeight="1" x14ac:dyDescent="0.25">
      <c r="A1255" t="s">
        <v>5019</v>
      </c>
      <c r="B1255" t="s">
        <v>5020</v>
      </c>
      <c r="C1255" s="5" t="s">
        <v>9508</v>
      </c>
      <c r="D1255">
        <f t="shared" si="76"/>
        <v>1254</v>
      </c>
      <c r="E1255" t="str">
        <f t="shared" si="77"/>
        <v>E1_1_1_100</v>
      </c>
      <c r="F1255" s="11" t="s">
        <v>14108</v>
      </c>
      <c r="G1255" s="11" t="s">
        <v>14711</v>
      </c>
      <c r="H1255" s="11" t="s">
        <v>15309</v>
      </c>
      <c r="I1255" s="11" t="s">
        <v>15930</v>
      </c>
      <c r="J1255" s="12" t="str">
        <f t="shared" si="78"/>
        <v>(${Variables:E1_1_1_100_kcat} * E1_1_1_100 * C00006 * C04620)/(${Variables:E1_1_1_100_km} + (E1_1_1_100 * C00006 * C04620))</v>
      </c>
      <c r="K1255" s="11" t="str">
        <f t="shared" si="79"/>
        <v>r1254: C00006 + C04620 -&gt; C00005 + C00080 + C05750 | (${Variables:E1_1_1_100_kcat} * E1_1_1_100 * C00006 * C04620)/(${Variables:E1_1_1_100_km} + (E1_1_1_100 * C00006 * C04620))</v>
      </c>
    </row>
    <row r="1256" spans="1:11" ht="45" customHeight="1" x14ac:dyDescent="0.25">
      <c r="A1256" t="s">
        <v>5019</v>
      </c>
      <c r="B1256" t="s">
        <v>5020</v>
      </c>
      <c r="C1256" s="5" t="s">
        <v>9508</v>
      </c>
      <c r="D1256">
        <f t="shared" si="76"/>
        <v>1255</v>
      </c>
      <c r="E1256" t="str">
        <f t="shared" si="77"/>
        <v>E1_1_1_100</v>
      </c>
      <c r="F1256" s="11" t="s">
        <v>14109</v>
      </c>
      <c r="G1256" s="11" t="s">
        <v>14712</v>
      </c>
      <c r="H1256" s="11" t="s">
        <v>15310</v>
      </c>
      <c r="I1256" s="11" t="s">
        <v>15931</v>
      </c>
      <c r="J1256" s="12" t="str">
        <f t="shared" si="78"/>
        <v>(${Variables:E1_1_1_100_kcat} * E1_1_1_100 * C00006 * C04633)/(${Variables:E1_1_1_100_km} + (E1_1_1_100 * C00006 * C04633))</v>
      </c>
      <c r="K1256" s="11" t="str">
        <f t="shared" si="79"/>
        <v>r1255: C00006 + C04633 -&gt; C00005 + C00080 + C05762 | (${Variables:E1_1_1_100_kcat} * E1_1_1_100 * C00006 * C04633)/(${Variables:E1_1_1_100_km} + (E1_1_1_100 * C00006 * C04633))</v>
      </c>
    </row>
    <row r="1257" spans="1:11" ht="45" customHeight="1" x14ac:dyDescent="0.25">
      <c r="A1257" t="s">
        <v>5019</v>
      </c>
      <c r="B1257" t="s">
        <v>5020</v>
      </c>
      <c r="C1257" s="5" t="s">
        <v>9508</v>
      </c>
      <c r="D1257">
        <f t="shared" si="76"/>
        <v>1256</v>
      </c>
      <c r="E1257" t="str">
        <f t="shared" si="77"/>
        <v>E1_1_1_100</v>
      </c>
      <c r="F1257" s="11" t="s">
        <v>14110</v>
      </c>
      <c r="G1257" s="11" t="s">
        <v>14713</v>
      </c>
      <c r="H1257" s="11" t="s">
        <v>15311</v>
      </c>
      <c r="I1257" s="11" t="s">
        <v>15932</v>
      </c>
      <c r="J1257" s="12" t="str">
        <f t="shared" si="78"/>
        <v>(${Variables:E1_1_1_100_kcat} * E1_1_1_100 * C00006 * C04688)/(${Variables:E1_1_1_100_km} + (E1_1_1_100 * C00006 * C04688))</v>
      </c>
      <c r="K1257" s="11" t="str">
        <f t="shared" si="79"/>
        <v>r1256: C00006 + C04688 -&gt; C00005 + C00080 + C05759 | (${Variables:E1_1_1_100_kcat} * E1_1_1_100 * C00006 * C04688)/(${Variables:E1_1_1_100_km} + (E1_1_1_100 * C00006 * C04688))</v>
      </c>
    </row>
    <row r="1258" spans="1:11" ht="45" customHeight="1" x14ac:dyDescent="0.25">
      <c r="A1258" t="s">
        <v>5019</v>
      </c>
      <c r="B1258" t="s">
        <v>5020</v>
      </c>
      <c r="C1258" s="5" t="s">
        <v>9508</v>
      </c>
      <c r="D1258">
        <f t="shared" si="76"/>
        <v>1257</v>
      </c>
      <c r="E1258" t="str">
        <f t="shared" si="77"/>
        <v>E1_1_1_100</v>
      </c>
      <c r="F1258" s="11" t="s">
        <v>14111</v>
      </c>
      <c r="G1258" s="11" t="s">
        <v>14714</v>
      </c>
      <c r="H1258" s="11" t="s">
        <v>15312</v>
      </c>
      <c r="I1258" s="11" t="s">
        <v>15933</v>
      </c>
      <c r="J1258" s="12" t="str">
        <f t="shared" si="78"/>
        <v>(${Variables:E1_1_1_100_kcat} * E1_1_1_100 * C00006 * C05747)/(${Variables:E1_1_1_100_km} + (E1_1_1_100 * C00006 * C05747))</v>
      </c>
      <c r="K1258" s="11" t="str">
        <f t="shared" si="79"/>
        <v>r1257: C00006 + C05747 -&gt; C00005 + C00080 + C05746 | (${Variables:E1_1_1_100_kcat} * E1_1_1_100 * C00006 * C05747)/(${Variables:E1_1_1_100_km} + (E1_1_1_100 * C00006 * C05747))</v>
      </c>
    </row>
    <row r="1259" spans="1:11" ht="45" customHeight="1" x14ac:dyDescent="0.25">
      <c r="A1259" t="s">
        <v>5019</v>
      </c>
      <c r="B1259" t="s">
        <v>5020</v>
      </c>
      <c r="C1259" s="5" t="s">
        <v>9508</v>
      </c>
      <c r="D1259">
        <f t="shared" si="76"/>
        <v>1258</v>
      </c>
      <c r="E1259" t="str">
        <f t="shared" si="77"/>
        <v>E1_1_1_100</v>
      </c>
      <c r="F1259" s="11" t="s">
        <v>14112</v>
      </c>
      <c r="G1259" s="11" t="s">
        <v>14715</v>
      </c>
      <c r="H1259" s="11" t="s">
        <v>15313</v>
      </c>
      <c r="I1259" s="11" t="s">
        <v>15934</v>
      </c>
      <c r="J1259" s="12" t="str">
        <f t="shared" si="78"/>
        <v>(${Variables:E1_1_1_100_kcat} * E1_1_1_100 * C00006 * C05757)/(${Variables:E1_1_1_100_km} + (E1_1_1_100 * C00006 * C05757))</v>
      </c>
      <c r="K1259" s="11" t="str">
        <f t="shared" si="79"/>
        <v>r1258: C00006 + C05757 -&gt; C00005 + C00080 + C05756 | (${Variables:E1_1_1_100_kcat} * E1_1_1_100 * C00006 * C05757)/(${Variables:E1_1_1_100_km} + (E1_1_1_100 * C00006 * C05757))</v>
      </c>
    </row>
    <row r="1260" spans="1:11" ht="45" customHeight="1" x14ac:dyDescent="0.25">
      <c r="A1260" t="s">
        <v>5019</v>
      </c>
      <c r="B1260" t="s">
        <v>5020</v>
      </c>
      <c r="C1260" s="5" t="s">
        <v>9508</v>
      </c>
      <c r="D1260">
        <f t="shared" si="76"/>
        <v>1259</v>
      </c>
      <c r="E1260" t="str">
        <f t="shared" si="77"/>
        <v>E1_1_1_100</v>
      </c>
      <c r="F1260" s="11" t="s">
        <v>14113</v>
      </c>
      <c r="G1260" s="11" t="s">
        <v>14716</v>
      </c>
      <c r="H1260" s="11" t="s">
        <v>15314</v>
      </c>
      <c r="I1260" s="11" t="s">
        <v>15935</v>
      </c>
      <c r="J1260" s="12" t="str">
        <f t="shared" si="78"/>
        <v>(${Variables:E1_1_1_100_kcat} * E1_1_1_100 * C00005 * C00080 * C16219)/(${Variables:E1_1_1_100_km} + (E1_1_1_100 * C00005 * C00080 * C16219))</v>
      </c>
      <c r="K1260" s="11" t="str">
        <f t="shared" si="79"/>
        <v>r1259: C00005 + C00080 + C16219 -&gt; C00006 + C16220 | (${Variables:E1_1_1_100_kcat} * E1_1_1_100 * C00005 * C00080 * C16219)/(${Variables:E1_1_1_100_km} + (E1_1_1_100 * C00005 * C00080 * C16219))</v>
      </c>
    </row>
    <row r="1261" spans="1:11" ht="45" customHeight="1" x14ac:dyDescent="0.25">
      <c r="A1261" t="s">
        <v>5019</v>
      </c>
      <c r="B1261" t="s">
        <v>5020</v>
      </c>
      <c r="C1261" s="5" t="s">
        <v>9508</v>
      </c>
      <c r="D1261">
        <f t="shared" si="76"/>
        <v>1260</v>
      </c>
      <c r="E1261" t="str">
        <f t="shared" si="77"/>
        <v>E1_1_1_100</v>
      </c>
      <c r="F1261" s="11" t="s">
        <v>14114</v>
      </c>
      <c r="G1261" s="11" t="s">
        <v>14717</v>
      </c>
      <c r="H1261" s="11" t="s">
        <v>15315</v>
      </c>
      <c r="I1261" s="11" t="s">
        <v>15936</v>
      </c>
      <c r="J1261" s="12" t="str">
        <f t="shared" si="78"/>
        <v>(${Variables:E1_1_1_100_kcat} * E1_1_1_100 * C00005 * C00080 * C20372)/(${Variables:E1_1_1_100_km} + (E1_1_1_100 * C00005 * C00080 * C20372))</v>
      </c>
      <c r="K1261" s="11" t="str">
        <f t="shared" si="79"/>
        <v>r1260: C00005 + C00080 + C20372 -&gt; C00006 + C20373 | (${Variables:E1_1_1_100_kcat} * E1_1_1_100 * C00005 * C00080 * C20372)/(${Variables:E1_1_1_100_km} + (E1_1_1_100 * C00005 * C00080 * C20372))</v>
      </c>
    </row>
    <row r="1262" spans="1:11" ht="45" customHeight="1" x14ac:dyDescent="0.25">
      <c r="A1262" t="s">
        <v>5019</v>
      </c>
      <c r="B1262" t="s">
        <v>5020</v>
      </c>
      <c r="C1262" s="5" t="s">
        <v>9508</v>
      </c>
      <c r="D1262">
        <f t="shared" si="76"/>
        <v>1261</v>
      </c>
      <c r="E1262" t="str">
        <f t="shared" si="77"/>
        <v>E1_1_1_100</v>
      </c>
      <c r="F1262" s="11" t="s">
        <v>14115</v>
      </c>
      <c r="G1262" s="11" t="s">
        <v>14718</v>
      </c>
      <c r="H1262" s="11" t="s">
        <v>15316</v>
      </c>
      <c r="I1262" s="11" t="s">
        <v>15937</v>
      </c>
      <c r="J1262" s="12" t="str">
        <f t="shared" si="78"/>
        <v>(${Variables:E1_1_1_100_kcat} * E1_1_1_100 * C00005 * C00080 * C20376)/(${Variables:E1_1_1_100_km} + (E1_1_1_100 * C00005 * C00080 * C20376))</v>
      </c>
      <c r="K1262" s="11" t="str">
        <f t="shared" si="79"/>
        <v>r1261: C00005 + C00080 + C20376 -&gt; C00006 + C20377 | (${Variables:E1_1_1_100_kcat} * E1_1_1_100 * C00005 * C00080 * C20376)/(${Variables:E1_1_1_100_km} + (E1_1_1_100 * C00005 * C00080 * C20376))</v>
      </c>
    </row>
    <row r="1263" spans="1:11" ht="45" customHeight="1" x14ac:dyDescent="0.25">
      <c r="A1263" t="s">
        <v>5023</v>
      </c>
      <c r="B1263" t="s">
        <v>5024</v>
      </c>
      <c r="C1263" s="5" t="s">
        <v>9577</v>
      </c>
      <c r="D1263">
        <f t="shared" si="76"/>
        <v>1262</v>
      </c>
      <c r="E1263" t="str">
        <f t="shared" si="77"/>
        <v>E2_7_1_4</v>
      </c>
      <c r="F1263" s="11" t="s">
        <v>8732</v>
      </c>
      <c r="G1263" s="11" t="s">
        <v>8898</v>
      </c>
      <c r="H1263" s="11" t="s">
        <v>9091</v>
      </c>
      <c r="I1263" s="11" t="s">
        <v>9290</v>
      </c>
      <c r="J1263" s="12" t="str">
        <f t="shared" si="78"/>
        <v>(${Variables:E2_7_1_4_kcat} * E2_7_1_4 * C00002 * C00095)/(${Variables:E2_7_1_4_km} + (E2_7_1_4 * C00002 * C00095))</v>
      </c>
      <c r="K1263" s="11" t="str">
        <f t="shared" si="79"/>
        <v>r1262: C00002 + C00095 -&gt; C00008 + C00085 | (${Variables:E2_7_1_4_kcat} * E2_7_1_4 * C00002 * C00095)/(${Variables:E2_7_1_4_km} + (E2_7_1_4 * C00002 * C00095))</v>
      </c>
    </row>
    <row r="1264" spans="1:11" ht="45" customHeight="1" x14ac:dyDescent="0.25">
      <c r="A1264" t="s">
        <v>5023</v>
      </c>
      <c r="B1264" t="s">
        <v>5024</v>
      </c>
      <c r="C1264" s="5" t="s">
        <v>9577</v>
      </c>
      <c r="D1264">
        <f t="shared" si="76"/>
        <v>1263</v>
      </c>
      <c r="E1264" t="str">
        <f t="shared" si="77"/>
        <v>E2_7_1_4</v>
      </c>
      <c r="F1264" s="11" t="s">
        <v>8732</v>
      </c>
      <c r="G1264" s="11" t="s">
        <v>8898</v>
      </c>
      <c r="H1264" s="11" t="s">
        <v>9092</v>
      </c>
      <c r="I1264" s="11" t="s">
        <v>9291</v>
      </c>
      <c r="J1264" s="12" t="str">
        <f t="shared" si="78"/>
        <v>(${Variables:E2_7_1_4_kcat} * E2_7_1_4 * C00002 * C00095)/(${Variables:E2_7_1_4_km} + (E2_7_1_4 * C00002 * C00095))</v>
      </c>
      <c r="K1264" s="11" t="str">
        <f t="shared" si="79"/>
        <v>r1263: C00002 + C00095 -&gt; C00008 + C05345 | (${Variables:E2_7_1_4_kcat} * E2_7_1_4 * C00002 * C00095)/(${Variables:E2_7_1_4_km} + (E2_7_1_4 * C00002 * C00095))</v>
      </c>
    </row>
    <row r="1265" spans="1:11" ht="45" customHeight="1" x14ac:dyDescent="0.25">
      <c r="A1265" t="s">
        <v>5023</v>
      </c>
      <c r="B1265" t="s">
        <v>5024</v>
      </c>
      <c r="C1265" s="5" t="s">
        <v>9577</v>
      </c>
      <c r="D1265">
        <f t="shared" si="76"/>
        <v>1264</v>
      </c>
      <c r="E1265" t="str">
        <f t="shared" si="77"/>
        <v>E2_7_1_4</v>
      </c>
      <c r="F1265" s="11" t="s">
        <v>8733</v>
      </c>
      <c r="G1265" s="11" t="s">
        <v>8899</v>
      </c>
      <c r="H1265" s="11" t="s">
        <v>9092</v>
      </c>
      <c r="I1265" s="11" t="s">
        <v>9291</v>
      </c>
      <c r="J1265" s="12" t="str">
        <f t="shared" si="78"/>
        <v>(${Variables:E2_7_1_4_kcat} * E2_7_1_4 * C00002 * C02336)/(${Variables:E2_7_1_4_km} + (E2_7_1_4 * C00002 * C02336))</v>
      </c>
      <c r="K1265" s="11" t="str">
        <f t="shared" si="79"/>
        <v>r1264: C00002 + C02336 -&gt; C00008 + C05345 | (${Variables:E2_7_1_4_kcat} * E2_7_1_4 * C00002 * C02336)/(${Variables:E2_7_1_4_km} + (E2_7_1_4 * C00002 * C02336))</v>
      </c>
    </row>
    <row r="1266" spans="1:11" ht="45" customHeight="1" x14ac:dyDescent="0.25">
      <c r="A1266" t="s">
        <v>5079</v>
      </c>
      <c r="B1266" t="s">
        <v>5080</v>
      </c>
      <c r="C1266" s="5" t="s">
        <v>9754</v>
      </c>
      <c r="D1266">
        <f t="shared" si="76"/>
        <v>1265</v>
      </c>
      <c r="E1266" t="str">
        <f t="shared" si="77"/>
        <v>E1_4_1_13</v>
      </c>
      <c r="F1266" s="11" t="s">
        <v>14433</v>
      </c>
      <c r="G1266" s="11" t="s">
        <v>15036</v>
      </c>
      <c r="H1266" s="11" t="s">
        <v>15661</v>
      </c>
      <c r="I1266" s="11" t="s">
        <v>16282</v>
      </c>
      <c r="J1266" s="12" t="str">
        <f t="shared" si="78"/>
        <v>(${Variables:E1_4_1_13_kcat} * E1_4_1_13 * C00006 * C00025)/(${Variables:E1_4_1_13_km} + (E1_4_1_13 * C00006 * C00025))</v>
      </c>
      <c r="K1266" s="11" t="str">
        <f t="shared" si="79"/>
        <v>r1265: C00006 + C00025 -&gt; C00005 + C00026 + C00064 + C00080 | (${Variables:E1_4_1_13_kcat} * E1_4_1_13 * C00006 * C00025)/(${Variables:E1_4_1_13_km} + (E1_4_1_13 * C00006 * C00025))</v>
      </c>
    </row>
    <row r="1267" spans="1:11" ht="45" customHeight="1" x14ac:dyDescent="0.25">
      <c r="A1267" t="s">
        <v>5079</v>
      </c>
      <c r="B1267" t="s">
        <v>5080</v>
      </c>
      <c r="C1267" s="5" t="s">
        <v>9754</v>
      </c>
      <c r="D1267">
        <f t="shared" si="76"/>
        <v>1266</v>
      </c>
      <c r="E1267" t="str">
        <f t="shared" si="77"/>
        <v>E1_4_1_13</v>
      </c>
      <c r="F1267" s="11" t="s">
        <v>14434</v>
      </c>
      <c r="G1267" s="11" t="s">
        <v>15037</v>
      </c>
      <c r="H1267" s="11" t="s">
        <v>15662</v>
      </c>
      <c r="I1267" s="11" t="s">
        <v>16283</v>
      </c>
      <c r="J1267" s="12" t="str">
        <f t="shared" si="78"/>
        <v>(${Variables:E1_4_1_13_kcat} * E1_4_1_13 * C00001 * C00006 * C00025)/(${Variables:E1_4_1_13_km} + (E1_4_1_13 * C00001 * C00006 * C00025))</v>
      </c>
      <c r="K1267" s="11" t="str">
        <f t="shared" si="79"/>
        <v>r1266: C00001 + C00006 + C00025 -&gt; C00005 + C00014 + C00026 + C00080 | (${Variables:E1_4_1_13_kcat} * E1_4_1_13 * C00001 * C00006 * C00025)/(${Variables:E1_4_1_13_km} + (E1_4_1_13 * C00001 * C00006 * C00025))</v>
      </c>
    </row>
    <row r="1268" spans="1:11" ht="45" customHeight="1" x14ac:dyDescent="0.25">
      <c r="A1268" t="s">
        <v>5079</v>
      </c>
      <c r="B1268" t="s">
        <v>5080</v>
      </c>
      <c r="C1268" s="5" t="s">
        <v>9754</v>
      </c>
      <c r="D1268">
        <f t="shared" si="76"/>
        <v>1267</v>
      </c>
      <c r="E1268" t="str">
        <f t="shared" si="77"/>
        <v>E1_4_1_13</v>
      </c>
      <c r="F1268" s="11" t="s">
        <v>14005</v>
      </c>
      <c r="G1268" s="11" t="s">
        <v>14608</v>
      </c>
      <c r="H1268" s="11" t="s">
        <v>15213</v>
      </c>
      <c r="I1268" s="11" t="s">
        <v>15834</v>
      </c>
      <c r="J1268" s="12" t="str">
        <f t="shared" si="78"/>
        <v>(${Variables:E1_4_1_13_kcat} * E1_4_1_13 * C00001 * C00064)/(${Variables:E1_4_1_13_km} + (E1_4_1_13 * C00001 * C00064))</v>
      </c>
      <c r="K1268" s="11" t="str">
        <f t="shared" si="79"/>
        <v>r1267: C00001 + C00064 -&gt; C00014 + C00025 | (${Variables:E1_4_1_13_kcat} * E1_4_1_13 * C00001 * C00064)/(${Variables:E1_4_1_13_km} + (E1_4_1_13 * C00001 * C00064))</v>
      </c>
    </row>
    <row r="1269" spans="1:11" ht="45" customHeight="1" x14ac:dyDescent="0.25">
      <c r="A1269" t="s">
        <v>5085</v>
      </c>
      <c r="B1269" t="s">
        <v>5086</v>
      </c>
      <c r="C1269" s="5" t="s">
        <v>9395</v>
      </c>
      <c r="D1269">
        <f t="shared" si="76"/>
        <v>1268</v>
      </c>
      <c r="E1269" t="str">
        <f t="shared" si="77"/>
        <v>E1_1_1_205</v>
      </c>
      <c r="F1269" s="11" t="s">
        <v>13963</v>
      </c>
      <c r="G1269" s="11" t="s">
        <v>14566</v>
      </c>
      <c r="H1269" s="11" t="s">
        <v>15154</v>
      </c>
      <c r="I1269" s="11" t="s">
        <v>15775</v>
      </c>
      <c r="J1269" s="12" t="str">
        <f t="shared" si="78"/>
        <v>(${Variables:E1_1_1_205_kcat} * E1_1_1_205 * C00001 * C00003 * C00130)/(${Variables:E1_1_1_205_km} + (E1_1_1_205 * C00001 * C00003 * C00130))</v>
      </c>
      <c r="K1269" s="11" t="str">
        <f t="shared" si="79"/>
        <v>r1268: C00001 + C00003 + C00130 -&gt; C00004 + C00080 + C00655 | (${Variables:E1_1_1_205_kcat} * E1_1_1_205 * C00001 * C00003 * C00130)/(${Variables:E1_1_1_205_km} + (E1_1_1_205 * C00001 * C00003 * C00130))</v>
      </c>
    </row>
    <row r="1270" spans="1:11" ht="45" customHeight="1" x14ac:dyDescent="0.25">
      <c r="A1270" t="s">
        <v>5085</v>
      </c>
      <c r="B1270" t="s">
        <v>5086</v>
      </c>
      <c r="C1270" s="5" t="s">
        <v>9395</v>
      </c>
      <c r="D1270">
        <f t="shared" si="76"/>
        <v>1269</v>
      </c>
      <c r="E1270" t="str">
        <f t="shared" si="77"/>
        <v>E1_1_1_205</v>
      </c>
      <c r="F1270" s="11" t="s">
        <v>13964</v>
      </c>
      <c r="G1270" s="11" t="s">
        <v>14567</v>
      </c>
      <c r="H1270" s="11" t="s">
        <v>15155</v>
      </c>
      <c r="I1270" s="11" t="s">
        <v>15776</v>
      </c>
      <c r="J1270" s="12" t="str">
        <f t="shared" si="78"/>
        <v>(${Variables:E1_1_1_205_kcat} * E1_1_1_205 * C00001 * C00003 * C04646)/(${Variables:E1_1_1_205_km} + (E1_1_1_205 * C00001 * C00003 * C04646))</v>
      </c>
      <c r="K1270" s="11" t="str">
        <f t="shared" si="79"/>
        <v>r1269: C00001 + C00003 + C04646 -&gt; C00004 + C00080 + C16618 | (${Variables:E1_1_1_205_kcat} * E1_1_1_205 * C00001 * C00003 * C04646)/(${Variables:E1_1_1_205_km} + (E1_1_1_205 * C00001 * C00003 * C04646))</v>
      </c>
    </row>
    <row r="1271" spans="1:11" ht="45" customHeight="1" x14ac:dyDescent="0.25">
      <c r="A1271" t="s">
        <v>5115</v>
      </c>
      <c r="B1271" t="s">
        <v>5116</v>
      </c>
      <c r="C1271" s="5" t="s">
        <v>9755</v>
      </c>
      <c r="D1271">
        <f t="shared" si="76"/>
        <v>1270</v>
      </c>
      <c r="E1271" t="str">
        <f t="shared" si="77"/>
        <v>E2_5_1_7</v>
      </c>
      <c r="F1271" s="11" t="s">
        <v>14435</v>
      </c>
      <c r="G1271" s="11" t="s">
        <v>15038</v>
      </c>
      <c r="H1271" s="11" t="s">
        <v>15663</v>
      </c>
      <c r="I1271" s="11" t="s">
        <v>16284</v>
      </c>
      <c r="J1271" s="12" t="str">
        <f t="shared" si="78"/>
        <v>(${Variables:E2_5_1_7_kcat} * E2_5_1_7 * C00043 * C00074)/(${Variables:E2_5_1_7_km} + (E2_5_1_7 * C00043 * C00074))</v>
      </c>
      <c r="K1271" s="11" t="str">
        <f t="shared" si="79"/>
        <v>r1270: C00043 + C00074 -&gt; C00009 + C04631 | (${Variables:E2_5_1_7_kcat} * E2_5_1_7 * C00043 * C00074)/(${Variables:E2_5_1_7_km} + (E2_5_1_7 * C00043 * C00074))</v>
      </c>
    </row>
    <row r="1272" spans="1:11" ht="45" customHeight="1" x14ac:dyDescent="0.25">
      <c r="A1272" t="s">
        <v>5135</v>
      </c>
      <c r="B1272" t="s">
        <v>5136</v>
      </c>
      <c r="C1272" s="5" t="s">
        <v>9756</v>
      </c>
      <c r="D1272">
        <f t="shared" si="76"/>
        <v>1271</v>
      </c>
      <c r="E1272" t="str">
        <f t="shared" si="77"/>
        <v>E1_1_1_140</v>
      </c>
      <c r="F1272" s="11" t="s">
        <v>14436</v>
      </c>
      <c r="G1272" s="11" t="s">
        <v>15039</v>
      </c>
      <c r="H1272" s="11" t="s">
        <v>15664</v>
      </c>
      <c r="I1272" s="11" t="s">
        <v>16285</v>
      </c>
      <c r="J1272" s="12" t="str">
        <f t="shared" si="78"/>
        <v>(${Variables:E1_1_1_140_kcat} * E1_1_1_140 * C00003 * C01096)/(${Variables:E1_1_1_140_km} + (E1_1_1_140 * C00003 * C01096))</v>
      </c>
      <c r="K1272" s="11" t="str">
        <f t="shared" si="79"/>
        <v>r1271: C00003 + C01096 -&gt; C00004 + C00080 + C00085 | (${Variables:E1_1_1_140_kcat} * E1_1_1_140 * C00003 * C01096)/(${Variables:E1_1_1_140_km} + (E1_1_1_140 * C00003 * C01096))</v>
      </c>
    </row>
    <row r="1273" spans="1:11" ht="45" customHeight="1" x14ac:dyDescent="0.25">
      <c r="A1273" t="s">
        <v>5135</v>
      </c>
      <c r="B1273" t="s">
        <v>5136</v>
      </c>
      <c r="C1273" s="5" t="s">
        <v>9756</v>
      </c>
      <c r="D1273">
        <f t="shared" si="76"/>
        <v>1272</v>
      </c>
      <c r="E1273" t="str">
        <f t="shared" si="77"/>
        <v>E1_1_1_140</v>
      </c>
      <c r="F1273" s="11" t="s">
        <v>14436</v>
      </c>
      <c r="G1273" s="11" t="s">
        <v>15039</v>
      </c>
      <c r="H1273" s="11" t="s">
        <v>15665</v>
      </c>
      <c r="I1273" s="11" t="s">
        <v>16286</v>
      </c>
      <c r="J1273" s="12" t="str">
        <f t="shared" si="78"/>
        <v>(${Variables:E1_1_1_140_kcat} * E1_1_1_140 * C00003 * C01096)/(${Variables:E1_1_1_140_km} + (E1_1_1_140 * C00003 * C01096))</v>
      </c>
      <c r="K1273" s="11" t="str">
        <f t="shared" si="79"/>
        <v>r1272: C00003 + C01096 -&gt; C00004 + C00080 + C05345 | (${Variables:E1_1_1_140_kcat} * E1_1_1_140 * C00003 * C01096)/(${Variables:E1_1_1_140_km} + (E1_1_1_140 * C00003 * C01096))</v>
      </c>
    </row>
    <row r="1274" spans="1:11" ht="45" customHeight="1" x14ac:dyDescent="0.25">
      <c r="A1274" t="s">
        <v>5146</v>
      </c>
      <c r="B1274" t="s">
        <v>5147</v>
      </c>
      <c r="C1274" s="5" t="s">
        <v>9757</v>
      </c>
      <c r="D1274">
        <f t="shared" si="76"/>
        <v>1273</v>
      </c>
      <c r="E1274" t="str">
        <f t="shared" si="77"/>
        <v>E3_5_4_13</v>
      </c>
      <c r="F1274" s="11" t="s">
        <v>14437</v>
      </c>
      <c r="G1274" s="11" t="s">
        <v>15040</v>
      </c>
      <c r="H1274" s="11" t="s">
        <v>15666</v>
      </c>
      <c r="I1274" s="11" t="s">
        <v>16287</v>
      </c>
      <c r="J1274" s="12" t="str">
        <f t="shared" si="78"/>
        <v>(${Variables:E3_5_4_13_kcat} * E3_5_4_13 * C00001 * C00458)/(${Variables:E3_5_4_13_km} + (E3_5_4_13 * C00001 * C00458))</v>
      </c>
      <c r="K1274" s="11" t="str">
        <f t="shared" si="79"/>
        <v>r1273: C00001 + C00458 -&gt; C00014 + C00460 | (${Variables:E3_5_4_13_kcat} * E3_5_4_13 * C00001 * C00458)/(${Variables:E3_5_4_13_km} + (E3_5_4_13 * C00001 * C00458))</v>
      </c>
    </row>
    <row r="1275" spans="1:11" ht="45" customHeight="1" x14ac:dyDescent="0.25">
      <c r="A1275" t="s">
        <v>5149</v>
      </c>
      <c r="B1275" t="s">
        <v>5150</v>
      </c>
      <c r="C1275" s="5" t="s">
        <v>9391</v>
      </c>
      <c r="D1275">
        <f t="shared" si="76"/>
        <v>1274</v>
      </c>
      <c r="E1275" t="str">
        <f t="shared" si="77"/>
        <v>E5_2_1_8</v>
      </c>
      <c r="F1275" s="11" t="s">
        <v>8094</v>
      </c>
      <c r="G1275" s="11" t="s">
        <v>8094</v>
      </c>
      <c r="H1275" s="11" t="s">
        <v>8395</v>
      </c>
      <c r="I1275" s="11" t="s">
        <v>8395</v>
      </c>
      <c r="J1275" s="12" t="str">
        <f t="shared" si="78"/>
        <v>(${Variables:E5_2_1_8_kcat} * E5_2_1_8 * C03798)/(${Variables:E5_2_1_8_km} + (E5_2_1_8 * C03798))</v>
      </c>
      <c r="K1275" s="11" t="str">
        <f t="shared" si="79"/>
        <v>r1274: C03798 -&gt; C03633 | (${Variables:E5_2_1_8_kcat} * E5_2_1_8 * C03798)/(${Variables:E5_2_1_8_km} + (E5_2_1_8 * C03798))</v>
      </c>
    </row>
    <row r="1276" spans="1:11" ht="45" customHeight="1" x14ac:dyDescent="0.25">
      <c r="A1276" t="s">
        <v>5152</v>
      </c>
      <c r="B1276" t="s">
        <v>5153</v>
      </c>
      <c r="C1276" s="5" t="s">
        <v>9758</v>
      </c>
      <c r="D1276">
        <f t="shared" si="76"/>
        <v>1275</v>
      </c>
      <c r="E1276" t="str">
        <f t="shared" si="77"/>
        <v>E2_4_2_17</v>
      </c>
      <c r="F1276" s="11" t="s">
        <v>14438</v>
      </c>
      <c r="G1276" s="11" t="s">
        <v>15041</v>
      </c>
      <c r="H1276" s="11" t="s">
        <v>9163</v>
      </c>
      <c r="I1276" s="11" t="s">
        <v>9362</v>
      </c>
      <c r="J1276" s="12" t="str">
        <f t="shared" si="78"/>
        <v>(${Variables:E2_4_2_17_kcat} * E2_4_2_17 * C00013 * C02739)/(${Variables:E2_4_2_17_km} + (E2_4_2_17 * C00013 * C02739))</v>
      </c>
      <c r="K1276" s="11" t="str">
        <f t="shared" si="79"/>
        <v>r1275: C00013 + C02739 -&gt; C00002 + C00119 | (${Variables:E2_4_2_17_kcat} * E2_4_2_17 * C00013 * C02739)/(${Variables:E2_4_2_17_km} + (E2_4_2_17 * C00013 * C02739))</v>
      </c>
    </row>
    <row r="1277" spans="1:11" ht="45" customHeight="1" x14ac:dyDescent="0.25">
      <c r="A1277" t="s">
        <v>5155</v>
      </c>
      <c r="B1277" t="s">
        <v>5156</v>
      </c>
      <c r="C1277" s="5" t="s">
        <v>9758</v>
      </c>
      <c r="D1277">
        <f t="shared" si="76"/>
        <v>1276</v>
      </c>
      <c r="E1277" t="str">
        <f t="shared" si="77"/>
        <v>E2_4_2_17</v>
      </c>
      <c r="F1277" s="11" t="s">
        <v>14438</v>
      </c>
      <c r="G1277" s="11" t="s">
        <v>15041</v>
      </c>
      <c r="H1277" s="11" t="s">
        <v>9163</v>
      </c>
      <c r="I1277" s="11" t="s">
        <v>9362</v>
      </c>
      <c r="J1277" s="12" t="str">
        <f t="shared" si="78"/>
        <v>(${Variables:E2_4_2_17_kcat} * E2_4_2_17 * C00013 * C02739)/(${Variables:E2_4_2_17_km} + (E2_4_2_17 * C00013 * C02739))</v>
      </c>
      <c r="K1277" s="11" t="str">
        <f t="shared" si="79"/>
        <v>r1276: C00013 + C02739 -&gt; C00002 + C00119 | (${Variables:E2_4_2_17_kcat} * E2_4_2_17 * C00013 * C02739)/(${Variables:E2_4_2_17_km} + (E2_4_2_17 * C00013 * C02739))</v>
      </c>
    </row>
    <row r="1278" spans="1:11" ht="45" customHeight="1" x14ac:dyDescent="0.25">
      <c r="A1278" t="s">
        <v>5158</v>
      </c>
      <c r="B1278" t="s">
        <v>5159</v>
      </c>
      <c r="C1278" s="5" t="s">
        <v>9759</v>
      </c>
      <c r="D1278">
        <f t="shared" si="76"/>
        <v>1277</v>
      </c>
      <c r="E1278" t="str">
        <f t="shared" si="77"/>
        <v>E2_1_1_34</v>
      </c>
      <c r="F1278" s="11" t="s">
        <v>8748</v>
      </c>
      <c r="G1278" s="11" t="s">
        <v>8914</v>
      </c>
      <c r="H1278" s="11" t="s">
        <v>9164</v>
      </c>
      <c r="I1278" s="11" t="s">
        <v>9363</v>
      </c>
      <c r="J1278" s="12" t="str">
        <f t="shared" si="78"/>
        <v>(${Variables:E2_1_1_34_kcat} * E2_1_1_34 * C00019 * C01977)/(${Variables:E2_1_1_34_km} + (E2_1_1_34 * C00019 * C01977))</v>
      </c>
      <c r="K1278" s="11" t="str">
        <f t="shared" si="79"/>
        <v>r1277: C00019 + C01977 -&gt; C00021 + C04545 | (${Variables:E2_1_1_34_kcat} * E2_1_1_34 * C00019 * C01977)/(${Variables:E2_1_1_34_km} + (E2_1_1_34 * C00019 * C01977))</v>
      </c>
    </row>
    <row r="1279" spans="1:11" ht="45" customHeight="1" x14ac:dyDescent="0.25">
      <c r="A1279" t="s">
        <v>5165</v>
      </c>
      <c r="B1279" t="s">
        <v>5166</v>
      </c>
      <c r="C1279" s="5" t="s">
        <v>9760</v>
      </c>
      <c r="D1279">
        <f t="shared" si="76"/>
        <v>1278</v>
      </c>
      <c r="E1279" t="str">
        <f t="shared" si="77"/>
        <v>E2_6_1_42</v>
      </c>
      <c r="F1279" s="11" t="s">
        <v>14439</v>
      </c>
      <c r="G1279" s="11" t="s">
        <v>15042</v>
      </c>
      <c r="H1279" s="11" t="s">
        <v>15667</v>
      </c>
      <c r="I1279" s="11" t="s">
        <v>16288</v>
      </c>
      <c r="J1279" s="12" t="str">
        <f t="shared" si="78"/>
        <v>(${Variables:E2_6_1_42_kcat} * E2_6_1_42 * C00026 * C00123)/(${Variables:E2_6_1_42_km} + (E2_6_1_42 * C00026 * C00123))</v>
      </c>
      <c r="K1279" s="11" t="str">
        <f t="shared" si="79"/>
        <v>r1278: C00026 + C00123 -&gt; C00025 + C00233 | (${Variables:E2_6_1_42_kcat} * E2_6_1_42 * C00026 * C00123)/(${Variables:E2_6_1_42_km} + (E2_6_1_42 * C00026 * C00123))</v>
      </c>
    </row>
    <row r="1280" spans="1:11" ht="45" customHeight="1" x14ac:dyDescent="0.25">
      <c r="A1280" t="s">
        <v>5165</v>
      </c>
      <c r="B1280" t="s">
        <v>5166</v>
      </c>
      <c r="C1280" s="5" t="s">
        <v>9760</v>
      </c>
      <c r="D1280">
        <f t="shared" si="76"/>
        <v>1279</v>
      </c>
      <c r="E1280" t="str">
        <f t="shared" si="77"/>
        <v>E2_6_1_42</v>
      </c>
      <c r="F1280" s="11" t="s">
        <v>14440</v>
      </c>
      <c r="G1280" s="11" t="s">
        <v>15043</v>
      </c>
      <c r="H1280" s="11" t="s">
        <v>15668</v>
      </c>
      <c r="I1280" s="11" t="s">
        <v>16289</v>
      </c>
      <c r="J1280" s="12" t="str">
        <f t="shared" si="78"/>
        <v>(${Variables:E2_6_1_42_kcat} * E2_6_1_42 * C00026 * C00183)/(${Variables:E2_6_1_42_km} + (E2_6_1_42 * C00026 * C00183))</v>
      </c>
      <c r="K1280" s="11" t="str">
        <f t="shared" si="79"/>
        <v>r1279: C00026 + C00183 -&gt; C00025 + C00141 | (${Variables:E2_6_1_42_kcat} * E2_6_1_42 * C00026 * C00183)/(${Variables:E2_6_1_42_km} + (E2_6_1_42 * C00026 * C00183))</v>
      </c>
    </row>
    <row r="1281" spans="1:11" ht="45" customHeight="1" x14ac:dyDescent="0.25">
      <c r="A1281" t="s">
        <v>5165</v>
      </c>
      <c r="B1281" t="s">
        <v>5166</v>
      </c>
      <c r="C1281" s="5" t="s">
        <v>9760</v>
      </c>
      <c r="D1281">
        <f t="shared" si="76"/>
        <v>1280</v>
      </c>
      <c r="E1281" t="str">
        <f t="shared" si="77"/>
        <v>E2_6_1_42</v>
      </c>
      <c r="F1281" s="11" t="s">
        <v>14441</v>
      </c>
      <c r="G1281" s="11" t="s">
        <v>15044</v>
      </c>
      <c r="H1281" s="11" t="s">
        <v>15669</v>
      </c>
      <c r="I1281" s="11" t="s">
        <v>16290</v>
      </c>
      <c r="J1281" s="12" t="str">
        <f t="shared" si="78"/>
        <v>(${Variables:E2_6_1_42_kcat} * E2_6_1_42 * C00026 * C00407)/(${Variables:E2_6_1_42_km} + (E2_6_1_42 * C00026 * C00407))</v>
      </c>
      <c r="K1281" s="11" t="str">
        <f t="shared" si="79"/>
        <v>r1280: C00026 + C00407 -&gt; C00025 + C00671 | (${Variables:E2_6_1_42_kcat} * E2_6_1_42 * C00026 * C00407)/(${Variables:E2_6_1_42_km} + (E2_6_1_42 * C00026 * C00407))</v>
      </c>
    </row>
    <row r="1282" spans="1:11" ht="45" customHeight="1" x14ac:dyDescent="0.25">
      <c r="A1282" t="s">
        <v>5165</v>
      </c>
      <c r="B1282" t="s">
        <v>5166</v>
      </c>
      <c r="C1282" s="5" t="s">
        <v>9760</v>
      </c>
      <c r="D1282">
        <f t="shared" si="76"/>
        <v>1281</v>
      </c>
      <c r="E1282" t="str">
        <f t="shared" si="77"/>
        <v>E2_6_1_42</v>
      </c>
      <c r="F1282" s="11" t="s">
        <v>14442</v>
      </c>
      <c r="G1282" s="11" t="s">
        <v>15045</v>
      </c>
      <c r="H1282" s="11" t="s">
        <v>15670</v>
      </c>
      <c r="I1282" s="11" t="s">
        <v>16291</v>
      </c>
      <c r="J1282" s="12" t="str">
        <f t="shared" si="78"/>
        <v>(${Variables:E2_6_1_42_kcat} * E2_6_1_42 * C00026 * C02356)/(${Variables:E2_6_1_42_km} + (E2_6_1_42 * C00026 * C02356))</v>
      </c>
      <c r="K1282" s="11" t="str">
        <f t="shared" si="79"/>
        <v>r1281: C00026 + C02356 -&gt; C00025 + C00109 | (${Variables:E2_6_1_42_kcat} * E2_6_1_42 * C00026 * C02356)/(${Variables:E2_6_1_42_km} + (E2_6_1_42 * C00026 * C02356))</v>
      </c>
    </row>
    <row r="1283" spans="1:11" ht="45" customHeight="1" x14ac:dyDescent="0.25">
      <c r="A1283" t="s">
        <v>5171</v>
      </c>
      <c r="B1283" t="s">
        <v>5172</v>
      </c>
      <c r="C1283" s="5" t="s">
        <v>9761</v>
      </c>
      <c r="D1283">
        <f t="shared" ref="D1283:D1346" si="80">ROW()-1</f>
        <v>1282</v>
      </c>
      <c r="E1283" t="str">
        <f t="shared" ref="E1283:E1346" si="81">_xlfn.CONCAT("E", C1283)</f>
        <v>E1_11_1_6</v>
      </c>
      <c r="F1283" s="11" t="s">
        <v>8368</v>
      </c>
      <c r="G1283" s="11" t="s">
        <v>8368</v>
      </c>
      <c r="H1283" s="11" t="s">
        <v>15671</v>
      </c>
      <c r="I1283" s="11" t="s">
        <v>16292</v>
      </c>
      <c r="J1283" s="12" t="str">
        <f t="shared" ref="J1283:J1346" si="82">CONCATENATE("(${Variables:",E1283,"_kcat","} * ",E1283," * ",G1283,")","/(${Variables:",E1283,"_km","} + (",E1283," * ",G1283,"))")</f>
        <v>(${Variables:E1_11_1_6_kcat} * E1_11_1_6 * C00027)/(${Variables:E1_11_1_6_km} + (E1_11_1_6 * C00027))</v>
      </c>
      <c r="K1283" s="11" t="str">
        <f t="shared" ref="K1283:K1346" si="83">CONCATENATE("r",D1283,": ",F1283," -&gt; ",H1283," | ",J1283)</f>
        <v>r1282: C00027 -&gt; C00001 + C00007 | (${Variables:E1_11_1_6_kcat} * E1_11_1_6 * C00027)/(${Variables:E1_11_1_6_km} + (E1_11_1_6 * C00027))</v>
      </c>
    </row>
    <row r="1284" spans="1:11" ht="45" customHeight="1" x14ac:dyDescent="0.25">
      <c r="A1284" t="s">
        <v>5171</v>
      </c>
      <c r="B1284" t="s">
        <v>5172</v>
      </c>
      <c r="C1284" s="5" t="s">
        <v>9761</v>
      </c>
      <c r="D1284">
        <f t="shared" si="80"/>
        <v>1283</v>
      </c>
      <c r="E1284" t="str">
        <f t="shared" si="81"/>
        <v>E1_11_1_6</v>
      </c>
      <c r="F1284" s="11" t="s">
        <v>14443</v>
      </c>
      <c r="G1284" s="11" t="s">
        <v>15046</v>
      </c>
      <c r="H1284" s="11" t="s">
        <v>15672</v>
      </c>
      <c r="I1284" s="11" t="s">
        <v>16293</v>
      </c>
      <c r="J1284" s="12" t="str">
        <f t="shared" si="82"/>
        <v>(${Variables:E1_11_1_6_kcat} * E1_11_1_6 * C00027 * C00132)/(${Variables:E1_11_1_6_km} + (E1_11_1_6 * C00027 * C00132))</v>
      </c>
      <c r="K1284" s="11" t="str">
        <f t="shared" si="83"/>
        <v>r1283: C00027 + C00132 -&gt; C00001 + C00067 | (${Variables:E1_11_1_6_kcat} * E1_11_1_6 * C00027 * C00132)/(${Variables:E1_11_1_6_km} + (E1_11_1_6 * C00027 * C00132))</v>
      </c>
    </row>
    <row r="1285" spans="1:11" ht="45" customHeight="1" x14ac:dyDescent="0.25">
      <c r="A1285" t="s">
        <v>5171</v>
      </c>
      <c r="B1285" t="s">
        <v>5172</v>
      </c>
      <c r="C1285" s="5" t="s">
        <v>9761</v>
      </c>
      <c r="D1285">
        <f t="shared" si="80"/>
        <v>1284</v>
      </c>
      <c r="E1285" t="str">
        <f t="shared" si="81"/>
        <v>E1_11_1_6</v>
      </c>
      <c r="F1285" s="11" t="s">
        <v>14444</v>
      </c>
      <c r="G1285" s="11" t="s">
        <v>15047</v>
      </c>
      <c r="H1285" s="11" t="s">
        <v>15673</v>
      </c>
      <c r="I1285" s="11" t="s">
        <v>16294</v>
      </c>
      <c r="J1285" s="12" t="str">
        <f t="shared" si="82"/>
        <v>(${Variables:E1_11_1_6_kcat} * E1_11_1_6 * C00007 * C00632)/(${Variables:E1_11_1_6_km} + (E1_11_1_6 * C00007 * C00632))</v>
      </c>
      <c r="K1285" s="11" t="str">
        <f t="shared" si="83"/>
        <v>r1284: C00007 + C00632 -&gt; C00027 + C00080 + C00704 + C05640 | (${Variables:E1_11_1_6_kcat} * E1_11_1_6 * C00007 * C00632)/(${Variables:E1_11_1_6_km} + (E1_11_1_6 * C00007 * C00632))</v>
      </c>
    </row>
    <row r="1286" spans="1:11" ht="45" customHeight="1" x14ac:dyDescent="0.25">
      <c r="A1286" t="s">
        <v>5186</v>
      </c>
      <c r="B1286" t="s">
        <v>5187</v>
      </c>
      <c r="C1286" s="5" t="s">
        <v>9762</v>
      </c>
      <c r="D1286">
        <f t="shared" si="80"/>
        <v>1285</v>
      </c>
      <c r="E1286" t="str">
        <f t="shared" si="81"/>
        <v>E2_3_3_1</v>
      </c>
      <c r="F1286" s="11" t="s">
        <v>14445</v>
      </c>
      <c r="G1286" s="11" t="s">
        <v>15048</v>
      </c>
      <c r="H1286" s="11" t="s">
        <v>15674</v>
      </c>
      <c r="I1286" s="11" t="s">
        <v>16295</v>
      </c>
      <c r="J1286" s="12" t="str">
        <f t="shared" si="82"/>
        <v>(${Variables:E2_3_3_1_kcat} * E2_3_3_1 * C00010 * C00158)/(${Variables:E2_3_3_1_km} + (E2_3_3_1 * C00010 * C00158))</v>
      </c>
      <c r="K1286" s="11" t="str">
        <f t="shared" si="83"/>
        <v>r1285: C00010 + C00158 -&gt; C00001 + C00024 + C00036 | (${Variables:E2_3_3_1_kcat} * E2_3_3_1 * C00010 * C00158)/(${Variables:E2_3_3_1_km} + (E2_3_3_1 * C00010 * C00158))</v>
      </c>
    </row>
    <row r="1287" spans="1:11" ht="45" customHeight="1" x14ac:dyDescent="0.25">
      <c r="A1287" t="s">
        <v>5210</v>
      </c>
      <c r="B1287" t="s">
        <v>5211</v>
      </c>
      <c r="C1287" s="5" t="s">
        <v>9763</v>
      </c>
      <c r="D1287">
        <f t="shared" si="80"/>
        <v>1286</v>
      </c>
      <c r="E1287" t="str">
        <f t="shared" si="81"/>
        <v>E1_4_1_1</v>
      </c>
      <c r="F1287" s="11" t="s">
        <v>14446</v>
      </c>
      <c r="G1287" s="11" t="s">
        <v>15049</v>
      </c>
      <c r="H1287" s="11" t="s">
        <v>15675</v>
      </c>
      <c r="I1287" s="11" t="s">
        <v>16296</v>
      </c>
      <c r="J1287" s="12" t="str">
        <f t="shared" si="82"/>
        <v>(${Variables:E1_4_1_1_kcat} * E1_4_1_1 * C00001 * C00003 * C00041)/(${Variables:E1_4_1_1_km} + (E1_4_1_1 * C00001 * C00003 * C00041))</v>
      </c>
      <c r="K1287" s="11" t="str">
        <f t="shared" si="83"/>
        <v>r1286: C00001 + C00003 + C00041 -&gt; C00004 + C00014 + C00022 + C00080 | (${Variables:E1_4_1_1_kcat} * E1_4_1_1 * C00001 * C00003 * C00041)/(${Variables:E1_4_1_1_km} + (E1_4_1_1 * C00001 * C00003 * C00041))</v>
      </c>
    </row>
    <row r="1288" spans="1:11" ht="45" customHeight="1" x14ac:dyDescent="0.25">
      <c r="A1288" t="s">
        <v>5210</v>
      </c>
      <c r="B1288" t="s">
        <v>5211</v>
      </c>
      <c r="C1288" s="5" t="s">
        <v>9763</v>
      </c>
      <c r="D1288">
        <f t="shared" si="80"/>
        <v>1287</v>
      </c>
      <c r="E1288" t="str">
        <f t="shared" si="81"/>
        <v>E1_4_1_1</v>
      </c>
      <c r="F1288" s="11" t="s">
        <v>14042</v>
      </c>
      <c r="G1288" s="11" t="s">
        <v>14645</v>
      </c>
      <c r="H1288" s="11" t="s">
        <v>15256</v>
      </c>
      <c r="I1288" s="11" t="s">
        <v>15877</v>
      </c>
      <c r="J1288" s="12" t="str">
        <f t="shared" si="82"/>
        <v>(${Variables:E1_4_1_1_kcat} * E1_4_1_1 * C00001 * C00003 * C05167)/(${Variables:E1_4_1_1_km} + (E1_4_1_1 * C00001 * C00003 * C05167))</v>
      </c>
      <c r="K1288" s="11" t="str">
        <f t="shared" si="83"/>
        <v>r1287: C00001 + C00003 + C05167 -&gt; C00004 + C00014 + C00080 + C00161 | (${Variables:E1_4_1_1_kcat} * E1_4_1_1 * C00001 * C00003 * C05167)/(${Variables:E1_4_1_1_km} + (E1_4_1_1 * C00001 * C00003 * C05167))</v>
      </c>
    </row>
    <row r="1289" spans="1:11" ht="45" customHeight="1" x14ac:dyDescent="0.25">
      <c r="A1289" t="s">
        <v>5210</v>
      </c>
      <c r="B1289" t="s">
        <v>5211</v>
      </c>
      <c r="C1289" s="5" t="s">
        <v>9763</v>
      </c>
      <c r="D1289">
        <f t="shared" si="80"/>
        <v>1288</v>
      </c>
      <c r="E1289" t="str">
        <f t="shared" si="81"/>
        <v>E1_4_1_1</v>
      </c>
      <c r="F1289" s="11" t="s">
        <v>14043</v>
      </c>
      <c r="G1289" s="11" t="s">
        <v>14646</v>
      </c>
      <c r="H1289" s="11" t="s">
        <v>15257</v>
      </c>
      <c r="I1289" s="11" t="s">
        <v>15878</v>
      </c>
      <c r="J1289" s="12" t="str">
        <f t="shared" si="82"/>
        <v>(${Variables:E1_4_1_1_kcat} * E1_4_1_1 * C00001 * C00006 * C05167)/(${Variables:E1_4_1_1_km} + (E1_4_1_1 * C00001 * C00006 * C05167))</v>
      </c>
      <c r="K1289" s="11" t="str">
        <f t="shared" si="83"/>
        <v>r1288: C00001 + C00006 + C05167 -&gt; C00005 + C00014 + C00080 + C00161 | (${Variables:E1_4_1_1_kcat} * E1_4_1_1 * C00001 * C00006 * C05167)/(${Variables:E1_4_1_1_km} + (E1_4_1_1 * C00001 * C00006 * C05167))</v>
      </c>
    </row>
    <row r="1290" spans="1:11" ht="45" customHeight="1" x14ac:dyDescent="0.25">
      <c r="A1290" t="s">
        <v>5210</v>
      </c>
      <c r="B1290" t="s">
        <v>5211</v>
      </c>
      <c r="C1290" s="5" t="s">
        <v>9763</v>
      </c>
      <c r="D1290">
        <f t="shared" si="80"/>
        <v>1289</v>
      </c>
      <c r="E1290" t="str">
        <f t="shared" si="81"/>
        <v>E1_4_1_1</v>
      </c>
      <c r="F1290" s="11" t="s">
        <v>14447</v>
      </c>
      <c r="G1290" s="11" t="s">
        <v>15050</v>
      </c>
      <c r="H1290" s="11" t="s">
        <v>15676</v>
      </c>
      <c r="I1290" s="11" t="s">
        <v>16297</v>
      </c>
      <c r="J1290" s="12" t="str">
        <f t="shared" si="82"/>
        <v>(${Variables:E1_4_1_1_kcat} * E1_4_1_1 * C00001 * C00003 * C00037)/(${Variables:E1_4_1_1_km} + (E1_4_1_1 * C00001 * C00003 * C00037))</v>
      </c>
      <c r="K1290" s="11" t="str">
        <f t="shared" si="83"/>
        <v>r1289: C00001 + C00003 + C00037 -&gt; C00004 + C00014 + C00048 + C00080 | (${Variables:E1_4_1_1_kcat} * E1_4_1_1 * C00001 * C00003 * C00037)/(${Variables:E1_4_1_1_km} + (E1_4_1_1 * C00001 * C00003 * C00037))</v>
      </c>
    </row>
    <row r="1291" spans="1:11" ht="45" customHeight="1" x14ac:dyDescent="0.25">
      <c r="A1291" t="s">
        <v>5213</v>
      </c>
      <c r="B1291" t="s">
        <v>5214</v>
      </c>
      <c r="C1291" s="5" t="s">
        <v>9728</v>
      </c>
      <c r="D1291">
        <f t="shared" si="80"/>
        <v>1290</v>
      </c>
      <c r="E1291" t="str">
        <f t="shared" si="81"/>
        <v>E4_2_1_70</v>
      </c>
      <c r="F1291" s="11" t="s">
        <v>8790</v>
      </c>
      <c r="G1291" s="11" t="s">
        <v>8956</v>
      </c>
      <c r="H1291" s="11" t="s">
        <v>15621</v>
      </c>
      <c r="I1291" s="11" t="s">
        <v>16242</v>
      </c>
      <c r="J1291" s="12" t="str">
        <f t="shared" si="82"/>
        <v>(${Variables:E4_2_1_70_kcat} * E4_2_1_70 * C00106 * C00117)/(${Variables:E4_2_1_70_km} + (E4_2_1_70 * C00106 * C00117))</v>
      </c>
      <c r="K1291" s="11" t="str">
        <f t="shared" si="83"/>
        <v>r1290: C00106 + C00117 -&gt; C00001 + C01168 | (${Variables:E4_2_1_70_kcat} * E4_2_1_70 * C00106 * C00117)/(${Variables:E4_2_1_70_km} + (E4_2_1_70 * C00106 * C00117))</v>
      </c>
    </row>
    <row r="1292" spans="1:11" ht="45" customHeight="1" x14ac:dyDescent="0.25">
      <c r="A1292" t="s">
        <v>5216</v>
      </c>
      <c r="B1292" t="s">
        <v>5217</v>
      </c>
      <c r="C1292" s="5" t="s">
        <v>9418</v>
      </c>
      <c r="D1292">
        <f t="shared" si="80"/>
        <v>1291</v>
      </c>
      <c r="E1292" t="str">
        <f t="shared" si="81"/>
        <v>E4_2_1_17</v>
      </c>
      <c r="F1292" s="11" t="s">
        <v>8116</v>
      </c>
      <c r="G1292" s="11" t="s">
        <v>8116</v>
      </c>
      <c r="H1292" s="11" t="s">
        <v>15193</v>
      </c>
      <c r="I1292" s="11" t="s">
        <v>15814</v>
      </c>
      <c r="J1292" s="12" t="str">
        <f t="shared" si="82"/>
        <v>(${Variables:E4_2_1_17_kcat} * E4_2_1_17 * C00640)/(${Variables:E4_2_1_17_km} + (E4_2_1_17 * C00640))</v>
      </c>
      <c r="K1292" s="11" t="str">
        <f t="shared" si="83"/>
        <v>r1291: C00640 -&gt; C00001 + C00658 | (${Variables:E4_2_1_17_kcat} * E4_2_1_17 * C00640)/(${Variables:E4_2_1_17_km} + (E4_2_1_17 * C00640))</v>
      </c>
    </row>
    <row r="1293" spans="1:11" ht="45" customHeight="1" x14ac:dyDescent="0.25">
      <c r="A1293" t="s">
        <v>5216</v>
      </c>
      <c r="B1293" t="s">
        <v>5217</v>
      </c>
      <c r="C1293" s="5" t="s">
        <v>9418</v>
      </c>
      <c r="D1293">
        <f t="shared" si="80"/>
        <v>1292</v>
      </c>
      <c r="E1293" t="str">
        <f t="shared" si="81"/>
        <v>E4_2_1_17</v>
      </c>
      <c r="F1293" s="11" t="s">
        <v>8117</v>
      </c>
      <c r="G1293" s="11" t="s">
        <v>8117</v>
      </c>
      <c r="H1293" s="11" t="s">
        <v>13999</v>
      </c>
      <c r="I1293" s="11" t="s">
        <v>14602</v>
      </c>
      <c r="J1293" s="12" t="str">
        <f t="shared" si="82"/>
        <v>(${Variables:E4_2_1_17_kcat} * E4_2_1_17 * C01144)/(${Variables:E4_2_1_17_km} + (E4_2_1_17 * C01144))</v>
      </c>
      <c r="K1293" s="11" t="str">
        <f t="shared" si="83"/>
        <v>r1292: C01144 -&gt; C00001 + C00877 | (${Variables:E4_2_1_17_kcat} * E4_2_1_17 * C01144)/(${Variables:E4_2_1_17_km} + (E4_2_1_17 * C01144))</v>
      </c>
    </row>
    <row r="1294" spans="1:11" ht="45" customHeight="1" x14ac:dyDescent="0.25">
      <c r="A1294" t="s">
        <v>5216</v>
      </c>
      <c r="B1294" t="s">
        <v>5217</v>
      </c>
      <c r="C1294" s="5" t="s">
        <v>9418</v>
      </c>
      <c r="D1294">
        <f t="shared" si="80"/>
        <v>1293</v>
      </c>
      <c r="E1294" t="str">
        <f t="shared" si="81"/>
        <v>E4_2_1_17</v>
      </c>
      <c r="F1294" s="11" t="s">
        <v>8118</v>
      </c>
      <c r="G1294" s="11" t="s">
        <v>8118</v>
      </c>
      <c r="H1294" s="11" t="s">
        <v>15194</v>
      </c>
      <c r="I1294" s="11" t="s">
        <v>15815</v>
      </c>
      <c r="J1294" s="12" t="str">
        <f t="shared" si="82"/>
        <v>(${Variables:E4_2_1_17_kcat} * E4_2_1_17 * C05668)/(${Variables:E4_2_1_17_km} + (E4_2_1_17 * C05668))</v>
      </c>
      <c r="K1294" s="11" t="str">
        <f t="shared" si="83"/>
        <v>r1293: C05668 -&gt; C00001 + C00894 | (${Variables:E4_2_1_17_kcat} * E4_2_1_17 * C05668)/(${Variables:E4_2_1_17_km} + (E4_2_1_17 * C05668))</v>
      </c>
    </row>
    <row r="1295" spans="1:11" ht="45" customHeight="1" x14ac:dyDescent="0.25">
      <c r="A1295" t="s">
        <v>5216</v>
      </c>
      <c r="B1295" t="s">
        <v>5217</v>
      </c>
      <c r="C1295" s="5" t="s">
        <v>9418</v>
      </c>
      <c r="D1295">
        <f t="shared" si="80"/>
        <v>1294</v>
      </c>
      <c r="E1295" t="str">
        <f t="shared" si="81"/>
        <v>E4_2_1_17</v>
      </c>
      <c r="F1295" s="11" t="s">
        <v>8119</v>
      </c>
      <c r="G1295" s="11" t="s">
        <v>8119</v>
      </c>
      <c r="H1295" s="11" t="s">
        <v>15195</v>
      </c>
      <c r="I1295" s="11" t="s">
        <v>15816</v>
      </c>
      <c r="J1295" s="12" t="str">
        <f t="shared" si="82"/>
        <v>(${Variables:E4_2_1_17_kcat} * E4_2_1_17 * C05262)/(${Variables:E4_2_1_17_km} + (E4_2_1_17 * C05262))</v>
      </c>
      <c r="K1295" s="11" t="str">
        <f t="shared" si="83"/>
        <v>r1294: C05262 -&gt; C00001 + C03221 | (${Variables:E4_2_1_17_kcat} * E4_2_1_17 * C05262)/(${Variables:E4_2_1_17_km} + (E4_2_1_17 * C05262))</v>
      </c>
    </row>
    <row r="1296" spans="1:11" ht="45" customHeight="1" x14ac:dyDescent="0.25">
      <c r="A1296" t="s">
        <v>5216</v>
      </c>
      <c r="B1296" t="s">
        <v>5217</v>
      </c>
      <c r="C1296" s="5" t="s">
        <v>9418</v>
      </c>
      <c r="D1296">
        <f t="shared" si="80"/>
        <v>1295</v>
      </c>
      <c r="E1296" t="str">
        <f t="shared" si="81"/>
        <v>E4_2_1_17</v>
      </c>
      <c r="F1296" s="11" t="s">
        <v>8120</v>
      </c>
      <c r="G1296" s="11" t="s">
        <v>8120</v>
      </c>
      <c r="H1296" s="11" t="s">
        <v>15196</v>
      </c>
      <c r="I1296" s="11" t="s">
        <v>15817</v>
      </c>
      <c r="J1296" s="12" t="str">
        <f t="shared" si="82"/>
        <v>(${Variables:E4_2_1_17_kcat} * E4_2_1_17 * C04405)/(${Variables:E4_2_1_17_km} + (E4_2_1_17 * C04405))</v>
      </c>
      <c r="K1296" s="11" t="str">
        <f t="shared" si="83"/>
        <v>r1295: C04405 -&gt; C00001 + C03345 | (${Variables:E4_2_1_17_kcat} * E4_2_1_17 * C04405)/(${Variables:E4_2_1_17_km} + (E4_2_1_17 * C04405))</v>
      </c>
    </row>
    <row r="1297" spans="1:11" ht="45" customHeight="1" x14ac:dyDescent="0.25">
      <c r="A1297" t="s">
        <v>5216</v>
      </c>
      <c r="B1297" t="s">
        <v>5217</v>
      </c>
      <c r="C1297" s="5" t="s">
        <v>9418</v>
      </c>
      <c r="D1297">
        <f t="shared" si="80"/>
        <v>1296</v>
      </c>
      <c r="E1297" t="str">
        <f t="shared" si="81"/>
        <v>E4_2_1_17</v>
      </c>
      <c r="F1297" s="11" t="s">
        <v>13998</v>
      </c>
      <c r="G1297" s="11" t="s">
        <v>14601</v>
      </c>
      <c r="H1297" s="11" t="s">
        <v>8410</v>
      </c>
      <c r="I1297" s="11" t="s">
        <v>8410</v>
      </c>
      <c r="J1297" s="12" t="str">
        <f t="shared" si="82"/>
        <v>(${Variables:E4_2_1_17_kcat} * E4_2_1_17 * C00001 * C03460)/(${Variables:E4_2_1_17_km} + (E4_2_1_17 * C00001 * C03460))</v>
      </c>
      <c r="K1297" s="11" t="str">
        <f t="shared" si="83"/>
        <v>r1296: C00001 + C03460 -&gt; C06000 | (${Variables:E4_2_1_17_kcat} * E4_2_1_17 * C00001 * C03460)/(${Variables:E4_2_1_17_km} + (E4_2_1_17 * C00001 * C03460))</v>
      </c>
    </row>
    <row r="1298" spans="1:11" ht="45" customHeight="1" x14ac:dyDescent="0.25">
      <c r="A1298" t="s">
        <v>5216</v>
      </c>
      <c r="B1298" t="s">
        <v>5217</v>
      </c>
      <c r="C1298" s="5" t="s">
        <v>9418</v>
      </c>
      <c r="D1298">
        <f t="shared" si="80"/>
        <v>1297</v>
      </c>
      <c r="E1298" t="str">
        <f t="shared" si="81"/>
        <v>E4_2_1_17</v>
      </c>
      <c r="F1298" s="11" t="s">
        <v>8121</v>
      </c>
      <c r="G1298" s="11" t="s">
        <v>8121</v>
      </c>
      <c r="H1298" s="11" t="s">
        <v>15197</v>
      </c>
      <c r="I1298" s="11" t="s">
        <v>15818</v>
      </c>
      <c r="J1298" s="12" t="str">
        <f t="shared" si="82"/>
        <v>(${Variables:E4_2_1_17_kcat} * E4_2_1_17 * C05258)/(${Variables:E4_2_1_17_km} + (E4_2_1_17 * C05258))</v>
      </c>
      <c r="K1298" s="11" t="str">
        <f t="shared" si="83"/>
        <v>r1297: C05258 -&gt; C00001 + C05272 | (${Variables:E4_2_1_17_kcat} * E4_2_1_17 * C05258)/(${Variables:E4_2_1_17_km} + (E4_2_1_17 * C05258))</v>
      </c>
    </row>
    <row r="1299" spans="1:11" ht="45" customHeight="1" x14ac:dyDescent="0.25">
      <c r="A1299" t="s">
        <v>5216</v>
      </c>
      <c r="B1299" t="s">
        <v>5217</v>
      </c>
      <c r="C1299" s="5" t="s">
        <v>9418</v>
      </c>
      <c r="D1299">
        <f t="shared" si="80"/>
        <v>1298</v>
      </c>
      <c r="E1299" t="str">
        <f t="shared" si="81"/>
        <v>E4_2_1_17</v>
      </c>
      <c r="F1299" s="11" t="s">
        <v>8122</v>
      </c>
      <c r="G1299" s="11" t="s">
        <v>8122</v>
      </c>
      <c r="H1299" s="11" t="s">
        <v>15198</v>
      </c>
      <c r="I1299" s="11" t="s">
        <v>15819</v>
      </c>
      <c r="J1299" s="12" t="str">
        <f t="shared" si="82"/>
        <v>(${Variables:E4_2_1_17_kcat} * E4_2_1_17 * C05260)/(${Variables:E4_2_1_17_km} + (E4_2_1_17 * C05260))</v>
      </c>
      <c r="K1299" s="11" t="str">
        <f t="shared" si="83"/>
        <v>r1298: C05260 -&gt; C00001 + C05273 | (${Variables:E4_2_1_17_kcat} * E4_2_1_17 * C05260)/(${Variables:E4_2_1_17_km} + (E4_2_1_17 * C05260))</v>
      </c>
    </row>
    <row r="1300" spans="1:11" ht="45" customHeight="1" x14ac:dyDescent="0.25">
      <c r="A1300" t="s">
        <v>5216</v>
      </c>
      <c r="B1300" t="s">
        <v>5217</v>
      </c>
      <c r="C1300" s="5" t="s">
        <v>9418</v>
      </c>
      <c r="D1300">
        <f t="shared" si="80"/>
        <v>1299</v>
      </c>
      <c r="E1300" t="str">
        <f t="shared" si="81"/>
        <v>E4_2_1_17</v>
      </c>
      <c r="F1300" s="11" t="s">
        <v>8123</v>
      </c>
      <c r="G1300" s="11" t="s">
        <v>8123</v>
      </c>
      <c r="H1300" s="11" t="s">
        <v>15199</v>
      </c>
      <c r="I1300" s="11" t="s">
        <v>15820</v>
      </c>
      <c r="J1300" s="12" t="str">
        <f t="shared" si="82"/>
        <v>(${Variables:E4_2_1_17_kcat} * E4_2_1_17 * C05264)/(${Variables:E4_2_1_17_km} + (E4_2_1_17 * C05264))</v>
      </c>
      <c r="K1300" s="11" t="str">
        <f t="shared" si="83"/>
        <v>r1299: C05264 -&gt; C00001 + C05275 | (${Variables:E4_2_1_17_kcat} * E4_2_1_17 * C05264)/(${Variables:E4_2_1_17_km} + (E4_2_1_17 * C05264))</v>
      </c>
    </row>
    <row r="1301" spans="1:11" ht="45" customHeight="1" x14ac:dyDescent="0.25">
      <c r="A1301" t="s">
        <v>5216</v>
      </c>
      <c r="B1301" t="s">
        <v>5217</v>
      </c>
      <c r="C1301" s="5" t="s">
        <v>9418</v>
      </c>
      <c r="D1301">
        <f t="shared" si="80"/>
        <v>1300</v>
      </c>
      <c r="E1301" t="str">
        <f t="shared" si="81"/>
        <v>E4_2_1_17</v>
      </c>
      <c r="F1301" s="11" t="s">
        <v>8124</v>
      </c>
      <c r="G1301" s="11" t="s">
        <v>8124</v>
      </c>
      <c r="H1301" s="11" t="s">
        <v>15200</v>
      </c>
      <c r="I1301" s="11" t="s">
        <v>15821</v>
      </c>
      <c r="J1301" s="12" t="str">
        <f t="shared" si="82"/>
        <v>(${Variables:E4_2_1_17_kcat} * E4_2_1_17 * C05266)/(${Variables:E4_2_1_17_km} + (E4_2_1_17 * C05266))</v>
      </c>
      <c r="K1301" s="11" t="str">
        <f t="shared" si="83"/>
        <v>r1300: C05266 -&gt; C00001 + C05276 | (${Variables:E4_2_1_17_kcat} * E4_2_1_17 * C05266)/(${Variables:E4_2_1_17_km} + (E4_2_1_17 * C05266))</v>
      </c>
    </row>
    <row r="1302" spans="1:11" ht="45" customHeight="1" x14ac:dyDescent="0.25">
      <c r="A1302" t="s">
        <v>5216</v>
      </c>
      <c r="B1302" t="s">
        <v>5217</v>
      </c>
      <c r="C1302" s="5" t="s">
        <v>9418</v>
      </c>
      <c r="D1302">
        <f t="shared" si="80"/>
        <v>1301</v>
      </c>
      <c r="E1302" t="str">
        <f t="shared" si="81"/>
        <v>E4_2_1_17</v>
      </c>
      <c r="F1302" s="11" t="s">
        <v>8125</v>
      </c>
      <c r="G1302" s="11" t="s">
        <v>8125</v>
      </c>
      <c r="H1302" s="11" t="s">
        <v>15201</v>
      </c>
      <c r="I1302" s="11" t="s">
        <v>15822</v>
      </c>
      <c r="J1302" s="12" t="str">
        <f t="shared" si="82"/>
        <v>(${Variables:E4_2_1_17_kcat} * E4_2_1_17 * C05268)/(${Variables:E4_2_1_17_km} + (E4_2_1_17 * C05268))</v>
      </c>
      <c r="K1302" s="11" t="str">
        <f t="shared" si="83"/>
        <v>r1301: C05268 -&gt; C00001 + C05271 | (${Variables:E4_2_1_17_kcat} * E4_2_1_17 * C05268)/(${Variables:E4_2_1_17_km} + (E4_2_1_17 * C05268))</v>
      </c>
    </row>
    <row r="1303" spans="1:11" ht="45" customHeight="1" x14ac:dyDescent="0.25">
      <c r="A1303" t="s">
        <v>5216</v>
      </c>
      <c r="B1303" t="s">
        <v>5217</v>
      </c>
      <c r="C1303" s="5" t="s">
        <v>9418</v>
      </c>
      <c r="D1303">
        <f t="shared" si="80"/>
        <v>1302</v>
      </c>
      <c r="E1303" t="str">
        <f t="shared" si="81"/>
        <v>E4_2_1_17</v>
      </c>
      <c r="F1303" s="11" t="s">
        <v>8126</v>
      </c>
      <c r="G1303" s="11" t="s">
        <v>8126</v>
      </c>
      <c r="H1303" s="11" t="s">
        <v>15202</v>
      </c>
      <c r="I1303" s="11" t="s">
        <v>15823</v>
      </c>
      <c r="J1303" s="12" t="str">
        <f t="shared" si="82"/>
        <v>(${Variables:E4_2_1_17_kcat} * E4_2_1_17 * C16329)/(${Variables:E4_2_1_17_km} + (E4_2_1_17 * C16329))</v>
      </c>
      <c r="K1303" s="11" t="str">
        <f t="shared" si="83"/>
        <v>r1302: C16329 -&gt; C00001 + C16328 | (${Variables:E4_2_1_17_kcat} * E4_2_1_17 * C16329)/(${Variables:E4_2_1_17_km} + (E4_2_1_17 * C16329))</v>
      </c>
    </row>
    <row r="1304" spans="1:11" ht="45" customHeight="1" x14ac:dyDescent="0.25">
      <c r="A1304" t="s">
        <v>5216</v>
      </c>
      <c r="B1304" t="s">
        <v>5217</v>
      </c>
      <c r="C1304" s="5" t="s">
        <v>9418</v>
      </c>
      <c r="D1304">
        <f t="shared" si="80"/>
        <v>1303</v>
      </c>
      <c r="E1304" t="str">
        <f t="shared" si="81"/>
        <v>E4_2_1_17</v>
      </c>
      <c r="F1304" s="11" t="s">
        <v>8127</v>
      </c>
      <c r="G1304" s="11" t="s">
        <v>8127</v>
      </c>
      <c r="H1304" s="11" t="s">
        <v>15203</v>
      </c>
      <c r="I1304" s="11" t="s">
        <v>15824</v>
      </c>
      <c r="J1304" s="12" t="str">
        <f t="shared" si="82"/>
        <v>(${Variables:E4_2_1_17_kcat} * E4_2_1_17 * C16333)/(${Variables:E4_2_1_17_km} + (E4_2_1_17 * C16333))</v>
      </c>
      <c r="K1304" s="11" t="str">
        <f t="shared" si="83"/>
        <v>r1303: C16333 -&gt; C00001 + C16332 | (${Variables:E4_2_1_17_kcat} * E4_2_1_17 * C16333)/(${Variables:E4_2_1_17_km} + (E4_2_1_17 * C16333))</v>
      </c>
    </row>
    <row r="1305" spans="1:11" ht="45" customHeight="1" x14ac:dyDescent="0.25">
      <c r="A1305" t="s">
        <v>5216</v>
      </c>
      <c r="B1305" t="s">
        <v>5217</v>
      </c>
      <c r="C1305" s="5" t="s">
        <v>9418</v>
      </c>
      <c r="D1305">
        <f t="shared" si="80"/>
        <v>1304</v>
      </c>
      <c r="E1305" t="str">
        <f t="shared" si="81"/>
        <v>E4_2_1_17</v>
      </c>
      <c r="F1305" s="11" t="s">
        <v>8128</v>
      </c>
      <c r="G1305" s="11" t="s">
        <v>8128</v>
      </c>
      <c r="H1305" s="11" t="s">
        <v>15204</v>
      </c>
      <c r="I1305" s="11" t="s">
        <v>15825</v>
      </c>
      <c r="J1305" s="12" t="str">
        <f t="shared" si="82"/>
        <v>(${Variables:E4_2_1_17_kcat} * E4_2_1_17 * C16337)/(${Variables:E4_2_1_17_km} + (E4_2_1_17 * C16337))</v>
      </c>
      <c r="K1305" s="11" t="str">
        <f t="shared" si="83"/>
        <v>r1304: C16337 -&gt; C00001 + C16336 | (${Variables:E4_2_1_17_kcat} * E4_2_1_17 * C16337)/(${Variables:E4_2_1_17_km} + (E4_2_1_17 * C16337))</v>
      </c>
    </row>
    <row r="1306" spans="1:11" ht="45" customHeight="1" x14ac:dyDescent="0.25">
      <c r="A1306" t="s">
        <v>5216</v>
      </c>
      <c r="B1306" t="s">
        <v>5217</v>
      </c>
      <c r="C1306" s="5" t="s">
        <v>9418</v>
      </c>
      <c r="D1306">
        <f t="shared" si="80"/>
        <v>1305</v>
      </c>
      <c r="E1306" t="str">
        <f t="shared" si="81"/>
        <v>E4_2_1_17</v>
      </c>
      <c r="F1306" s="11" t="s">
        <v>8116</v>
      </c>
      <c r="G1306" s="11" t="s">
        <v>8116</v>
      </c>
      <c r="H1306" s="11" t="s">
        <v>15205</v>
      </c>
      <c r="I1306" s="11" t="s">
        <v>15826</v>
      </c>
      <c r="J1306" s="12" t="str">
        <f t="shared" si="82"/>
        <v>(${Variables:E4_2_1_17_kcat} * E4_2_1_17 * C00640)/(${Variables:E4_2_1_17_km} + (E4_2_1_17 * C00640))</v>
      </c>
      <c r="K1306" s="11" t="str">
        <f t="shared" si="83"/>
        <v>r1305: C00640 -&gt; C00001 + C05067 | (${Variables:E4_2_1_17_kcat} * E4_2_1_17 * C00640)/(${Variables:E4_2_1_17_km} + (E4_2_1_17 * C00640))</v>
      </c>
    </row>
    <row r="1307" spans="1:11" ht="45" customHeight="1" x14ac:dyDescent="0.25">
      <c r="A1307" t="s">
        <v>5216</v>
      </c>
      <c r="B1307" t="s">
        <v>5217</v>
      </c>
      <c r="C1307" s="5" t="s">
        <v>9418</v>
      </c>
      <c r="D1307">
        <f t="shared" si="80"/>
        <v>1306</v>
      </c>
      <c r="E1307" t="str">
        <f t="shared" si="81"/>
        <v>E4_2_1_17</v>
      </c>
      <c r="F1307" s="11" t="s">
        <v>8129</v>
      </c>
      <c r="G1307" s="11" t="s">
        <v>8129</v>
      </c>
      <c r="H1307" s="11" t="s">
        <v>15206</v>
      </c>
      <c r="I1307" s="11" t="s">
        <v>15827</v>
      </c>
      <c r="J1307" s="12" t="str">
        <f t="shared" si="82"/>
        <v>(${Variables:E4_2_1_17_kcat} * E4_2_1_17 * C01086)/(${Variables:E4_2_1_17_km} + (E4_2_1_17 * C01086))</v>
      </c>
      <c r="K1307" s="11" t="str">
        <f t="shared" si="83"/>
        <v>r1306: C01086 -&gt; C00001 + C01122 | (${Variables:E4_2_1_17_kcat} * E4_2_1_17 * C01086)/(${Variables:E4_2_1_17_km} + (E4_2_1_17 * C01086))</v>
      </c>
    </row>
    <row r="1308" spans="1:11" ht="45" customHeight="1" x14ac:dyDescent="0.25">
      <c r="A1308" t="s">
        <v>5216</v>
      </c>
      <c r="B1308" t="s">
        <v>5217</v>
      </c>
      <c r="C1308" s="5" t="s">
        <v>9418</v>
      </c>
      <c r="D1308">
        <f t="shared" si="80"/>
        <v>1307</v>
      </c>
      <c r="E1308" t="str">
        <f t="shared" si="81"/>
        <v>E4_2_1_17</v>
      </c>
      <c r="F1308" s="11" t="s">
        <v>8130</v>
      </c>
      <c r="G1308" s="11" t="s">
        <v>8130</v>
      </c>
      <c r="H1308" s="11" t="s">
        <v>15207</v>
      </c>
      <c r="I1308" s="11" t="s">
        <v>15828</v>
      </c>
      <c r="J1308" s="12" t="str">
        <f t="shared" si="82"/>
        <v>(${Variables:E4_2_1_17_kcat} * E4_2_1_17 * C05998)/(${Variables:E4_2_1_17_km} + (E4_2_1_17 * C05998))</v>
      </c>
      <c r="K1308" s="11" t="str">
        <f t="shared" si="83"/>
        <v>r1307: C05998 -&gt; C00001 + C03069 | (${Variables:E4_2_1_17_kcat} * E4_2_1_17 * C05998)/(${Variables:E4_2_1_17_km} + (E4_2_1_17 * C05998))</v>
      </c>
    </row>
    <row r="1309" spans="1:11" ht="45" customHeight="1" x14ac:dyDescent="0.25">
      <c r="A1309" t="s">
        <v>5216</v>
      </c>
      <c r="B1309" t="s">
        <v>5217</v>
      </c>
      <c r="C1309" s="5" t="s">
        <v>9418</v>
      </c>
      <c r="D1309">
        <f t="shared" si="80"/>
        <v>1308</v>
      </c>
      <c r="E1309" t="str">
        <f t="shared" si="81"/>
        <v>E4_2_1_17</v>
      </c>
      <c r="F1309" s="11" t="s">
        <v>13999</v>
      </c>
      <c r="G1309" s="11" t="s">
        <v>14602</v>
      </c>
      <c r="H1309" s="11" t="s">
        <v>8411</v>
      </c>
      <c r="I1309" s="11" t="s">
        <v>8411</v>
      </c>
      <c r="J1309" s="12" t="str">
        <f t="shared" si="82"/>
        <v>(${Variables:E4_2_1_17_kcat} * E4_2_1_17 * C00001 * C00877)/(${Variables:E4_2_1_17_km} + (E4_2_1_17 * C00001 * C00877))</v>
      </c>
      <c r="K1309" s="11" t="str">
        <f t="shared" si="83"/>
        <v>r1308: C00001 + C00877 -&gt; C05116 | (${Variables:E4_2_1_17_kcat} * E4_2_1_17 * C00001 * C00877)/(${Variables:E4_2_1_17_km} + (E4_2_1_17 * C00001 * C00877))</v>
      </c>
    </row>
    <row r="1310" spans="1:11" ht="45" customHeight="1" x14ac:dyDescent="0.25">
      <c r="A1310" t="s">
        <v>5216</v>
      </c>
      <c r="B1310" t="s">
        <v>5217</v>
      </c>
      <c r="C1310" s="5" t="s">
        <v>9418</v>
      </c>
      <c r="D1310">
        <f t="shared" si="80"/>
        <v>1309</v>
      </c>
      <c r="E1310" t="str">
        <f t="shared" si="81"/>
        <v>E4_2_1_17</v>
      </c>
      <c r="F1310" s="11" t="s">
        <v>14000</v>
      </c>
      <c r="G1310" s="11" t="s">
        <v>14603</v>
      </c>
      <c r="H1310" s="11" t="s">
        <v>8412</v>
      </c>
      <c r="I1310" s="11" t="s">
        <v>8412</v>
      </c>
      <c r="J1310" s="12" t="str">
        <f t="shared" si="82"/>
        <v>(${Variables:E4_2_1_17_kcat} * E4_2_1_17 * C00001 * C11946)/(${Variables:E4_2_1_17_km} + (E4_2_1_17 * C00001 * C11946))</v>
      </c>
      <c r="K1310" s="11" t="str">
        <f t="shared" si="83"/>
        <v>r1309: C00001 + C11946 -&gt; C11947 | (${Variables:E4_2_1_17_kcat} * E4_2_1_17 * C00001 * C11946)/(${Variables:E4_2_1_17_km} + (E4_2_1_17 * C00001 * C11946))</v>
      </c>
    </row>
    <row r="1311" spans="1:11" ht="45" customHeight="1" x14ac:dyDescent="0.25">
      <c r="A1311" t="s">
        <v>5216</v>
      </c>
      <c r="B1311" t="s">
        <v>5217</v>
      </c>
      <c r="C1311" s="5" t="s">
        <v>9418</v>
      </c>
      <c r="D1311">
        <f t="shared" si="80"/>
        <v>1310</v>
      </c>
      <c r="E1311" t="str">
        <f t="shared" si="81"/>
        <v>E4_2_1_17</v>
      </c>
      <c r="F1311" s="11" t="s">
        <v>14001</v>
      </c>
      <c r="G1311" s="11" t="s">
        <v>14604</v>
      </c>
      <c r="H1311" s="11" t="s">
        <v>8412</v>
      </c>
      <c r="I1311" s="11" t="s">
        <v>8412</v>
      </c>
      <c r="J1311" s="12" t="str">
        <f t="shared" si="82"/>
        <v>(${Variables:E4_2_1_17_kcat} * E4_2_1_17 * C00001 * C11945)/(${Variables:E4_2_1_17_km} + (E4_2_1_17 * C00001 * C11945))</v>
      </c>
      <c r="K1311" s="11" t="str">
        <f t="shared" si="83"/>
        <v>r1310: C00001 + C11945 -&gt; C11947 | (${Variables:E4_2_1_17_kcat} * E4_2_1_17 * C00001 * C11945)/(${Variables:E4_2_1_17_km} + (E4_2_1_17 * C00001 * C11945))</v>
      </c>
    </row>
    <row r="1312" spans="1:11" ht="45" customHeight="1" x14ac:dyDescent="0.25">
      <c r="A1312" t="s">
        <v>5216</v>
      </c>
      <c r="B1312" t="s">
        <v>5217</v>
      </c>
      <c r="C1312" s="5" t="s">
        <v>9418</v>
      </c>
      <c r="D1312">
        <f t="shared" si="80"/>
        <v>1311</v>
      </c>
      <c r="E1312" t="str">
        <f t="shared" si="81"/>
        <v>E4_2_1_17</v>
      </c>
      <c r="F1312" s="11" t="s">
        <v>14002</v>
      </c>
      <c r="G1312" s="11" t="s">
        <v>14605</v>
      </c>
      <c r="H1312" s="11" t="s">
        <v>8413</v>
      </c>
      <c r="I1312" s="11" t="s">
        <v>8413</v>
      </c>
      <c r="J1312" s="12" t="str">
        <f t="shared" si="82"/>
        <v>(${Variables:E4_2_1_17_kcat} * E4_2_1_17 * C00001 * C14144)/(${Variables:E4_2_1_17_km} + (E4_2_1_17 * C00001 * C14144))</v>
      </c>
      <c r="K1312" s="11" t="str">
        <f t="shared" si="83"/>
        <v>r1311: C00001 + C14144 -&gt; C14145 | (${Variables:E4_2_1_17_kcat} * E4_2_1_17 * C00001 * C14144)/(${Variables:E4_2_1_17_km} + (E4_2_1_17 * C00001 * C14144))</v>
      </c>
    </row>
    <row r="1313" spans="1:11" ht="45" customHeight="1" x14ac:dyDescent="0.25">
      <c r="A1313" t="s">
        <v>5216</v>
      </c>
      <c r="B1313" t="s">
        <v>5217</v>
      </c>
      <c r="C1313" s="5" t="s">
        <v>9418</v>
      </c>
      <c r="D1313">
        <f t="shared" si="80"/>
        <v>1312</v>
      </c>
      <c r="E1313" t="str">
        <f t="shared" si="81"/>
        <v>E4_2_1_17</v>
      </c>
      <c r="F1313" s="11" t="s">
        <v>14003</v>
      </c>
      <c r="G1313" s="11" t="s">
        <v>14606</v>
      </c>
      <c r="H1313" s="11" t="s">
        <v>8414</v>
      </c>
      <c r="I1313" s="11" t="s">
        <v>8414</v>
      </c>
      <c r="J1313" s="12" t="str">
        <f t="shared" si="82"/>
        <v>(${Variables:E4_2_1_17_kcat} * E4_2_1_17 * C00001 * C16468)/(${Variables:E4_2_1_17_km} + (E4_2_1_17 * C00001 * C16468))</v>
      </c>
      <c r="K1313" s="11" t="str">
        <f t="shared" si="83"/>
        <v>r1312: C00001 + C16468 -&gt; C16469 | (${Variables:E4_2_1_17_kcat} * E4_2_1_17 * C00001 * C16468)/(${Variables:E4_2_1_17_km} + (E4_2_1_17 * C00001 * C16468))</v>
      </c>
    </row>
    <row r="1314" spans="1:11" ht="45" customHeight="1" x14ac:dyDescent="0.25">
      <c r="A1314" t="s">
        <v>5219</v>
      </c>
      <c r="B1314" t="s">
        <v>5220</v>
      </c>
      <c r="C1314" s="5" t="s">
        <v>9728</v>
      </c>
      <c r="D1314">
        <f t="shared" si="80"/>
        <v>1313</v>
      </c>
      <c r="E1314" t="str">
        <f t="shared" si="81"/>
        <v>E4_2_1_70</v>
      </c>
      <c r="F1314" s="11" t="s">
        <v>8790</v>
      </c>
      <c r="G1314" s="11" t="s">
        <v>8956</v>
      </c>
      <c r="H1314" s="11" t="s">
        <v>15621</v>
      </c>
      <c r="I1314" s="11" t="s">
        <v>16242</v>
      </c>
      <c r="J1314" s="12" t="str">
        <f t="shared" si="82"/>
        <v>(${Variables:E4_2_1_70_kcat} * E4_2_1_70 * C00106 * C00117)/(${Variables:E4_2_1_70_km} + (E4_2_1_70 * C00106 * C00117))</v>
      </c>
      <c r="K1314" s="11" t="str">
        <f t="shared" si="83"/>
        <v>r1313: C00106 + C00117 -&gt; C00001 + C01168 | (${Variables:E4_2_1_70_kcat} * E4_2_1_70 * C00106 * C00117)/(${Variables:E4_2_1_70_km} + (E4_2_1_70 * C00106 * C00117))</v>
      </c>
    </row>
    <row r="1315" spans="1:11" ht="45" customHeight="1" x14ac:dyDescent="0.25">
      <c r="A1315" t="s">
        <v>5222</v>
      </c>
      <c r="B1315" t="s">
        <v>5223</v>
      </c>
      <c r="C1315" s="5" t="s">
        <v>9764</v>
      </c>
      <c r="D1315">
        <f t="shared" si="80"/>
        <v>1314</v>
      </c>
      <c r="E1315" t="str">
        <f t="shared" si="81"/>
        <v>E2_4_2_8</v>
      </c>
      <c r="F1315" s="11" t="s">
        <v>14448</v>
      </c>
      <c r="G1315" s="11" t="s">
        <v>15051</v>
      </c>
      <c r="H1315" s="11" t="s">
        <v>15677</v>
      </c>
      <c r="I1315" s="11" t="s">
        <v>16298</v>
      </c>
      <c r="J1315" s="12" t="str">
        <f t="shared" si="82"/>
        <v>(${Variables:E2_4_2_8_kcat} * E2_4_2_8 * C00013 * C00130)/(${Variables:E2_4_2_8_km} + (E2_4_2_8 * C00013 * C00130))</v>
      </c>
      <c r="K1315" s="11" t="str">
        <f t="shared" si="83"/>
        <v>r1314: C00013 + C00130 -&gt; C00119 + C00262 | (${Variables:E2_4_2_8_kcat} * E2_4_2_8 * C00013 * C00130)/(${Variables:E2_4_2_8_km} + (E2_4_2_8 * C00013 * C00130))</v>
      </c>
    </row>
    <row r="1316" spans="1:11" ht="45" customHeight="1" x14ac:dyDescent="0.25">
      <c r="A1316" t="s">
        <v>5222</v>
      </c>
      <c r="B1316" t="s">
        <v>5223</v>
      </c>
      <c r="C1316" s="5" t="s">
        <v>9764</v>
      </c>
      <c r="D1316">
        <f t="shared" si="80"/>
        <v>1315</v>
      </c>
      <c r="E1316" t="str">
        <f t="shared" si="81"/>
        <v>E2_4_2_8</v>
      </c>
      <c r="F1316" s="11" t="s">
        <v>14449</v>
      </c>
      <c r="G1316" s="11" t="s">
        <v>15052</v>
      </c>
      <c r="H1316" s="11" t="s">
        <v>15678</v>
      </c>
      <c r="I1316" s="11" t="s">
        <v>16299</v>
      </c>
      <c r="J1316" s="12" t="str">
        <f t="shared" si="82"/>
        <v>(${Variables:E2_4_2_8_kcat} * E2_4_2_8 * C00013 * C00144)/(${Variables:E2_4_2_8_km} + (E2_4_2_8 * C00013 * C00144))</v>
      </c>
      <c r="K1316" s="11" t="str">
        <f t="shared" si="83"/>
        <v>r1315: C00013 + C00144 -&gt; C00119 + C00242 | (${Variables:E2_4_2_8_kcat} * E2_4_2_8 * C00013 * C00144)/(${Variables:E2_4_2_8_km} + (E2_4_2_8 * C00013 * C00144))</v>
      </c>
    </row>
    <row r="1317" spans="1:11" ht="45" customHeight="1" x14ac:dyDescent="0.25">
      <c r="A1317" t="s">
        <v>5222</v>
      </c>
      <c r="B1317" t="s">
        <v>5223</v>
      </c>
      <c r="C1317" s="5" t="s">
        <v>9764</v>
      </c>
      <c r="D1317">
        <f t="shared" si="80"/>
        <v>1316</v>
      </c>
      <c r="E1317" t="str">
        <f t="shared" si="81"/>
        <v>E2_4_2_8</v>
      </c>
      <c r="F1317" s="11" t="s">
        <v>14450</v>
      </c>
      <c r="G1317" s="11" t="s">
        <v>15053</v>
      </c>
      <c r="H1317" s="11" t="s">
        <v>15679</v>
      </c>
      <c r="I1317" s="11" t="s">
        <v>16300</v>
      </c>
      <c r="J1317" s="12" t="str">
        <f t="shared" si="82"/>
        <v>(${Variables:E2_4_2_8_kcat} * E2_4_2_8 * C00013 * C00655)/(${Variables:E2_4_2_8_km} + (E2_4_2_8 * C00013 * C00655))</v>
      </c>
      <c r="K1317" s="11" t="str">
        <f t="shared" si="83"/>
        <v>r1316: C00013 + C00655 -&gt; C00119 + C00385 | (${Variables:E2_4_2_8_kcat} * E2_4_2_8 * C00013 * C00655)/(${Variables:E2_4_2_8_km} + (E2_4_2_8 * C00013 * C00655))</v>
      </c>
    </row>
    <row r="1318" spans="1:11" ht="45" customHeight="1" x14ac:dyDescent="0.25">
      <c r="A1318" t="s">
        <v>5222</v>
      </c>
      <c r="B1318" t="s">
        <v>5223</v>
      </c>
      <c r="C1318" s="5" t="s">
        <v>9764</v>
      </c>
      <c r="D1318">
        <f t="shared" si="80"/>
        <v>1317</v>
      </c>
      <c r="E1318" t="str">
        <f t="shared" si="81"/>
        <v>E2_4_2_8</v>
      </c>
      <c r="F1318" s="11" t="s">
        <v>14451</v>
      </c>
      <c r="G1318" s="11" t="s">
        <v>15054</v>
      </c>
      <c r="H1318" s="11" t="s">
        <v>15680</v>
      </c>
      <c r="I1318" s="11" t="s">
        <v>16301</v>
      </c>
      <c r="J1318" s="12" t="str">
        <f t="shared" si="82"/>
        <v>(${Variables:E2_4_2_8_kcat} * E2_4_2_8 * C00119 * C02380)/(${Variables:E2_4_2_8_km} + (E2_4_2_8 * C00119 * C02380))</v>
      </c>
      <c r="K1318" s="11" t="str">
        <f t="shared" si="83"/>
        <v>r1317: C00119 + C02380 -&gt; C00013 + C04646 | (${Variables:E2_4_2_8_kcat} * E2_4_2_8 * C00119 * C02380)/(${Variables:E2_4_2_8_km} + (E2_4_2_8 * C00119 * C02380))</v>
      </c>
    </row>
    <row r="1319" spans="1:11" ht="45" customHeight="1" x14ac:dyDescent="0.25">
      <c r="A1319" t="s">
        <v>5222</v>
      </c>
      <c r="B1319" t="s">
        <v>5223</v>
      </c>
      <c r="C1319" s="5" t="s">
        <v>9764</v>
      </c>
      <c r="D1319">
        <f t="shared" si="80"/>
        <v>1318</v>
      </c>
      <c r="E1319" t="str">
        <f t="shared" si="81"/>
        <v>E2_4_2_8</v>
      </c>
      <c r="F1319" s="11" t="s">
        <v>14452</v>
      </c>
      <c r="G1319" s="11" t="s">
        <v>15055</v>
      </c>
      <c r="H1319" s="11" t="s">
        <v>15681</v>
      </c>
      <c r="I1319" s="11" t="s">
        <v>16302</v>
      </c>
      <c r="J1319" s="12" t="str">
        <f t="shared" si="82"/>
        <v>(${Variables:E2_4_2_8_kcat} * E2_4_2_8 * C00119 * C16614)/(${Variables:E2_4_2_8_km} + (E2_4_2_8 * C00119 * C16614))</v>
      </c>
      <c r="K1319" s="11" t="str">
        <f t="shared" si="83"/>
        <v>r1318: C00119 + C16614 -&gt; C00013 + C16615 | (${Variables:E2_4_2_8_kcat} * E2_4_2_8 * C00119 * C16614)/(${Variables:E2_4_2_8_km} + (E2_4_2_8 * C00119 * C16614))</v>
      </c>
    </row>
    <row r="1320" spans="1:11" ht="45" customHeight="1" x14ac:dyDescent="0.25">
      <c r="A1320" t="s">
        <v>5222</v>
      </c>
      <c r="B1320" t="s">
        <v>5223</v>
      </c>
      <c r="C1320" s="5" t="s">
        <v>9764</v>
      </c>
      <c r="D1320">
        <f t="shared" si="80"/>
        <v>1319</v>
      </c>
      <c r="E1320" t="str">
        <f t="shared" si="81"/>
        <v>E2_4_2_8</v>
      </c>
      <c r="F1320" s="11" t="s">
        <v>14453</v>
      </c>
      <c r="G1320" s="11" t="s">
        <v>15056</v>
      </c>
      <c r="H1320" s="11" t="s">
        <v>15682</v>
      </c>
      <c r="I1320" s="11" t="s">
        <v>16303</v>
      </c>
      <c r="J1320" s="12" t="str">
        <f t="shared" si="82"/>
        <v>(${Variables:E2_4_2_8_kcat} * E2_4_2_8 * C00119 * C07648)/(${Variables:E2_4_2_8_km} + (E2_4_2_8 * C00119 * C07648))</v>
      </c>
      <c r="K1320" s="11" t="str">
        <f t="shared" si="83"/>
        <v>r1319: C00119 + C07648 -&gt; C00013 + C16619 | (${Variables:E2_4_2_8_kcat} * E2_4_2_8 * C00119 * C07648)/(${Variables:E2_4_2_8_km} + (E2_4_2_8 * C00119 * C07648))</v>
      </c>
    </row>
    <row r="1321" spans="1:11" ht="45" customHeight="1" x14ac:dyDescent="0.25">
      <c r="A1321" t="s">
        <v>5228</v>
      </c>
      <c r="B1321" t="s">
        <v>5229</v>
      </c>
      <c r="C1321" s="5" t="s">
        <v>9765</v>
      </c>
      <c r="D1321">
        <f t="shared" si="80"/>
        <v>1320</v>
      </c>
      <c r="E1321" t="str">
        <f t="shared" si="81"/>
        <v>E1_1_1_122</v>
      </c>
      <c r="F1321" s="11" t="s">
        <v>14454</v>
      </c>
      <c r="G1321" s="11" t="s">
        <v>15057</v>
      </c>
      <c r="H1321" s="11" t="s">
        <v>15683</v>
      </c>
      <c r="I1321" s="11" t="s">
        <v>16304</v>
      </c>
      <c r="J1321" s="12" t="str">
        <f t="shared" si="82"/>
        <v>(${Variables:E1_1_1_122_kcat} * E1_1_1_122 * C00003 * C02143)/(${Variables:E1_1_1_122_km} + (E1_1_1_122 * C00003 * C02143))</v>
      </c>
      <c r="K1321" s="11" t="str">
        <f t="shared" si="83"/>
        <v>r1320: C00003 + C02143 -&gt; C00004 + C00080 + C16581 | (${Variables:E1_1_1_122_kcat} * E1_1_1_122 * C00003 * C02143)/(${Variables:E1_1_1_122_km} + (E1_1_1_122 * C00003 * C02143))</v>
      </c>
    </row>
    <row r="1322" spans="1:11" ht="45" customHeight="1" x14ac:dyDescent="0.25">
      <c r="A1322" t="s">
        <v>5228</v>
      </c>
      <c r="B1322" t="s">
        <v>5229</v>
      </c>
      <c r="C1322" s="5" t="s">
        <v>9765</v>
      </c>
      <c r="D1322">
        <f t="shared" si="80"/>
        <v>1321</v>
      </c>
      <c r="E1322" t="str">
        <f t="shared" si="81"/>
        <v>E1_1_1_122</v>
      </c>
      <c r="F1322" s="11" t="s">
        <v>14455</v>
      </c>
      <c r="G1322" s="11" t="s">
        <v>15058</v>
      </c>
      <c r="H1322" s="11" t="s">
        <v>15684</v>
      </c>
      <c r="I1322" s="11" t="s">
        <v>16305</v>
      </c>
      <c r="J1322" s="12" t="str">
        <f t="shared" si="82"/>
        <v>(${Variables:E1_1_1_122_kcat} * E1_1_1_122 * C00003 * C01019)/(${Variables:E1_1_1_122_km} + (E1_1_1_122 * C00003 * C01019))</v>
      </c>
      <c r="K1322" s="11" t="str">
        <f t="shared" si="83"/>
        <v>r1321: C00003 + C01019 -&gt; C00004 + C00080 + C18028 | (${Variables:E1_1_1_122_kcat} * E1_1_1_122 * C00003 * C01019)/(${Variables:E1_1_1_122_km} + (E1_1_1_122 * C00003 * C01019))</v>
      </c>
    </row>
    <row r="1323" spans="1:11" ht="45" customHeight="1" x14ac:dyDescent="0.25">
      <c r="A1323" t="s">
        <v>5228</v>
      </c>
      <c r="B1323" t="s">
        <v>5229</v>
      </c>
      <c r="C1323" s="5" t="s">
        <v>9765</v>
      </c>
      <c r="D1323">
        <f t="shared" si="80"/>
        <v>1322</v>
      </c>
      <c r="E1323" t="str">
        <f t="shared" si="81"/>
        <v>E1_1_1_122</v>
      </c>
      <c r="F1323" s="11" t="s">
        <v>14456</v>
      </c>
      <c r="G1323" s="11" t="s">
        <v>15059</v>
      </c>
      <c r="H1323" s="11" t="s">
        <v>15685</v>
      </c>
      <c r="I1323" s="11" t="s">
        <v>16306</v>
      </c>
      <c r="J1323" s="12" t="str">
        <f t="shared" si="82"/>
        <v>(${Variables:E1_1_1_122_kcat} * E1_1_1_122 * C00003 * C01825)/(${Variables:E1_1_1_122_km} + (E1_1_1_122 * C00003 * C01825))</v>
      </c>
      <c r="K1323" s="11" t="str">
        <f t="shared" si="83"/>
        <v>r1322: C00003 + C01825 -&gt; C00004 + C00080 + C01115 | (${Variables:E1_1_1_122_kcat} * E1_1_1_122 * C00003 * C01825)/(${Variables:E1_1_1_122_km} + (E1_1_1_122 * C00003 * C01825))</v>
      </c>
    </row>
    <row r="1324" spans="1:11" ht="45" customHeight="1" x14ac:dyDescent="0.25">
      <c r="A1324" t="s">
        <v>5231</v>
      </c>
      <c r="B1324" t="s">
        <v>5232</v>
      </c>
      <c r="C1324" s="5" t="s">
        <v>9766</v>
      </c>
      <c r="D1324">
        <f t="shared" si="80"/>
        <v>1323</v>
      </c>
      <c r="E1324" t="str">
        <f t="shared" si="81"/>
        <v>E6_3_4_4</v>
      </c>
      <c r="F1324" s="11" t="s">
        <v>14457</v>
      </c>
      <c r="G1324" s="11" t="s">
        <v>15060</v>
      </c>
      <c r="H1324" s="11" t="s">
        <v>15686</v>
      </c>
      <c r="I1324" s="11" t="s">
        <v>16307</v>
      </c>
      <c r="J1324" s="12" t="str">
        <f t="shared" si="82"/>
        <v>(${Variables:E6_3_4_4_kcat} * E6_3_4_4 * C00044 * C00049 * C00130)/(${Variables:E6_3_4_4_km} + (E6_3_4_4 * C00044 * C00049 * C00130))</v>
      </c>
      <c r="K1324" s="11" t="str">
        <f t="shared" si="83"/>
        <v>r1323: C00044 + C00049 + C00130 -&gt; C00009 + C00035 + C03794 | (${Variables:E6_3_4_4_kcat} * E6_3_4_4 * C00044 * C00049 * C00130)/(${Variables:E6_3_4_4_km} + (E6_3_4_4 * C00044 * C00049 * C00130))</v>
      </c>
    </row>
    <row r="1325" spans="1:11" ht="45" customHeight="1" x14ac:dyDescent="0.25">
      <c r="A1325" t="s">
        <v>5236</v>
      </c>
      <c r="B1325" t="s">
        <v>5237</v>
      </c>
      <c r="C1325" s="5" t="s">
        <v>9767</v>
      </c>
      <c r="D1325">
        <f t="shared" si="80"/>
        <v>1324</v>
      </c>
      <c r="E1325" t="str">
        <f t="shared" si="81"/>
        <v>E2_4_2_18</v>
      </c>
      <c r="F1325" s="11" t="s">
        <v>14458</v>
      </c>
      <c r="G1325" s="11" t="s">
        <v>15061</v>
      </c>
      <c r="H1325" s="11" t="s">
        <v>9165</v>
      </c>
      <c r="I1325" s="11" t="s">
        <v>9364</v>
      </c>
      <c r="J1325" s="12" t="str">
        <f t="shared" si="82"/>
        <v>(${Variables:E2_4_2_18_kcat} * E2_4_2_18 * C00013 * C04302)/(${Variables:E2_4_2_18_km} + (E2_4_2_18 * C00013 * C04302))</v>
      </c>
      <c r="K1325" s="11" t="str">
        <f t="shared" si="83"/>
        <v>r1324: C00013 + C04302 -&gt; C00108 + C00119 | (${Variables:E2_4_2_18_kcat} * E2_4_2_18 * C00013 * C04302)/(${Variables:E2_4_2_18_km} + (E2_4_2_18 * C00013 * C04302))</v>
      </c>
    </row>
    <row r="1326" spans="1:11" ht="45" customHeight="1" x14ac:dyDescent="0.25">
      <c r="A1326" t="s">
        <v>5239</v>
      </c>
      <c r="B1326" t="s">
        <v>5240</v>
      </c>
      <c r="C1326" s="5" t="s">
        <v>9768</v>
      </c>
      <c r="D1326">
        <f t="shared" si="80"/>
        <v>1325</v>
      </c>
      <c r="E1326" t="str">
        <f t="shared" si="81"/>
        <v>E4_1_3_27</v>
      </c>
      <c r="F1326" s="11" t="s">
        <v>14262</v>
      </c>
      <c r="G1326" s="11" t="s">
        <v>14865</v>
      </c>
      <c r="H1326" s="11" t="s">
        <v>15687</v>
      </c>
      <c r="I1326" s="11" t="s">
        <v>16308</v>
      </c>
      <c r="J1326" s="12" t="str">
        <f t="shared" si="82"/>
        <v>(${Variables:E4_1_3_27_kcat} * E4_1_3_27 * C00064 * C00251)/(${Variables:E4_1_3_27_km} + (E4_1_3_27 * C00064 * C00251))</v>
      </c>
      <c r="K1326" s="11" t="str">
        <f t="shared" si="83"/>
        <v>r1325: C00064 + C00251 -&gt; C00022 + C00025 + C00108 | (${Variables:E4_1_3_27_kcat} * E4_1_3_27 * C00064 * C00251)/(${Variables:E4_1_3_27_km} + (E4_1_3_27 * C00064 * C00251))</v>
      </c>
    </row>
    <row r="1327" spans="1:11" ht="45" customHeight="1" x14ac:dyDescent="0.25">
      <c r="A1327" t="s">
        <v>5239</v>
      </c>
      <c r="B1327" t="s">
        <v>5240</v>
      </c>
      <c r="C1327" s="5" t="s">
        <v>9768</v>
      </c>
      <c r="D1327">
        <f t="shared" si="80"/>
        <v>1326</v>
      </c>
      <c r="E1327" t="str">
        <f t="shared" si="81"/>
        <v>E4_1_3_27</v>
      </c>
      <c r="F1327" s="11" t="s">
        <v>14263</v>
      </c>
      <c r="G1327" s="11" t="s">
        <v>14866</v>
      </c>
      <c r="H1327" s="11" t="s">
        <v>15688</v>
      </c>
      <c r="I1327" s="11" t="s">
        <v>16309</v>
      </c>
      <c r="J1327" s="12" t="str">
        <f t="shared" si="82"/>
        <v>(${Variables:E4_1_3_27_kcat} * E4_1_3_27 * C00014 * C00251)/(${Variables:E4_1_3_27_km} + (E4_1_3_27 * C00014 * C00251))</v>
      </c>
      <c r="K1327" s="11" t="str">
        <f t="shared" si="83"/>
        <v>r1326: C00014 + C00251 -&gt; C00001 + C00022 + C00108 | (${Variables:E4_1_3_27_kcat} * E4_1_3_27 * C00014 * C00251)/(${Variables:E4_1_3_27_km} + (E4_1_3_27 * C00014 * C00251))</v>
      </c>
    </row>
    <row r="1328" spans="1:11" ht="45" customHeight="1" x14ac:dyDescent="0.25">
      <c r="A1328" t="s">
        <v>5242</v>
      </c>
      <c r="B1328" t="s">
        <v>5243</v>
      </c>
      <c r="C1328" s="5" t="s">
        <v>9768</v>
      </c>
      <c r="D1328">
        <f t="shared" si="80"/>
        <v>1327</v>
      </c>
      <c r="E1328" t="str">
        <f t="shared" si="81"/>
        <v>E4_1_3_27</v>
      </c>
      <c r="F1328" s="11" t="s">
        <v>14262</v>
      </c>
      <c r="G1328" s="11" t="s">
        <v>14865</v>
      </c>
      <c r="H1328" s="11" t="s">
        <v>15687</v>
      </c>
      <c r="I1328" s="11" t="s">
        <v>16308</v>
      </c>
      <c r="J1328" s="12" t="str">
        <f t="shared" si="82"/>
        <v>(${Variables:E4_1_3_27_kcat} * E4_1_3_27 * C00064 * C00251)/(${Variables:E4_1_3_27_km} + (E4_1_3_27 * C00064 * C00251))</v>
      </c>
      <c r="K1328" s="11" t="str">
        <f t="shared" si="83"/>
        <v>r1327: C00064 + C00251 -&gt; C00022 + C00025 + C00108 | (${Variables:E4_1_3_27_kcat} * E4_1_3_27 * C00064 * C00251)/(${Variables:E4_1_3_27_km} + (E4_1_3_27 * C00064 * C00251))</v>
      </c>
    </row>
    <row r="1329" spans="1:11" ht="45" customHeight="1" x14ac:dyDescent="0.25">
      <c r="A1329" t="s">
        <v>5242</v>
      </c>
      <c r="B1329" t="s">
        <v>5243</v>
      </c>
      <c r="C1329" s="5" t="s">
        <v>9768</v>
      </c>
      <c r="D1329">
        <f t="shared" si="80"/>
        <v>1328</v>
      </c>
      <c r="E1329" t="str">
        <f t="shared" si="81"/>
        <v>E4_1_3_27</v>
      </c>
      <c r="F1329" s="11" t="s">
        <v>14263</v>
      </c>
      <c r="G1329" s="11" t="s">
        <v>14866</v>
      </c>
      <c r="H1329" s="11" t="s">
        <v>15688</v>
      </c>
      <c r="I1329" s="11" t="s">
        <v>16309</v>
      </c>
      <c r="J1329" s="12" t="str">
        <f t="shared" si="82"/>
        <v>(${Variables:E4_1_3_27_kcat} * E4_1_3_27 * C00014 * C00251)/(${Variables:E4_1_3_27_km} + (E4_1_3_27 * C00014 * C00251))</v>
      </c>
      <c r="K1329" s="11" t="str">
        <f t="shared" si="83"/>
        <v>r1328: C00014 + C00251 -&gt; C00001 + C00022 + C00108 | (${Variables:E4_1_3_27_kcat} * E4_1_3_27 * C00014 * C00251)/(${Variables:E4_1_3_27_km} + (E4_1_3_27 * C00014 * C00251))</v>
      </c>
    </row>
    <row r="1330" spans="1:11" ht="45" customHeight="1" x14ac:dyDescent="0.25">
      <c r="A1330" t="s">
        <v>5245</v>
      </c>
      <c r="B1330" t="s">
        <v>5246</v>
      </c>
      <c r="C1330" s="5" t="s">
        <v>9769</v>
      </c>
      <c r="D1330">
        <f t="shared" si="80"/>
        <v>1329</v>
      </c>
      <c r="E1330" t="str">
        <f t="shared" si="81"/>
        <v>E1_2_1_88</v>
      </c>
      <c r="F1330" s="11" t="s">
        <v>14459</v>
      </c>
      <c r="G1330" s="11" t="s">
        <v>15062</v>
      </c>
      <c r="H1330" s="11" t="s">
        <v>15689</v>
      </c>
      <c r="I1330" s="11" t="s">
        <v>16310</v>
      </c>
      <c r="J1330" s="12" t="str">
        <f t="shared" si="82"/>
        <v>(${Variables:E1_2_1_88_kcat} * E1_2_1_88 * C00001 * C00003 * C01165)/(${Variables:E1_2_1_88_km} + (E1_2_1_88 * C00001 * C00003 * C01165))</v>
      </c>
      <c r="K1330" s="11" t="str">
        <f t="shared" si="83"/>
        <v>r1329: C00001 + C00003 + C01165 -&gt; C00004 + C00025 + C00080 | (${Variables:E1_2_1_88_kcat} * E1_2_1_88 * C00001 * C00003 * C01165)/(${Variables:E1_2_1_88_km} + (E1_2_1_88 * C00001 * C00003 * C01165))</v>
      </c>
    </row>
    <row r="1331" spans="1:11" ht="45" customHeight="1" x14ac:dyDescent="0.25">
      <c r="A1331" t="s">
        <v>5245</v>
      </c>
      <c r="B1331" t="s">
        <v>5246</v>
      </c>
      <c r="C1331" s="5" t="s">
        <v>9769</v>
      </c>
      <c r="D1331">
        <f t="shared" si="80"/>
        <v>1330</v>
      </c>
      <c r="E1331" t="str">
        <f t="shared" si="81"/>
        <v>E1_2_1_88</v>
      </c>
      <c r="F1331" s="11" t="s">
        <v>14460</v>
      </c>
      <c r="G1331" s="11" t="s">
        <v>15063</v>
      </c>
      <c r="H1331" s="11" t="s">
        <v>15689</v>
      </c>
      <c r="I1331" s="11" t="s">
        <v>16310</v>
      </c>
      <c r="J1331" s="12" t="str">
        <f t="shared" si="82"/>
        <v>(${Variables:E1_2_1_88_kcat} * E1_2_1_88 * C00001 * C00003 * C03912)/(${Variables:E1_2_1_88_km} + (E1_2_1_88 * C00001 * C00003 * C03912))</v>
      </c>
      <c r="K1331" s="11" t="str">
        <f t="shared" si="83"/>
        <v>r1330: C00001 + C00003 + C03912 -&gt; C00004 + C00025 + C00080 | (${Variables:E1_2_1_88_kcat} * E1_2_1_88 * C00001 * C00003 * C03912)/(${Variables:E1_2_1_88_km} + (E1_2_1_88 * C00001 * C00003 * C03912))</v>
      </c>
    </row>
    <row r="1332" spans="1:11" ht="45" customHeight="1" x14ac:dyDescent="0.25">
      <c r="A1332" t="s">
        <v>5245</v>
      </c>
      <c r="B1332" t="s">
        <v>5246</v>
      </c>
      <c r="C1332" s="5" t="s">
        <v>9769</v>
      </c>
      <c r="D1332">
        <f t="shared" si="80"/>
        <v>1331</v>
      </c>
      <c r="E1332" t="str">
        <f t="shared" si="81"/>
        <v>E1_2_1_88</v>
      </c>
      <c r="F1332" s="11" t="s">
        <v>14461</v>
      </c>
      <c r="G1332" s="11" t="s">
        <v>15064</v>
      </c>
      <c r="H1332" s="11" t="s">
        <v>15690</v>
      </c>
      <c r="I1332" s="11" t="s">
        <v>16311</v>
      </c>
      <c r="J1332" s="12" t="str">
        <f t="shared" si="82"/>
        <v>(${Variables:E1_2_1_88_kcat} * E1_2_1_88 * C00001 * C00006 * C03912)/(${Variables:E1_2_1_88_km} + (E1_2_1_88 * C00001 * C00006 * C03912))</v>
      </c>
      <c r="K1332" s="11" t="str">
        <f t="shared" si="83"/>
        <v>r1331: C00001 + C00006 + C03912 -&gt; C00005 + C00025 + C00080 | (${Variables:E1_2_1_88_kcat} * E1_2_1_88 * C00001 * C00006 * C03912)/(${Variables:E1_2_1_88_km} + (E1_2_1_88 * C00001 * C00006 * C03912))</v>
      </c>
    </row>
    <row r="1333" spans="1:11" ht="45" customHeight="1" x14ac:dyDescent="0.25">
      <c r="A1333" t="s">
        <v>5245</v>
      </c>
      <c r="B1333" t="s">
        <v>5246</v>
      </c>
      <c r="C1333" s="5" t="s">
        <v>9769</v>
      </c>
      <c r="D1333">
        <f t="shared" si="80"/>
        <v>1332</v>
      </c>
      <c r="E1333" t="str">
        <f t="shared" si="81"/>
        <v>E1_2_1_88</v>
      </c>
      <c r="F1333" s="11" t="s">
        <v>14462</v>
      </c>
      <c r="G1333" s="11" t="s">
        <v>15065</v>
      </c>
      <c r="H1333" s="11" t="s">
        <v>14464</v>
      </c>
      <c r="I1333" s="11" t="s">
        <v>15067</v>
      </c>
      <c r="J1333" s="12" t="str">
        <f t="shared" si="82"/>
        <v>(${Variables:E1_2_1_88_kcat} * E1_2_1_88 * C00001 * C00003 * C04281)/(${Variables:E1_2_1_88_km} + (E1_2_1_88 * C00001 * C00003 * C04281))</v>
      </c>
      <c r="K1333" s="11" t="str">
        <f t="shared" si="83"/>
        <v>r1332: C00001 + C00003 + C04281 -&gt; C00004 + C00080 + C05947 | (${Variables:E1_2_1_88_kcat} * E1_2_1_88 * C00001 * C00003 * C04281)/(${Variables:E1_2_1_88_km} + (E1_2_1_88 * C00001 * C00003 * C04281))</v>
      </c>
    </row>
    <row r="1334" spans="1:11" ht="45" customHeight="1" x14ac:dyDescent="0.25">
      <c r="A1334" t="s">
        <v>5245</v>
      </c>
      <c r="B1334" t="s">
        <v>5246</v>
      </c>
      <c r="C1334" s="5" t="s">
        <v>9769</v>
      </c>
      <c r="D1334">
        <f t="shared" si="80"/>
        <v>1333</v>
      </c>
      <c r="E1334" t="str">
        <f t="shared" si="81"/>
        <v>E1_2_1_88</v>
      </c>
      <c r="F1334" s="11" t="s">
        <v>14463</v>
      </c>
      <c r="G1334" s="11" t="s">
        <v>15066</v>
      </c>
      <c r="H1334" s="11" t="s">
        <v>15691</v>
      </c>
      <c r="I1334" s="11" t="s">
        <v>16312</v>
      </c>
      <c r="J1334" s="12" t="str">
        <f t="shared" si="82"/>
        <v>(${Variables:E1_2_1_88_kcat} * E1_2_1_88 * C00001 * C00006 * C04281)/(${Variables:E1_2_1_88_km} + (E1_2_1_88 * C00001 * C00006 * C04281))</v>
      </c>
      <c r="K1334" s="11" t="str">
        <f t="shared" si="83"/>
        <v>r1333: C00001 + C00006 + C04281 -&gt; C00005 + C00080 + C05947 | (${Variables:E1_2_1_88_kcat} * E1_2_1_88 * C00001 * C00006 * C04281)/(${Variables:E1_2_1_88_km} + (E1_2_1_88 * C00001 * C00006 * C04281))</v>
      </c>
    </row>
    <row r="1335" spans="1:11" ht="45" customHeight="1" x14ac:dyDescent="0.25">
      <c r="A1335" t="s">
        <v>5245</v>
      </c>
      <c r="B1335" t="s">
        <v>5246</v>
      </c>
      <c r="C1335" s="5" t="s">
        <v>9769</v>
      </c>
      <c r="D1335">
        <f t="shared" si="80"/>
        <v>1334</v>
      </c>
      <c r="E1335" t="str">
        <f t="shared" si="81"/>
        <v>E1_2_1_88</v>
      </c>
      <c r="F1335" s="11" t="s">
        <v>14464</v>
      </c>
      <c r="G1335" s="11" t="s">
        <v>15067</v>
      </c>
      <c r="H1335" s="11" t="s">
        <v>15692</v>
      </c>
      <c r="I1335" s="11" t="s">
        <v>16313</v>
      </c>
      <c r="J1335" s="12" t="str">
        <f t="shared" si="82"/>
        <v>(${Variables:E1_2_1_88_kcat} * E1_2_1_88 * C00004 * C00080 * C05947)/(${Variables:E1_2_1_88_km} + (E1_2_1_88 * C00004 * C00080 * C05947))</v>
      </c>
      <c r="K1335" s="11" t="str">
        <f t="shared" si="83"/>
        <v>r1334: C00004 + C00080 + C05947 -&gt; C00001 + C00003 + C05938 | (${Variables:E1_2_1_88_kcat} * E1_2_1_88 * C00004 * C00080 * C05947)/(${Variables:E1_2_1_88_km} + (E1_2_1_88 * C00004 * C00080 * C05947))</v>
      </c>
    </row>
    <row r="1336" spans="1:11" ht="45" customHeight="1" x14ac:dyDescent="0.25">
      <c r="A1336" t="s">
        <v>5245</v>
      </c>
      <c r="B1336" t="s">
        <v>5246</v>
      </c>
      <c r="C1336" s="5" t="s">
        <v>9769</v>
      </c>
      <c r="D1336">
        <f t="shared" si="80"/>
        <v>1335</v>
      </c>
      <c r="E1336" t="str">
        <f t="shared" si="81"/>
        <v>E1_2_1_88</v>
      </c>
      <c r="F1336" s="11" t="s">
        <v>14465</v>
      </c>
      <c r="G1336" s="11" t="s">
        <v>15068</v>
      </c>
      <c r="H1336" s="11" t="s">
        <v>15690</v>
      </c>
      <c r="I1336" s="11" t="s">
        <v>16311</v>
      </c>
      <c r="J1336" s="12" t="str">
        <f t="shared" si="82"/>
        <v>(${Variables:E1_2_1_88_kcat} * E1_2_1_88 * C00001 * C00006 * C01165)/(${Variables:E1_2_1_88_km} + (E1_2_1_88 * C00001 * C00006 * C01165))</v>
      </c>
      <c r="K1336" s="11" t="str">
        <f t="shared" si="83"/>
        <v>r1335: C00001 + C00006 + C01165 -&gt; C00005 + C00025 + C00080 | (${Variables:E1_2_1_88_kcat} * E1_2_1_88 * C00001 * C00006 * C01165)/(${Variables:E1_2_1_88_km} + (E1_2_1_88 * C00001 * C00006 * C01165))</v>
      </c>
    </row>
    <row r="1337" spans="1:11" ht="45" customHeight="1" x14ac:dyDescent="0.25">
      <c r="A1337" t="s">
        <v>5248</v>
      </c>
      <c r="B1337" t="s">
        <v>5249</v>
      </c>
      <c r="C1337" s="5" t="s">
        <v>9770</v>
      </c>
      <c r="D1337">
        <f t="shared" si="80"/>
        <v>1336</v>
      </c>
      <c r="E1337" t="str">
        <f t="shared" si="81"/>
        <v>E1_5_5_2</v>
      </c>
      <c r="F1337" s="11" t="s">
        <v>14466</v>
      </c>
      <c r="G1337" s="11" t="s">
        <v>15069</v>
      </c>
      <c r="H1337" s="11" t="s">
        <v>15693</v>
      </c>
      <c r="I1337" s="11" t="s">
        <v>16314</v>
      </c>
      <c r="J1337" s="12" t="str">
        <f t="shared" si="82"/>
        <v>(${Variables:E1_5_5_2_kcat} * E1_5_5_2 * C00148 * C15602)/(${Variables:E1_5_5_2_km} + (E1_5_5_2 * C00148 * C15602))</v>
      </c>
      <c r="K1337" s="11" t="str">
        <f t="shared" si="83"/>
        <v>r1336: C00148 + C15602 -&gt; C03912 + C15603 | (${Variables:E1_5_5_2_kcat} * E1_5_5_2 * C00148 * C15602)/(${Variables:E1_5_5_2_km} + (E1_5_5_2 * C00148 * C15602))</v>
      </c>
    </row>
    <row r="1338" spans="1:11" ht="45" customHeight="1" x14ac:dyDescent="0.25">
      <c r="A1338" t="s">
        <v>5258</v>
      </c>
      <c r="B1338" t="s">
        <v>5259</v>
      </c>
      <c r="C1338" s="5" t="s">
        <v>9771</v>
      </c>
      <c r="D1338">
        <f t="shared" si="80"/>
        <v>1337</v>
      </c>
      <c r="E1338" t="str">
        <f t="shared" si="81"/>
        <v>E2_3_1_29</v>
      </c>
      <c r="F1338" s="11" t="s">
        <v>14467</v>
      </c>
      <c r="G1338" s="11" t="s">
        <v>15070</v>
      </c>
      <c r="H1338" s="11" t="s">
        <v>15694</v>
      </c>
      <c r="I1338" s="11" t="s">
        <v>16315</v>
      </c>
      <c r="J1338" s="12" t="str">
        <f t="shared" si="82"/>
        <v>(${Variables:E2_3_1_29_kcat} * E2_3_1_29 * C00024 * C00037)/(${Variables:E2_3_1_29_km} + (E2_3_1_29 * C00024 * C00037))</v>
      </c>
      <c r="K1338" s="11" t="str">
        <f t="shared" si="83"/>
        <v>r1337: C00024 + C00037 -&gt; C00010 + C03508 | (${Variables:E2_3_1_29_kcat} * E2_3_1_29 * C00024 * C00037)/(${Variables:E2_3_1_29_km} + (E2_3_1_29 * C00024 * C00037))</v>
      </c>
    </row>
    <row r="1339" spans="1:11" ht="45" customHeight="1" x14ac:dyDescent="0.25">
      <c r="A1339" t="s">
        <v>5261</v>
      </c>
      <c r="B1339" t="s">
        <v>5262</v>
      </c>
      <c r="C1339" s="5" t="s">
        <v>9536</v>
      </c>
      <c r="D1339">
        <f t="shared" si="80"/>
        <v>1338</v>
      </c>
      <c r="E1339" t="str">
        <f t="shared" si="81"/>
        <v>E2_1_1_72</v>
      </c>
      <c r="F1339" s="11" t="s">
        <v>8715</v>
      </c>
      <c r="G1339" s="11" t="s">
        <v>8881</v>
      </c>
      <c r="H1339" s="11" t="s">
        <v>9074</v>
      </c>
      <c r="I1339" s="11" t="s">
        <v>9273</v>
      </c>
      <c r="J1339" s="12" t="str">
        <f t="shared" si="82"/>
        <v>(${Variables:E2_1_1_72_kcat} * E2_1_1_72 * C00019 * C00821)/(${Variables:E2_1_1_72_km} + (E2_1_1_72 * C00019 * C00821))</v>
      </c>
      <c r="K1339" s="11" t="str">
        <f t="shared" si="83"/>
        <v>r1338: C00019 + C00821 -&gt; C00021 + C03391 | (${Variables:E2_1_1_72_kcat} * E2_1_1_72 * C00019 * C00821)/(${Variables:E2_1_1_72_km} + (E2_1_1_72 * C00019 * C00821))</v>
      </c>
    </row>
    <row r="1340" spans="1:11" ht="45" customHeight="1" x14ac:dyDescent="0.25">
      <c r="A1340" t="s">
        <v>5301</v>
      </c>
      <c r="B1340" t="s">
        <v>5302</v>
      </c>
      <c r="C1340" s="5" t="s">
        <v>9602</v>
      </c>
      <c r="D1340">
        <f t="shared" si="80"/>
        <v>1339</v>
      </c>
      <c r="E1340" t="str">
        <f t="shared" si="81"/>
        <v>E5_4_99_5</v>
      </c>
      <c r="F1340" s="11" t="s">
        <v>8267</v>
      </c>
      <c r="G1340" s="11" t="s">
        <v>8267</v>
      </c>
      <c r="H1340" s="11" t="s">
        <v>8537</v>
      </c>
      <c r="I1340" s="11" t="s">
        <v>8537</v>
      </c>
      <c r="J1340" s="12" t="str">
        <f t="shared" si="82"/>
        <v>(${Variables:E5_4_99_5_kcat} * E5_4_99_5 * C00251)/(${Variables:E5_4_99_5_km} + (E5_4_99_5 * C00251))</v>
      </c>
      <c r="K1340" s="11" t="str">
        <f t="shared" si="83"/>
        <v>r1339: C00251 -&gt; C00254 | (${Variables:E5_4_99_5_kcat} * E5_4_99_5 * C00251)/(${Variables:E5_4_99_5_km} + (E5_4_99_5 * C00251))</v>
      </c>
    </row>
    <row r="1341" spans="1:11" ht="45" customHeight="1" x14ac:dyDescent="0.25">
      <c r="A1341" t="s">
        <v>5309</v>
      </c>
      <c r="B1341" t="s">
        <v>5310</v>
      </c>
      <c r="C1341" s="5" t="s">
        <v>9772</v>
      </c>
      <c r="D1341">
        <f t="shared" si="80"/>
        <v>1340</v>
      </c>
      <c r="E1341" t="str">
        <f t="shared" si="81"/>
        <v>E2_7_7_23</v>
      </c>
      <c r="F1341" s="11" t="s">
        <v>14468</v>
      </c>
      <c r="G1341" s="11" t="s">
        <v>15071</v>
      </c>
      <c r="H1341" s="11" t="s">
        <v>15695</v>
      </c>
      <c r="I1341" s="11" t="s">
        <v>16316</v>
      </c>
      <c r="J1341" s="12" t="str">
        <f t="shared" si="82"/>
        <v>(${Variables:E2_7_7_23_kcat} * E2_7_7_23 * C00075 * C04501)/(${Variables:E2_7_7_23_km} + (E2_7_7_23 * C00075 * C04501))</v>
      </c>
      <c r="K1341" s="11" t="str">
        <f t="shared" si="83"/>
        <v>r1340: C00075 + C04501 -&gt; C00013 + C00043 | (${Variables:E2_7_7_23_kcat} * E2_7_7_23 * C00075 * C04501)/(${Variables:E2_7_7_23_km} + (E2_7_7_23 * C00075 * C04501))</v>
      </c>
    </row>
    <row r="1342" spans="1:11" ht="45" customHeight="1" x14ac:dyDescent="0.25">
      <c r="A1342" t="s">
        <v>5319</v>
      </c>
      <c r="B1342" t="s">
        <v>5320</v>
      </c>
      <c r="C1342" s="5" t="s">
        <v>9763</v>
      </c>
      <c r="D1342">
        <f t="shared" si="80"/>
        <v>1341</v>
      </c>
      <c r="E1342" t="str">
        <f t="shared" si="81"/>
        <v>E1_4_1_1</v>
      </c>
      <c r="F1342" s="11" t="s">
        <v>14446</v>
      </c>
      <c r="G1342" s="11" t="s">
        <v>15049</v>
      </c>
      <c r="H1342" s="11" t="s">
        <v>15675</v>
      </c>
      <c r="I1342" s="11" t="s">
        <v>16296</v>
      </c>
      <c r="J1342" s="12" t="str">
        <f t="shared" si="82"/>
        <v>(${Variables:E1_4_1_1_kcat} * E1_4_1_1 * C00001 * C00003 * C00041)/(${Variables:E1_4_1_1_km} + (E1_4_1_1 * C00001 * C00003 * C00041))</v>
      </c>
      <c r="K1342" s="11" t="str">
        <f t="shared" si="83"/>
        <v>r1341: C00001 + C00003 + C00041 -&gt; C00004 + C00014 + C00022 + C00080 | (${Variables:E1_4_1_1_kcat} * E1_4_1_1 * C00001 * C00003 * C00041)/(${Variables:E1_4_1_1_km} + (E1_4_1_1 * C00001 * C00003 * C00041))</v>
      </c>
    </row>
    <row r="1343" spans="1:11" ht="45" customHeight="1" x14ac:dyDescent="0.25">
      <c r="A1343" t="s">
        <v>5319</v>
      </c>
      <c r="B1343" t="s">
        <v>5320</v>
      </c>
      <c r="C1343" s="5" t="s">
        <v>9763</v>
      </c>
      <c r="D1343">
        <f t="shared" si="80"/>
        <v>1342</v>
      </c>
      <c r="E1343" t="str">
        <f t="shared" si="81"/>
        <v>E1_4_1_1</v>
      </c>
      <c r="F1343" s="11" t="s">
        <v>14042</v>
      </c>
      <c r="G1343" s="11" t="s">
        <v>14645</v>
      </c>
      <c r="H1343" s="11" t="s">
        <v>15256</v>
      </c>
      <c r="I1343" s="11" t="s">
        <v>15877</v>
      </c>
      <c r="J1343" s="12" t="str">
        <f t="shared" si="82"/>
        <v>(${Variables:E1_4_1_1_kcat} * E1_4_1_1 * C00001 * C00003 * C05167)/(${Variables:E1_4_1_1_km} + (E1_4_1_1 * C00001 * C00003 * C05167))</v>
      </c>
      <c r="K1343" s="11" t="str">
        <f t="shared" si="83"/>
        <v>r1342: C00001 + C00003 + C05167 -&gt; C00004 + C00014 + C00080 + C00161 | (${Variables:E1_4_1_1_kcat} * E1_4_1_1 * C00001 * C00003 * C05167)/(${Variables:E1_4_1_1_km} + (E1_4_1_1 * C00001 * C00003 * C05167))</v>
      </c>
    </row>
    <row r="1344" spans="1:11" ht="45" customHeight="1" x14ac:dyDescent="0.25">
      <c r="A1344" t="s">
        <v>5319</v>
      </c>
      <c r="B1344" t="s">
        <v>5320</v>
      </c>
      <c r="C1344" s="5" t="s">
        <v>9763</v>
      </c>
      <c r="D1344">
        <f t="shared" si="80"/>
        <v>1343</v>
      </c>
      <c r="E1344" t="str">
        <f t="shared" si="81"/>
        <v>E1_4_1_1</v>
      </c>
      <c r="F1344" s="11" t="s">
        <v>14043</v>
      </c>
      <c r="G1344" s="11" t="s">
        <v>14646</v>
      </c>
      <c r="H1344" s="11" t="s">
        <v>15257</v>
      </c>
      <c r="I1344" s="11" t="s">
        <v>15878</v>
      </c>
      <c r="J1344" s="12" t="str">
        <f t="shared" si="82"/>
        <v>(${Variables:E1_4_1_1_kcat} * E1_4_1_1 * C00001 * C00006 * C05167)/(${Variables:E1_4_1_1_km} + (E1_4_1_1 * C00001 * C00006 * C05167))</v>
      </c>
      <c r="K1344" s="11" t="str">
        <f t="shared" si="83"/>
        <v>r1343: C00001 + C00006 + C05167 -&gt; C00005 + C00014 + C00080 + C00161 | (${Variables:E1_4_1_1_kcat} * E1_4_1_1 * C00001 * C00006 * C05167)/(${Variables:E1_4_1_1_km} + (E1_4_1_1 * C00001 * C00006 * C05167))</v>
      </c>
    </row>
    <row r="1345" spans="1:11" ht="45" customHeight="1" x14ac:dyDescent="0.25">
      <c r="A1345" t="s">
        <v>5319</v>
      </c>
      <c r="B1345" t="s">
        <v>5320</v>
      </c>
      <c r="C1345" s="5" t="s">
        <v>9763</v>
      </c>
      <c r="D1345">
        <f t="shared" si="80"/>
        <v>1344</v>
      </c>
      <c r="E1345" t="str">
        <f t="shared" si="81"/>
        <v>E1_4_1_1</v>
      </c>
      <c r="F1345" s="11" t="s">
        <v>14447</v>
      </c>
      <c r="G1345" s="11" t="s">
        <v>15050</v>
      </c>
      <c r="H1345" s="11" t="s">
        <v>15676</v>
      </c>
      <c r="I1345" s="11" t="s">
        <v>16297</v>
      </c>
      <c r="J1345" s="12" t="str">
        <f t="shared" si="82"/>
        <v>(${Variables:E1_4_1_1_kcat} * E1_4_1_1 * C00001 * C00003 * C00037)/(${Variables:E1_4_1_1_km} + (E1_4_1_1 * C00001 * C00003 * C00037))</v>
      </c>
      <c r="K1345" s="11" t="str">
        <f t="shared" si="83"/>
        <v>r1344: C00001 + C00003 + C00037 -&gt; C00004 + C00014 + C00048 + C00080 | (${Variables:E1_4_1_1_kcat} * E1_4_1_1 * C00001 * C00003 * C00037)/(${Variables:E1_4_1_1_km} + (E1_4_1_1 * C00001 * C00003 * C00037))</v>
      </c>
    </row>
    <row r="1346" spans="1:11" ht="45" customHeight="1" x14ac:dyDescent="0.25">
      <c r="A1346" t="s">
        <v>5331</v>
      </c>
      <c r="B1346" t="s">
        <v>5332</v>
      </c>
      <c r="C1346" s="5" t="s">
        <v>9728</v>
      </c>
      <c r="D1346">
        <f t="shared" si="80"/>
        <v>1345</v>
      </c>
      <c r="E1346" t="str">
        <f t="shared" si="81"/>
        <v>E4_2_1_70</v>
      </c>
      <c r="F1346" s="11" t="s">
        <v>8790</v>
      </c>
      <c r="G1346" s="11" t="s">
        <v>8956</v>
      </c>
      <c r="H1346" s="11" t="s">
        <v>15621</v>
      </c>
      <c r="I1346" s="11" t="s">
        <v>16242</v>
      </c>
      <c r="J1346" s="12" t="str">
        <f t="shared" si="82"/>
        <v>(${Variables:E4_2_1_70_kcat} * E4_2_1_70 * C00106 * C00117)/(${Variables:E4_2_1_70_km} + (E4_2_1_70 * C00106 * C00117))</v>
      </c>
      <c r="K1346" s="11" t="str">
        <f t="shared" si="83"/>
        <v>r1345: C00106 + C00117 -&gt; C00001 + C01168 | (${Variables:E4_2_1_70_kcat} * E4_2_1_70 * C00106 * C00117)/(${Variables:E4_2_1_70_km} + (E4_2_1_70 * C00106 * C00117))</v>
      </c>
    </row>
    <row r="1347" spans="1:11" ht="45" customHeight="1" x14ac:dyDescent="0.25">
      <c r="A1347" t="s">
        <v>5343</v>
      </c>
      <c r="B1347" t="s">
        <v>5344</v>
      </c>
      <c r="C1347" s="5" t="s">
        <v>9649</v>
      </c>
      <c r="D1347">
        <f t="shared" ref="D1347:D1410" si="84">ROW()-1</f>
        <v>1346</v>
      </c>
      <c r="E1347" t="str">
        <f t="shared" ref="E1347:E1410" si="85">_xlfn.CONCAT("E", C1347)</f>
        <v>E1_8_1_9</v>
      </c>
      <c r="F1347" s="11" t="s">
        <v>14305</v>
      </c>
      <c r="G1347" s="11" t="s">
        <v>14908</v>
      </c>
      <c r="H1347" s="11" t="s">
        <v>15514</v>
      </c>
      <c r="I1347" s="11" t="s">
        <v>16135</v>
      </c>
      <c r="J1347" s="12" t="str">
        <f t="shared" ref="J1347:J1410" si="86">CONCATENATE("(${Variables:",E1347,"_kcat","} * ",E1347," * ",G1347,")","/(${Variables:",E1347,"_km","} + (",E1347," * ",G1347,"))")</f>
        <v>(${Variables:E1_8_1_9_kcat} * E1_8_1_9 * C00006 * C00342)/(${Variables:E1_8_1_9_km} + (E1_8_1_9 * C00006 * C00342))</v>
      </c>
      <c r="K1347" s="11" t="str">
        <f t="shared" ref="K1347:K1410" si="87">CONCATENATE("r",D1347,": ",F1347," -&gt; ",H1347," | ",J1347)</f>
        <v>r1346: C00006 + C00342 -&gt; C00005 + C00080 + C00343 | (${Variables:E1_8_1_9_kcat} * E1_8_1_9 * C00006 * C00342)/(${Variables:E1_8_1_9_km} + (E1_8_1_9 * C00006 * C00342))</v>
      </c>
    </row>
    <row r="1348" spans="1:11" ht="45" customHeight="1" x14ac:dyDescent="0.25">
      <c r="A1348" t="s">
        <v>5343</v>
      </c>
      <c r="B1348" t="s">
        <v>5344</v>
      </c>
      <c r="C1348" s="5" t="s">
        <v>9649</v>
      </c>
      <c r="D1348">
        <f t="shared" si="84"/>
        <v>1347</v>
      </c>
      <c r="E1348" t="str">
        <f t="shared" si="85"/>
        <v>E1_8_1_9</v>
      </c>
      <c r="F1348" s="11" t="s">
        <v>14306</v>
      </c>
      <c r="G1348" s="11" t="s">
        <v>14909</v>
      </c>
      <c r="H1348" s="11" t="s">
        <v>15515</v>
      </c>
      <c r="I1348" s="11" t="s">
        <v>16136</v>
      </c>
      <c r="J1348" s="12" t="str">
        <f t="shared" si="86"/>
        <v>(${Variables:E1_8_1_9_kcat} * E1_8_1_9 * C00006 * C00051 * C00097)/(${Variables:E1_8_1_9_km} + (E1_8_1_9 * C00006 * C00051 * C00097))</v>
      </c>
      <c r="K1348" s="11" t="str">
        <f t="shared" si="87"/>
        <v>r1347: C00006 + C00051 + C00097 -&gt; C00005 + C05526 | (${Variables:E1_8_1_9_kcat} * E1_8_1_9 * C00006 * C00051 * C00097)/(${Variables:E1_8_1_9_km} + (E1_8_1_9 * C00006 * C00051 * C00097))</v>
      </c>
    </row>
    <row r="1349" spans="1:11" ht="45" customHeight="1" x14ac:dyDescent="0.25">
      <c r="A1349" t="s">
        <v>5343</v>
      </c>
      <c r="B1349" t="s">
        <v>5344</v>
      </c>
      <c r="C1349" s="5" t="s">
        <v>9649</v>
      </c>
      <c r="D1349">
        <f t="shared" si="84"/>
        <v>1348</v>
      </c>
      <c r="E1349" t="str">
        <f t="shared" si="85"/>
        <v>E1_8_1_9</v>
      </c>
      <c r="F1349" s="11" t="s">
        <v>14307</v>
      </c>
      <c r="G1349" s="11" t="s">
        <v>14910</v>
      </c>
      <c r="H1349" s="11" t="s">
        <v>15516</v>
      </c>
      <c r="I1349" s="11" t="s">
        <v>16137</v>
      </c>
      <c r="J1349" s="12" t="str">
        <f t="shared" si="86"/>
        <v>(${Variables:E1_8_1_9_kcat} * E1_8_1_9 * C00001 * C00006 * C01528)/(${Variables:E1_8_1_9_km} + (E1_8_1_9 * C00001 * C00006 * C01528))</v>
      </c>
      <c r="K1349" s="11" t="str">
        <f t="shared" si="87"/>
        <v>r1348: C00001 + C00006 + C01528 -&gt; C00005 + C00080 + C05684 | (${Variables:E1_8_1_9_kcat} * E1_8_1_9 * C00001 * C00006 * C01528)/(${Variables:E1_8_1_9_km} + (E1_8_1_9 * C00001 * C00006 * C01528))</v>
      </c>
    </row>
    <row r="1350" spans="1:11" ht="45" customHeight="1" x14ac:dyDescent="0.25">
      <c r="A1350" t="s">
        <v>5343</v>
      </c>
      <c r="B1350" t="s">
        <v>5344</v>
      </c>
      <c r="C1350" s="5" t="s">
        <v>9649</v>
      </c>
      <c r="D1350">
        <f t="shared" si="84"/>
        <v>1349</v>
      </c>
      <c r="E1350" t="str">
        <f t="shared" si="85"/>
        <v>E1_8_1_9</v>
      </c>
      <c r="F1350" s="11" t="s">
        <v>8763</v>
      </c>
      <c r="G1350" s="11" t="s">
        <v>8929</v>
      </c>
      <c r="H1350" s="11" t="s">
        <v>15517</v>
      </c>
      <c r="I1350" s="11" t="s">
        <v>16138</v>
      </c>
      <c r="J1350" s="12" t="str">
        <f t="shared" si="86"/>
        <v>(${Variables:E1_8_1_9_kcat} * E1_8_1_9 * C00005 * C00080 * C18902)/(${Variables:E1_8_1_9_km} + (E1_8_1_9 * C00005 * C00080 * C18902))</v>
      </c>
      <c r="K1350" s="11" t="str">
        <f t="shared" si="87"/>
        <v>r1349: C00005 + C00080 + C18902 -&gt; C00001 + C00006 + C05703 | (${Variables:E1_8_1_9_kcat} * E1_8_1_9 * C00005 * C00080 * C18902)/(${Variables:E1_8_1_9_km} + (E1_8_1_9 * C00005 * C00080 * C18902))</v>
      </c>
    </row>
    <row r="1351" spans="1:11" ht="45" customHeight="1" x14ac:dyDescent="0.25">
      <c r="A1351" t="s">
        <v>5358</v>
      </c>
      <c r="B1351" t="s">
        <v>5359</v>
      </c>
      <c r="C1351" s="5" t="s">
        <v>9773</v>
      </c>
      <c r="D1351">
        <f t="shared" si="84"/>
        <v>1350</v>
      </c>
      <c r="E1351" t="str">
        <f t="shared" si="85"/>
        <v>E2_1_1_33</v>
      </c>
      <c r="F1351" s="11" t="s">
        <v>8748</v>
      </c>
      <c r="G1351" s="11" t="s">
        <v>8914</v>
      </c>
      <c r="H1351" s="11" t="s">
        <v>15696</v>
      </c>
      <c r="I1351" s="11" t="s">
        <v>16317</v>
      </c>
      <c r="J1351" s="12" t="str">
        <f t="shared" si="86"/>
        <v>(${Variables:E2_1_1_33_kcat} * E2_1_1_33 * C00019 * C01977)/(${Variables:E2_1_1_33_km} + (E2_1_1_33 * C00019 * C01977))</v>
      </c>
      <c r="K1351" s="11" t="str">
        <f t="shared" si="87"/>
        <v>r1350: C00019 + C01977 -&gt; C00021 + C04160 | (${Variables:E2_1_1_33_kcat} * E2_1_1_33 * C00019 * C01977)/(${Variables:E2_1_1_33_km} + (E2_1_1_33 * C00019 * C01977))</v>
      </c>
    </row>
    <row r="1352" spans="1:11" ht="45" customHeight="1" x14ac:dyDescent="0.25">
      <c r="A1352" t="s">
        <v>5360</v>
      </c>
      <c r="B1352" t="s">
        <v>5361</v>
      </c>
      <c r="C1352" s="5" t="s">
        <v>9608</v>
      </c>
      <c r="D1352">
        <f t="shared" si="84"/>
        <v>1351</v>
      </c>
      <c r="E1352" t="str">
        <f t="shared" si="85"/>
        <v>E2_6_1_1</v>
      </c>
      <c r="F1352" s="11" t="s">
        <v>14253</v>
      </c>
      <c r="G1352" s="11" t="s">
        <v>14856</v>
      </c>
      <c r="H1352" s="11" t="s">
        <v>15463</v>
      </c>
      <c r="I1352" s="11" t="s">
        <v>16084</v>
      </c>
      <c r="J1352" s="12" t="str">
        <f t="shared" si="86"/>
        <v>(${Variables:E2_6_1_1_kcat} * E2_6_1_1 * C00026 * C00049)/(${Variables:E2_6_1_1_km} + (E2_6_1_1 * C00026 * C00049))</v>
      </c>
      <c r="K1352" s="11" t="str">
        <f t="shared" si="87"/>
        <v>r1351: C00026 + C00049 -&gt; C00025 + C00036 | (${Variables:E2_6_1_1_kcat} * E2_6_1_1 * C00026 * C00049)/(${Variables:E2_6_1_1_km} + (E2_6_1_1 * C00026 * C00049))</v>
      </c>
    </row>
    <row r="1353" spans="1:11" ht="45" customHeight="1" x14ac:dyDescent="0.25">
      <c r="A1353" t="s">
        <v>5360</v>
      </c>
      <c r="B1353" t="s">
        <v>5361</v>
      </c>
      <c r="C1353" s="5" t="s">
        <v>9608</v>
      </c>
      <c r="D1353">
        <f t="shared" si="84"/>
        <v>1352</v>
      </c>
      <c r="E1353" t="str">
        <f t="shared" si="85"/>
        <v>E2_6_1_1</v>
      </c>
      <c r="F1353" s="11" t="s">
        <v>14254</v>
      </c>
      <c r="G1353" s="11" t="s">
        <v>14857</v>
      </c>
      <c r="H1353" s="11" t="s">
        <v>15464</v>
      </c>
      <c r="I1353" s="11" t="s">
        <v>16085</v>
      </c>
      <c r="J1353" s="12" t="str">
        <f t="shared" si="86"/>
        <v>(${Variables:E2_6_1_1_kcat} * E2_6_1_1 * C00026 * C00079)/(${Variables:E2_6_1_1_km} + (E2_6_1_1 * C00026 * C00079))</v>
      </c>
      <c r="K1353" s="11" t="str">
        <f t="shared" si="87"/>
        <v>r1352: C00026 + C00079 -&gt; C00025 + C00166 | (${Variables:E2_6_1_1_kcat} * E2_6_1_1 * C00026 * C00079)/(${Variables:E2_6_1_1_km} + (E2_6_1_1 * C00026 * C00079))</v>
      </c>
    </row>
    <row r="1354" spans="1:11" ht="45" customHeight="1" x14ac:dyDescent="0.25">
      <c r="A1354" t="s">
        <v>5360</v>
      </c>
      <c r="B1354" t="s">
        <v>5361</v>
      </c>
      <c r="C1354" s="5" t="s">
        <v>9608</v>
      </c>
      <c r="D1354">
        <f t="shared" si="84"/>
        <v>1353</v>
      </c>
      <c r="E1354" t="str">
        <f t="shared" si="85"/>
        <v>E2_6_1_1</v>
      </c>
      <c r="F1354" s="11" t="s">
        <v>14255</v>
      </c>
      <c r="G1354" s="11" t="s">
        <v>14858</v>
      </c>
      <c r="H1354" s="11" t="s">
        <v>15465</v>
      </c>
      <c r="I1354" s="11" t="s">
        <v>16086</v>
      </c>
      <c r="J1354" s="12" t="str">
        <f t="shared" si="86"/>
        <v>(${Variables:E2_6_1_1_kcat} * E2_6_1_1 * C00026 * C00082)/(${Variables:E2_6_1_1_km} + (E2_6_1_1 * C00026 * C00082))</v>
      </c>
      <c r="K1354" s="11" t="str">
        <f t="shared" si="87"/>
        <v>r1353: C00026 + C00082 -&gt; C00025 + C01179 | (${Variables:E2_6_1_1_kcat} * E2_6_1_1 * C00026 * C00082)/(${Variables:E2_6_1_1_km} + (E2_6_1_1 * C00026 * C00082))</v>
      </c>
    </row>
    <row r="1355" spans="1:11" ht="45" customHeight="1" x14ac:dyDescent="0.25">
      <c r="A1355" t="s">
        <v>5360</v>
      </c>
      <c r="B1355" t="s">
        <v>5361</v>
      </c>
      <c r="C1355" s="5" t="s">
        <v>9608</v>
      </c>
      <c r="D1355">
        <f t="shared" si="84"/>
        <v>1354</v>
      </c>
      <c r="E1355" t="str">
        <f t="shared" si="85"/>
        <v>E2_6_1_1</v>
      </c>
      <c r="F1355" s="11" t="s">
        <v>14256</v>
      </c>
      <c r="G1355" s="11" t="s">
        <v>14859</v>
      </c>
      <c r="H1355" s="11" t="s">
        <v>15466</v>
      </c>
      <c r="I1355" s="11" t="s">
        <v>16087</v>
      </c>
      <c r="J1355" s="12" t="str">
        <f t="shared" si="86"/>
        <v>(${Variables:E2_6_1_1_kcat} * E2_6_1_1 * C00026 * C00097)/(${Variables:E2_6_1_1_km} + (E2_6_1_1 * C00026 * C00097))</v>
      </c>
      <c r="K1355" s="11" t="str">
        <f t="shared" si="87"/>
        <v>r1354: C00026 + C00097 -&gt; C00025 + C00957 | (${Variables:E2_6_1_1_kcat} * E2_6_1_1 * C00026 * C00097)/(${Variables:E2_6_1_1_km} + (E2_6_1_1 * C00026 * C00097))</v>
      </c>
    </row>
    <row r="1356" spans="1:11" ht="45" customHeight="1" x14ac:dyDescent="0.25">
      <c r="A1356" t="s">
        <v>5360</v>
      </c>
      <c r="B1356" t="s">
        <v>5361</v>
      </c>
      <c r="C1356" s="5" t="s">
        <v>9608</v>
      </c>
      <c r="D1356">
        <f t="shared" si="84"/>
        <v>1355</v>
      </c>
      <c r="E1356" t="str">
        <f t="shared" si="85"/>
        <v>E2_6_1_1</v>
      </c>
      <c r="F1356" s="11" t="s">
        <v>14256</v>
      </c>
      <c r="G1356" s="11" t="s">
        <v>14859</v>
      </c>
      <c r="H1356" s="11" t="s">
        <v>15467</v>
      </c>
      <c r="I1356" s="11" t="s">
        <v>16088</v>
      </c>
      <c r="J1356" s="12" t="str">
        <f t="shared" si="86"/>
        <v>(${Variables:E2_6_1_1_kcat} * E2_6_1_1 * C00026 * C00097)/(${Variables:E2_6_1_1_km} + (E2_6_1_1 * C00026 * C00097))</v>
      </c>
      <c r="K1356" s="11" t="str">
        <f t="shared" si="87"/>
        <v>r1355: C00026 + C00097 -&gt; C00302 + C00957 | (${Variables:E2_6_1_1_kcat} * E2_6_1_1 * C00026 * C00097)/(${Variables:E2_6_1_1_km} + (E2_6_1_1 * C00026 * C00097))</v>
      </c>
    </row>
    <row r="1357" spans="1:11" ht="45" customHeight="1" x14ac:dyDescent="0.25">
      <c r="A1357" t="s">
        <v>5360</v>
      </c>
      <c r="B1357" t="s">
        <v>5361</v>
      </c>
      <c r="C1357" s="5" t="s">
        <v>9608</v>
      </c>
      <c r="D1357">
        <f t="shared" si="84"/>
        <v>1356</v>
      </c>
      <c r="E1357" t="str">
        <f t="shared" si="85"/>
        <v>E2_6_1_1</v>
      </c>
      <c r="F1357" s="11" t="s">
        <v>14257</v>
      </c>
      <c r="G1357" s="11" t="s">
        <v>14860</v>
      </c>
      <c r="H1357" s="11" t="s">
        <v>15468</v>
      </c>
      <c r="I1357" s="11" t="s">
        <v>16089</v>
      </c>
      <c r="J1357" s="12" t="str">
        <f t="shared" si="86"/>
        <v>(${Variables:E2_6_1_1_kcat} * E2_6_1_1 * C00026 * C00506)/(${Variables:E2_6_1_1_km} + (E2_6_1_1 * C00026 * C00506))</v>
      </c>
      <c r="K1357" s="11" t="str">
        <f t="shared" si="87"/>
        <v>r1356: C00026 + C00506 -&gt; C00025 + C05528 | (${Variables:E2_6_1_1_kcat} * E2_6_1_1 * C00026 * C00506)/(${Variables:E2_6_1_1_km} + (E2_6_1_1 * C00026 * C00506))</v>
      </c>
    </row>
    <row r="1358" spans="1:11" ht="45" customHeight="1" x14ac:dyDescent="0.25">
      <c r="A1358" t="s">
        <v>5360</v>
      </c>
      <c r="B1358" t="s">
        <v>5361</v>
      </c>
      <c r="C1358" s="5" t="s">
        <v>9608</v>
      </c>
      <c r="D1358">
        <f t="shared" si="84"/>
        <v>1357</v>
      </c>
      <c r="E1358" t="str">
        <f t="shared" si="85"/>
        <v>E2_6_1_1</v>
      </c>
      <c r="F1358" s="11" t="s">
        <v>14258</v>
      </c>
      <c r="G1358" s="11" t="s">
        <v>14861</v>
      </c>
      <c r="H1358" s="11" t="s">
        <v>15469</v>
      </c>
      <c r="I1358" s="11" t="s">
        <v>16090</v>
      </c>
      <c r="J1358" s="12" t="str">
        <f t="shared" si="86"/>
        <v>(${Variables:E2_6_1_1_kcat} * E2_6_1_1 * C00026 * C00606)/(${Variables:E2_6_1_1_km} + (E2_6_1_1 * C00026 * C00606))</v>
      </c>
      <c r="K1358" s="11" t="str">
        <f t="shared" si="87"/>
        <v>r1357: C00026 + C00606 -&gt; C00025 + C05527 | (${Variables:E2_6_1_1_kcat} * E2_6_1_1 * C00026 * C00606)/(${Variables:E2_6_1_1_km} + (E2_6_1_1 * C00026 * C00606))</v>
      </c>
    </row>
    <row r="1359" spans="1:11" ht="45" customHeight="1" x14ac:dyDescent="0.25">
      <c r="A1359" t="s">
        <v>5360</v>
      </c>
      <c r="B1359" t="s">
        <v>5361</v>
      </c>
      <c r="C1359" s="5" t="s">
        <v>9608</v>
      </c>
      <c r="D1359">
        <f t="shared" si="84"/>
        <v>1358</v>
      </c>
      <c r="E1359" t="str">
        <f t="shared" si="85"/>
        <v>E2_6_1_1</v>
      </c>
      <c r="F1359" s="11" t="s">
        <v>14259</v>
      </c>
      <c r="G1359" s="11" t="s">
        <v>14862</v>
      </c>
      <c r="H1359" s="11" t="s">
        <v>15470</v>
      </c>
      <c r="I1359" s="11" t="s">
        <v>16091</v>
      </c>
      <c r="J1359" s="12" t="str">
        <f t="shared" si="86"/>
        <v>(${Variables:E2_6_1_1_kcat} * E2_6_1_1 * C00026 * C05947)/(${Variables:E2_6_1_1_km} + (E2_6_1_1 * C00026 * C05947))</v>
      </c>
      <c r="K1359" s="11" t="str">
        <f t="shared" si="87"/>
        <v>r1358: C00026 + C05947 -&gt; C00025 + C05946 | (${Variables:E2_6_1_1_kcat} * E2_6_1_1 * C00026 * C05947)/(${Variables:E2_6_1_1_km} + (E2_6_1_1 * C00026 * C05947))</v>
      </c>
    </row>
    <row r="1360" spans="1:11" ht="45" customHeight="1" x14ac:dyDescent="0.25">
      <c r="A1360" t="s">
        <v>5364</v>
      </c>
      <c r="B1360" t="s">
        <v>5365</v>
      </c>
      <c r="C1360" s="5" t="s">
        <v>9612</v>
      </c>
      <c r="D1360">
        <f t="shared" si="84"/>
        <v>1359</v>
      </c>
      <c r="E1360" t="str">
        <f t="shared" si="85"/>
        <v>E2_8_1_1</v>
      </c>
      <c r="F1360" s="11" t="s">
        <v>14261</v>
      </c>
      <c r="G1360" s="11" t="s">
        <v>14864</v>
      </c>
      <c r="H1360" s="11" t="s">
        <v>9102</v>
      </c>
      <c r="I1360" s="11" t="s">
        <v>9301</v>
      </c>
      <c r="J1360" s="12" t="str">
        <f t="shared" si="86"/>
        <v>(${Variables:E2_8_1_1_kcat} * E2_8_1_1 * C00177 * C00320)/(${Variables:E2_8_1_1_km} + (E2_8_1_1 * C00177 * C00320))</v>
      </c>
      <c r="K1360" s="11" t="str">
        <f t="shared" si="87"/>
        <v>r1359: C00177 + C00320 -&gt; C00094 + C01755 | (${Variables:E2_8_1_1_kcat} * E2_8_1_1 * C00177 * C00320)/(${Variables:E2_8_1_1_km} + (E2_8_1_1 * C00177 * C00320))</v>
      </c>
    </row>
    <row r="1361" spans="1:11" ht="45" customHeight="1" x14ac:dyDescent="0.25">
      <c r="A1361" t="s">
        <v>5367</v>
      </c>
      <c r="B1361" t="s">
        <v>5368</v>
      </c>
      <c r="C1361" s="5" t="s">
        <v>9774</v>
      </c>
      <c r="D1361">
        <f t="shared" si="84"/>
        <v>1360</v>
      </c>
      <c r="E1361" t="str">
        <f t="shared" si="85"/>
        <v>E3_1_2_6</v>
      </c>
      <c r="F1361" s="11" t="s">
        <v>14469</v>
      </c>
      <c r="G1361" s="11" t="s">
        <v>15072</v>
      </c>
      <c r="H1361" s="11" t="s">
        <v>15697</v>
      </c>
      <c r="I1361" s="11" t="s">
        <v>16318</v>
      </c>
      <c r="J1361" s="12" t="str">
        <f t="shared" si="86"/>
        <v>(${Variables:E3_1_2_6_kcat} * E3_1_2_6 * C00001 * C03899)/(${Variables:E3_1_2_6_km} + (E3_1_2_6 * C00001 * C03899))</v>
      </c>
      <c r="K1361" s="11" t="str">
        <f t="shared" si="87"/>
        <v>r1360: C00001 + C03899 -&gt; C00051 + C02929 | (${Variables:E3_1_2_6_kcat} * E3_1_2_6 * C00001 * C03899)/(${Variables:E3_1_2_6_km} + (E3_1_2_6 * C00001 * C03899))</v>
      </c>
    </row>
    <row r="1362" spans="1:11" ht="45" customHeight="1" x14ac:dyDescent="0.25">
      <c r="A1362" t="s">
        <v>5367</v>
      </c>
      <c r="B1362" t="s">
        <v>5368</v>
      </c>
      <c r="C1362" s="5" t="s">
        <v>9774</v>
      </c>
      <c r="D1362">
        <f t="shared" si="84"/>
        <v>1361</v>
      </c>
      <c r="E1362" t="str">
        <f t="shared" si="85"/>
        <v>E3_1_2_6</v>
      </c>
      <c r="F1362" s="11" t="s">
        <v>14470</v>
      </c>
      <c r="G1362" s="11" t="s">
        <v>15073</v>
      </c>
      <c r="H1362" s="11" t="s">
        <v>15698</v>
      </c>
      <c r="I1362" s="11" t="s">
        <v>16319</v>
      </c>
      <c r="J1362" s="12" t="str">
        <f t="shared" si="86"/>
        <v>(${Variables:E3_1_2_6_kcat} * E3_1_2_6 * C00001 * C03451)/(${Variables:E3_1_2_6_km} + (E3_1_2_6 * C00001 * C03451))</v>
      </c>
      <c r="K1362" s="11" t="str">
        <f t="shared" si="87"/>
        <v>r1361: C00001 + C03451 -&gt; C00051 + C00256 | (${Variables:E3_1_2_6_kcat} * E3_1_2_6 * C00001 * C03451)/(${Variables:E3_1_2_6_km} + (E3_1_2_6 * C00001 * C03451))</v>
      </c>
    </row>
    <row r="1363" spans="1:11" ht="45" customHeight="1" x14ac:dyDescent="0.25">
      <c r="A1363" t="s">
        <v>5388</v>
      </c>
      <c r="B1363" t="s">
        <v>5389</v>
      </c>
      <c r="C1363" s="5" t="s">
        <v>9728</v>
      </c>
      <c r="D1363">
        <f t="shared" si="84"/>
        <v>1362</v>
      </c>
      <c r="E1363" t="str">
        <f t="shared" si="85"/>
        <v>E4_2_1_70</v>
      </c>
      <c r="F1363" s="11" t="s">
        <v>8790</v>
      </c>
      <c r="G1363" s="11" t="s">
        <v>8956</v>
      </c>
      <c r="H1363" s="11" t="s">
        <v>15621</v>
      </c>
      <c r="I1363" s="11" t="s">
        <v>16242</v>
      </c>
      <c r="J1363" s="12" t="str">
        <f t="shared" si="86"/>
        <v>(${Variables:E4_2_1_70_kcat} * E4_2_1_70 * C00106 * C00117)/(${Variables:E4_2_1_70_km} + (E4_2_1_70 * C00106 * C00117))</v>
      </c>
      <c r="K1363" s="11" t="str">
        <f t="shared" si="87"/>
        <v>r1362: C00106 + C00117 -&gt; C00001 + C01168 | (${Variables:E4_2_1_70_kcat} * E4_2_1_70 * C00106 * C00117)/(${Variables:E4_2_1_70_km} + (E4_2_1_70 * C00106 * C00117))</v>
      </c>
    </row>
    <row r="1364" spans="1:11" ht="45" customHeight="1" x14ac:dyDescent="0.25">
      <c r="A1364" t="s">
        <v>5402</v>
      </c>
      <c r="B1364" t="s">
        <v>5403</v>
      </c>
      <c r="C1364" s="5" t="s">
        <v>9735</v>
      </c>
      <c r="D1364">
        <f t="shared" si="84"/>
        <v>1363</v>
      </c>
      <c r="E1364" t="str">
        <f t="shared" si="85"/>
        <v>E2_7_6_1</v>
      </c>
      <c r="F1364" s="11" t="s">
        <v>8796</v>
      </c>
      <c r="G1364" s="11" t="s">
        <v>8962</v>
      </c>
      <c r="H1364" s="11" t="s">
        <v>9152</v>
      </c>
      <c r="I1364" s="11" t="s">
        <v>9351</v>
      </c>
      <c r="J1364" s="12" t="str">
        <f t="shared" si="86"/>
        <v>(${Variables:E2_7_6_1_kcat} * E2_7_6_1 * C00002 * C00117)/(${Variables:E2_7_6_1_km} + (E2_7_6_1 * C00002 * C00117))</v>
      </c>
      <c r="K1364" s="11" t="str">
        <f t="shared" si="87"/>
        <v>r1363: C00002 + C00117 -&gt; C00020 + C00119 | (${Variables:E2_7_6_1_kcat} * E2_7_6_1 * C00002 * C00117)/(${Variables:E2_7_6_1_km} + (E2_7_6_1 * C00002 * C00117))</v>
      </c>
    </row>
    <row r="1365" spans="1:11" ht="45" customHeight="1" x14ac:dyDescent="0.25">
      <c r="A1365" t="s">
        <v>5409</v>
      </c>
      <c r="B1365" t="s">
        <v>5410</v>
      </c>
      <c r="C1365" s="5" t="s">
        <v>9775</v>
      </c>
      <c r="D1365">
        <f t="shared" si="84"/>
        <v>1364</v>
      </c>
      <c r="E1365" t="str">
        <f t="shared" si="85"/>
        <v>E4_1_1_19</v>
      </c>
      <c r="F1365" s="11" t="s">
        <v>9983</v>
      </c>
      <c r="G1365" s="11" t="s">
        <v>9983</v>
      </c>
      <c r="H1365" s="11" t="s">
        <v>15699</v>
      </c>
      <c r="I1365" s="11" t="s">
        <v>16320</v>
      </c>
      <c r="J1365" s="12" t="str">
        <f t="shared" si="86"/>
        <v>(${Variables:E4_1_1_19_kcat} * E4_1_1_19 * C00062)/(${Variables:E4_1_1_19_km} + (E4_1_1_19 * C00062))</v>
      </c>
      <c r="K1365" s="11" t="str">
        <f t="shared" si="87"/>
        <v>r1364: C00062 -&gt; C00011 + C00179 | (${Variables:E4_1_1_19_kcat} * E4_1_1_19 * C00062)/(${Variables:E4_1_1_19_km} + (E4_1_1_19 * C00062))</v>
      </c>
    </row>
    <row r="1366" spans="1:11" ht="45" customHeight="1" x14ac:dyDescent="0.25">
      <c r="A1366" t="s">
        <v>5414</v>
      </c>
      <c r="B1366" t="s">
        <v>5415</v>
      </c>
      <c r="C1366" s="5" t="s">
        <v>9776</v>
      </c>
      <c r="D1366">
        <f t="shared" si="84"/>
        <v>1365</v>
      </c>
      <c r="E1366" t="str">
        <f t="shared" si="85"/>
        <v>E2_5_1_6</v>
      </c>
      <c r="F1366" s="11" t="s">
        <v>14471</v>
      </c>
      <c r="G1366" s="11" t="s">
        <v>15074</v>
      </c>
      <c r="H1366" s="11" t="s">
        <v>15700</v>
      </c>
      <c r="I1366" s="11" t="s">
        <v>16321</v>
      </c>
      <c r="J1366" s="12" t="str">
        <f t="shared" si="86"/>
        <v>(${Variables:E2_5_1_6_kcat} * E2_5_1_6 * C00009 * C00013 * C00019)/(${Variables:E2_5_1_6_km} + (E2_5_1_6 * C00009 * C00013 * C00019))</v>
      </c>
      <c r="K1366" s="11" t="str">
        <f t="shared" si="87"/>
        <v>r1365: C00009 + C00013 + C00019 -&gt; C00001 + C00002 + C00073 | (${Variables:E2_5_1_6_kcat} * E2_5_1_6 * C00009 * C00013 * C00019)/(${Variables:E2_5_1_6_km} + (E2_5_1_6 * C00009 * C00013 * C00019))</v>
      </c>
    </row>
    <row r="1367" spans="1:11" ht="45" customHeight="1" x14ac:dyDescent="0.25">
      <c r="A1367" t="s">
        <v>5414</v>
      </c>
      <c r="B1367" t="s">
        <v>5415</v>
      </c>
      <c r="C1367" s="5" t="s">
        <v>9776</v>
      </c>
      <c r="D1367">
        <f t="shared" si="84"/>
        <v>1366</v>
      </c>
      <c r="E1367" t="str">
        <f t="shared" si="85"/>
        <v>E2_5_1_6</v>
      </c>
      <c r="F1367" s="11" t="s">
        <v>14472</v>
      </c>
      <c r="G1367" s="11" t="s">
        <v>15075</v>
      </c>
      <c r="H1367" s="11" t="s">
        <v>15701</v>
      </c>
      <c r="I1367" s="11" t="s">
        <v>16322</v>
      </c>
      <c r="J1367" s="12" t="str">
        <f t="shared" si="86"/>
        <v>(${Variables:E2_5_1_6_kcat} * E2_5_1_6 * C00001 * C00002 * C05335)/(${Variables:E2_5_1_6_km} + (E2_5_1_6 * C00001 * C00002 * C05335))</v>
      </c>
      <c r="K1367" s="11" t="str">
        <f t="shared" si="87"/>
        <v>r1366: C00001 + C00002 + C05335 -&gt; C00009 + C00013 + C05691 | (${Variables:E2_5_1_6_kcat} * E2_5_1_6 * C00001 * C00002 * C05335)/(${Variables:E2_5_1_6_km} + (E2_5_1_6 * C00001 * C00002 * C05335))</v>
      </c>
    </row>
    <row r="1368" spans="1:11" ht="45" customHeight="1" x14ac:dyDescent="0.25">
      <c r="A1368" t="s">
        <v>5417</v>
      </c>
      <c r="B1368" t="s">
        <v>5418</v>
      </c>
      <c r="C1368" s="5" t="s">
        <v>9777</v>
      </c>
      <c r="D1368">
        <f t="shared" si="84"/>
        <v>1367</v>
      </c>
      <c r="E1368" t="str">
        <f t="shared" si="85"/>
        <v>E5_1_1_3</v>
      </c>
      <c r="F1368" s="11" t="s">
        <v>9888</v>
      </c>
      <c r="G1368" s="11" t="s">
        <v>9888</v>
      </c>
      <c r="H1368" s="11" t="s">
        <v>10401</v>
      </c>
      <c r="I1368" s="11" t="s">
        <v>10401</v>
      </c>
      <c r="J1368" s="12" t="str">
        <f t="shared" si="86"/>
        <v>(${Variables:E5_1_1_3_kcat} * E5_1_1_3 * C00025)/(${Variables:E5_1_1_3_km} + (E5_1_1_3 * C00025))</v>
      </c>
      <c r="K1368" s="11" t="str">
        <f t="shared" si="87"/>
        <v>r1367: C00025 -&gt; C00217 | (${Variables:E5_1_1_3_kcat} * E5_1_1_3 * C00025)/(${Variables:E5_1_1_3_km} + (E5_1_1_3 * C00025))</v>
      </c>
    </row>
    <row r="1369" spans="1:11" ht="45" customHeight="1" x14ac:dyDescent="0.25">
      <c r="A1369" t="s">
        <v>5422</v>
      </c>
      <c r="B1369" t="s">
        <v>5423</v>
      </c>
      <c r="C1369" s="5" t="s">
        <v>9778</v>
      </c>
      <c r="D1369">
        <f t="shared" si="84"/>
        <v>1368</v>
      </c>
      <c r="E1369" t="str">
        <f t="shared" si="85"/>
        <v>E3_6_1_15</v>
      </c>
      <c r="F1369" s="11" t="s">
        <v>14473</v>
      </c>
      <c r="G1369" s="11" t="s">
        <v>15076</v>
      </c>
      <c r="H1369" s="11" t="s">
        <v>15702</v>
      </c>
      <c r="I1369" s="11" t="s">
        <v>16323</v>
      </c>
      <c r="J1369" s="12" t="str">
        <f t="shared" si="86"/>
        <v>(${Variables:E3_6_1_15_kcat} * E3_6_1_15 * C00001 * C00201)/(${Variables:E3_6_1_15_km} + (E3_6_1_15 * C00001 * C00201))</v>
      </c>
      <c r="K1369" s="11" t="str">
        <f t="shared" si="87"/>
        <v>r1368: C00001 + C00201 -&gt; C00009 + C00454 | (${Variables:E3_6_1_15_kcat} * E3_6_1_15 * C00001 * C00201)/(${Variables:E3_6_1_15_km} + (E3_6_1_15 * C00001 * C00201))</v>
      </c>
    </row>
    <row r="1370" spans="1:11" ht="45" customHeight="1" x14ac:dyDescent="0.25">
      <c r="A1370" t="s">
        <v>5422</v>
      </c>
      <c r="B1370" t="s">
        <v>5423</v>
      </c>
      <c r="C1370" s="5" t="s">
        <v>9778</v>
      </c>
      <c r="D1370">
        <f t="shared" si="84"/>
        <v>1369</v>
      </c>
      <c r="E1370" t="str">
        <f t="shared" si="85"/>
        <v>E3_6_1_15</v>
      </c>
      <c r="F1370" s="11" t="s">
        <v>14474</v>
      </c>
      <c r="G1370" s="11" t="s">
        <v>15077</v>
      </c>
      <c r="H1370" s="11" t="s">
        <v>15703</v>
      </c>
      <c r="I1370" s="11" t="s">
        <v>16324</v>
      </c>
      <c r="J1370" s="12" t="str">
        <f t="shared" si="86"/>
        <v>(${Variables:E3_6_1_15_kcat} * E3_6_1_15 * C00001 * C00002)/(${Variables:E3_6_1_15_km} + (E3_6_1_15 * C00001 * C00002))</v>
      </c>
      <c r="K1370" s="11" t="str">
        <f t="shared" si="87"/>
        <v>r1369: C00001 + C00002 -&gt; C00008 + C00009 | (${Variables:E3_6_1_15_kcat} * E3_6_1_15 * C00001 * C00002)/(${Variables:E3_6_1_15_km} + (E3_6_1_15 * C00001 * C00002))</v>
      </c>
    </row>
    <row r="1371" spans="1:11" ht="45" customHeight="1" x14ac:dyDescent="0.25">
      <c r="A1371" t="s">
        <v>5422</v>
      </c>
      <c r="B1371" t="s">
        <v>5423</v>
      </c>
      <c r="C1371" s="5" t="s">
        <v>9778</v>
      </c>
      <c r="D1371">
        <f t="shared" si="84"/>
        <v>1370</v>
      </c>
      <c r="E1371" t="str">
        <f t="shared" si="85"/>
        <v>E3_6_1_15</v>
      </c>
      <c r="F1371" s="11" t="s">
        <v>14475</v>
      </c>
      <c r="G1371" s="11" t="s">
        <v>15078</v>
      </c>
      <c r="H1371" s="11" t="s">
        <v>15704</v>
      </c>
      <c r="I1371" s="11" t="s">
        <v>16325</v>
      </c>
      <c r="J1371" s="12" t="str">
        <f t="shared" si="86"/>
        <v>(${Variables:E3_6_1_15_kcat} * E3_6_1_15 * C00001 * C00068)/(${Variables:E3_6_1_15_km} + (E3_6_1_15 * C00001 * C00068))</v>
      </c>
      <c r="K1371" s="11" t="str">
        <f t="shared" si="87"/>
        <v>r1370: C00001 + C00068 -&gt; C00009 + C01081 | (${Variables:E3_6_1_15_kcat} * E3_6_1_15 * C00001 * C00068)/(${Variables:E3_6_1_15_km} + (E3_6_1_15 * C00001 * C00068))</v>
      </c>
    </row>
    <row r="1372" spans="1:11" ht="45" customHeight="1" x14ac:dyDescent="0.25">
      <c r="A1372" t="s">
        <v>5432</v>
      </c>
      <c r="B1372" t="s">
        <v>5433</v>
      </c>
      <c r="C1372" s="5" t="s">
        <v>9464</v>
      </c>
      <c r="D1372">
        <f t="shared" si="84"/>
        <v>1371</v>
      </c>
      <c r="E1372" t="str">
        <f t="shared" si="85"/>
        <v>E3_2_1_20</v>
      </c>
      <c r="F1372" s="11" t="s">
        <v>14052</v>
      </c>
      <c r="G1372" s="11" t="s">
        <v>14655</v>
      </c>
      <c r="H1372" s="11" t="s">
        <v>8307</v>
      </c>
      <c r="I1372" s="11" t="s">
        <v>8307</v>
      </c>
      <c r="J1372" s="12" t="str">
        <f t="shared" si="86"/>
        <v>(${Variables:E3_2_1_20_kcat} * E3_2_1_20 * C00001 * C00208)/(${Variables:E3_2_1_20_km} + (E3_2_1_20 * C00001 * C00208))</v>
      </c>
      <c r="K1372" s="11" t="str">
        <f t="shared" si="87"/>
        <v>r1371: C00001 + C00208 -&gt; C00031 | (${Variables:E3_2_1_20_kcat} * E3_2_1_20 * C00001 * C00208)/(${Variables:E3_2_1_20_km} + (E3_2_1_20 * C00001 * C00208))</v>
      </c>
    </row>
    <row r="1373" spans="1:11" ht="45" customHeight="1" x14ac:dyDescent="0.25">
      <c r="A1373" t="s">
        <v>5432</v>
      </c>
      <c r="B1373" t="s">
        <v>5433</v>
      </c>
      <c r="C1373" s="5" t="s">
        <v>9464</v>
      </c>
      <c r="D1373">
        <f t="shared" si="84"/>
        <v>1372</v>
      </c>
      <c r="E1373" t="str">
        <f t="shared" si="85"/>
        <v>E3_2_1_20</v>
      </c>
      <c r="F1373" s="11" t="s">
        <v>14053</v>
      </c>
      <c r="G1373" s="11" t="s">
        <v>14656</v>
      </c>
      <c r="H1373" s="11" t="s">
        <v>15264</v>
      </c>
      <c r="I1373" s="11" t="s">
        <v>15885</v>
      </c>
      <c r="J1373" s="12" t="str">
        <f t="shared" si="86"/>
        <v>(${Variables:E3_2_1_20_kcat} * E3_2_1_20 * C00001 * C00089)/(${Variables:E3_2_1_20_km} + (E3_2_1_20 * C00001 * C00089))</v>
      </c>
      <c r="K1373" s="11" t="str">
        <f t="shared" si="87"/>
        <v>r1372: C00001 + C00089 -&gt; C00031 + C00095 | (${Variables:E3_2_1_20_kcat} * E3_2_1_20 * C00001 * C00089)/(${Variables:E3_2_1_20_km} + (E3_2_1_20 * C00001 * C00089))</v>
      </c>
    </row>
    <row r="1374" spans="1:11" ht="45" customHeight="1" x14ac:dyDescent="0.25">
      <c r="A1374" t="s">
        <v>5432</v>
      </c>
      <c r="B1374" t="s">
        <v>5433</v>
      </c>
      <c r="C1374" s="5" t="s">
        <v>9464</v>
      </c>
      <c r="D1374">
        <f t="shared" si="84"/>
        <v>1373</v>
      </c>
      <c r="E1374" t="str">
        <f t="shared" si="85"/>
        <v>E3_2_1_20</v>
      </c>
      <c r="F1374" s="11" t="s">
        <v>14053</v>
      </c>
      <c r="G1374" s="11" t="s">
        <v>14656</v>
      </c>
      <c r="H1374" s="11" t="s">
        <v>15265</v>
      </c>
      <c r="I1374" s="11" t="s">
        <v>15886</v>
      </c>
      <c r="J1374" s="12" t="str">
        <f t="shared" si="86"/>
        <v>(${Variables:E3_2_1_20_kcat} * E3_2_1_20 * C00001 * C00089)/(${Variables:E3_2_1_20_km} + (E3_2_1_20 * C00001 * C00089))</v>
      </c>
      <c r="K1374" s="11" t="str">
        <f t="shared" si="87"/>
        <v>r1373: C00001 + C00089 -&gt; C00267 + C02336 | (${Variables:E3_2_1_20_kcat} * E3_2_1_20 * C00001 * C00089)/(${Variables:E3_2_1_20_km} + (E3_2_1_20 * C00001 * C00089))</v>
      </c>
    </row>
    <row r="1375" spans="1:11" ht="45" customHeight="1" x14ac:dyDescent="0.25">
      <c r="A1375" t="s">
        <v>5432</v>
      </c>
      <c r="B1375" t="s">
        <v>5433</v>
      </c>
      <c r="C1375" s="5" t="s">
        <v>9464</v>
      </c>
      <c r="D1375">
        <f t="shared" si="84"/>
        <v>1374</v>
      </c>
      <c r="E1375" t="str">
        <f t="shared" si="85"/>
        <v>E3_2_1_20</v>
      </c>
      <c r="F1375" s="11" t="s">
        <v>14406</v>
      </c>
      <c r="G1375" s="11" t="s">
        <v>15009</v>
      </c>
      <c r="H1375" s="11" t="s">
        <v>8454</v>
      </c>
      <c r="I1375" s="11" t="s">
        <v>8454</v>
      </c>
      <c r="J1375" s="12" t="str">
        <f t="shared" si="86"/>
        <v>(${Variables:E3_2_1_20_kcat} * E3_2_1_20 * C00001 * G00275)/(${Variables:E3_2_1_20_km} + (E3_2_1_20 * C00001 * G00275))</v>
      </c>
      <c r="K1375" s="11" t="str">
        <f t="shared" si="87"/>
        <v>r1374: C00001 + G00275 -&gt; C00267 | (${Variables:E3_2_1_20_kcat} * E3_2_1_20 * C00001 * G00275)/(${Variables:E3_2_1_20_km} + (E3_2_1_20 * C00001 * G00275))</v>
      </c>
    </row>
    <row r="1376" spans="1:11" ht="45" customHeight="1" x14ac:dyDescent="0.25">
      <c r="A1376" t="s">
        <v>5432</v>
      </c>
      <c r="B1376" t="s">
        <v>5433</v>
      </c>
      <c r="C1376" s="5" t="s">
        <v>9464</v>
      </c>
      <c r="D1376">
        <f t="shared" si="84"/>
        <v>1375</v>
      </c>
      <c r="E1376" t="str">
        <f t="shared" si="85"/>
        <v>E3_2_1_20</v>
      </c>
      <c r="F1376" s="11" t="s">
        <v>14054</v>
      </c>
      <c r="G1376" s="11" t="s">
        <v>14657</v>
      </c>
      <c r="H1376" s="11" t="s">
        <v>15264</v>
      </c>
      <c r="I1376" s="11" t="s">
        <v>15885</v>
      </c>
      <c r="J1376" s="12" t="str">
        <f t="shared" si="86"/>
        <v>(${Variables:E3_2_1_20_kcat} * E3_2_1_20 * C00001 * G00370)/(${Variables:E3_2_1_20_km} + (E3_2_1_20 * C00001 * G00370))</v>
      </c>
      <c r="K1376" s="11" t="str">
        <f t="shared" si="87"/>
        <v>r1375: C00001 + G00370 -&gt; C00031 + C00095 | (${Variables:E3_2_1_20_kcat} * E3_2_1_20 * C00001 * G00370)/(${Variables:E3_2_1_20_km} + (E3_2_1_20 * C00001 * G00370))</v>
      </c>
    </row>
    <row r="1377" spans="1:11" ht="45" customHeight="1" x14ac:dyDescent="0.25">
      <c r="A1377" t="s">
        <v>5432</v>
      </c>
      <c r="B1377" t="s">
        <v>5433</v>
      </c>
      <c r="C1377" s="5" t="s">
        <v>9464</v>
      </c>
      <c r="D1377">
        <f t="shared" si="84"/>
        <v>1376</v>
      </c>
      <c r="E1377" t="str">
        <f t="shared" si="85"/>
        <v>E3_2_1_20</v>
      </c>
      <c r="F1377" s="11" t="s">
        <v>14054</v>
      </c>
      <c r="G1377" s="11" t="s">
        <v>14657</v>
      </c>
      <c r="H1377" s="11" t="s">
        <v>15265</v>
      </c>
      <c r="I1377" s="11" t="s">
        <v>15886</v>
      </c>
      <c r="J1377" s="12" t="str">
        <f t="shared" si="86"/>
        <v>(${Variables:E3_2_1_20_kcat} * E3_2_1_20 * C00001 * G00370)/(${Variables:E3_2_1_20_km} + (E3_2_1_20 * C00001 * G00370))</v>
      </c>
      <c r="K1377" s="11" t="str">
        <f t="shared" si="87"/>
        <v>r1376: C00001 + G00370 -&gt; C00267 + C02336 | (${Variables:E3_2_1_20_kcat} * E3_2_1_20 * C00001 * G00370)/(${Variables:E3_2_1_20_km} + (E3_2_1_20 * C00001 * G00370))</v>
      </c>
    </row>
    <row r="1378" spans="1:11" ht="45" customHeight="1" x14ac:dyDescent="0.25">
      <c r="A1378" t="s">
        <v>5447</v>
      </c>
      <c r="B1378" t="s">
        <v>5448</v>
      </c>
      <c r="C1378" s="5" t="s">
        <v>9779</v>
      </c>
      <c r="D1378">
        <f t="shared" si="84"/>
        <v>1377</v>
      </c>
      <c r="E1378" t="str">
        <f t="shared" si="85"/>
        <v>E1_20_4_1</v>
      </c>
      <c r="F1378" s="11" t="s">
        <v>14476</v>
      </c>
      <c r="G1378" s="11" t="s">
        <v>15079</v>
      </c>
      <c r="H1378" s="11" t="s">
        <v>15705</v>
      </c>
      <c r="I1378" s="11" t="s">
        <v>16326</v>
      </c>
      <c r="J1378" s="12" t="str">
        <f t="shared" si="86"/>
        <v>(${Variables:E1_20_4_1_kcat} * E1_20_4_1 * C07292 * C11215)/(${Variables:E1_20_4_1_km} + (E1_20_4_1 * C07292 * C11215))</v>
      </c>
      <c r="K1378" s="11" t="str">
        <f t="shared" si="87"/>
        <v>r1377: C07292 + C11215 -&gt; C06697 + C07293 | (${Variables:E1_20_4_1_kcat} * E1_20_4_1 * C07292 * C11215)/(${Variables:E1_20_4_1_km} + (E1_20_4_1 * C07292 * C11215))</v>
      </c>
    </row>
    <row r="1379" spans="1:11" ht="45" customHeight="1" x14ac:dyDescent="0.25">
      <c r="A1379" t="s">
        <v>5450</v>
      </c>
      <c r="B1379" t="s">
        <v>5451</v>
      </c>
      <c r="C1379" s="5" t="s">
        <v>9780</v>
      </c>
      <c r="D1379">
        <f t="shared" si="84"/>
        <v>1378</v>
      </c>
      <c r="E1379" t="str">
        <f t="shared" si="85"/>
        <v>E2_1_1_163</v>
      </c>
      <c r="F1379" s="11" t="s">
        <v>14477</v>
      </c>
      <c r="G1379" s="11" t="s">
        <v>15080</v>
      </c>
      <c r="H1379" s="11" t="s">
        <v>15706</v>
      </c>
      <c r="I1379" s="11" t="s">
        <v>16327</v>
      </c>
      <c r="J1379" s="12" t="str">
        <f t="shared" si="86"/>
        <v>(${Variables:E2_1_1_163_kcat} * E2_1_1_163 * C00019 * C19847)/(${Variables:E2_1_1_163_km} + (E2_1_1_163 * C00019 * C19847))</v>
      </c>
      <c r="K1379" s="11" t="str">
        <f t="shared" si="87"/>
        <v>r1378: C00019 + C19847 -&gt; C00021 + C05819 | (${Variables:E2_1_1_163_kcat} * E2_1_1_163 * C00019 * C19847)/(${Variables:E2_1_1_163_km} + (E2_1_1_163 * C00019 * C19847))</v>
      </c>
    </row>
    <row r="1380" spans="1:11" ht="45" customHeight="1" x14ac:dyDescent="0.25">
      <c r="A1380" t="s">
        <v>5465</v>
      </c>
      <c r="B1380" t="s">
        <v>5466</v>
      </c>
      <c r="C1380" s="5" t="s">
        <v>9386</v>
      </c>
      <c r="D1380">
        <f t="shared" si="84"/>
        <v>1379</v>
      </c>
      <c r="E1380" t="str">
        <f t="shared" si="85"/>
        <v>E2_7_7_7</v>
      </c>
      <c r="F1380" s="11" t="s">
        <v>13933</v>
      </c>
      <c r="G1380" s="11" t="s">
        <v>14536</v>
      </c>
      <c r="H1380" s="11" t="s">
        <v>8988</v>
      </c>
      <c r="I1380" s="11" t="s">
        <v>9187</v>
      </c>
      <c r="J1380" s="12" t="str">
        <f t="shared" si="86"/>
        <v>(${Variables:E2_7_7_7_kcat} * E2_7_7_7 * C00039 * C00677)/(${Variables:E2_7_7_7_km} + (E2_7_7_7 * C00039 * C00677))</v>
      </c>
      <c r="K1380" s="11" t="str">
        <f t="shared" si="87"/>
        <v>r1379: C00039 + C00677 -&gt; C00013 + C00039 | (${Variables:E2_7_7_7_kcat} * E2_7_7_7 * C00039 * C00677)/(${Variables:E2_7_7_7_km} + (E2_7_7_7 * C00039 * C00677))</v>
      </c>
    </row>
    <row r="1381" spans="1:11" ht="45" customHeight="1" x14ac:dyDescent="0.25">
      <c r="A1381" t="s">
        <v>5465</v>
      </c>
      <c r="B1381" t="s">
        <v>5466</v>
      </c>
      <c r="C1381" s="5" t="s">
        <v>9386</v>
      </c>
      <c r="D1381">
        <f t="shared" si="84"/>
        <v>1380</v>
      </c>
      <c r="E1381" t="str">
        <f t="shared" si="85"/>
        <v>E2_7_7_7</v>
      </c>
      <c r="F1381" s="11" t="s">
        <v>13934</v>
      </c>
      <c r="G1381" s="11" t="s">
        <v>14537</v>
      </c>
      <c r="H1381" s="11" t="s">
        <v>8988</v>
      </c>
      <c r="I1381" s="11" t="s">
        <v>9187</v>
      </c>
      <c r="J1381" s="12" t="str">
        <f t="shared" si="86"/>
        <v>(${Variables:E2_7_7_7_kcat} * E2_7_7_7 * C00039 * C00131)/(${Variables:E2_7_7_7_km} + (E2_7_7_7 * C00039 * C00131))</v>
      </c>
      <c r="K1381" s="11" t="str">
        <f t="shared" si="87"/>
        <v>r1380: C00039 + C00131 -&gt; C00013 + C00039 | (${Variables:E2_7_7_7_kcat} * E2_7_7_7 * C00039 * C00131)/(${Variables:E2_7_7_7_km} + (E2_7_7_7 * C00039 * C00131))</v>
      </c>
    </row>
    <row r="1382" spans="1:11" ht="45" customHeight="1" x14ac:dyDescent="0.25">
      <c r="A1382" t="s">
        <v>5465</v>
      </c>
      <c r="B1382" t="s">
        <v>5466</v>
      </c>
      <c r="C1382" s="5" t="s">
        <v>9386</v>
      </c>
      <c r="D1382">
        <f t="shared" si="84"/>
        <v>1381</v>
      </c>
      <c r="E1382" t="str">
        <f t="shared" si="85"/>
        <v>E2_7_7_7</v>
      </c>
      <c r="F1382" s="11" t="s">
        <v>13935</v>
      </c>
      <c r="G1382" s="11" t="s">
        <v>14538</v>
      </c>
      <c r="H1382" s="11" t="s">
        <v>8988</v>
      </c>
      <c r="I1382" s="11" t="s">
        <v>9187</v>
      </c>
      <c r="J1382" s="12" t="str">
        <f t="shared" si="86"/>
        <v>(${Variables:E2_7_7_7_kcat} * E2_7_7_7 * C00039 * C00286)/(${Variables:E2_7_7_7_km} + (E2_7_7_7 * C00039 * C00286))</v>
      </c>
      <c r="K1382" s="11" t="str">
        <f t="shared" si="87"/>
        <v>r1381: C00039 + C00286 -&gt; C00013 + C00039 | (${Variables:E2_7_7_7_kcat} * E2_7_7_7 * C00039 * C00286)/(${Variables:E2_7_7_7_km} + (E2_7_7_7 * C00039 * C00286))</v>
      </c>
    </row>
    <row r="1383" spans="1:11" ht="45" customHeight="1" x14ac:dyDescent="0.25">
      <c r="A1383" t="s">
        <v>5465</v>
      </c>
      <c r="B1383" t="s">
        <v>5466</v>
      </c>
      <c r="C1383" s="5" t="s">
        <v>9386</v>
      </c>
      <c r="D1383">
        <f t="shared" si="84"/>
        <v>1382</v>
      </c>
      <c r="E1383" t="str">
        <f t="shared" si="85"/>
        <v>E2_7_7_7</v>
      </c>
      <c r="F1383" s="11" t="s">
        <v>13936</v>
      </c>
      <c r="G1383" s="11" t="s">
        <v>14539</v>
      </c>
      <c r="H1383" s="11" t="s">
        <v>8988</v>
      </c>
      <c r="I1383" s="11" t="s">
        <v>9187</v>
      </c>
      <c r="J1383" s="12" t="str">
        <f t="shared" si="86"/>
        <v>(${Variables:E2_7_7_7_kcat} * E2_7_7_7 * C00039 * C00458)/(${Variables:E2_7_7_7_km} + (E2_7_7_7 * C00039 * C00458))</v>
      </c>
      <c r="K1383" s="11" t="str">
        <f t="shared" si="87"/>
        <v>r1382: C00039 + C00458 -&gt; C00013 + C00039 | (${Variables:E2_7_7_7_kcat} * E2_7_7_7 * C00039 * C00458)/(${Variables:E2_7_7_7_km} + (E2_7_7_7 * C00039 * C00458))</v>
      </c>
    </row>
    <row r="1384" spans="1:11" ht="45" customHeight="1" x14ac:dyDescent="0.25">
      <c r="A1384" t="s">
        <v>5465</v>
      </c>
      <c r="B1384" t="s">
        <v>5466</v>
      </c>
      <c r="C1384" s="5" t="s">
        <v>9386</v>
      </c>
      <c r="D1384">
        <f t="shared" si="84"/>
        <v>1383</v>
      </c>
      <c r="E1384" t="str">
        <f t="shared" si="85"/>
        <v>E2_7_7_7</v>
      </c>
      <c r="F1384" s="11" t="s">
        <v>13937</v>
      </c>
      <c r="G1384" s="11" t="s">
        <v>14540</v>
      </c>
      <c r="H1384" s="11" t="s">
        <v>8988</v>
      </c>
      <c r="I1384" s="11" t="s">
        <v>9187</v>
      </c>
      <c r="J1384" s="12" t="str">
        <f t="shared" si="86"/>
        <v>(${Variables:E2_7_7_7_kcat} * E2_7_7_7 * C00039 * C00459)/(${Variables:E2_7_7_7_km} + (E2_7_7_7 * C00039 * C00459))</v>
      </c>
      <c r="K1384" s="11" t="str">
        <f t="shared" si="87"/>
        <v>r1383: C00039 + C00459 -&gt; C00013 + C00039 | (${Variables:E2_7_7_7_kcat} * E2_7_7_7 * C00039 * C00459)/(${Variables:E2_7_7_7_km} + (E2_7_7_7 * C00039 * C00459))</v>
      </c>
    </row>
    <row r="1385" spans="1:11" ht="45" customHeight="1" x14ac:dyDescent="0.25">
      <c r="A1385" t="s">
        <v>5465</v>
      </c>
      <c r="B1385" t="s">
        <v>5466</v>
      </c>
      <c r="C1385" s="5" t="s">
        <v>9386</v>
      </c>
      <c r="D1385">
        <f t="shared" si="84"/>
        <v>1384</v>
      </c>
      <c r="E1385" t="str">
        <f t="shared" si="85"/>
        <v>E2_7_7_7</v>
      </c>
      <c r="F1385" s="11" t="s">
        <v>8088</v>
      </c>
      <c r="G1385" s="11" t="s">
        <v>8088</v>
      </c>
      <c r="H1385" s="11" t="s">
        <v>8391</v>
      </c>
      <c r="I1385" s="11" t="s">
        <v>8391</v>
      </c>
      <c r="J1385" s="12" t="str">
        <f t="shared" si="86"/>
        <v>(${Variables:E2_7_7_7_kcat} * E2_7_7_7 * C11039)/(${Variables:E2_7_7_7_km} + (E2_7_7_7 * C11039))</v>
      </c>
      <c r="K1385" s="11" t="str">
        <f t="shared" si="87"/>
        <v>r1384: C11039 -&gt; C21031 | (${Variables:E2_7_7_7_kcat} * E2_7_7_7 * C11039)/(${Variables:E2_7_7_7_km} + (E2_7_7_7 * C11039))</v>
      </c>
    </row>
    <row r="1386" spans="1:11" ht="45" customHeight="1" x14ac:dyDescent="0.25">
      <c r="A1386" t="s">
        <v>5468</v>
      </c>
      <c r="B1386" t="s">
        <v>5469</v>
      </c>
      <c r="C1386" s="5" t="s">
        <v>9483</v>
      </c>
      <c r="D1386">
        <f t="shared" si="84"/>
        <v>1385</v>
      </c>
      <c r="E1386" t="str">
        <f t="shared" si="85"/>
        <v>E3_1_3_16</v>
      </c>
      <c r="F1386" s="11" t="s">
        <v>14077</v>
      </c>
      <c r="G1386" s="11" t="s">
        <v>14680</v>
      </c>
      <c r="H1386" s="11" t="s">
        <v>15287</v>
      </c>
      <c r="I1386" s="11" t="s">
        <v>15908</v>
      </c>
      <c r="J1386" s="12" t="str">
        <f t="shared" si="86"/>
        <v>(${Variables:E3_1_3_16_kcat} * E3_1_3_16 * C00001 * C00562)/(${Variables:E3_1_3_16_km} + (E3_1_3_16 * C00001 * C00562))</v>
      </c>
      <c r="K1386" s="11" t="str">
        <f t="shared" si="87"/>
        <v>r1385: C00001 + C00562 -&gt; C00009 + C00017 | (${Variables:E3_1_3_16_kcat} * E3_1_3_16 * C00001 * C00562)/(${Variables:E3_1_3_16_km} + (E3_1_3_16 * C00001 * C00562))</v>
      </c>
    </row>
    <row r="1387" spans="1:11" ht="45" customHeight="1" x14ac:dyDescent="0.25">
      <c r="A1387" t="s">
        <v>5492</v>
      </c>
      <c r="B1387" t="s">
        <v>5493</v>
      </c>
      <c r="C1387" s="5" t="s">
        <v>9781</v>
      </c>
      <c r="D1387">
        <f t="shared" si="84"/>
        <v>1386</v>
      </c>
      <c r="E1387" t="str">
        <f t="shared" si="85"/>
        <v>E3_5_1_1</v>
      </c>
      <c r="F1387" s="11" t="s">
        <v>14478</v>
      </c>
      <c r="G1387" s="11" t="s">
        <v>15081</v>
      </c>
      <c r="H1387" s="11" t="s">
        <v>15707</v>
      </c>
      <c r="I1387" s="11" t="s">
        <v>16328</v>
      </c>
      <c r="J1387" s="12" t="str">
        <f t="shared" si="86"/>
        <v>(${Variables:E3_5_1_1_kcat} * E3_5_1_1 * C00001 * C00152)/(${Variables:E3_5_1_1_km} + (E3_5_1_1 * C00001 * C00152))</v>
      </c>
      <c r="K1387" s="11" t="str">
        <f t="shared" si="87"/>
        <v>r1386: C00001 + C00152 -&gt; C00014 + C00049 | (${Variables:E3_5_1_1_kcat} * E3_5_1_1 * C00001 * C00152)/(${Variables:E3_5_1_1_km} + (E3_5_1_1 * C00001 * C00152))</v>
      </c>
    </row>
    <row r="1388" spans="1:11" ht="45" customHeight="1" x14ac:dyDescent="0.25">
      <c r="A1388" t="s">
        <v>5492</v>
      </c>
      <c r="B1388" t="s">
        <v>5493</v>
      </c>
      <c r="C1388" s="5" t="s">
        <v>9781</v>
      </c>
      <c r="D1388">
        <f t="shared" si="84"/>
        <v>1387</v>
      </c>
      <c r="E1388" t="str">
        <f t="shared" si="85"/>
        <v>E3_5_1_1</v>
      </c>
      <c r="F1388" s="11" t="s">
        <v>13968</v>
      </c>
      <c r="G1388" s="11" t="s">
        <v>14571</v>
      </c>
      <c r="H1388" s="11" t="s">
        <v>15160</v>
      </c>
      <c r="I1388" s="11" t="s">
        <v>15781</v>
      </c>
      <c r="J1388" s="12" t="str">
        <f t="shared" si="86"/>
        <v>(${Variables:E3_5_1_1_kcat} * E3_5_1_1 * C00001 * C00241)/(${Variables:E3_5_1_1_km} + (E3_5_1_1 * C00001 * C00241))</v>
      </c>
      <c r="K1388" s="11" t="str">
        <f t="shared" si="87"/>
        <v>r1387: C00001 + C00241 -&gt; C00014 + C00060 | (${Variables:E3_5_1_1_kcat} * E3_5_1_1 * C00001 * C00241)/(${Variables:E3_5_1_1_km} + (E3_5_1_1 * C00001 * C00241))</v>
      </c>
    </row>
    <row r="1389" spans="1:11" ht="45" customHeight="1" x14ac:dyDescent="0.25">
      <c r="A1389" t="s">
        <v>5502</v>
      </c>
      <c r="B1389" t="s">
        <v>5503</v>
      </c>
      <c r="C1389" s="5" t="s">
        <v>9594</v>
      </c>
      <c r="D1389">
        <f t="shared" si="84"/>
        <v>1388</v>
      </c>
      <c r="E1389" t="str">
        <f t="shared" si="85"/>
        <v>E1_2_7_5</v>
      </c>
      <c r="F1389" s="11" t="s">
        <v>14240</v>
      </c>
      <c r="G1389" s="11" t="s">
        <v>14843</v>
      </c>
      <c r="H1389" s="11" t="s">
        <v>15447</v>
      </c>
      <c r="I1389" s="11" t="s">
        <v>16068</v>
      </c>
      <c r="J1389" s="12" t="str">
        <f t="shared" si="86"/>
        <v>(${Variables:E1_2_7_5_kcat} * E1_2_7_5 * C00001 * C00071 * C00139)/(${Variables:E1_2_7_5_km} + (E1_2_7_5 * C00001 * C00071 * C00139))</v>
      </c>
      <c r="K1389" s="11" t="str">
        <f t="shared" si="87"/>
        <v>r1388: C00001 + C00071 + C00139 -&gt; C00060 + C00080 + C00138 | (${Variables:E1_2_7_5_kcat} * E1_2_7_5 * C00001 * C00071 * C00139)/(${Variables:E1_2_7_5_km} + (E1_2_7_5 * C00001 * C00071 * C00139))</v>
      </c>
    </row>
    <row r="1390" spans="1:11" ht="45" customHeight="1" x14ac:dyDescent="0.25">
      <c r="A1390" t="s">
        <v>5502</v>
      </c>
      <c r="B1390" t="s">
        <v>5503</v>
      </c>
      <c r="C1390" s="5" t="s">
        <v>9594</v>
      </c>
      <c r="D1390">
        <f t="shared" si="84"/>
        <v>1389</v>
      </c>
      <c r="E1390" t="str">
        <f t="shared" si="85"/>
        <v>E1_2_7_5</v>
      </c>
      <c r="F1390" s="11" t="s">
        <v>14241</v>
      </c>
      <c r="G1390" s="11" t="s">
        <v>14844</v>
      </c>
      <c r="H1390" s="11" t="s">
        <v>15448</v>
      </c>
      <c r="I1390" s="11" t="s">
        <v>16069</v>
      </c>
      <c r="J1390" s="12" t="str">
        <f t="shared" si="86"/>
        <v>(${Variables:E1_2_7_5_kcat} * E1_2_7_5 * C00001 * C00139 * C00577)/(${Variables:E1_2_7_5_km} + (E1_2_7_5 * C00001 * C00139 * C00577))</v>
      </c>
      <c r="K1390" s="11" t="str">
        <f t="shared" si="87"/>
        <v>r1389: C00001 + C00139 + C00577 -&gt; C00080 + C00138 + C00258 | (${Variables:E1_2_7_5_kcat} * E1_2_7_5 * C00001 * C00139 * C00577)/(${Variables:E1_2_7_5_km} + (E1_2_7_5 * C00001 * C00139 * C00577))</v>
      </c>
    </row>
    <row r="1391" spans="1:11" ht="45" customHeight="1" x14ac:dyDescent="0.25">
      <c r="A1391" t="s">
        <v>5504</v>
      </c>
      <c r="B1391" t="s">
        <v>5505</v>
      </c>
      <c r="C1391" s="5" t="s">
        <v>9577</v>
      </c>
      <c r="D1391">
        <f t="shared" si="84"/>
        <v>1390</v>
      </c>
      <c r="E1391" t="str">
        <f t="shared" si="85"/>
        <v>E2_7_1_4</v>
      </c>
      <c r="F1391" s="11" t="s">
        <v>8732</v>
      </c>
      <c r="G1391" s="11" t="s">
        <v>8898</v>
      </c>
      <c r="H1391" s="11" t="s">
        <v>9091</v>
      </c>
      <c r="I1391" s="11" t="s">
        <v>9290</v>
      </c>
      <c r="J1391" s="12" t="str">
        <f t="shared" si="86"/>
        <v>(${Variables:E2_7_1_4_kcat} * E2_7_1_4 * C00002 * C00095)/(${Variables:E2_7_1_4_km} + (E2_7_1_4 * C00002 * C00095))</v>
      </c>
      <c r="K1391" s="11" t="str">
        <f t="shared" si="87"/>
        <v>r1390: C00002 + C00095 -&gt; C00008 + C00085 | (${Variables:E2_7_1_4_kcat} * E2_7_1_4 * C00002 * C00095)/(${Variables:E2_7_1_4_km} + (E2_7_1_4 * C00002 * C00095))</v>
      </c>
    </row>
    <row r="1392" spans="1:11" ht="45" customHeight="1" x14ac:dyDescent="0.25">
      <c r="A1392" t="s">
        <v>5504</v>
      </c>
      <c r="B1392" t="s">
        <v>5505</v>
      </c>
      <c r="C1392" s="5" t="s">
        <v>9577</v>
      </c>
      <c r="D1392">
        <f t="shared" si="84"/>
        <v>1391</v>
      </c>
      <c r="E1392" t="str">
        <f t="shared" si="85"/>
        <v>E2_7_1_4</v>
      </c>
      <c r="F1392" s="11" t="s">
        <v>8732</v>
      </c>
      <c r="G1392" s="11" t="s">
        <v>8898</v>
      </c>
      <c r="H1392" s="11" t="s">
        <v>9092</v>
      </c>
      <c r="I1392" s="11" t="s">
        <v>9291</v>
      </c>
      <c r="J1392" s="12" t="str">
        <f t="shared" si="86"/>
        <v>(${Variables:E2_7_1_4_kcat} * E2_7_1_4 * C00002 * C00095)/(${Variables:E2_7_1_4_km} + (E2_7_1_4 * C00002 * C00095))</v>
      </c>
      <c r="K1392" s="11" t="str">
        <f t="shared" si="87"/>
        <v>r1391: C00002 + C00095 -&gt; C00008 + C05345 | (${Variables:E2_7_1_4_kcat} * E2_7_1_4 * C00002 * C00095)/(${Variables:E2_7_1_4_km} + (E2_7_1_4 * C00002 * C00095))</v>
      </c>
    </row>
    <row r="1393" spans="1:11" ht="45" customHeight="1" x14ac:dyDescent="0.25">
      <c r="A1393" t="s">
        <v>5504</v>
      </c>
      <c r="B1393" t="s">
        <v>5505</v>
      </c>
      <c r="C1393" s="5" t="s">
        <v>9577</v>
      </c>
      <c r="D1393">
        <f t="shared" si="84"/>
        <v>1392</v>
      </c>
      <c r="E1393" t="str">
        <f t="shared" si="85"/>
        <v>E2_7_1_4</v>
      </c>
      <c r="F1393" s="11" t="s">
        <v>8733</v>
      </c>
      <c r="G1393" s="11" t="s">
        <v>8899</v>
      </c>
      <c r="H1393" s="11" t="s">
        <v>9092</v>
      </c>
      <c r="I1393" s="11" t="s">
        <v>9291</v>
      </c>
      <c r="J1393" s="12" t="str">
        <f t="shared" si="86"/>
        <v>(${Variables:E2_7_1_4_kcat} * E2_7_1_4 * C00002 * C02336)/(${Variables:E2_7_1_4_km} + (E2_7_1_4 * C00002 * C02336))</v>
      </c>
      <c r="K1393" s="11" t="str">
        <f t="shared" si="87"/>
        <v>r1392: C00002 + C02336 -&gt; C00008 + C05345 | (${Variables:E2_7_1_4_kcat} * E2_7_1_4 * C00002 * C02336)/(${Variables:E2_7_1_4_km} + (E2_7_1_4 * C00002 * C02336))</v>
      </c>
    </row>
    <row r="1394" spans="1:11" ht="45" customHeight="1" x14ac:dyDescent="0.25">
      <c r="A1394" t="s">
        <v>5507</v>
      </c>
      <c r="B1394" t="s">
        <v>5508</v>
      </c>
      <c r="C1394" s="5" t="s">
        <v>9634</v>
      </c>
      <c r="D1394">
        <f t="shared" si="84"/>
        <v>1393</v>
      </c>
      <c r="E1394" t="str">
        <f t="shared" si="85"/>
        <v>E1_6_5_5</v>
      </c>
      <c r="F1394" s="11" t="s">
        <v>14287</v>
      </c>
      <c r="G1394" s="11" t="s">
        <v>14890</v>
      </c>
      <c r="H1394" s="11" t="s">
        <v>15495</v>
      </c>
      <c r="I1394" s="11" t="s">
        <v>16116</v>
      </c>
      <c r="J1394" s="12" t="str">
        <f t="shared" si="86"/>
        <v>(${Variables:E1_6_5_5_kcat} * E1_6_5_5 * C00005 * C00080 * C15602)/(${Variables:E1_6_5_5_km} + (E1_6_5_5 * C00005 * C00080 * C15602))</v>
      </c>
      <c r="K1394" s="11" t="str">
        <f t="shared" si="87"/>
        <v>r1393: C00005 + C00080 + C15602 -&gt; C00006 + C05309 | (${Variables:E1_6_5_5_kcat} * E1_6_5_5 * C00005 * C00080 * C15602)/(${Variables:E1_6_5_5_km} + (E1_6_5_5 * C00005 * C00080 * C15602))</v>
      </c>
    </row>
    <row r="1395" spans="1:11" ht="45" customHeight="1" x14ac:dyDescent="0.25">
      <c r="A1395" t="s">
        <v>5557</v>
      </c>
      <c r="B1395" t="s">
        <v>5558</v>
      </c>
      <c r="C1395" s="5" t="s">
        <v>9782</v>
      </c>
      <c r="D1395">
        <f t="shared" si="84"/>
        <v>1394</v>
      </c>
      <c r="E1395" t="str">
        <f t="shared" si="85"/>
        <v>E3_6_1_8</v>
      </c>
      <c r="F1395" s="11" t="s">
        <v>14474</v>
      </c>
      <c r="G1395" s="11" t="s">
        <v>15077</v>
      </c>
      <c r="H1395" s="11" t="s">
        <v>14074</v>
      </c>
      <c r="I1395" s="11" t="s">
        <v>14677</v>
      </c>
      <c r="J1395" s="12" t="str">
        <f t="shared" si="86"/>
        <v>(${Variables:E3_6_1_8_kcat} * E3_6_1_8 * C00001 * C00002)/(${Variables:E3_6_1_8_km} + (E3_6_1_8 * C00001 * C00002))</v>
      </c>
      <c r="K1395" s="11" t="str">
        <f t="shared" si="87"/>
        <v>r1394: C00001 + C00002 -&gt; C00013 + C00020 | (${Variables:E3_6_1_8_kcat} * E3_6_1_8 * C00001 * C00002)/(${Variables:E3_6_1_8_km} + (E3_6_1_8 * C00001 * C00002))</v>
      </c>
    </row>
    <row r="1396" spans="1:11" ht="45" customHeight="1" x14ac:dyDescent="0.25">
      <c r="A1396" t="s">
        <v>5557</v>
      </c>
      <c r="B1396" t="s">
        <v>5558</v>
      </c>
      <c r="C1396" s="5" t="s">
        <v>9782</v>
      </c>
      <c r="D1396">
        <f t="shared" si="84"/>
        <v>1395</v>
      </c>
      <c r="E1396" t="str">
        <f t="shared" si="85"/>
        <v>E3_6_1_8</v>
      </c>
      <c r="F1396" s="11" t="s">
        <v>14474</v>
      </c>
      <c r="G1396" s="11" t="s">
        <v>15077</v>
      </c>
      <c r="H1396" s="11" t="s">
        <v>15703</v>
      </c>
      <c r="I1396" s="11" t="s">
        <v>16324</v>
      </c>
      <c r="J1396" s="12" t="str">
        <f t="shared" si="86"/>
        <v>(${Variables:E3_6_1_8_kcat} * E3_6_1_8 * C00001 * C00002)/(${Variables:E3_6_1_8_km} + (E3_6_1_8 * C00001 * C00002))</v>
      </c>
      <c r="K1396" s="11" t="str">
        <f t="shared" si="87"/>
        <v>r1395: C00001 + C00002 -&gt; C00008 + C00009 | (${Variables:E3_6_1_8_kcat} * E3_6_1_8 * C00001 * C00002)/(${Variables:E3_6_1_8_km} + (E3_6_1_8 * C00001 * C00002))</v>
      </c>
    </row>
    <row r="1397" spans="1:11" ht="45" customHeight="1" x14ac:dyDescent="0.25">
      <c r="A1397" t="s">
        <v>5566</v>
      </c>
      <c r="B1397" t="s">
        <v>5567</v>
      </c>
      <c r="C1397" s="5" t="s">
        <v>9783</v>
      </c>
      <c r="D1397">
        <f t="shared" si="84"/>
        <v>1396</v>
      </c>
      <c r="E1397" t="str">
        <f t="shared" si="85"/>
        <v>E2_7_2_8</v>
      </c>
      <c r="F1397" s="11" t="s">
        <v>14479</v>
      </c>
      <c r="G1397" s="11" t="s">
        <v>15082</v>
      </c>
      <c r="H1397" s="11" t="s">
        <v>15708</v>
      </c>
      <c r="I1397" s="11" t="s">
        <v>16329</v>
      </c>
      <c r="J1397" s="12" t="str">
        <f t="shared" si="86"/>
        <v>(${Variables:E2_7_2_8_kcat} * E2_7_2_8 * C00002 * C00624)/(${Variables:E2_7_2_8_km} + (E2_7_2_8 * C00002 * C00624))</v>
      </c>
      <c r="K1397" s="11" t="str">
        <f t="shared" si="87"/>
        <v>r1396: C00002 + C00624 -&gt; C00008 + C04133 | (${Variables:E2_7_2_8_kcat} * E2_7_2_8 * C00002 * C00624)/(${Variables:E2_7_2_8_km} + (E2_7_2_8 * C00002 * C00624))</v>
      </c>
    </row>
    <row r="1398" spans="1:11" ht="45" customHeight="1" x14ac:dyDescent="0.25">
      <c r="A1398" t="s">
        <v>5571</v>
      </c>
      <c r="B1398" t="s">
        <v>5572</v>
      </c>
      <c r="C1398" s="5" t="s">
        <v>9386</v>
      </c>
      <c r="D1398">
        <f t="shared" si="84"/>
        <v>1397</v>
      </c>
      <c r="E1398" t="str">
        <f t="shared" si="85"/>
        <v>E2_7_7_7</v>
      </c>
      <c r="F1398" s="11" t="s">
        <v>13933</v>
      </c>
      <c r="G1398" s="11" t="s">
        <v>14536</v>
      </c>
      <c r="H1398" s="11" t="s">
        <v>8988</v>
      </c>
      <c r="I1398" s="11" t="s">
        <v>9187</v>
      </c>
      <c r="J1398" s="12" t="str">
        <f t="shared" si="86"/>
        <v>(${Variables:E2_7_7_7_kcat} * E2_7_7_7 * C00039 * C00677)/(${Variables:E2_7_7_7_km} + (E2_7_7_7 * C00039 * C00677))</v>
      </c>
      <c r="K1398" s="11" t="str">
        <f t="shared" si="87"/>
        <v>r1397: C00039 + C00677 -&gt; C00013 + C00039 | (${Variables:E2_7_7_7_kcat} * E2_7_7_7 * C00039 * C00677)/(${Variables:E2_7_7_7_km} + (E2_7_7_7 * C00039 * C00677))</v>
      </c>
    </row>
    <row r="1399" spans="1:11" ht="45" customHeight="1" x14ac:dyDescent="0.25">
      <c r="A1399" t="s">
        <v>5571</v>
      </c>
      <c r="B1399" t="s">
        <v>5572</v>
      </c>
      <c r="C1399" s="5" t="s">
        <v>9386</v>
      </c>
      <c r="D1399">
        <f t="shared" si="84"/>
        <v>1398</v>
      </c>
      <c r="E1399" t="str">
        <f t="shared" si="85"/>
        <v>E2_7_7_7</v>
      </c>
      <c r="F1399" s="11" t="s">
        <v>13934</v>
      </c>
      <c r="G1399" s="11" t="s">
        <v>14537</v>
      </c>
      <c r="H1399" s="11" t="s">
        <v>8988</v>
      </c>
      <c r="I1399" s="11" t="s">
        <v>9187</v>
      </c>
      <c r="J1399" s="12" t="str">
        <f t="shared" si="86"/>
        <v>(${Variables:E2_7_7_7_kcat} * E2_7_7_7 * C00039 * C00131)/(${Variables:E2_7_7_7_km} + (E2_7_7_7 * C00039 * C00131))</v>
      </c>
      <c r="K1399" s="11" t="str">
        <f t="shared" si="87"/>
        <v>r1398: C00039 + C00131 -&gt; C00013 + C00039 | (${Variables:E2_7_7_7_kcat} * E2_7_7_7 * C00039 * C00131)/(${Variables:E2_7_7_7_km} + (E2_7_7_7 * C00039 * C00131))</v>
      </c>
    </row>
    <row r="1400" spans="1:11" ht="45" customHeight="1" x14ac:dyDescent="0.25">
      <c r="A1400" t="s">
        <v>5571</v>
      </c>
      <c r="B1400" t="s">
        <v>5572</v>
      </c>
      <c r="C1400" s="5" t="s">
        <v>9386</v>
      </c>
      <c r="D1400">
        <f t="shared" si="84"/>
        <v>1399</v>
      </c>
      <c r="E1400" t="str">
        <f t="shared" si="85"/>
        <v>E2_7_7_7</v>
      </c>
      <c r="F1400" s="11" t="s">
        <v>13935</v>
      </c>
      <c r="G1400" s="11" t="s">
        <v>14538</v>
      </c>
      <c r="H1400" s="11" t="s">
        <v>8988</v>
      </c>
      <c r="I1400" s="11" t="s">
        <v>9187</v>
      </c>
      <c r="J1400" s="12" t="str">
        <f t="shared" si="86"/>
        <v>(${Variables:E2_7_7_7_kcat} * E2_7_7_7 * C00039 * C00286)/(${Variables:E2_7_7_7_km} + (E2_7_7_7 * C00039 * C00286))</v>
      </c>
      <c r="K1400" s="11" t="str">
        <f t="shared" si="87"/>
        <v>r1399: C00039 + C00286 -&gt; C00013 + C00039 | (${Variables:E2_7_7_7_kcat} * E2_7_7_7 * C00039 * C00286)/(${Variables:E2_7_7_7_km} + (E2_7_7_7 * C00039 * C00286))</v>
      </c>
    </row>
    <row r="1401" spans="1:11" ht="45" customHeight="1" x14ac:dyDescent="0.25">
      <c r="A1401" t="s">
        <v>5571</v>
      </c>
      <c r="B1401" t="s">
        <v>5572</v>
      </c>
      <c r="C1401" s="5" t="s">
        <v>9386</v>
      </c>
      <c r="D1401">
        <f t="shared" si="84"/>
        <v>1400</v>
      </c>
      <c r="E1401" t="str">
        <f t="shared" si="85"/>
        <v>E2_7_7_7</v>
      </c>
      <c r="F1401" s="11" t="s">
        <v>13936</v>
      </c>
      <c r="G1401" s="11" t="s">
        <v>14539</v>
      </c>
      <c r="H1401" s="11" t="s">
        <v>8988</v>
      </c>
      <c r="I1401" s="11" t="s">
        <v>9187</v>
      </c>
      <c r="J1401" s="12" t="str">
        <f t="shared" si="86"/>
        <v>(${Variables:E2_7_7_7_kcat} * E2_7_7_7 * C00039 * C00458)/(${Variables:E2_7_7_7_km} + (E2_7_7_7 * C00039 * C00458))</v>
      </c>
      <c r="K1401" s="11" t="str">
        <f t="shared" si="87"/>
        <v>r1400: C00039 + C00458 -&gt; C00013 + C00039 | (${Variables:E2_7_7_7_kcat} * E2_7_7_7 * C00039 * C00458)/(${Variables:E2_7_7_7_km} + (E2_7_7_7 * C00039 * C00458))</v>
      </c>
    </row>
    <row r="1402" spans="1:11" ht="45" customHeight="1" x14ac:dyDescent="0.25">
      <c r="A1402" t="s">
        <v>5571</v>
      </c>
      <c r="B1402" t="s">
        <v>5572</v>
      </c>
      <c r="C1402" s="5" t="s">
        <v>9386</v>
      </c>
      <c r="D1402">
        <f t="shared" si="84"/>
        <v>1401</v>
      </c>
      <c r="E1402" t="str">
        <f t="shared" si="85"/>
        <v>E2_7_7_7</v>
      </c>
      <c r="F1402" s="11" t="s">
        <v>13937</v>
      </c>
      <c r="G1402" s="11" t="s">
        <v>14540</v>
      </c>
      <c r="H1402" s="11" t="s">
        <v>8988</v>
      </c>
      <c r="I1402" s="11" t="s">
        <v>9187</v>
      </c>
      <c r="J1402" s="12" t="str">
        <f t="shared" si="86"/>
        <v>(${Variables:E2_7_7_7_kcat} * E2_7_7_7 * C00039 * C00459)/(${Variables:E2_7_7_7_km} + (E2_7_7_7 * C00039 * C00459))</v>
      </c>
      <c r="K1402" s="11" t="str">
        <f t="shared" si="87"/>
        <v>r1401: C00039 + C00459 -&gt; C00013 + C00039 | (${Variables:E2_7_7_7_kcat} * E2_7_7_7 * C00039 * C00459)/(${Variables:E2_7_7_7_km} + (E2_7_7_7 * C00039 * C00459))</v>
      </c>
    </row>
    <row r="1403" spans="1:11" ht="45" customHeight="1" x14ac:dyDescent="0.25">
      <c r="A1403" t="s">
        <v>5571</v>
      </c>
      <c r="B1403" t="s">
        <v>5572</v>
      </c>
      <c r="C1403" s="5" t="s">
        <v>9386</v>
      </c>
      <c r="D1403">
        <f t="shared" si="84"/>
        <v>1402</v>
      </c>
      <c r="E1403" t="str">
        <f t="shared" si="85"/>
        <v>E2_7_7_7</v>
      </c>
      <c r="F1403" s="11" t="s">
        <v>8088</v>
      </c>
      <c r="G1403" s="11" t="s">
        <v>8088</v>
      </c>
      <c r="H1403" s="11" t="s">
        <v>8391</v>
      </c>
      <c r="I1403" s="11" t="s">
        <v>8391</v>
      </c>
      <c r="J1403" s="12" t="str">
        <f t="shared" si="86"/>
        <v>(${Variables:E2_7_7_7_kcat} * E2_7_7_7 * C11039)/(${Variables:E2_7_7_7_km} + (E2_7_7_7 * C11039))</v>
      </c>
      <c r="K1403" s="11" t="str">
        <f t="shared" si="87"/>
        <v>r1402: C11039 -&gt; C21031 | (${Variables:E2_7_7_7_kcat} * E2_7_7_7 * C11039)/(${Variables:E2_7_7_7_km} + (E2_7_7_7 * C11039))</v>
      </c>
    </row>
    <row r="1404" spans="1:11" ht="45" customHeight="1" x14ac:dyDescent="0.25">
      <c r="A1404" t="s">
        <v>5578</v>
      </c>
      <c r="B1404" t="s">
        <v>5579</v>
      </c>
      <c r="C1404" s="5" t="s">
        <v>9784</v>
      </c>
      <c r="D1404">
        <f t="shared" si="84"/>
        <v>1403</v>
      </c>
      <c r="E1404" t="str">
        <f t="shared" si="85"/>
        <v>E1_2_7_3</v>
      </c>
      <c r="F1404" s="11" t="s">
        <v>14480</v>
      </c>
      <c r="G1404" s="11" t="s">
        <v>15083</v>
      </c>
      <c r="H1404" s="11" t="s">
        <v>15709</v>
      </c>
      <c r="I1404" s="11" t="s">
        <v>16330</v>
      </c>
      <c r="J1404" s="12" t="str">
        <f t="shared" si="86"/>
        <v>(${Variables:E1_2_7_3_kcat} * E1_2_7_3 * C00011 * C00080 * C00091 * C00138)/(${Variables:E1_2_7_3_km} + (E1_2_7_3 * C00011 * C00080 * C00091 * C00138))</v>
      </c>
      <c r="K1404" s="11" t="str">
        <f t="shared" si="87"/>
        <v>r1403: C00011 + C00080 + C00091 + C00138 -&gt; C00010 + C00026 + C00139 | (${Variables:E1_2_7_3_kcat} * E1_2_7_3 * C00011 * C00080 * C00091 * C00138)/(${Variables:E1_2_7_3_km} + (E1_2_7_3 * C00011 * C00080 * C00091 * C00138))</v>
      </c>
    </row>
    <row r="1405" spans="1:11" ht="45" customHeight="1" x14ac:dyDescent="0.25">
      <c r="A1405" t="s">
        <v>5581</v>
      </c>
      <c r="B1405" t="s">
        <v>5582</v>
      </c>
      <c r="C1405" s="5" t="s">
        <v>9784</v>
      </c>
      <c r="D1405">
        <f t="shared" si="84"/>
        <v>1404</v>
      </c>
      <c r="E1405" t="str">
        <f t="shared" si="85"/>
        <v>E1_2_7_3</v>
      </c>
      <c r="F1405" s="11" t="s">
        <v>14480</v>
      </c>
      <c r="G1405" s="11" t="s">
        <v>15083</v>
      </c>
      <c r="H1405" s="11" t="s">
        <v>15709</v>
      </c>
      <c r="I1405" s="11" t="s">
        <v>16330</v>
      </c>
      <c r="J1405" s="12" t="str">
        <f t="shared" si="86"/>
        <v>(${Variables:E1_2_7_3_kcat} * E1_2_7_3 * C00011 * C00080 * C00091 * C00138)/(${Variables:E1_2_7_3_km} + (E1_2_7_3 * C00011 * C00080 * C00091 * C00138))</v>
      </c>
      <c r="K1405" s="11" t="str">
        <f t="shared" si="87"/>
        <v>r1404: C00011 + C00080 + C00091 + C00138 -&gt; C00010 + C00026 + C00139 | (${Variables:E1_2_7_3_kcat} * E1_2_7_3 * C00011 * C00080 * C00091 * C00138)/(${Variables:E1_2_7_3_km} + (E1_2_7_3 * C00011 * C00080 * C00091 * C00138))</v>
      </c>
    </row>
    <row r="1406" spans="1:11" ht="45" customHeight="1" x14ac:dyDescent="0.25">
      <c r="A1406" t="s">
        <v>5600</v>
      </c>
      <c r="B1406" t="s">
        <v>5601</v>
      </c>
      <c r="C1406" s="5" t="s">
        <v>9785</v>
      </c>
      <c r="D1406">
        <f t="shared" si="84"/>
        <v>1405</v>
      </c>
      <c r="E1406" t="str">
        <f t="shared" si="85"/>
        <v>E2_7_4_6</v>
      </c>
      <c r="F1406" s="11" t="s">
        <v>14481</v>
      </c>
      <c r="G1406" s="11" t="s">
        <v>15084</v>
      </c>
      <c r="H1406" s="11" t="s">
        <v>15710</v>
      </c>
      <c r="I1406" s="11" t="s">
        <v>16331</v>
      </c>
      <c r="J1406" s="12" t="str">
        <f t="shared" si="86"/>
        <v>(${Variables:E2_7_4_6_kcat} * E2_7_4_6 * C00002 * C00454)/(${Variables:E2_7_4_6_km} + (E2_7_4_6 * C00002 * C00454))</v>
      </c>
      <c r="K1406" s="11" t="str">
        <f t="shared" si="87"/>
        <v>r1405: C00002 + C00454 -&gt; C00008 + C00201 | (${Variables:E2_7_4_6_kcat} * E2_7_4_6 * C00002 * C00454)/(${Variables:E2_7_4_6_km} + (E2_7_4_6 * C00002 * C00454))</v>
      </c>
    </row>
    <row r="1407" spans="1:11" ht="45" customHeight="1" x14ac:dyDescent="0.25">
      <c r="A1407" t="s">
        <v>5600</v>
      </c>
      <c r="B1407" t="s">
        <v>5601</v>
      </c>
      <c r="C1407" s="5" t="s">
        <v>9785</v>
      </c>
      <c r="D1407">
        <f t="shared" si="84"/>
        <v>1406</v>
      </c>
      <c r="E1407" t="str">
        <f t="shared" si="85"/>
        <v>E2_7_4_6</v>
      </c>
      <c r="F1407" s="11" t="s">
        <v>14482</v>
      </c>
      <c r="G1407" s="11" t="s">
        <v>15085</v>
      </c>
      <c r="H1407" s="11" t="s">
        <v>14482</v>
      </c>
      <c r="I1407" s="11" t="s">
        <v>15085</v>
      </c>
      <c r="J1407" s="12" t="str">
        <f t="shared" si="86"/>
        <v>(${Variables:E2_7_4_6_kcat} * E2_7_4_6 * C00002 * C00008)/(${Variables:E2_7_4_6_km} + (E2_7_4_6 * C00002 * C00008))</v>
      </c>
      <c r="K1407" s="11" t="str">
        <f t="shared" si="87"/>
        <v>r1406: C00002 + C00008 -&gt; C00002 + C00008 | (${Variables:E2_7_4_6_kcat} * E2_7_4_6 * C00002 * C00008)/(${Variables:E2_7_4_6_km} + (E2_7_4_6 * C00002 * C00008))</v>
      </c>
    </row>
    <row r="1408" spans="1:11" ht="45" customHeight="1" x14ac:dyDescent="0.25">
      <c r="A1408" t="s">
        <v>5600</v>
      </c>
      <c r="B1408" t="s">
        <v>5601</v>
      </c>
      <c r="C1408" s="5" t="s">
        <v>9785</v>
      </c>
      <c r="D1408">
        <f t="shared" si="84"/>
        <v>1407</v>
      </c>
      <c r="E1408" t="str">
        <f t="shared" si="85"/>
        <v>E2_7_4_6</v>
      </c>
      <c r="F1408" s="11" t="s">
        <v>14483</v>
      </c>
      <c r="G1408" s="11" t="s">
        <v>15086</v>
      </c>
      <c r="H1408" s="11" t="s">
        <v>15711</v>
      </c>
      <c r="I1408" s="11" t="s">
        <v>16332</v>
      </c>
      <c r="J1408" s="12" t="str">
        <f t="shared" si="86"/>
        <v>(${Variables:E2_7_4_6_kcat} * E2_7_4_6 * C00002 * C11038)/(${Variables:E2_7_4_6_km} + (E2_7_4_6 * C00002 * C11038))</v>
      </c>
      <c r="K1408" s="11" t="str">
        <f t="shared" si="87"/>
        <v>r1407: C00002 + C11038 -&gt; C00008 + C11039 | (${Variables:E2_7_4_6_kcat} * E2_7_4_6 * C00002 * C11038)/(${Variables:E2_7_4_6_km} + (E2_7_4_6 * C00002 * C11038))</v>
      </c>
    </row>
    <row r="1409" spans="1:11" ht="45" customHeight="1" x14ac:dyDescent="0.25">
      <c r="A1409" t="s">
        <v>5600</v>
      </c>
      <c r="B1409" t="s">
        <v>5601</v>
      </c>
      <c r="C1409" s="5" t="s">
        <v>9785</v>
      </c>
      <c r="D1409">
        <f t="shared" si="84"/>
        <v>1408</v>
      </c>
      <c r="E1409" t="str">
        <f t="shared" si="85"/>
        <v>E2_7_4_6</v>
      </c>
      <c r="F1409" s="11" t="s">
        <v>14484</v>
      </c>
      <c r="G1409" s="11" t="s">
        <v>15087</v>
      </c>
      <c r="H1409" s="11" t="s">
        <v>15712</v>
      </c>
      <c r="I1409" s="11" t="s">
        <v>16333</v>
      </c>
      <c r="J1409" s="12" t="str">
        <f t="shared" si="86"/>
        <v>(${Variables:E2_7_4_6_kcat} * E2_7_4_6 * C00002 * C00015)/(${Variables:E2_7_4_6_km} + (E2_7_4_6 * C00002 * C00015))</v>
      </c>
      <c r="K1409" s="11" t="str">
        <f t="shared" si="87"/>
        <v>r1408: C00002 + C00015 -&gt; C00008 + C00075 | (${Variables:E2_7_4_6_kcat} * E2_7_4_6 * C00002 * C00015)/(${Variables:E2_7_4_6_km} + (E2_7_4_6 * C00002 * C00015))</v>
      </c>
    </row>
    <row r="1410" spans="1:11" ht="45" customHeight="1" x14ac:dyDescent="0.25">
      <c r="A1410" t="s">
        <v>5600</v>
      </c>
      <c r="B1410" t="s">
        <v>5601</v>
      </c>
      <c r="C1410" s="5" t="s">
        <v>9785</v>
      </c>
      <c r="D1410">
        <f t="shared" si="84"/>
        <v>1409</v>
      </c>
      <c r="E1410" t="str">
        <f t="shared" si="85"/>
        <v>E2_7_4_6</v>
      </c>
      <c r="F1410" s="11" t="s">
        <v>14485</v>
      </c>
      <c r="G1410" s="11" t="s">
        <v>15088</v>
      </c>
      <c r="H1410" s="11" t="s">
        <v>15713</v>
      </c>
      <c r="I1410" s="11" t="s">
        <v>16334</v>
      </c>
      <c r="J1410" s="12" t="str">
        <f t="shared" si="86"/>
        <v>(${Variables:E2_7_4_6_kcat} * E2_7_4_6 * C00002 * C00035)/(${Variables:E2_7_4_6_km} + (E2_7_4_6 * C00002 * C00035))</v>
      </c>
      <c r="K1410" s="11" t="str">
        <f t="shared" si="87"/>
        <v>r1409: C00002 + C00035 -&gt; C00008 + C00044 | (${Variables:E2_7_4_6_kcat} * E2_7_4_6 * C00002 * C00035)/(${Variables:E2_7_4_6_km} + (E2_7_4_6 * C00002 * C00035))</v>
      </c>
    </row>
    <row r="1411" spans="1:11" ht="45" customHeight="1" x14ac:dyDescent="0.25">
      <c r="A1411" t="s">
        <v>5600</v>
      </c>
      <c r="B1411" t="s">
        <v>5601</v>
      </c>
      <c r="C1411" s="5" t="s">
        <v>9785</v>
      </c>
      <c r="D1411">
        <f t="shared" ref="D1411:D1474" si="88">ROW()-1</f>
        <v>1410</v>
      </c>
      <c r="E1411" t="str">
        <f t="shared" ref="E1411:E1474" si="89">_xlfn.CONCAT("E", C1411)</f>
        <v>E2_7_4_6</v>
      </c>
      <c r="F1411" s="11" t="s">
        <v>14486</v>
      </c>
      <c r="G1411" s="11" t="s">
        <v>15089</v>
      </c>
      <c r="H1411" s="11" t="s">
        <v>15714</v>
      </c>
      <c r="I1411" s="11" t="s">
        <v>16335</v>
      </c>
      <c r="J1411" s="12" t="str">
        <f t="shared" ref="J1411:J1474" si="90">CONCATENATE("(${Variables:",E1411,"_kcat","} * ",E1411," * ",G1411,")","/(${Variables:",E1411,"_km","} + (",E1411," * ",G1411,"))")</f>
        <v>(${Variables:E2_7_4_6_kcat} * E2_7_4_6 * C00002 * C00112)/(${Variables:E2_7_4_6_km} + (E2_7_4_6 * C00002 * C00112))</v>
      </c>
      <c r="K1411" s="11" t="str">
        <f t="shared" ref="K1411:K1474" si="91">CONCATENATE("r",D1411,": ",F1411," -&gt; ",H1411," | ",J1411)</f>
        <v>r1410: C00002 + C00112 -&gt; C00008 + C00063 | (${Variables:E2_7_4_6_kcat} * E2_7_4_6 * C00002 * C00112)/(${Variables:E2_7_4_6_km} + (E2_7_4_6 * C00002 * C00112))</v>
      </c>
    </row>
    <row r="1412" spans="1:11" ht="45" customHeight="1" x14ac:dyDescent="0.25">
      <c r="A1412" t="s">
        <v>5600</v>
      </c>
      <c r="B1412" t="s">
        <v>5601</v>
      </c>
      <c r="C1412" s="5" t="s">
        <v>9785</v>
      </c>
      <c r="D1412">
        <f t="shared" si="88"/>
        <v>1411</v>
      </c>
      <c r="E1412" t="str">
        <f t="shared" si="89"/>
        <v>E2_7_4_6</v>
      </c>
      <c r="F1412" s="11" t="s">
        <v>14487</v>
      </c>
      <c r="G1412" s="11" t="s">
        <v>15090</v>
      </c>
      <c r="H1412" s="11" t="s">
        <v>15715</v>
      </c>
      <c r="I1412" s="11" t="s">
        <v>16336</v>
      </c>
      <c r="J1412" s="12" t="str">
        <f t="shared" si="90"/>
        <v>(${Variables:E2_7_4_6_kcat} * E2_7_4_6 * C00002 * C00104)/(${Variables:E2_7_4_6_km} + (E2_7_4_6 * C00002 * C00104))</v>
      </c>
      <c r="K1412" s="11" t="str">
        <f t="shared" si="91"/>
        <v>r1411: C00002 + C00104 -&gt; C00008 + C00081 | (${Variables:E2_7_4_6_kcat} * E2_7_4_6 * C00002 * C00104)/(${Variables:E2_7_4_6_km} + (E2_7_4_6 * C00002 * C00104))</v>
      </c>
    </row>
    <row r="1413" spans="1:11" ht="45" customHeight="1" x14ac:dyDescent="0.25">
      <c r="A1413" t="s">
        <v>5600</v>
      </c>
      <c r="B1413" t="s">
        <v>5601</v>
      </c>
      <c r="C1413" s="5" t="s">
        <v>9785</v>
      </c>
      <c r="D1413">
        <f t="shared" si="88"/>
        <v>1412</v>
      </c>
      <c r="E1413" t="str">
        <f t="shared" si="89"/>
        <v>E2_7_4_6</v>
      </c>
      <c r="F1413" s="11" t="s">
        <v>14488</v>
      </c>
      <c r="G1413" s="11" t="s">
        <v>15091</v>
      </c>
      <c r="H1413" s="11" t="s">
        <v>15716</v>
      </c>
      <c r="I1413" s="11" t="s">
        <v>16337</v>
      </c>
      <c r="J1413" s="12" t="str">
        <f t="shared" si="90"/>
        <v>(${Variables:E2_7_4_6_kcat} * E2_7_4_6 * C00002 * C00206)/(${Variables:E2_7_4_6_km} + (E2_7_4_6 * C00002 * C00206))</v>
      </c>
      <c r="K1413" s="11" t="str">
        <f t="shared" si="91"/>
        <v>r1412: C00002 + C00206 -&gt; C00008 + C00131 | (${Variables:E2_7_4_6_kcat} * E2_7_4_6 * C00002 * C00206)/(${Variables:E2_7_4_6_km} + (E2_7_4_6 * C00002 * C00206))</v>
      </c>
    </row>
    <row r="1414" spans="1:11" ht="45" customHeight="1" x14ac:dyDescent="0.25">
      <c r="A1414" t="s">
        <v>5600</v>
      </c>
      <c r="B1414" t="s">
        <v>5601</v>
      </c>
      <c r="C1414" s="5" t="s">
        <v>9785</v>
      </c>
      <c r="D1414">
        <f t="shared" si="88"/>
        <v>1413</v>
      </c>
      <c r="E1414" t="str">
        <f t="shared" si="89"/>
        <v>E2_7_4_6</v>
      </c>
      <c r="F1414" s="11" t="s">
        <v>14489</v>
      </c>
      <c r="G1414" s="11" t="s">
        <v>15092</v>
      </c>
      <c r="H1414" s="11" t="s">
        <v>15717</v>
      </c>
      <c r="I1414" s="11" t="s">
        <v>16338</v>
      </c>
      <c r="J1414" s="12" t="str">
        <f t="shared" si="90"/>
        <v>(${Variables:E2_7_4_6_kcat} * E2_7_4_6 * C00002 * C00361)/(${Variables:E2_7_4_6_km} + (E2_7_4_6 * C00002 * C00361))</v>
      </c>
      <c r="K1414" s="11" t="str">
        <f t="shared" si="91"/>
        <v>r1413: C00002 + C00361 -&gt; C00008 + C00286 | (${Variables:E2_7_4_6_kcat} * E2_7_4_6 * C00002 * C00361)/(${Variables:E2_7_4_6_km} + (E2_7_4_6 * C00002 * C00361))</v>
      </c>
    </row>
    <row r="1415" spans="1:11" ht="45" customHeight="1" x14ac:dyDescent="0.25">
      <c r="A1415" t="s">
        <v>5600</v>
      </c>
      <c r="B1415" t="s">
        <v>5601</v>
      </c>
      <c r="C1415" s="5" t="s">
        <v>9785</v>
      </c>
      <c r="D1415">
        <f t="shared" si="88"/>
        <v>1414</v>
      </c>
      <c r="E1415" t="str">
        <f t="shared" si="89"/>
        <v>E2_7_4_6</v>
      </c>
      <c r="F1415" s="11" t="s">
        <v>14490</v>
      </c>
      <c r="G1415" s="11" t="s">
        <v>15093</v>
      </c>
      <c r="H1415" s="11" t="s">
        <v>15718</v>
      </c>
      <c r="I1415" s="11" t="s">
        <v>16339</v>
      </c>
      <c r="J1415" s="12" t="str">
        <f t="shared" si="90"/>
        <v>(${Variables:E2_7_4_6_kcat} * E2_7_4_6 * C00002 * C00363)/(${Variables:E2_7_4_6_km} + (E2_7_4_6 * C00002 * C00363))</v>
      </c>
      <c r="K1415" s="11" t="str">
        <f t="shared" si="91"/>
        <v>r1414: C00002 + C00363 -&gt; C00008 + C00459 | (${Variables:E2_7_4_6_kcat} * E2_7_4_6 * C00002 * C00363)/(${Variables:E2_7_4_6_km} + (E2_7_4_6 * C00002 * C00363))</v>
      </c>
    </row>
    <row r="1416" spans="1:11" ht="45" customHeight="1" x14ac:dyDescent="0.25">
      <c r="A1416" t="s">
        <v>5600</v>
      </c>
      <c r="B1416" t="s">
        <v>5601</v>
      </c>
      <c r="C1416" s="5" t="s">
        <v>9785</v>
      </c>
      <c r="D1416">
        <f t="shared" si="88"/>
        <v>1415</v>
      </c>
      <c r="E1416" t="str">
        <f t="shared" si="89"/>
        <v>E2_7_4_6</v>
      </c>
      <c r="F1416" s="11" t="s">
        <v>14491</v>
      </c>
      <c r="G1416" s="11" t="s">
        <v>15094</v>
      </c>
      <c r="H1416" s="11" t="s">
        <v>15719</v>
      </c>
      <c r="I1416" s="11" t="s">
        <v>16340</v>
      </c>
      <c r="J1416" s="12" t="str">
        <f t="shared" si="90"/>
        <v>(${Variables:E2_7_4_6_kcat} * E2_7_4_6 * C00002 * C00705)/(${Variables:E2_7_4_6_km} + (E2_7_4_6 * C00002 * C00705))</v>
      </c>
      <c r="K1416" s="11" t="str">
        <f t="shared" si="91"/>
        <v>r1415: C00002 + C00705 -&gt; C00008 + C00458 | (${Variables:E2_7_4_6_kcat} * E2_7_4_6 * C00002 * C00705)/(${Variables:E2_7_4_6_km} + (E2_7_4_6 * C00002 * C00705))</v>
      </c>
    </row>
    <row r="1417" spans="1:11" ht="45" customHeight="1" x14ac:dyDescent="0.25">
      <c r="A1417" t="s">
        <v>5600</v>
      </c>
      <c r="B1417" t="s">
        <v>5601</v>
      </c>
      <c r="C1417" s="5" t="s">
        <v>9785</v>
      </c>
      <c r="D1417">
        <f t="shared" si="88"/>
        <v>1416</v>
      </c>
      <c r="E1417" t="str">
        <f t="shared" si="89"/>
        <v>E2_7_4_6</v>
      </c>
      <c r="F1417" s="11" t="s">
        <v>14492</v>
      </c>
      <c r="G1417" s="11" t="s">
        <v>15095</v>
      </c>
      <c r="H1417" s="11" t="s">
        <v>15720</v>
      </c>
      <c r="I1417" s="11" t="s">
        <v>16341</v>
      </c>
      <c r="J1417" s="12" t="str">
        <f t="shared" si="90"/>
        <v>(${Variables:E2_7_4_6_kcat} * E2_7_4_6 * C00002 * C01346)/(${Variables:E2_7_4_6_km} + (E2_7_4_6 * C00002 * C01346))</v>
      </c>
      <c r="K1417" s="11" t="str">
        <f t="shared" si="91"/>
        <v>r1416: C00002 + C01346 -&gt; C00008 + C00460 | (${Variables:E2_7_4_6_kcat} * E2_7_4_6 * C00002 * C01346)/(${Variables:E2_7_4_6_km} + (E2_7_4_6 * C00002 * C01346))</v>
      </c>
    </row>
    <row r="1418" spans="1:11" ht="45" customHeight="1" x14ac:dyDescent="0.25">
      <c r="A1418" t="s">
        <v>5600</v>
      </c>
      <c r="B1418" t="s">
        <v>5601</v>
      </c>
      <c r="C1418" s="5" t="s">
        <v>9785</v>
      </c>
      <c r="D1418">
        <f t="shared" si="88"/>
        <v>1417</v>
      </c>
      <c r="E1418" t="str">
        <f t="shared" si="89"/>
        <v>E2_7_4_6</v>
      </c>
      <c r="F1418" s="11" t="s">
        <v>14493</v>
      </c>
      <c r="G1418" s="11" t="s">
        <v>15096</v>
      </c>
      <c r="H1418" s="11" t="s">
        <v>15721</v>
      </c>
      <c r="I1418" s="11" t="s">
        <v>16342</v>
      </c>
      <c r="J1418" s="12" t="str">
        <f t="shared" si="90"/>
        <v>(${Variables:E2_7_4_6_kcat} * E2_7_4_6 * C00002 * C01344)/(${Variables:E2_7_4_6_km} + (E2_7_4_6 * C00002 * C01344))</v>
      </c>
      <c r="K1418" s="11" t="str">
        <f t="shared" si="91"/>
        <v>r1417: C00002 + C01344 -&gt; C00008 + C01345 | (${Variables:E2_7_4_6_kcat} * E2_7_4_6 * C00002 * C01344)/(${Variables:E2_7_4_6_km} + (E2_7_4_6 * C00002 * C01344))</v>
      </c>
    </row>
    <row r="1419" spans="1:11" ht="45" customHeight="1" x14ac:dyDescent="0.25">
      <c r="A1419" t="s">
        <v>5600</v>
      </c>
      <c r="B1419" t="s">
        <v>5601</v>
      </c>
      <c r="C1419" s="5" t="s">
        <v>9785</v>
      </c>
      <c r="D1419">
        <f t="shared" si="88"/>
        <v>1418</v>
      </c>
      <c r="E1419" t="str">
        <f t="shared" si="89"/>
        <v>E2_7_4_6</v>
      </c>
      <c r="F1419" s="11" t="s">
        <v>14494</v>
      </c>
      <c r="G1419" s="11" t="s">
        <v>15097</v>
      </c>
      <c r="H1419" s="11" t="s">
        <v>15722</v>
      </c>
      <c r="I1419" s="11" t="s">
        <v>16343</v>
      </c>
      <c r="J1419" s="12" t="str">
        <f t="shared" si="90"/>
        <v>(${Variables:E2_7_4_6_kcat} * E2_7_4_6 * C00002 * C22442)/(${Variables:E2_7_4_6_km} + (E2_7_4_6 * C00002 * C22442))</v>
      </c>
      <c r="K1419" s="11" t="str">
        <f t="shared" si="91"/>
        <v>r1418: C00002 + C22442 -&gt; C00008 + C22443 | (${Variables:E2_7_4_6_kcat} * E2_7_4_6 * C00002 * C22442)/(${Variables:E2_7_4_6_km} + (E2_7_4_6 * C00002 * C22442))</v>
      </c>
    </row>
    <row r="1420" spans="1:11" ht="45" customHeight="1" x14ac:dyDescent="0.25">
      <c r="A1420" t="s">
        <v>5600</v>
      </c>
      <c r="B1420" t="s">
        <v>5601</v>
      </c>
      <c r="C1420" s="5" t="s">
        <v>9785</v>
      </c>
      <c r="D1420">
        <f t="shared" si="88"/>
        <v>1419</v>
      </c>
      <c r="E1420" t="str">
        <f t="shared" si="89"/>
        <v>E2_7_4_6</v>
      </c>
      <c r="F1420" s="11" t="s">
        <v>14495</v>
      </c>
      <c r="G1420" s="11" t="s">
        <v>15098</v>
      </c>
      <c r="H1420" s="11" t="s">
        <v>15723</v>
      </c>
      <c r="I1420" s="11" t="s">
        <v>16344</v>
      </c>
      <c r="J1420" s="12" t="str">
        <f t="shared" si="90"/>
        <v>(${Variables:E2_7_4_6_kcat} * E2_7_4_6 * C00002 * C21748)/(${Variables:E2_7_4_6_km} + (E2_7_4_6 * C00002 * C21748))</v>
      </c>
      <c r="K1420" s="11" t="str">
        <f t="shared" si="91"/>
        <v>r1419: C00002 + C21748 -&gt; C00008 + C21749 | (${Variables:E2_7_4_6_kcat} * E2_7_4_6 * C00002 * C21748)/(${Variables:E2_7_4_6_km} + (E2_7_4_6 * C00002 * C21748))</v>
      </c>
    </row>
    <row r="1421" spans="1:11" ht="45" customHeight="1" x14ac:dyDescent="0.25">
      <c r="A1421" t="s">
        <v>5600</v>
      </c>
      <c r="B1421" t="s">
        <v>5601</v>
      </c>
      <c r="C1421" s="5" t="s">
        <v>9785</v>
      </c>
      <c r="D1421">
        <f t="shared" si="88"/>
        <v>1420</v>
      </c>
      <c r="E1421" t="str">
        <f t="shared" si="89"/>
        <v>E2_7_4_6</v>
      </c>
      <c r="F1421" s="11" t="s">
        <v>14496</v>
      </c>
      <c r="G1421" s="11" t="s">
        <v>15099</v>
      </c>
      <c r="H1421" s="11" t="s">
        <v>15724</v>
      </c>
      <c r="I1421" s="11" t="s">
        <v>16345</v>
      </c>
      <c r="J1421" s="12" t="str">
        <f t="shared" si="90"/>
        <v>(${Variables:E2_7_4_6_kcat} * E2_7_4_6 * C00002 * C21750)/(${Variables:E2_7_4_6_km} + (E2_7_4_6 * C00002 * C21750))</v>
      </c>
      <c r="K1421" s="11" t="str">
        <f t="shared" si="91"/>
        <v>r1420: C00002 + C21750 -&gt; C00008 + C21751 | (${Variables:E2_7_4_6_kcat} * E2_7_4_6 * C00002 * C21750)/(${Variables:E2_7_4_6_km} + (E2_7_4_6 * C00002 * C21750))</v>
      </c>
    </row>
    <row r="1422" spans="1:11" ht="45" customHeight="1" x14ac:dyDescent="0.25">
      <c r="A1422" t="s">
        <v>5607</v>
      </c>
      <c r="B1422" t="s">
        <v>5608</v>
      </c>
      <c r="C1422" s="5" t="s">
        <v>9786</v>
      </c>
      <c r="D1422">
        <f t="shared" si="88"/>
        <v>1421</v>
      </c>
      <c r="E1422" t="str">
        <f t="shared" si="89"/>
        <v>E4_1_2_25</v>
      </c>
      <c r="F1422" s="11" t="s">
        <v>10288</v>
      </c>
      <c r="G1422" s="11" t="s">
        <v>10288</v>
      </c>
      <c r="H1422" s="11" t="s">
        <v>15725</v>
      </c>
      <c r="I1422" s="11" t="s">
        <v>16346</v>
      </c>
      <c r="J1422" s="12" t="str">
        <f t="shared" si="90"/>
        <v>(${Variables:E4_1_2_25_kcat} * E4_1_2_25 * C04874)/(${Variables:E4_1_2_25_km} + (E4_1_2_25 * C04874))</v>
      </c>
      <c r="K1422" s="11" t="str">
        <f t="shared" si="91"/>
        <v>r1421: C04874 -&gt; C00266 + C01300 | (${Variables:E4_1_2_25_kcat} * E4_1_2_25 * C04874)/(${Variables:E4_1_2_25_km} + (E4_1_2_25 * C04874))</v>
      </c>
    </row>
    <row r="1423" spans="1:11" ht="45" customHeight="1" x14ac:dyDescent="0.25">
      <c r="A1423" t="s">
        <v>5610</v>
      </c>
      <c r="B1423" t="s">
        <v>5611</v>
      </c>
      <c r="C1423" s="5" t="s">
        <v>9787</v>
      </c>
      <c r="D1423">
        <f t="shared" si="88"/>
        <v>1422</v>
      </c>
      <c r="E1423" t="str">
        <f t="shared" si="89"/>
        <v>E2_5_1_15</v>
      </c>
      <c r="F1423" s="11" t="s">
        <v>14497</v>
      </c>
      <c r="G1423" s="11" t="s">
        <v>15100</v>
      </c>
      <c r="H1423" s="11" t="s">
        <v>15726</v>
      </c>
      <c r="I1423" s="11" t="s">
        <v>16347</v>
      </c>
      <c r="J1423" s="12" t="str">
        <f t="shared" si="90"/>
        <v>(${Variables:E2_5_1_15_kcat} * E2_5_1_15 * C00568 * C04807)/(${Variables:E2_5_1_15_km} + (E2_5_1_15 * C00568 * C04807))</v>
      </c>
      <c r="K1423" s="11" t="str">
        <f t="shared" si="91"/>
        <v>r1422: C00568 + C04807 -&gt; C00013 + C00921 | (${Variables:E2_5_1_15_kcat} * E2_5_1_15 * C00568 * C04807)/(${Variables:E2_5_1_15_km} + (E2_5_1_15 * C00568 * C04807))</v>
      </c>
    </row>
    <row r="1424" spans="1:11" ht="45" customHeight="1" x14ac:dyDescent="0.25">
      <c r="A1424" t="s">
        <v>5610</v>
      </c>
      <c r="B1424" t="s">
        <v>5611</v>
      </c>
      <c r="C1424" s="5" t="s">
        <v>9787</v>
      </c>
      <c r="D1424">
        <f t="shared" si="88"/>
        <v>1423</v>
      </c>
      <c r="E1424" t="str">
        <f t="shared" si="89"/>
        <v>E2_5_1_15</v>
      </c>
      <c r="F1424" s="11" t="s">
        <v>14498</v>
      </c>
      <c r="G1424" s="11" t="s">
        <v>15101</v>
      </c>
      <c r="H1424" s="11" t="s">
        <v>15727</v>
      </c>
      <c r="I1424" s="11" t="s">
        <v>16348</v>
      </c>
      <c r="J1424" s="12" t="str">
        <f t="shared" si="90"/>
        <v>(${Variables:E2_5_1_15_kcat} * E2_5_1_15 * C00568 * C01300)/(${Variables:E2_5_1_15_km} + (E2_5_1_15 * C00568 * C01300))</v>
      </c>
      <c r="K1424" s="11" t="str">
        <f t="shared" si="91"/>
        <v>r1423: C00568 + C01300 -&gt; C00001 + C00921 | (${Variables:E2_5_1_15_kcat} * E2_5_1_15 * C00568 * C01300)/(${Variables:E2_5_1_15_km} + (E2_5_1_15 * C00568 * C01300))</v>
      </c>
    </row>
    <row r="1425" spans="1:11" ht="45" customHeight="1" x14ac:dyDescent="0.25">
      <c r="A1425" t="s">
        <v>5610</v>
      </c>
      <c r="B1425" t="s">
        <v>5611</v>
      </c>
      <c r="C1425" s="5" t="s">
        <v>9787</v>
      </c>
      <c r="D1425">
        <f t="shared" si="88"/>
        <v>1424</v>
      </c>
      <c r="E1425" t="str">
        <f t="shared" si="89"/>
        <v>E2_5_1_15</v>
      </c>
      <c r="F1425" s="11" t="s">
        <v>14497</v>
      </c>
      <c r="G1425" s="11" t="s">
        <v>15100</v>
      </c>
      <c r="H1425" s="11" t="s">
        <v>15726</v>
      </c>
      <c r="I1425" s="11" t="s">
        <v>16347</v>
      </c>
      <c r="J1425" s="12" t="str">
        <f t="shared" si="90"/>
        <v>(${Variables:E2_5_1_15_kcat} * E2_5_1_15 * C00568 * C04807)/(${Variables:E2_5_1_15_km} + (E2_5_1_15 * C00568 * C04807))</v>
      </c>
      <c r="K1425" s="11" t="str">
        <f t="shared" si="91"/>
        <v>r1424: C00568 + C04807 -&gt; C00013 + C00921 | (${Variables:E2_5_1_15_kcat} * E2_5_1_15 * C00568 * C04807)/(${Variables:E2_5_1_15_km} + (E2_5_1_15 * C00568 * C04807))</v>
      </c>
    </row>
    <row r="1426" spans="1:11" ht="45" customHeight="1" x14ac:dyDescent="0.25">
      <c r="A1426" t="s">
        <v>5610</v>
      </c>
      <c r="B1426" t="s">
        <v>5611</v>
      </c>
      <c r="C1426" s="5" t="s">
        <v>9787</v>
      </c>
      <c r="D1426">
        <f t="shared" si="88"/>
        <v>1425</v>
      </c>
      <c r="E1426" t="str">
        <f t="shared" si="89"/>
        <v>E2_5_1_15</v>
      </c>
      <c r="F1426" s="11" t="s">
        <v>14498</v>
      </c>
      <c r="G1426" s="11" t="s">
        <v>15101</v>
      </c>
      <c r="H1426" s="11" t="s">
        <v>15727</v>
      </c>
      <c r="I1426" s="11" t="s">
        <v>16348</v>
      </c>
      <c r="J1426" s="12" t="str">
        <f t="shared" si="90"/>
        <v>(${Variables:E2_5_1_15_kcat} * E2_5_1_15 * C00568 * C01300)/(${Variables:E2_5_1_15_km} + (E2_5_1_15 * C00568 * C01300))</v>
      </c>
      <c r="K1426" s="11" t="str">
        <f t="shared" si="91"/>
        <v>r1425: C00568 + C01300 -&gt; C00001 + C00921 | (${Variables:E2_5_1_15_kcat} * E2_5_1_15 * C00568 * C01300)/(${Variables:E2_5_1_15_km} + (E2_5_1_15 * C00568 * C01300))</v>
      </c>
    </row>
    <row r="1427" spans="1:11" ht="45" customHeight="1" x14ac:dyDescent="0.25">
      <c r="A1427" t="s">
        <v>5646</v>
      </c>
      <c r="B1427" t="s">
        <v>5647</v>
      </c>
      <c r="C1427" s="5" t="s">
        <v>9788</v>
      </c>
      <c r="D1427">
        <f t="shared" si="88"/>
        <v>1426</v>
      </c>
      <c r="E1427" t="str">
        <f t="shared" si="89"/>
        <v>E2_3_1_266</v>
      </c>
      <c r="F1427" s="11" t="s">
        <v>14499</v>
      </c>
      <c r="G1427" s="11" t="s">
        <v>15102</v>
      </c>
      <c r="H1427" s="11" t="s">
        <v>15728</v>
      </c>
      <c r="I1427" s="11" t="s">
        <v>16349</v>
      </c>
      <c r="J1427" s="12" t="str">
        <f t="shared" si="90"/>
        <v>(${Variables:E2_3_1_266_kcat} * E2_3_1_266 * C00024 * C03803)/(${Variables:E2_3_1_266_km} + (E2_3_1_266 * C00024 * C03803))</v>
      </c>
      <c r="K1427" s="11" t="str">
        <f t="shared" si="91"/>
        <v>r1426: C00024 + C03803 -&gt; C00010 + C04341 | (${Variables:E2_3_1_266_kcat} * E2_3_1_266 * C00024 * C03803)/(${Variables:E2_3_1_266_km} + (E2_3_1_266 * C00024 * C03803))</v>
      </c>
    </row>
    <row r="1428" spans="1:11" ht="45" customHeight="1" x14ac:dyDescent="0.25">
      <c r="A1428" t="s">
        <v>5646</v>
      </c>
      <c r="B1428" t="s">
        <v>5647</v>
      </c>
      <c r="C1428" s="5" t="s">
        <v>9789</v>
      </c>
      <c r="D1428">
        <f t="shared" si="88"/>
        <v>1427</v>
      </c>
      <c r="E1428" t="str">
        <f t="shared" si="89"/>
        <v>E2_3_1_267</v>
      </c>
      <c r="F1428" s="11" t="s">
        <v>14499</v>
      </c>
      <c r="G1428" s="11" t="s">
        <v>15102</v>
      </c>
      <c r="H1428" s="11" t="s">
        <v>15728</v>
      </c>
      <c r="I1428" s="11" t="s">
        <v>16349</v>
      </c>
      <c r="J1428" s="12" t="str">
        <f t="shared" si="90"/>
        <v>(${Variables:E2_3_1_267_kcat} * E2_3_1_267 * C00024 * C03803)/(${Variables:E2_3_1_267_km} + (E2_3_1_267 * C00024 * C03803))</v>
      </c>
      <c r="K1428" s="11" t="str">
        <f t="shared" si="91"/>
        <v>r1427: C00024 + C03803 -&gt; C00010 + C04341 | (${Variables:E2_3_1_267_kcat} * E2_3_1_267 * C00024 * C03803)/(${Variables:E2_3_1_267_km} + (E2_3_1_267 * C00024 * C03803))</v>
      </c>
    </row>
    <row r="1429" spans="1:11" ht="45" customHeight="1" x14ac:dyDescent="0.25">
      <c r="A1429" t="s">
        <v>5654</v>
      </c>
      <c r="B1429" t="s">
        <v>5655</v>
      </c>
      <c r="C1429" s="5" t="s">
        <v>9608</v>
      </c>
      <c r="D1429">
        <f t="shared" si="88"/>
        <v>1428</v>
      </c>
      <c r="E1429" t="str">
        <f t="shared" si="89"/>
        <v>E2_6_1_1</v>
      </c>
      <c r="F1429" s="11" t="s">
        <v>14253</v>
      </c>
      <c r="G1429" s="11" t="s">
        <v>14856</v>
      </c>
      <c r="H1429" s="11" t="s">
        <v>15463</v>
      </c>
      <c r="I1429" s="11" t="s">
        <v>16084</v>
      </c>
      <c r="J1429" s="12" t="str">
        <f t="shared" si="90"/>
        <v>(${Variables:E2_6_1_1_kcat} * E2_6_1_1 * C00026 * C00049)/(${Variables:E2_6_1_1_km} + (E2_6_1_1 * C00026 * C00049))</v>
      </c>
      <c r="K1429" s="11" t="str">
        <f t="shared" si="91"/>
        <v>r1428: C00026 + C00049 -&gt; C00025 + C00036 | (${Variables:E2_6_1_1_kcat} * E2_6_1_1 * C00026 * C00049)/(${Variables:E2_6_1_1_km} + (E2_6_1_1 * C00026 * C00049))</v>
      </c>
    </row>
    <row r="1430" spans="1:11" ht="45" customHeight="1" x14ac:dyDescent="0.25">
      <c r="A1430" t="s">
        <v>5654</v>
      </c>
      <c r="B1430" t="s">
        <v>5655</v>
      </c>
      <c r="C1430" s="5" t="s">
        <v>9608</v>
      </c>
      <c r="D1430">
        <f t="shared" si="88"/>
        <v>1429</v>
      </c>
      <c r="E1430" t="str">
        <f t="shared" si="89"/>
        <v>E2_6_1_1</v>
      </c>
      <c r="F1430" s="11" t="s">
        <v>14254</v>
      </c>
      <c r="G1430" s="11" t="s">
        <v>14857</v>
      </c>
      <c r="H1430" s="11" t="s">
        <v>15464</v>
      </c>
      <c r="I1430" s="11" t="s">
        <v>16085</v>
      </c>
      <c r="J1430" s="12" t="str">
        <f t="shared" si="90"/>
        <v>(${Variables:E2_6_1_1_kcat} * E2_6_1_1 * C00026 * C00079)/(${Variables:E2_6_1_1_km} + (E2_6_1_1 * C00026 * C00079))</v>
      </c>
      <c r="K1430" s="11" t="str">
        <f t="shared" si="91"/>
        <v>r1429: C00026 + C00079 -&gt; C00025 + C00166 | (${Variables:E2_6_1_1_kcat} * E2_6_1_1 * C00026 * C00079)/(${Variables:E2_6_1_1_km} + (E2_6_1_1 * C00026 * C00079))</v>
      </c>
    </row>
    <row r="1431" spans="1:11" ht="45" customHeight="1" x14ac:dyDescent="0.25">
      <c r="A1431" t="s">
        <v>5654</v>
      </c>
      <c r="B1431" t="s">
        <v>5655</v>
      </c>
      <c r="C1431" s="5" t="s">
        <v>9608</v>
      </c>
      <c r="D1431">
        <f t="shared" si="88"/>
        <v>1430</v>
      </c>
      <c r="E1431" t="str">
        <f t="shared" si="89"/>
        <v>E2_6_1_1</v>
      </c>
      <c r="F1431" s="11" t="s">
        <v>14255</v>
      </c>
      <c r="G1431" s="11" t="s">
        <v>14858</v>
      </c>
      <c r="H1431" s="11" t="s">
        <v>15465</v>
      </c>
      <c r="I1431" s="11" t="s">
        <v>16086</v>
      </c>
      <c r="J1431" s="12" t="str">
        <f t="shared" si="90"/>
        <v>(${Variables:E2_6_1_1_kcat} * E2_6_1_1 * C00026 * C00082)/(${Variables:E2_6_1_1_km} + (E2_6_1_1 * C00026 * C00082))</v>
      </c>
      <c r="K1431" s="11" t="str">
        <f t="shared" si="91"/>
        <v>r1430: C00026 + C00082 -&gt; C00025 + C01179 | (${Variables:E2_6_1_1_kcat} * E2_6_1_1 * C00026 * C00082)/(${Variables:E2_6_1_1_km} + (E2_6_1_1 * C00026 * C00082))</v>
      </c>
    </row>
    <row r="1432" spans="1:11" ht="45" customHeight="1" x14ac:dyDescent="0.25">
      <c r="A1432" t="s">
        <v>5654</v>
      </c>
      <c r="B1432" t="s">
        <v>5655</v>
      </c>
      <c r="C1432" s="5" t="s">
        <v>9608</v>
      </c>
      <c r="D1432">
        <f t="shared" si="88"/>
        <v>1431</v>
      </c>
      <c r="E1432" t="str">
        <f t="shared" si="89"/>
        <v>E2_6_1_1</v>
      </c>
      <c r="F1432" s="11" t="s">
        <v>14256</v>
      </c>
      <c r="G1432" s="11" t="s">
        <v>14859</v>
      </c>
      <c r="H1432" s="11" t="s">
        <v>15466</v>
      </c>
      <c r="I1432" s="11" t="s">
        <v>16087</v>
      </c>
      <c r="J1432" s="12" t="str">
        <f t="shared" si="90"/>
        <v>(${Variables:E2_6_1_1_kcat} * E2_6_1_1 * C00026 * C00097)/(${Variables:E2_6_1_1_km} + (E2_6_1_1 * C00026 * C00097))</v>
      </c>
      <c r="K1432" s="11" t="str">
        <f t="shared" si="91"/>
        <v>r1431: C00026 + C00097 -&gt; C00025 + C00957 | (${Variables:E2_6_1_1_kcat} * E2_6_1_1 * C00026 * C00097)/(${Variables:E2_6_1_1_km} + (E2_6_1_1 * C00026 * C00097))</v>
      </c>
    </row>
    <row r="1433" spans="1:11" ht="45" customHeight="1" x14ac:dyDescent="0.25">
      <c r="A1433" t="s">
        <v>5654</v>
      </c>
      <c r="B1433" t="s">
        <v>5655</v>
      </c>
      <c r="C1433" s="5" t="s">
        <v>9608</v>
      </c>
      <c r="D1433">
        <f t="shared" si="88"/>
        <v>1432</v>
      </c>
      <c r="E1433" t="str">
        <f t="shared" si="89"/>
        <v>E2_6_1_1</v>
      </c>
      <c r="F1433" s="11" t="s">
        <v>14256</v>
      </c>
      <c r="G1433" s="11" t="s">
        <v>14859</v>
      </c>
      <c r="H1433" s="11" t="s">
        <v>15467</v>
      </c>
      <c r="I1433" s="11" t="s">
        <v>16088</v>
      </c>
      <c r="J1433" s="12" t="str">
        <f t="shared" si="90"/>
        <v>(${Variables:E2_6_1_1_kcat} * E2_6_1_1 * C00026 * C00097)/(${Variables:E2_6_1_1_km} + (E2_6_1_1 * C00026 * C00097))</v>
      </c>
      <c r="K1433" s="11" t="str">
        <f t="shared" si="91"/>
        <v>r1432: C00026 + C00097 -&gt; C00302 + C00957 | (${Variables:E2_6_1_1_kcat} * E2_6_1_1 * C00026 * C00097)/(${Variables:E2_6_1_1_km} + (E2_6_1_1 * C00026 * C00097))</v>
      </c>
    </row>
    <row r="1434" spans="1:11" ht="45" customHeight="1" x14ac:dyDescent="0.25">
      <c r="A1434" t="s">
        <v>5654</v>
      </c>
      <c r="B1434" t="s">
        <v>5655</v>
      </c>
      <c r="C1434" s="5" t="s">
        <v>9608</v>
      </c>
      <c r="D1434">
        <f t="shared" si="88"/>
        <v>1433</v>
      </c>
      <c r="E1434" t="str">
        <f t="shared" si="89"/>
        <v>E2_6_1_1</v>
      </c>
      <c r="F1434" s="11" t="s">
        <v>14257</v>
      </c>
      <c r="G1434" s="11" t="s">
        <v>14860</v>
      </c>
      <c r="H1434" s="11" t="s">
        <v>15468</v>
      </c>
      <c r="I1434" s="11" t="s">
        <v>16089</v>
      </c>
      <c r="J1434" s="12" t="str">
        <f t="shared" si="90"/>
        <v>(${Variables:E2_6_1_1_kcat} * E2_6_1_1 * C00026 * C00506)/(${Variables:E2_6_1_1_km} + (E2_6_1_1 * C00026 * C00506))</v>
      </c>
      <c r="K1434" s="11" t="str">
        <f t="shared" si="91"/>
        <v>r1433: C00026 + C00506 -&gt; C00025 + C05528 | (${Variables:E2_6_1_1_kcat} * E2_6_1_1 * C00026 * C00506)/(${Variables:E2_6_1_1_km} + (E2_6_1_1 * C00026 * C00506))</v>
      </c>
    </row>
    <row r="1435" spans="1:11" ht="45" customHeight="1" x14ac:dyDescent="0.25">
      <c r="A1435" t="s">
        <v>5654</v>
      </c>
      <c r="B1435" t="s">
        <v>5655</v>
      </c>
      <c r="C1435" s="5" t="s">
        <v>9608</v>
      </c>
      <c r="D1435">
        <f t="shared" si="88"/>
        <v>1434</v>
      </c>
      <c r="E1435" t="str">
        <f t="shared" si="89"/>
        <v>E2_6_1_1</v>
      </c>
      <c r="F1435" s="11" t="s">
        <v>14258</v>
      </c>
      <c r="G1435" s="11" t="s">
        <v>14861</v>
      </c>
      <c r="H1435" s="11" t="s">
        <v>15469</v>
      </c>
      <c r="I1435" s="11" t="s">
        <v>16090</v>
      </c>
      <c r="J1435" s="12" t="str">
        <f t="shared" si="90"/>
        <v>(${Variables:E2_6_1_1_kcat} * E2_6_1_1 * C00026 * C00606)/(${Variables:E2_6_1_1_km} + (E2_6_1_1 * C00026 * C00606))</v>
      </c>
      <c r="K1435" s="11" t="str">
        <f t="shared" si="91"/>
        <v>r1434: C00026 + C00606 -&gt; C00025 + C05527 | (${Variables:E2_6_1_1_kcat} * E2_6_1_1 * C00026 * C00606)/(${Variables:E2_6_1_1_km} + (E2_6_1_1 * C00026 * C00606))</v>
      </c>
    </row>
    <row r="1436" spans="1:11" ht="45" customHeight="1" x14ac:dyDescent="0.25">
      <c r="A1436" t="s">
        <v>5654</v>
      </c>
      <c r="B1436" t="s">
        <v>5655</v>
      </c>
      <c r="C1436" s="5" t="s">
        <v>9608</v>
      </c>
      <c r="D1436">
        <f t="shared" si="88"/>
        <v>1435</v>
      </c>
      <c r="E1436" t="str">
        <f t="shared" si="89"/>
        <v>E2_6_1_1</v>
      </c>
      <c r="F1436" s="11" t="s">
        <v>14259</v>
      </c>
      <c r="G1436" s="11" t="s">
        <v>14862</v>
      </c>
      <c r="H1436" s="11" t="s">
        <v>15470</v>
      </c>
      <c r="I1436" s="11" t="s">
        <v>16091</v>
      </c>
      <c r="J1436" s="12" t="str">
        <f t="shared" si="90"/>
        <v>(${Variables:E2_6_1_1_kcat} * E2_6_1_1 * C00026 * C05947)/(${Variables:E2_6_1_1_km} + (E2_6_1_1 * C00026 * C05947))</v>
      </c>
      <c r="K1436" s="11" t="str">
        <f t="shared" si="91"/>
        <v>r1435: C00026 + C05947 -&gt; C00025 + C05946 | (${Variables:E2_6_1_1_kcat} * E2_6_1_1 * C00026 * C05947)/(${Variables:E2_6_1_1_km} + (E2_6_1_1 * C00026 * C05947))</v>
      </c>
    </row>
    <row r="1437" spans="1:11" ht="45" customHeight="1" x14ac:dyDescent="0.25">
      <c r="A1437" t="s">
        <v>5669</v>
      </c>
      <c r="B1437" t="s">
        <v>5670</v>
      </c>
      <c r="C1437" s="5" t="s">
        <v>9497</v>
      </c>
      <c r="D1437">
        <f t="shared" si="88"/>
        <v>1436</v>
      </c>
      <c r="E1437" t="str">
        <f t="shared" si="89"/>
        <v>E6_3_2_12</v>
      </c>
      <c r="F1437" s="11" t="s">
        <v>14082</v>
      </c>
      <c r="G1437" s="11" t="s">
        <v>14685</v>
      </c>
      <c r="H1437" s="11" t="s">
        <v>9053</v>
      </c>
      <c r="I1437" s="11" t="s">
        <v>9252</v>
      </c>
      <c r="J1437" s="12" t="str">
        <f t="shared" si="90"/>
        <v>(${Variables:E6_3_2_12_kcat} * E6_3_2_12 * C00002 * C00025 * C00921)/(${Variables:E6_3_2_12_km} + (E6_3_2_12 * C00002 * C00025 * C00921))</v>
      </c>
      <c r="K1437" s="11" t="str">
        <f t="shared" si="91"/>
        <v>r1436: C00002 + C00025 + C00921 -&gt; C00008 + C00009 + C00415 | (${Variables:E6_3_2_12_kcat} * E6_3_2_12 * C00002 * C00025 * C00921)/(${Variables:E6_3_2_12_km} + (E6_3_2_12 * C00002 * C00025 * C00921))</v>
      </c>
    </row>
    <row r="1438" spans="1:11" ht="45" customHeight="1" x14ac:dyDescent="0.25">
      <c r="A1438" t="s">
        <v>5669</v>
      </c>
      <c r="B1438" t="s">
        <v>5670</v>
      </c>
      <c r="C1438" s="5" t="s">
        <v>9497</v>
      </c>
      <c r="D1438">
        <f t="shared" si="88"/>
        <v>1437</v>
      </c>
      <c r="E1438" t="str">
        <f t="shared" si="89"/>
        <v>E6_3_2_12</v>
      </c>
      <c r="F1438" s="11" t="s">
        <v>14083</v>
      </c>
      <c r="G1438" s="11" t="s">
        <v>14686</v>
      </c>
      <c r="H1438" s="11" t="s">
        <v>9054</v>
      </c>
      <c r="I1438" s="11" t="s">
        <v>9253</v>
      </c>
      <c r="J1438" s="12" t="str">
        <f t="shared" si="90"/>
        <v>(${Variables:E6_3_2_12_kcat} * E6_3_2_12 * C00002 * C00025 * C00234)/(${Variables:E6_3_2_12_km} + (E6_3_2_12 * C00002 * C00025 * C00234))</v>
      </c>
      <c r="K1438" s="11" t="str">
        <f t="shared" si="91"/>
        <v>r1437: C00002 + C00025 + C00234 -&gt; C00008 + C00009 + C05928 | (${Variables:E6_3_2_12_kcat} * E6_3_2_12 * C00002 * C00025 * C00234)/(${Variables:E6_3_2_12_km} + (E6_3_2_12 * C00002 * C00025 * C00234))</v>
      </c>
    </row>
    <row r="1439" spans="1:11" ht="45" customHeight="1" x14ac:dyDescent="0.25">
      <c r="A1439" t="s">
        <v>5675</v>
      </c>
      <c r="B1439" t="s">
        <v>5676</v>
      </c>
      <c r="C1439" s="5" t="s">
        <v>9790</v>
      </c>
      <c r="D1439">
        <f t="shared" si="88"/>
        <v>1438</v>
      </c>
      <c r="E1439" t="str">
        <f t="shared" si="89"/>
        <v>E2_5_1_61</v>
      </c>
      <c r="F1439" s="11" t="s">
        <v>14500</v>
      </c>
      <c r="G1439" s="11" t="s">
        <v>15103</v>
      </c>
      <c r="H1439" s="11" t="s">
        <v>15729</v>
      </c>
      <c r="I1439" s="11" t="s">
        <v>16350</v>
      </c>
      <c r="J1439" s="12" t="str">
        <f t="shared" si="90"/>
        <v>(${Variables:E2_5_1_61_kcat} * E2_5_1_61 * C00001 * C00931)/(${Variables:E2_5_1_61_km} + (E2_5_1_61 * C00001 * C00931))</v>
      </c>
      <c r="K1439" s="11" t="str">
        <f t="shared" si="91"/>
        <v>r1438: C00001 + C00931 -&gt; C00014 + C01024 | (${Variables:E2_5_1_61_kcat} * E2_5_1_61 * C00001 * C00931)/(${Variables:E2_5_1_61_km} + (E2_5_1_61 * C00001 * C00931))</v>
      </c>
    </row>
    <row r="1440" spans="1:11" ht="45" customHeight="1" x14ac:dyDescent="0.25">
      <c r="A1440" t="s">
        <v>5678</v>
      </c>
      <c r="B1440" t="s">
        <v>5679</v>
      </c>
      <c r="C1440" s="5" t="s">
        <v>9791</v>
      </c>
      <c r="D1440">
        <f t="shared" si="88"/>
        <v>1439</v>
      </c>
      <c r="E1440" t="str">
        <f t="shared" si="89"/>
        <v>E2_3_1_12</v>
      </c>
      <c r="F1440" s="11" t="s">
        <v>14501</v>
      </c>
      <c r="G1440" s="11" t="s">
        <v>15104</v>
      </c>
      <c r="H1440" s="11" t="s">
        <v>15730</v>
      </c>
      <c r="I1440" s="11" t="s">
        <v>16351</v>
      </c>
      <c r="J1440" s="12" t="str">
        <f t="shared" si="90"/>
        <v>(${Variables:E2_3_1_12_kcat} * E2_3_1_12 * C00024 * C15973)/(${Variables:E2_3_1_12_km} + (E2_3_1_12 * C00024 * C15973))</v>
      </c>
      <c r="K1440" s="11" t="str">
        <f t="shared" si="91"/>
        <v>r1439: C00024 + C15973 -&gt; C00010 + C16255 | (${Variables:E2_3_1_12_kcat} * E2_3_1_12 * C00024 * C15973)/(${Variables:E2_3_1_12_km} + (E2_3_1_12 * C00024 * C15973))</v>
      </c>
    </row>
    <row r="1441" spans="1:11" ht="45" customHeight="1" x14ac:dyDescent="0.25">
      <c r="A1441" t="s">
        <v>5681</v>
      </c>
      <c r="B1441" t="s">
        <v>5682</v>
      </c>
      <c r="C1441" s="5" t="s">
        <v>9792</v>
      </c>
      <c r="D1441">
        <f t="shared" si="88"/>
        <v>1440</v>
      </c>
      <c r="E1441" t="str">
        <f t="shared" si="89"/>
        <v>E1_2_4_1</v>
      </c>
      <c r="F1441" s="11" t="s">
        <v>14502</v>
      </c>
      <c r="G1441" s="11" t="s">
        <v>15105</v>
      </c>
      <c r="H1441" s="11" t="s">
        <v>15731</v>
      </c>
      <c r="I1441" s="11" t="s">
        <v>16352</v>
      </c>
      <c r="J1441" s="12" t="str">
        <f t="shared" si="90"/>
        <v>(${Variables:E1_2_4_1_kcat} * E1_2_4_1 * C00022 * C15972)/(${Variables:E1_2_4_1_km} + (E1_2_4_1 * C00022 * C15972))</v>
      </c>
      <c r="K1441" s="11" t="str">
        <f t="shared" si="91"/>
        <v>r1440: C00022 + C15972 -&gt; C00011 + C16255 | (${Variables:E1_2_4_1_kcat} * E1_2_4_1 * C00022 * C15972)/(${Variables:E1_2_4_1_km} + (E1_2_4_1 * C00022 * C15972))</v>
      </c>
    </row>
    <row r="1442" spans="1:11" ht="45" customHeight="1" x14ac:dyDescent="0.25">
      <c r="A1442" t="s">
        <v>5681</v>
      </c>
      <c r="B1442" t="s">
        <v>5682</v>
      </c>
      <c r="C1442" s="5" t="s">
        <v>9792</v>
      </c>
      <c r="D1442">
        <f t="shared" si="88"/>
        <v>1441</v>
      </c>
      <c r="E1442" t="str">
        <f t="shared" si="89"/>
        <v>E1_2_4_1</v>
      </c>
      <c r="F1442" s="11" t="s">
        <v>8760</v>
      </c>
      <c r="G1442" s="11" t="s">
        <v>8926</v>
      </c>
      <c r="H1442" s="11" t="s">
        <v>15510</v>
      </c>
      <c r="I1442" s="11" t="s">
        <v>16131</v>
      </c>
      <c r="J1442" s="12" t="str">
        <f t="shared" si="90"/>
        <v>(${Variables:E1_2_4_1_kcat} * E1_2_4_1 * C00022 * C00068)/(${Variables:E1_2_4_1_km} + (E1_2_4_1 * C00022 * C00068))</v>
      </c>
      <c r="K1442" s="11" t="str">
        <f t="shared" si="91"/>
        <v>r1441: C00022 + C00068 -&gt; C00011 + C05125 | (${Variables:E1_2_4_1_kcat} * E1_2_4_1 * C00022 * C00068)/(${Variables:E1_2_4_1_km} + (E1_2_4_1 * C00022 * C00068))</v>
      </c>
    </row>
    <row r="1443" spans="1:11" ht="45" customHeight="1" x14ac:dyDescent="0.25">
      <c r="A1443" t="s">
        <v>5681</v>
      </c>
      <c r="B1443" t="s">
        <v>5682</v>
      </c>
      <c r="C1443" s="5" t="s">
        <v>9792</v>
      </c>
      <c r="D1443">
        <f t="shared" si="88"/>
        <v>1442</v>
      </c>
      <c r="E1443" t="str">
        <f t="shared" si="89"/>
        <v>E1_2_4_1</v>
      </c>
      <c r="F1443" s="11" t="s">
        <v>14503</v>
      </c>
      <c r="G1443" s="11" t="s">
        <v>15106</v>
      </c>
      <c r="H1443" s="11" t="s">
        <v>15732</v>
      </c>
      <c r="I1443" s="11" t="s">
        <v>16353</v>
      </c>
      <c r="J1443" s="12" t="str">
        <f t="shared" si="90"/>
        <v>(${Variables:E1_2_4_1_kcat} * E1_2_4_1 * C05125 * C15972)/(${Variables:E1_2_4_1_km} + (E1_2_4_1 * C05125 * C15972))</v>
      </c>
      <c r="K1443" s="11" t="str">
        <f t="shared" si="91"/>
        <v>r1442: C05125 + C15972 -&gt; C00068 + C16255 | (${Variables:E1_2_4_1_kcat} * E1_2_4_1 * C05125 * C15972)/(${Variables:E1_2_4_1_km} + (E1_2_4_1 * C05125 * C15972))</v>
      </c>
    </row>
    <row r="1444" spans="1:11" ht="45" customHeight="1" x14ac:dyDescent="0.25">
      <c r="A1444" t="s">
        <v>5694</v>
      </c>
      <c r="B1444" t="s">
        <v>5695</v>
      </c>
      <c r="C1444" s="5" t="s">
        <v>9793</v>
      </c>
      <c r="D1444">
        <f t="shared" si="88"/>
        <v>1443</v>
      </c>
      <c r="E1444" t="str">
        <f t="shared" si="89"/>
        <v>E3_4_11_1</v>
      </c>
      <c r="F1444" s="11" t="s">
        <v>14504</v>
      </c>
      <c r="G1444" s="11" t="s">
        <v>15107</v>
      </c>
      <c r="H1444" s="11" t="s">
        <v>15733</v>
      </c>
      <c r="I1444" s="11" t="s">
        <v>16354</v>
      </c>
      <c r="J1444" s="12" t="str">
        <f t="shared" si="90"/>
        <v>(${Variables:E3_4_11_1_kcat} * E3_4_11_1 * C00001 * C01419)/(${Variables:E3_4_11_1_km} + (E3_4_11_1 * C00001 * C01419))</v>
      </c>
      <c r="K1444" s="11" t="str">
        <f t="shared" si="91"/>
        <v>r1443: C00001 + C01419 -&gt; C00037 + C00097 | (${Variables:E3_4_11_1_kcat} * E3_4_11_1 * C00001 * C01419)/(${Variables:E3_4_11_1_km} + (E3_4_11_1 * C00001 * C01419))</v>
      </c>
    </row>
    <row r="1445" spans="1:11" ht="45" customHeight="1" x14ac:dyDescent="0.25">
      <c r="A1445" t="s">
        <v>5694</v>
      </c>
      <c r="B1445" t="s">
        <v>5695</v>
      </c>
      <c r="C1445" s="5" t="s">
        <v>9793</v>
      </c>
      <c r="D1445">
        <f t="shared" si="88"/>
        <v>1444</v>
      </c>
      <c r="E1445" t="str">
        <f t="shared" si="89"/>
        <v>E3_4_11_1</v>
      </c>
      <c r="F1445" s="11" t="s">
        <v>14505</v>
      </c>
      <c r="G1445" s="11" t="s">
        <v>15108</v>
      </c>
      <c r="H1445" s="11" t="s">
        <v>15734</v>
      </c>
      <c r="I1445" s="11" t="s">
        <v>16355</v>
      </c>
      <c r="J1445" s="12" t="str">
        <f t="shared" si="90"/>
        <v>(${Variables:E3_4_11_1_kcat} * E3_4_11_1 * C00001 * C05729)/(${Variables:E3_4_11_1_km} + (E3_4_11_1 * C00001 * C05729))</v>
      </c>
      <c r="K1445" s="11" t="str">
        <f t="shared" si="91"/>
        <v>r1444: C00001 + C05729 -&gt; C00037 + C05726 | (${Variables:E3_4_11_1_kcat} * E3_4_11_1 * C00001 * C05729)/(${Variables:E3_4_11_1_km} + (E3_4_11_1 * C00001 * C05729))</v>
      </c>
    </row>
    <row r="1446" spans="1:11" ht="45" customHeight="1" x14ac:dyDescent="0.25">
      <c r="A1446" t="s">
        <v>5761</v>
      </c>
      <c r="B1446" t="s">
        <v>5762</v>
      </c>
      <c r="C1446" s="5" t="s">
        <v>9525</v>
      </c>
      <c r="D1446">
        <f t="shared" si="88"/>
        <v>1445</v>
      </c>
      <c r="E1446" t="str">
        <f t="shared" si="89"/>
        <v>E7_1_1_9</v>
      </c>
      <c r="F1446" s="11" t="s">
        <v>14129</v>
      </c>
      <c r="G1446" s="11" t="s">
        <v>14732</v>
      </c>
      <c r="H1446" s="11" t="s">
        <v>15331</v>
      </c>
      <c r="I1446" s="11" t="s">
        <v>15952</v>
      </c>
      <c r="J1446" s="12" t="str">
        <f t="shared" si="90"/>
        <v>(${Variables:E7_1_1_9_kcat} * E7_1_1_9 * C00007 * C00080 * C00126)/(${Variables:E7_1_1_9_km} + (E7_1_1_9 * C00007 * C00080 * C00126))</v>
      </c>
      <c r="K1446" s="11" t="str">
        <f t="shared" si="91"/>
        <v>r1445: C00007 + C00080 + C00126 -&gt; C00001 + C00080 + C00125 | (${Variables:E7_1_1_9_kcat} * E7_1_1_9 * C00007 * C00080 * C00126)/(${Variables:E7_1_1_9_km} + (E7_1_1_9 * C00007 * C00080 * C00126))</v>
      </c>
    </row>
    <row r="1447" spans="1:11" ht="45" customHeight="1" x14ac:dyDescent="0.25">
      <c r="A1447" t="s">
        <v>5761</v>
      </c>
      <c r="B1447" t="s">
        <v>5762</v>
      </c>
      <c r="C1447" s="5" t="s">
        <v>9525</v>
      </c>
      <c r="D1447">
        <f t="shared" si="88"/>
        <v>1446</v>
      </c>
      <c r="E1447" t="str">
        <f t="shared" si="89"/>
        <v>E7_1_1_9</v>
      </c>
      <c r="F1447" s="11" t="s">
        <v>14129</v>
      </c>
      <c r="G1447" s="11" t="s">
        <v>14732</v>
      </c>
      <c r="H1447" s="11" t="s">
        <v>15331</v>
      </c>
      <c r="I1447" s="11" t="s">
        <v>15952</v>
      </c>
      <c r="J1447" s="12" t="str">
        <f t="shared" si="90"/>
        <v>(${Variables:E7_1_1_9_kcat} * E7_1_1_9 * C00007 * C00080 * C00126)/(${Variables:E7_1_1_9_km} + (E7_1_1_9 * C00007 * C00080 * C00126))</v>
      </c>
      <c r="K1447" s="11" t="str">
        <f t="shared" si="91"/>
        <v>r1446: C00007 + C00080 + C00126 -&gt; C00001 + C00080 + C00125 | (${Variables:E7_1_1_9_kcat} * E7_1_1_9 * C00007 * C00080 * C00126)/(${Variables:E7_1_1_9_km} + (E7_1_1_9 * C00007 * C00080 * C00126))</v>
      </c>
    </row>
    <row r="1448" spans="1:11" ht="45" customHeight="1" x14ac:dyDescent="0.25">
      <c r="A1448" t="s">
        <v>5764</v>
      </c>
      <c r="B1448" t="s">
        <v>5765</v>
      </c>
      <c r="C1448" s="5" t="s">
        <v>9525</v>
      </c>
      <c r="D1448">
        <f t="shared" si="88"/>
        <v>1447</v>
      </c>
      <c r="E1448" t="str">
        <f t="shared" si="89"/>
        <v>E7_1_1_9</v>
      </c>
      <c r="F1448" s="11" t="s">
        <v>14129</v>
      </c>
      <c r="G1448" s="11" t="s">
        <v>14732</v>
      </c>
      <c r="H1448" s="11" t="s">
        <v>15331</v>
      </c>
      <c r="I1448" s="11" t="s">
        <v>15952</v>
      </c>
      <c r="J1448" s="12" t="str">
        <f t="shared" si="90"/>
        <v>(${Variables:E7_1_1_9_kcat} * E7_1_1_9 * C00007 * C00080 * C00126)/(${Variables:E7_1_1_9_km} + (E7_1_1_9 * C00007 * C00080 * C00126))</v>
      </c>
      <c r="K1448" s="11" t="str">
        <f t="shared" si="91"/>
        <v>r1447: C00007 + C00080 + C00126 -&gt; C00001 + C00080 + C00125 | (${Variables:E7_1_1_9_kcat} * E7_1_1_9 * C00007 * C00080 * C00126)/(${Variables:E7_1_1_9_km} + (E7_1_1_9 * C00007 * C00080 * C00126))</v>
      </c>
    </row>
    <row r="1449" spans="1:11" ht="45" customHeight="1" x14ac:dyDescent="0.25">
      <c r="A1449" t="s">
        <v>5764</v>
      </c>
      <c r="B1449" t="s">
        <v>5765</v>
      </c>
      <c r="C1449" s="5" t="s">
        <v>9525</v>
      </c>
      <c r="D1449">
        <f t="shared" si="88"/>
        <v>1448</v>
      </c>
      <c r="E1449" t="str">
        <f t="shared" si="89"/>
        <v>E7_1_1_9</v>
      </c>
      <c r="F1449" s="11" t="s">
        <v>14129</v>
      </c>
      <c r="G1449" s="11" t="s">
        <v>14732</v>
      </c>
      <c r="H1449" s="11" t="s">
        <v>15331</v>
      </c>
      <c r="I1449" s="11" t="s">
        <v>15952</v>
      </c>
      <c r="J1449" s="12" t="str">
        <f t="shared" si="90"/>
        <v>(${Variables:E7_1_1_9_kcat} * E7_1_1_9 * C00007 * C00080 * C00126)/(${Variables:E7_1_1_9_km} + (E7_1_1_9 * C00007 * C00080 * C00126))</v>
      </c>
      <c r="K1449" s="11" t="str">
        <f t="shared" si="91"/>
        <v>r1448: C00007 + C00080 + C00126 -&gt; C00001 + C00080 + C00125 | (${Variables:E7_1_1_9_kcat} * E7_1_1_9 * C00007 * C00080 * C00126)/(${Variables:E7_1_1_9_km} + (E7_1_1_9 * C00007 * C00080 * C00126))</v>
      </c>
    </row>
    <row r="1450" spans="1:11" ht="45" customHeight="1" x14ac:dyDescent="0.25">
      <c r="A1450" t="s">
        <v>5770</v>
      </c>
      <c r="B1450" t="s">
        <v>5771</v>
      </c>
      <c r="C1450" s="5" t="s">
        <v>9794</v>
      </c>
      <c r="D1450">
        <f t="shared" si="88"/>
        <v>1449</v>
      </c>
      <c r="E1450" t="str">
        <f t="shared" si="89"/>
        <v>E4_1_1_49</v>
      </c>
      <c r="F1450" s="11" t="s">
        <v>14506</v>
      </c>
      <c r="G1450" s="11" t="s">
        <v>15109</v>
      </c>
      <c r="H1450" s="11" t="s">
        <v>15735</v>
      </c>
      <c r="I1450" s="11" t="s">
        <v>16356</v>
      </c>
      <c r="J1450" s="12" t="str">
        <f t="shared" si="90"/>
        <v>(${Variables:E4_1_1_49_kcat} * E4_1_1_49 * C00002 * C00036)/(${Variables:E4_1_1_49_km} + (E4_1_1_49 * C00002 * C00036))</v>
      </c>
      <c r="K1450" s="11" t="str">
        <f t="shared" si="91"/>
        <v>r1449: C00002 + C00036 -&gt; C00008 + C00011 + C00074 | (${Variables:E4_1_1_49_kcat} * E4_1_1_49 * C00002 * C00036)/(${Variables:E4_1_1_49_km} + (E4_1_1_49 * C00002 * C00036))</v>
      </c>
    </row>
    <row r="1451" spans="1:11" ht="45" customHeight="1" x14ac:dyDescent="0.25">
      <c r="A1451" t="s">
        <v>5773</v>
      </c>
      <c r="B1451" t="s">
        <v>5774</v>
      </c>
      <c r="C1451" s="5" t="s">
        <v>9795</v>
      </c>
      <c r="D1451">
        <f t="shared" si="88"/>
        <v>1450</v>
      </c>
      <c r="E1451" t="str">
        <f t="shared" si="89"/>
        <v>E5_3_1_9</v>
      </c>
      <c r="F1451" s="11" t="s">
        <v>8369</v>
      </c>
      <c r="G1451" s="11" t="s">
        <v>8369</v>
      </c>
      <c r="H1451" s="11" t="s">
        <v>8524</v>
      </c>
      <c r="I1451" s="11" t="s">
        <v>8524</v>
      </c>
      <c r="J1451" s="12" t="str">
        <f t="shared" si="90"/>
        <v>(${Variables:E5_3_1_9_kcat} * E5_3_1_9 * C00668)/(${Variables:E5_3_1_9_km} + (E5_3_1_9 * C00668))</v>
      </c>
      <c r="K1451" s="11" t="str">
        <f t="shared" si="91"/>
        <v>r1450: C00668 -&gt; C05345 | (${Variables:E5_3_1_9_kcat} * E5_3_1_9 * C00668)/(${Variables:E5_3_1_9_km} + (E5_3_1_9 * C00668))</v>
      </c>
    </row>
    <row r="1452" spans="1:11" ht="45" customHeight="1" x14ac:dyDescent="0.25">
      <c r="A1452" t="s">
        <v>5773</v>
      </c>
      <c r="B1452" t="s">
        <v>5774</v>
      </c>
      <c r="C1452" s="5" t="s">
        <v>9795</v>
      </c>
      <c r="D1452">
        <f t="shared" si="88"/>
        <v>1451</v>
      </c>
      <c r="E1452" t="str">
        <f t="shared" si="89"/>
        <v>E5_3_1_9</v>
      </c>
      <c r="F1452" s="11" t="s">
        <v>8396</v>
      </c>
      <c r="G1452" s="11" t="s">
        <v>8396</v>
      </c>
      <c r="H1452" s="11" t="s">
        <v>8523</v>
      </c>
      <c r="I1452" s="11" t="s">
        <v>8523</v>
      </c>
      <c r="J1452" s="12" t="str">
        <f t="shared" si="90"/>
        <v>(${Variables:E5_3_1_9_kcat} * E5_3_1_9 * C00092)/(${Variables:E5_3_1_9_km} + (E5_3_1_9 * C00092))</v>
      </c>
      <c r="K1452" s="11" t="str">
        <f t="shared" si="91"/>
        <v>r1451: C00092 -&gt; C00085 | (${Variables:E5_3_1_9_kcat} * E5_3_1_9 * C00092)/(${Variables:E5_3_1_9_km} + (E5_3_1_9 * C00092))</v>
      </c>
    </row>
    <row r="1453" spans="1:11" ht="45" customHeight="1" x14ac:dyDescent="0.25">
      <c r="A1453" t="s">
        <v>5773</v>
      </c>
      <c r="B1453" t="s">
        <v>5774</v>
      </c>
      <c r="C1453" s="5" t="s">
        <v>9795</v>
      </c>
      <c r="D1453">
        <f t="shared" si="88"/>
        <v>1452</v>
      </c>
      <c r="E1453" t="str">
        <f t="shared" si="89"/>
        <v>E5_3_1_9</v>
      </c>
      <c r="F1453" s="11" t="s">
        <v>8369</v>
      </c>
      <c r="G1453" s="11" t="s">
        <v>8369</v>
      </c>
      <c r="H1453" s="11" t="s">
        <v>10609</v>
      </c>
      <c r="I1453" s="11" t="s">
        <v>10609</v>
      </c>
      <c r="J1453" s="12" t="str">
        <f t="shared" si="90"/>
        <v>(${Variables:E5_3_1_9_kcat} * E5_3_1_9 * C00668)/(${Variables:E5_3_1_9_km} + (E5_3_1_9 * C00668))</v>
      </c>
      <c r="K1453" s="11" t="str">
        <f t="shared" si="91"/>
        <v>r1452: C00668 -&gt; C01172 | (${Variables:E5_3_1_9_kcat} * E5_3_1_9 * C00668)/(${Variables:E5_3_1_9_km} + (E5_3_1_9 * C00668))</v>
      </c>
    </row>
    <row r="1454" spans="1:11" ht="45" customHeight="1" x14ac:dyDescent="0.25">
      <c r="A1454" t="s">
        <v>5773</v>
      </c>
      <c r="B1454" t="s">
        <v>5774</v>
      </c>
      <c r="C1454" s="5" t="s">
        <v>9795</v>
      </c>
      <c r="D1454">
        <f t="shared" si="88"/>
        <v>1453</v>
      </c>
      <c r="E1454" t="str">
        <f t="shared" si="89"/>
        <v>E5_3_1_9</v>
      </c>
      <c r="F1454" s="11" t="s">
        <v>10609</v>
      </c>
      <c r="G1454" s="11" t="s">
        <v>10609</v>
      </c>
      <c r="H1454" s="11" t="s">
        <v>8524</v>
      </c>
      <c r="I1454" s="11" t="s">
        <v>8524</v>
      </c>
      <c r="J1454" s="12" t="str">
        <f t="shared" si="90"/>
        <v>(${Variables:E5_3_1_9_kcat} * E5_3_1_9 * C01172)/(${Variables:E5_3_1_9_km} + (E5_3_1_9 * C01172))</v>
      </c>
      <c r="K1454" s="11" t="str">
        <f t="shared" si="91"/>
        <v>r1453: C01172 -&gt; C05345 | (${Variables:E5_3_1_9_kcat} * E5_3_1_9 * C01172)/(${Variables:E5_3_1_9_km} + (E5_3_1_9 * C01172))</v>
      </c>
    </row>
    <row r="1455" spans="1:11" ht="45" customHeight="1" x14ac:dyDescent="0.25">
      <c r="A1455" t="s">
        <v>5773</v>
      </c>
      <c r="B1455" t="s">
        <v>5774</v>
      </c>
      <c r="C1455" s="5" t="s">
        <v>9795</v>
      </c>
      <c r="D1455">
        <f t="shared" si="88"/>
        <v>1454</v>
      </c>
      <c r="E1455" t="str">
        <f t="shared" si="89"/>
        <v>E5_3_1_9</v>
      </c>
      <c r="F1455" s="11" t="s">
        <v>8369</v>
      </c>
      <c r="G1455" s="11" t="s">
        <v>8369</v>
      </c>
      <c r="H1455" s="11" t="s">
        <v>8523</v>
      </c>
      <c r="I1455" s="11" t="s">
        <v>8523</v>
      </c>
      <c r="J1455" s="12" t="str">
        <f t="shared" si="90"/>
        <v>(${Variables:E5_3_1_9_kcat} * E5_3_1_9 * C00668)/(${Variables:E5_3_1_9_km} + (E5_3_1_9 * C00668))</v>
      </c>
      <c r="K1455" s="11" t="str">
        <f t="shared" si="91"/>
        <v>r1454: C00668 -&gt; C00085 | (${Variables:E5_3_1_9_kcat} * E5_3_1_9 * C00668)/(${Variables:E5_3_1_9_km} + (E5_3_1_9 * C00668))</v>
      </c>
    </row>
    <row r="1456" spans="1:11" ht="45" customHeight="1" x14ac:dyDescent="0.25">
      <c r="A1456" t="s">
        <v>5792</v>
      </c>
      <c r="B1456" t="s">
        <v>5793</v>
      </c>
      <c r="C1456" s="5" t="s">
        <v>9796</v>
      </c>
      <c r="D1456">
        <f t="shared" si="88"/>
        <v>1455</v>
      </c>
      <c r="E1456" t="str">
        <f t="shared" si="89"/>
        <v>E6_1_1_3</v>
      </c>
      <c r="F1456" s="11" t="s">
        <v>8804</v>
      </c>
      <c r="G1456" s="11" t="s">
        <v>8970</v>
      </c>
      <c r="H1456" s="11" t="s">
        <v>15736</v>
      </c>
      <c r="I1456" s="11" t="s">
        <v>16357</v>
      </c>
      <c r="J1456" s="12" t="str">
        <f t="shared" si="90"/>
        <v>(${Variables:E6_1_1_3_kcat} * E6_1_1_3 * C00002 * C00188 * C01651)/(${Variables:E6_1_1_3_km} + (E6_1_1_3 * C00002 * C00188 * C01651))</v>
      </c>
      <c r="K1456" s="11" t="str">
        <f t="shared" si="91"/>
        <v>r1455: C00002 + C00188 + C01651 -&gt; C00013 + C00020 + C02992 | (${Variables:E6_1_1_3_kcat} * E6_1_1_3 * C00002 * C00188 * C01651)/(${Variables:E6_1_1_3_km} + (E6_1_1_3 * C00002 * C00188 * C01651))</v>
      </c>
    </row>
    <row r="1457" spans="1:11" ht="45" customHeight="1" x14ac:dyDescent="0.25">
      <c r="A1457" t="s">
        <v>5810</v>
      </c>
      <c r="B1457" t="s">
        <v>5811</v>
      </c>
      <c r="C1457" s="5" t="s">
        <v>9797</v>
      </c>
      <c r="D1457">
        <f t="shared" si="88"/>
        <v>1456</v>
      </c>
      <c r="E1457" t="str">
        <f t="shared" si="89"/>
        <v>E7_1_1_8</v>
      </c>
      <c r="F1457" s="11" t="s">
        <v>14507</v>
      </c>
      <c r="G1457" s="11" t="s">
        <v>15110</v>
      </c>
      <c r="H1457" s="11" t="s">
        <v>15737</v>
      </c>
      <c r="I1457" s="11" t="s">
        <v>16358</v>
      </c>
      <c r="J1457" s="12" t="str">
        <f t="shared" si="90"/>
        <v>(${Variables:E7_1_1_8_kcat} * E7_1_1_8 * C00125 * C15603)/(${Variables:E7_1_1_8_km} + (E7_1_1_8 * C00125 * C15603))</v>
      </c>
      <c r="K1457" s="11" t="str">
        <f t="shared" si="91"/>
        <v>r1456: C00125 + C15603 -&gt; C00080 + C00126 + C15602 | (${Variables:E7_1_1_8_kcat} * E7_1_1_8 * C00125 * C15603)/(${Variables:E7_1_1_8_km} + (E7_1_1_8 * C00125 * C15603))</v>
      </c>
    </row>
    <row r="1458" spans="1:11" ht="45" customHeight="1" x14ac:dyDescent="0.25">
      <c r="A1458" t="s">
        <v>5810</v>
      </c>
      <c r="B1458" t="s">
        <v>5811</v>
      </c>
      <c r="C1458" s="5" t="s">
        <v>9797</v>
      </c>
      <c r="D1458">
        <f t="shared" si="88"/>
        <v>1457</v>
      </c>
      <c r="E1458" t="str">
        <f t="shared" si="89"/>
        <v>E7_1_1_8</v>
      </c>
      <c r="F1458" s="11" t="s">
        <v>14508</v>
      </c>
      <c r="G1458" s="11" t="s">
        <v>15111</v>
      </c>
      <c r="H1458" s="11" t="s">
        <v>15738</v>
      </c>
      <c r="I1458" s="11" t="s">
        <v>16359</v>
      </c>
      <c r="J1458" s="12" t="str">
        <f t="shared" si="90"/>
        <v>(${Variables:E7_1_1_8_kcat} * E7_1_1_8 * C00125 * C00390)/(${Variables:E7_1_1_8_km} + (E7_1_1_8 * C00125 * C00390))</v>
      </c>
      <c r="K1458" s="11" t="str">
        <f t="shared" si="91"/>
        <v>r1457: C00125 + C00390 -&gt; C00080 + C00126 + C00399 | (${Variables:E7_1_1_8_kcat} * E7_1_1_8 * C00125 * C00390)/(${Variables:E7_1_1_8_km} + (E7_1_1_8 * C00125 * C00390))</v>
      </c>
    </row>
    <row r="1459" spans="1:11" ht="45" customHeight="1" x14ac:dyDescent="0.25">
      <c r="A1459" t="s">
        <v>5813</v>
      </c>
      <c r="B1459" t="s">
        <v>5814</v>
      </c>
      <c r="C1459" s="5" t="s">
        <v>9797</v>
      </c>
      <c r="D1459">
        <f t="shared" si="88"/>
        <v>1458</v>
      </c>
      <c r="E1459" t="str">
        <f t="shared" si="89"/>
        <v>E7_1_1_8</v>
      </c>
      <c r="F1459" s="11" t="s">
        <v>14507</v>
      </c>
      <c r="G1459" s="11" t="s">
        <v>15110</v>
      </c>
      <c r="H1459" s="11" t="s">
        <v>15737</v>
      </c>
      <c r="I1459" s="11" t="s">
        <v>16358</v>
      </c>
      <c r="J1459" s="12" t="str">
        <f t="shared" si="90"/>
        <v>(${Variables:E7_1_1_8_kcat} * E7_1_1_8 * C00125 * C15603)/(${Variables:E7_1_1_8_km} + (E7_1_1_8 * C00125 * C15603))</v>
      </c>
      <c r="K1459" s="11" t="str">
        <f t="shared" si="91"/>
        <v>r1458: C00125 + C15603 -&gt; C00080 + C00126 + C15602 | (${Variables:E7_1_1_8_kcat} * E7_1_1_8 * C00125 * C15603)/(${Variables:E7_1_1_8_km} + (E7_1_1_8 * C00125 * C15603))</v>
      </c>
    </row>
    <row r="1460" spans="1:11" ht="45" customHeight="1" x14ac:dyDescent="0.25">
      <c r="A1460" t="s">
        <v>5813</v>
      </c>
      <c r="B1460" t="s">
        <v>5814</v>
      </c>
      <c r="C1460" s="5" t="s">
        <v>9797</v>
      </c>
      <c r="D1460">
        <f t="shared" si="88"/>
        <v>1459</v>
      </c>
      <c r="E1460" t="str">
        <f t="shared" si="89"/>
        <v>E7_1_1_8</v>
      </c>
      <c r="F1460" s="11" t="s">
        <v>14508</v>
      </c>
      <c r="G1460" s="11" t="s">
        <v>15111</v>
      </c>
      <c r="H1460" s="11" t="s">
        <v>15738</v>
      </c>
      <c r="I1460" s="11" t="s">
        <v>16359</v>
      </c>
      <c r="J1460" s="12" t="str">
        <f t="shared" si="90"/>
        <v>(${Variables:E7_1_1_8_kcat} * E7_1_1_8 * C00125 * C00390)/(${Variables:E7_1_1_8_km} + (E7_1_1_8 * C00125 * C00390))</v>
      </c>
      <c r="K1460" s="11" t="str">
        <f t="shared" si="91"/>
        <v>r1459: C00125 + C00390 -&gt; C00080 + C00126 + C00399 | (${Variables:E7_1_1_8_kcat} * E7_1_1_8 * C00125 * C00390)/(${Variables:E7_1_1_8_km} + (E7_1_1_8 * C00125 * C00390))</v>
      </c>
    </row>
    <row r="1461" spans="1:11" ht="45" customHeight="1" x14ac:dyDescent="0.25">
      <c r="A1461" t="s">
        <v>5874</v>
      </c>
      <c r="B1461" t="s">
        <v>5875</v>
      </c>
      <c r="C1461" s="5" t="s">
        <v>9798</v>
      </c>
      <c r="D1461">
        <f t="shared" si="88"/>
        <v>1460</v>
      </c>
      <c r="E1461" t="str">
        <f t="shared" si="89"/>
        <v>E3_5_1_16</v>
      </c>
      <c r="F1461" s="11" t="s">
        <v>14509</v>
      </c>
      <c r="G1461" s="11" t="s">
        <v>15112</v>
      </c>
      <c r="H1461" s="11" t="s">
        <v>9166</v>
      </c>
      <c r="I1461" s="11" t="s">
        <v>9365</v>
      </c>
      <c r="J1461" s="12" t="str">
        <f t="shared" si="90"/>
        <v>(${Variables:E3_5_1_16_kcat} * E3_5_1_16 * C00001 * C00437)/(${Variables:E3_5_1_16_km} + (E3_5_1_16 * C00001 * C00437))</v>
      </c>
      <c r="K1461" s="11" t="str">
        <f t="shared" si="91"/>
        <v>r1460: C00001 + C00437 -&gt; C00033 + C00077 | (${Variables:E3_5_1_16_kcat} * E3_5_1_16 * C00001 * C00437)/(${Variables:E3_5_1_16_km} + (E3_5_1_16 * C00001 * C00437))</v>
      </c>
    </row>
    <row r="1462" spans="1:11" ht="45" customHeight="1" x14ac:dyDescent="0.25">
      <c r="A1462" t="s">
        <v>5874</v>
      </c>
      <c r="B1462" t="s">
        <v>5875</v>
      </c>
      <c r="C1462" s="5" t="s">
        <v>9798</v>
      </c>
      <c r="D1462">
        <f t="shared" si="88"/>
        <v>1461</v>
      </c>
      <c r="E1462" t="str">
        <f t="shared" si="89"/>
        <v>E3_5_1_16</v>
      </c>
      <c r="F1462" s="11" t="s">
        <v>14510</v>
      </c>
      <c r="G1462" s="11" t="s">
        <v>15113</v>
      </c>
      <c r="H1462" s="11" t="s">
        <v>9167</v>
      </c>
      <c r="I1462" s="11" t="s">
        <v>9366</v>
      </c>
      <c r="J1462" s="12" t="str">
        <f t="shared" si="90"/>
        <v>(${Variables:E3_5_1_16_kcat} * E3_5_1_16 * C00001 * C15532)/(${Variables:E3_5_1_16_km} + (E3_5_1_16 * C00001 * C15532))</v>
      </c>
      <c r="K1462" s="11" t="str">
        <f t="shared" si="91"/>
        <v>r1461: C00001 + C15532 -&gt; C00033 + C00327 | (${Variables:E3_5_1_16_kcat} * E3_5_1_16 * C00001 * C15532)/(${Variables:E3_5_1_16_km} + (E3_5_1_16 * C00001 * C15532))</v>
      </c>
    </row>
    <row r="1463" spans="1:11" ht="45" customHeight="1" x14ac:dyDescent="0.25">
      <c r="A1463" t="s">
        <v>5879</v>
      </c>
      <c r="B1463" t="s">
        <v>5880</v>
      </c>
      <c r="C1463" s="5" t="s">
        <v>9799</v>
      </c>
      <c r="D1463">
        <f t="shared" si="88"/>
        <v>1462</v>
      </c>
      <c r="E1463" t="str">
        <f t="shared" si="89"/>
        <v>E2_7_1_2</v>
      </c>
      <c r="F1463" s="11" t="s">
        <v>8805</v>
      </c>
      <c r="G1463" s="11" t="s">
        <v>8971</v>
      </c>
      <c r="H1463" s="11" t="s">
        <v>9168</v>
      </c>
      <c r="I1463" s="11" t="s">
        <v>9367</v>
      </c>
      <c r="J1463" s="12" t="str">
        <f t="shared" si="90"/>
        <v>(${Variables:E2_7_1_2_kcat} * E2_7_1_2 * C00002 * C00031)/(${Variables:E2_7_1_2_km} + (E2_7_1_2 * C00002 * C00031))</v>
      </c>
      <c r="K1463" s="11" t="str">
        <f t="shared" si="91"/>
        <v>r1462: C00002 + C00031 -&gt; C00008 + C00092 | (${Variables:E2_7_1_2_kcat} * E2_7_1_2 * C00002 * C00031)/(${Variables:E2_7_1_2_km} + (E2_7_1_2 * C00002 * C00031))</v>
      </c>
    </row>
    <row r="1464" spans="1:11" ht="45" customHeight="1" x14ac:dyDescent="0.25">
      <c r="A1464" t="s">
        <v>5879</v>
      </c>
      <c r="B1464" t="s">
        <v>5880</v>
      </c>
      <c r="C1464" s="5" t="s">
        <v>9799</v>
      </c>
      <c r="D1464">
        <f t="shared" si="88"/>
        <v>1463</v>
      </c>
      <c r="E1464" t="str">
        <f t="shared" si="89"/>
        <v>E2_7_1_2</v>
      </c>
      <c r="F1464" s="11" t="s">
        <v>8806</v>
      </c>
      <c r="G1464" s="11" t="s">
        <v>8972</v>
      </c>
      <c r="H1464" s="11" t="s">
        <v>9169</v>
      </c>
      <c r="I1464" s="11" t="s">
        <v>9368</v>
      </c>
      <c r="J1464" s="12" t="str">
        <f t="shared" si="90"/>
        <v>(${Variables:E2_7_1_2_kcat} * E2_7_1_2 * C00002 * C00221)/(${Variables:E2_7_1_2_km} + (E2_7_1_2 * C00002 * C00221))</v>
      </c>
      <c r="K1464" s="11" t="str">
        <f t="shared" si="91"/>
        <v>r1463: C00002 + C00221 -&gt; C00008 + C01172 | (${Variables:E2_7_1_2_kcat} * E2_7_1_2 * C00002 * C00221)/(${Variables:E2_7_1_2_km} + (E2_7_1_2 * C00002 * C00221))</v>
      </c>
    </row>
    <row r="1465" spans="1:11" ht="45" customHeight="1" x14ac:dyDescent="0.25">
      <c r="A1465" t="s">
        <v>5879</v>
      </c>
      <c r="B1465" t="s">
        <v>5880</v>
      </c>
      <c r="C1465" s="5" t="s">
        <v>9799</v>
      </c>
      <c r="D1465">
        <f t="shared" si="88"/>
        <v>1464</v>
      </c>
      <c r="E1465" t="str">
        <f t="shared" si="89"/>
        <v>E2_7_1_2</v>
      </c>
      <c r="F1465" s="11" t="s">
        <v>8807</v>
      </c>
      <c r="G1465" s="11" t="s">
        <v>8973</v>
      </c>
      <c r="H1465" s="11" t="s">
        <v>9170</v>
      </c>
      <c r="I1465" s="11" t="s">
        <v>9369</v>
      </c>
      <c r="J1465" s="12" t="str">
        <f t="shared" si="90"/>
        <v>(${Variables:E2_7_1_2_kcat} * E2_7_1_2 * C00002 * C00267)/(${Variables:E2_7_1_2_km} + (E2_7_1_2 * C00002 * C00267))</v>
      </c>
      <c r="K1465" s="11" t="str">
        <f t="shared" si="91"/>
        <v>r1464: C00002 + C00267 -&gt; C00008 + C00668 | (${Variables:E2_7_1_2_kcat} * E2_7_1_2 * C00002 * C00267)/(${Variables:E2_7_1_2_km} + (E2_7_1_2 * C00002 * C00267))</v>
      </c>
    </row>
    <row r="1466" spans="1:11" ht="45" customHeight="1" x14ac:dyDescent="0.25">
      <c r="A1466" t="s">
        <v>5884</v>
      </c>
      <c r="B1466" t="s">
        <v>5885</v>
      </c>
      <c r="C1466" s="5" t="s">
        <v>9800</v>
      </c>
      <c r="D1466">
        <f t="shared" si="88"/>
        <v>1465</v>
      </c>
      <c r="E1466" t="str">
        <f t="shared" si="89"/>
        <v>E3_5_4_16</v>
      </c>
      <c r="F1466" s="11" t="s">
        <v>14511</v>
      </c>
      <c r="G1466" s="11" t="s">
        <v>15114</v>
      </c>
      <c r="H1466" s="11" t="s">
        <v>15739</v>
      </c>
      <c r="I1466" s="11" t="s">
        <v>16360</v>
      </c>
      <c r="J1466" s="12" t="str">
        <f t="shared" si="90"/>
        <v>(${Variables:E3_5_4_16_kcat} * E3_5_4_16 * C00001 * C00044)/(${Variables:E3_5_4_16_km} + (E3_5_4_16 * C00001 * C00044))</v>
      </c>
      <c r="K1466" s="11" t="str">
        <f t="shared" si="91"/>
        <v>r1465: C00001 + C00044 -&gt; C00058 + C04895 | (${Variables:E3_5_4_16_kcat} * E3_5_4_16 * C00001 * C00044)/(${Variables:E3_5_4_16_km} + (E3_5_4_16 * C00001 * C00044))</v>
      </c>
    </row>
    <row r="1467" spans="1:11" ht="45" customHeight="1" x14ac:dyDescent="0.25">
      <c r="A1467" t="s">
        <v>5884</v>
      </c>
      <c r="B1467" t="s">
        <v>5885</v>
      </c>
      <c r="C1467" s="5" t="s">
        <v>9800</v>
      </c>
      <c r="D1467">
        <f t="shared" si="88"/>
        <v>1466</v>
      </c>
      <c r="E1467" t="str">
        <f t="shared" si="89"/>
        <v>E3_5_4_16</v>
      </c>
      <c r="F1467" s="11" t="s">
        <v>14511</v>
      </c>
      <c r="G1467" s="11" t="s">
        <v>15114</v>
      </c>
      <c r="H1467" s="11" t="s">
        <v>8627</v>
      </c>
      <c r="I1467" s="11" t="s">
        <v>8627</v>
      </c>
      <c r="J1467" s="12" t="str">
        <f t="shared" si="90"/>
        <v>(${Variables:E3_5_4_16_kcat} * E3_5_4_16 * C00001 * C00044)/(${Variables:E3_5_4_16_km} + (E3_5_4_16 * C00001 * C00044))</v>
      </c>
      <c r="K1467" s="11" t="str">
        <f t="shared" si="91"/>
        <v>r1466: C00001 + C00044 -&gt; C05922 | (${Variables:E3_5_4_16_kcat} * E3_5_4_16 * C00001 * C00044)/(${Variables:E3_5_4_16_km} + (E3_5_4_16 * C00001 * C00044))</v>
      </c>
    </row>
    <row r="1468" spans="1:11" ht="45" customHeight="1" x14ac:dyDescent="0.25">
      <c r="A1468" t="s">
        <v>5884</v>
      </c>
      <c r="B1468" t="s">
        <v>5885</v>
      </c>
      <c r="C1468" s="5" t="s">
        <v>9800</v>
      </c>
      <c r="D1468">
        <f t="shared" si="88"/>
        <v>1467</v>
      </c>
      <c r="E1468" t="str">
        <f t="shared" si="89"/>
        <v>E3_5_4_16</v>
      </c>
      <c r="F1468" s="11" t="s">
        <v>14200</v>
      </c>
      <c r="G1468" s="11" t="s">
        <v>14803</v>
      </c>
      <c r="H1468" s="11" t="s">
        <v>8628</v>
      </c>
      <c r="I1468" s="11" t="s">
        <v>8628</v>
      </c>
      <c r="J1468" s="12" t="str">
        <f t="shared" si="90"/>
        <v>(${Variables:E3_5_4_16_kcat} * E3_5_4_16 * C00001 * C04895)/(${Variables:E3_5_4_16_km} + (E3_5_4_16 * C00001 * C04895))</v>
      </c>
      <c r="K1468" s="11" t="str">
        <f t="shared" si="91"/>
        <v>r1467: C00001 + C04895 -&gt; C06148 | (${Variables:E3_5_4_16_kcat} * E3_5_4_16 * C00001 * C04895)/(${Variables:E3_5_4_16_km} + (E3_5_4_16 * C00001 * C04895))</v>
      </c>
    </row>
    <row r="1469" spans="1:11" ht="45" customHeight="1" x14ac:dyDescent="0.25">
      <c r="A1469" t="s">
        <v>5884</v>
      </c>
      <c r="B1469" t="s">
        <v>5885</v>
      </c>
      <c r="C1469" s="5" t="s">
        <v>9800</v>
      </c>
      <c r="D1469">
        <f t="shared" si="88"/>
        <v>1468</v>
      </c>
      <c r="E1469" t="str">
        <f t="shared" si="89"/>
        <v>E3_5_4_16</v>
      </c>
      <c r="F1469" s="11" t="s">
        <v>14512</v>
      </c>
      <c r="G1469" s="11" t="s">
        <v>15115</v>
      </c>
      <c r="H1469" s="11" t="s">
        <v>15740</v>
      </c>
      <c r="I1469" s="11" t="s">
        <v>16361</v>
      </c>
      <c r="J1469" s="12" t="str">
        <f t="shared" si="90"/>
        <v>(${Variables:E3_5_4_16_kcat} * E3_5_4_16 * C00001 * C05922)/(${Variables:E3_5_4_16_km} + (E3_5_4_16 * C00001 * C05922))</v>
      </c>
      <c r="K1469" s="11" t="str">
        <f t="shared" si="91"/>
        <v>r1468: C00001 + C05922 -&gt; C00058 + C05923 | (${Variables:E3_5_4_16_kcat} * E3_5_4_16 * C00001 * C05922)/(${Variables:E3_5_4_16_km} + (E3_5_4_16 * C00001 * C05922))</v>
      </c>
    </row>
    <row r="1470" spans="1:11" ht="45" customHeight="1" x14ac:dyDescent="0.25">
      <c r="A1470" t="s">
        <v>5884</v>
      </c>
      <c r="B1470" t="s">
        <v>5885</v>
      </c>
      <c r="C1470" s="5" t="s">
        <v>9800</v>
      </c>
      <c r="D1470">
        <f t="shared" si="88"/>
        <v>1469</v>
      </c>
      <c r="E1470" t="str">
        <f t="shared" si="89"/>
        <v>E3_5_4_16</v>
      </c>
      <c r="F1470" s="11" t="s">
        <v>8374</v>
      </c>
      <c r="G1470" s="11" t="s">
        <v>8374</v>
      </c>
      <c r="H1470" s="11" t="s">
        <v>8628</v>
      </c>
      <c r="I1470" s="11" t="s">
        <v>8628</v>
      </c>
      <c r="J1470" s="12" t="str">
        <f t="shared" si="90"/>
        <v>(${Variables:E3_5_4_16_kcat} * E3_5_4_16 * C05923)/(${Variables:E3_5_4_16_km} + (E3_5_4_16 * C05923))</v>
      </c>
      <c r="K1470" s="11" t="str">
        <f t="shared" si="91"/>
        <v>r1469: C05923 -&gt; C06148 | (${Variables:E3_5_4_16_kcat} * E3_5_4_16 * C05923)/(${Variables:E3_5_4_16_km} + (E3_5_4_16 * C05923))</v>
      </c>
    </row>
    <row r="1471" spans="1:11" ht="45" customHeight="1" x14ac:dyDescent="0.25">
      <c r="A1471" t="s">
        <v>5890</v>
      </c>
      <c r="B1471" t="s">
        <v>5891</v>
      </c>
      <c r="C1471" s="5" t="s">
        <v>9801</v>
      </c>
      <c r="D1471">
        <f t="shared" si="88"/>
        <v>1470</v>
      </c>
      <c r="E1471" t="str">
        <f t="shared" si="89"/>
        <v>E3_6_1_17</v>
      </c>
      <c r="F1471" s="11" t="s">
        <v>14513</v>
      </c>
      <c r="G1471" s="11" t="s">
        <v>15116</v>
      </c>
      <c r="H1471" s="11" t="s">
        <v>9171</v>
      </c>
      <c r="I1471" s="11" t="s">
        <v>9370</v>
      </c>
      <c r="J1471" s="12" t="str">
        <f t="shared" si="90"/>
        <v>(${Variables:E3_6_1_17_kcat} * E3_6_1_17 * C00001 * C01261)/(${Variables:E3_6_1_17_km} + (E3_6_1_17 * C00001 * C01261))</v>
      </c>
      <c r="K1471" s="11" t="str">
        <f t="shared" si="91"/>
        <v>r1470: C00001 + C01261 -&gt; C00044 + C00144 | (${Variables:E3_6_1_17_kcat} * E3_6_1_17 * C00001 * C01261)/(${Variables:E3_6_1_17_km} + (E3_6_1_17 * C00001 * C01261))</v>
      </c>
    </row>
    <row r="1472" spans="1:11" ht="45" customHeight="1" x14ac:dyDescent="0.25">
      <c r="A1472" t="s">
        <v>5890</v>
      </c>
      <c r="B1472" t="s">
        <v>5891</v>
      </c>
      <c r="C1472" s="5" t="s">
        <v>9801</v>
      </c>
      <c r="D1472">
        <f t="shared" si="88"/>
        <v>1471</v>
      </c>
      <c r="E1472" t="str">
        <f t="shared" si="89"/>
        <v>E3_6_1_17</v>
      </c>
      <c r="F1472" s="11" t="s">
        <v>14514</v>
      </c>
      <c r="G1472" s="11" t="s">
        <v>15117</v>
      </c>
      <c r="H1472" s="11" t="s">
        <v>8691</v>
      </c>
      <c r="I1472" s="11" t="s">
        <v>8857</v>
      </c>
      <c r="J1472" s="12" t="str">
        <f t="shared" si="90"/>
        <v>(${Variables:E3_6_1_17_kcat} * E3_6_1_17 * C00001 * C01260)/(${Variables:E3_6_1_17_km} + (E3_6_1_17 * C00001 * C01260))</v>
      </c>
      <c r="K1472" s="11" t="str">
        <f t="shared" si="91"/>
        <v>r1471: C00001 + C01260 -&gt; C00002 + C00020 | (${Variables:E3_6_1_17_kcat} * E3_6_1_17 * C00001 * C01260)/(${Variables:E3_6_1_17_km} + (E3_6_1_17 * C00001 * C01260))</v>
      </c>
    </row>
    <row r="1473" spans="1:11" ht="45" customHeight="1" x14ac:dyDescent="0.25">
      <c r="A1473" t="s">
        <v>5890</v>
      </c>
      <c r="B1473" t="s">
        <v>5891</v>
      </c>
      <c r="C1473" s="5" t="s">
        <v>9801</v>
      </c>
      <c r="D1473">
        <f t="shared" si="88"/>
        <v>1472</v>
      </c>
      <c r="E1473" t="str">
        <f t="shared" si="89"/>
        <v>E3_6_1_17</v>
      </c>
      <c r="F1473" s="11" t="s">
        <v>14515</v>
      </c>
      <c r="G1473" s="11" t="s">
        <v>15118</v>
      </c>
      <c r="H1473" s="11" t="s">
        <v>9172</v>
      </c>
      <c r="I1473" s="11" t="s">
        <v>9371</v>
      </c>
      <c r="J1473" s="12" t="str">
        <f t="shared" si="90"/>
        <v>(${Variables:E3_6_1_17_kcat} * E3_6_1_17 * C00001 * C06198)/(${Variables:E3_6_1_17_km} + (E3_6_1_17 * C00001 * C06198))</v>
      </c>
      <c r="K1473" s="11" t="str">
        <f t="shared" si="91"/>
        <v>r1472: C00001 + C06198 -&gt; C00075 + C00105 | (${Variables:E3_6_1_17_kcat} * E3_6_1_17 * C00001 * C06198)/(${Variables:E3_6_1_17_km} + (E3_6_1_17 * C00001 * C06198))</v>
      </c>
    </row>
    <row r="1474" spans="1:11" ht="45" customHeight="1" x14ac:dyDescent="0.25">
      <c r="A1474" t="s">
        <v>5890</v>
      </c>
      <c r="B1474" t="s">
        <v>5891</v>
      </c>
      <c r="C1474" s="5" t="s">
        <v>9801</v>
      </c>
      <c r="D1474">
        <f t="shared" si="88"/>
        <v>1473</v>
      </c>
      <c r="E1474" t="str">
        <f t="shared" si="89"/>
        <v>E3_6_1_17</v>
      </c>
      <c r="F1474" s="11" t="s">
        <v>14516</v>
      </c>
      <c r="G1474" s="11" t="s">
        <v>15119</v>
      </c>
      <c r="H1474" s="11" t="s">
        <v>15741</v>
      </c>
      <c r="I1474" s="11" t="s">
        <v>16362</v>
      </c>
      <c r="J1474" s="12" t="str">
        <f t="shared" si="90"/>
        <v>(${Variables:E3_6_1_17_kcat} * E3_6_1_17 * C00001 * C04392)/(${Variables:E3_6_1_17_km} + (E3_6_1_17 * C00001 * C04392))</v>
      </c>
      <c r="K1474" s="11" t="str">
        <f t="shared" si="91"/>
        <v>r1473: C00001 + C04392 -&gt; C00655 + C00700 | (${Variables:E3_6_1_17_kcat} * E3_6_1_17 * C00001 * C04392)/(${Variables:E3_6_1_17_km} + (E3_6_1_17 * C00001 * C04392))</v>
      </c>
    </row>
    <row r="1475" spans="1:11" ht="45" customHeight="1" x14ac:dyDescent="0.25">
      <c r="A1475" t="s">
        <v>5919</v>
      </c>
      <c r="B1475" t="s">
        <v>5920</v>
      </c>
      <c r="C1475" s="5" t="s">
        <v>9791</v>
      </c>
      <c r="D1475">
        <f t="shared" ref="D1475:D1538" si="92">ROW()-1</f>
        <v>1474</v>
      </c>
      <c r="E1475" t="str">
        <f t="shared" ref="E1475:E1538" si="93">_xlfn.CONCAT("E", C1475)</f>
        <v>E2_3_1_12</v>
      </c>
      <c r="F1475" s="11" t="s">
        <v>14501</v>
      </c>
      <c r="G1475" s="11" t="s">
        <v>15104</v>
      </c>
      <c r="H1475" s="11" t="s">
        <v>15730</v>
      </c>
      <c r="I1475" s="11" t="s">
        <v>16351</v>
      </c>
      <c r="J1475" s="12" t="str">
        <f t="shared" ref="J1475:J1538" si="94">CONCATENATE("(${Variables:",E1475,"_kcat","} * ",E1475," * ",G1475,")","/(${Variables:",E1475,"_km","} + (",E1475," * ",G1475,"))")</f>
        <v>(${Variables:E2_3_1_12_kcat} * E2_3_1_12 * C00024 * C15973)/(${Variables:E2_3_1_12_km} + (E2_3_1_12 * C00024 * C15973))</v>
      </c>
      <c r="K1475" s="11" t="str">
        <f t="shared" ref="K1475:K1538" si="95">CONCATENATE("r",D1475,": ",F1475," -&gt; ",H1475," | ",J1475)</f>
        <v>r1474: C00024 + C15973 -&gt; C00010 + C16255 | (${Variables:E2_3_1_12_kcat} * E2_3_1_12 * C00024 * C15973)/(${Variables:E2_3_1_12_km} + (E2_3_1_12 * C00024 * C15973))</v>
      </c>
    </row>
    <row r="1476" spans="1:11" ht="45" customHeight="1" x14ac:dyDescent="0.25">
      <c r="A1476" t="s">
        <v>5927</v>
      </c>
      <c r="B1476" t="s">
        <v>5928</v>
      </c>
      <c r="C1476" s="5" t="s">
        <v>9802</v>
      </c>
      <c r="D1476">
        <f t="shared" si="92"/>
        <v>1475</v>
      </c>
      <c r="E1476" t="str">
        <f t="shared" si="93"/>
        <v>E2_6_1_16</v>
      </c>
      <c r="F1476" s="11" t="s">
        <v>8808</v>
      </c>
      <c r="G1476" s="11" t="s">
        <v>8974</v>
      </c>
      <c r="H1476" s="11" t="s">
        <v>9173</v>
      </c>
      <c r="I1476" s="11" t="s">
        <v>9372</v>
      </c>
      <c r="J1476" s="12" t="str">
        <f t="shared" si="94"/>
        <v>(${Variables:E2_6_1_16_kcat} * E2_6_1_16 * C00064 * C00085)/(${Variables:E2_6_1_16_km} + (E2_6_1_16 * C00064 * C00085))</v>
      </c>
      <c r="K1476" s="11" t="str">
        <f t="shared" si="95"/>
        <v>r1475: C00064 + C00085 -&gt; C00025 + C00352 | (${Variables:E2_6_1_16_kcat} * E2_6_1_16 * C00064 * C00085)/(${Variables:E2_6_1_16_km} + (E2_6_1_16 * C00064 * C00085))</v>
      </c>
    </row>
    <row r="1477" spans="1:11" ht="45" customHeight="1" x14ac:dyDescent="0.25">
      <c r="A1477" t="s">
        <v>5935</v>
      </c>
      <c r="B1477" t="s">
        <v>5936</v>
      </c>
      <c r="C1477" s="5" t="s">
        <v>9649</v>
      </c>
      <c r="D1477">
        <f t="shared" si="92"/>
        <v>1476</v>
      </c>
      <c r="E1477" t="str">
        <f t="shared" si="93"/>
        <v>E1_8_1_9</v>
      </c>
      <c r="F1477" s="11" t="s">
        <v>14305</v>
      </c>
      <c r="G1477" s="11" t="s">
        <v>14908</v>
      </c>
      <c r="H1477" s="11" t="s">
        <v>15514</v>
      </c>
      <c r="I1477" s="11" t="s">
        <v>16135</v>
      </c>
      <c r="J1477" s="12" t="str">
        <f t="shared" si="94"/>
        <v>(${Variables:E1_8_1_9_kcat} * E1_8_1_9 * C00006 * C00342)/(${Variables:E1_8_1_9_km} + (E1_8_1_9 * C00006 * C00342))</v>
      </c>
      <c r="K1477" s="11" t="str">
        <f t="shared" si="95"/>
        <v>r1476: C00006 + C00342 -&gt; C00005 + C00080 + C00343 | (${Variables:E1_8_1_9_kcat} * E1_8_1_9 * C00006 * C00342)/(${Variables:E1_8_1_9_km} + (E1_8_1_9 * C00006 * C00342))</v>
      </c>
    </row>
    <row r="1478" spans="1:11" ht="45" customHeight="1" x14ac:dyDescent="0.25">
      <c r="A1478" t="s">
        <v>5935</v>
      </c>
      <c r="B1478" t="s">
        <v>5936</v>
      </c>
      <c r="C1478" s="5" t="s">
        <v>9649</v>
      </c>
      <c r="D1478">
        <f t="shared" si="92"/>
        <v>1477</v>
      </c>
      <c r="E1478" t="str">
        <f t="shared" si="93"/>
        <v>E1_8_1_9</v>
      </c>
      <c r="F1478" s="11" t="s">
        <v>14306</v>
      </c>
      <c r="G1478" s="11" t="s">
        <v>14909</v>
      </c>
      <c r="H1478" s="11" t="s">
        <v>15515</v>
      </c>
      <c r="I1478" s="11" t="s">
        <v>16136</v>
      </c>
      <c r="J1478" s="12" t="str">
        <f t="shared" si="94"/>
        <v>(${Variables:E1_8_1_9_kcat} * E1_8_1_9 * C00006 * C00051 * C00097)/(${Variables:E1_8_1_9_km} + (E1_8_1_9 * C00006 * C00051 * C00097))</v>
      </c>
      <c r="K1478" s="11" t="str">
        <f t="shared" si="95"/>
        <v>r1477: C00006 + C00051 + C00097 -&gt; C00005 + C05526 | (${Variables:E1_8_1_9_kcat} * E1_8_1_9 * C00006 * C00051 * C00097)/(${Variables:E1_8_1_9_km} + (E1_8_1_9 * C00006 * C00051 * C00097))</v>
      </c>
    </row>
    <row r="1479" spans="1:11" ht="45" customHeight="1" x14ac:dyDescent="0.25">
      <c r="A1479" t="s">
        <v>5935</v>
      </c>
      <c r="B1479" t="s">
        <v>5936</v>
      </c>
      <c r="C1479" s="5" t="s">
        <v>9649</v>
      </c>
      <c r="D1479">
        <f t="shared" si="92"/>
        <v>1478</v>
      </c>
      <c r="E1479" t="str">
        <f t="shared" si="93"/>
        <v>E1_8_1_9</v>
      </c>
      <c r="F1479" s="11" t="s">
        <v>14307</v>
      </c>
      <c r="G1479" s="11" t="s">
        <v>14910</v>
      </c>
      <c r="H1479" s="11" t="s">
        <v>15516</v>
      </c>
      <c r="I1479" s="11" t="s">
        <v>16137</v>
      </c>
      <c r="J1479" s="12" t="str">
        <f t="shared" si="94"/>
        <v>(${Variables:E1_8_1_9_kcat} * E1_8_1_9 * C00001 * C00006 * C01528)/(${Variables:E1_8_1_9_km} + (E1_8_1_9 * C00001 * C00006 * C01528))</v>
      </c>
      <c r="K1479" s="11" t="str">
        <f t="shared" si="95"/>
        <v>r1478: C00001 + C00006 + C01528 -&gt; C00005 + C00080 + C05684 | (${Variables:E1_8_1_9_kcat} * E1_8_1_9 * C00001 * C00006 * C01528)/(${Variables:E1_8_1_9_km} + (E1_8_1_9 * C00001 * C00006 * C01528))</v>
      </c>
    </row>
    <row r="1480" spans="1:11" ht="45" customHeight="1" x14ac:dyDescent="0.25">
      <c r="A1480" t="s">
        <v>5935</v>
      </c>
      <c r="B1480" t="s">
        <v>5936</v>
      </c>
      <c r="C1480" s="5" t="s">
        <v>9649</v>
      </c>
      <c r="D1480">
        <f t="shared" si="92"/>
        <v>1479</v>
      </c>
      <c r="E1480" t="str">
        <f t="shared" si="93"/>
        <v>E1_8_1_9</v>
      </c>
      <c r="F1480" s="11" t="s">
        <v>8763</v>
      </c>
      <c r="G1480" s="11" t="s">
        <v>8929</v>
      </c>
      <c r="H1480" s="11" t="s">
        <v>15517</v>
      </c>
      <c r="I1480" s="11" t="s">
        <v>16138</v>
      </c>
      <c r="J1480" s="12" t="str">
        <f t="shared" si="94"/>
        <v>(${Variables:E1_8_1_9_kcat} * E1_8_1_9 * C00005 * C00080 * C18902)/(${Variables:E1_8_1_9_km} + (E1_8_1_9 * C00005 * C00080 * C18902))</v>
      </c>
      <c r="K1480" s="11" t="str">
        <f t="shared" si="95"/>
        <v>r1479: C00005 + C00080 + C18902 -&gt; C00001 + C00006 + C05703 | (${Variables:E1_8_1_9_kcat} * E1_8_1_9 * C00005 * C00080 * C18902)/(${Variables:E1_8_1_9_km} + (E1_8_1_9 * C00005 * C00080 * C18902))</v>
      </c>
    </row>
    <row r="1481" spans="1:11" ht="45" customHeight="1" x14ac:dyDescent="0.25">
      <c r="A1481" t="s">
        <v>5945</v>
      </c>
      <c r="B1481" t="s">
        <v>5946</v>
      </c>
      <c r="C1481" s="5" t="s">
        <v>9803</v>
      </c>
      <c r="D1481">
        <f t="shared" si="92"/>
        <v>1480</v>
      </c>
      <c r="E1481" t="str">
        <f t="shared" si="93"/>
        <v>E2_1_2_9</v>
      </c>
      <c r="F1481" s="11" t="s">
        <v>14517</v>
      </c>
      <c r="G1481" s="11" t="s">
        <v>15120</v>
      </c>
      <c r="H1481" s="11" t="s">
        <v>9174</v>
      </c>
      <c r="I1481" s="11" t="s">
        <v>9373</v>
      </c>
      <c r="J1481" s="12" t="str">
        <f t="shared" si="94"/>
        <v>(${Variables:E2_1_2_9_kcat} * E2_1_2_9 * C00234 * C02430)/(${Variables:E2_1_2_9_km} + (E2_1_2_9 * C00234 * C02430))</v>
      </c>
      <c r="K1481" s="11" t="str">
        <f t="shared" si="95"/>
        <v>r1480: C00234 + C02430 -&gt; C00101 + C03294 | (${Variables:E2_1_2_9_kcat} * E2_1_2_9 * C00234 * C02430)/(${Variables:E2_1_2_9_km} + (E2_1_2_9 * C00234 * C02430))</v>
      </c>
    </row>
    <row r="1482" spans="1:11" ht="45" customHeight="1" x14ac:dyDescent="0.25">
      <c r="A1482" t="s">
        <v>5948</v>
      </c>
      <c r="B1482" t="s">
        <v>5949</v>
      </c>
      <c r="C1482" s="5" t="s">
        <v>9804</v>
      </c>
      <c r="D1482">
        <f t="shared" si="92"/>
        <v>1481</v>
      </c>
      <c r="E1482" t="str">
        <f t="shared" si="93"/>
        <v>E3_5_1_88</v>
      </c>
      <c r="F1482" s="11" t="s">
        <v>14518</v>
      </c>
      <c r="G1482" s="11" t="s">
        <v>15121</v>
      </c>
      <c r="H1482" s="11" t="s">
        <v>15742</v>
      </c>
      <c r="I1482" s="11" t="s">
        <v>16363</v>
      </c>
      <c r="J1482" s="12" t="str">
        <f t="shared" si="94"/>
        <v>(${Variables:E3_5_1_88_kcat} * E3_5_1_88 * C00001 * C11439)/(${Variables:E3_5_1_88_km} + (E3_5_1_88 * C00001 * C11439))</v>
      </c>
      <c r="K1482" s="11" t="str">
        <f t="shared" si="95"/>
        <v>r1481: C00001 + C11439 -&gt; C00058 + C11440 | (${Variables:E3_5_1_88_kcat} * E3_5_1_88 * C00001 * C11439)/(${Variables:E3_5_1_88_km} + (E3_5_1_88 * C00001 * C11439))</v>
      </c>
    </row>
    <row r="1483" spans="1:11" ht="45" customHeight="1" x14ac:dyDescent="0.25">
      <c r="A1483" t="s">
        <v>5948</v>
      </c>
      <c r="B1483" t="s">
        <v>5949</v>
      </c>
      <c r="C1483" s="5" t="s">
        <v>9804</v>
      </c>
      <c r="D1483">
        <f t="shared" si="92"/>
        <v>1482</v>
      </c>
      <c r="E1483" t="str">
        <f t="shared" si="93"/>
        <v>E3_5_1_88</v>
      </c>
      <c r="F1483" s="11" t="s">
        <v>14519</v>
      </c>
      <c r="G1483" s="11" t="s">
        <v>15122</v>
      </c>
      <c r="H1483" s="11" t="s">
        <v>9175</v>
      </c>
      <c r="I1483" s="11" t="s">
        <v>9374</v>
      </c>
      <c r="J1483" s="12" t="str">
        <f t="shared" si="94"/>
        <v>(${Variables:E3_5_1_88_kcat} * E3_5_1_88 * C00001 * C04258)/(${Variables:E3_5_1_88_km} + (E3_5_1_88 * C00001 * C04258))</v>
      </c>
      <c r="K1483" s="11" t="str">
        <f t="shared" si="95"/>
        <v>r1482: C00001 + C04258 -&gt; C00058 + C03617 | (${Variables:E3_5_1_88_kcat} * E3_5_1_88 * C00001 * C04258)/(${Variables:E3_5_1_88_km} + (E3_5_1_88 * C00001 * C04258))</v>
      </c>
    </row>
    <row r="1484" spans="1:11" ht="45" customHeight="1" x14ac:dyDescent="0.25">
      <c r="A1484" t="s">
        <v>5957</v>
      </c>
      <c r="B1484" t="s">
        <v>5958</v>
      </c>
      <c r="C1484" s="5" t="s">
        <v>9805</v>
      </c>
      <c r="D1484">
        <f t="shared" si="92"/>
        <v>1483</v>
      </c>
      <c r="E1484" t="str">
        <f t="shared" si="93"/>
        <v>E5_4_2_7</v>
      </c>
      <c r="F1484" s="11" t="s">
        <v>8097</v>
      </c>
      <c r="G1484" s="11" t="s">
        <v>8097</v>
      </c>
      <c r="H1484" s="11" t="s">
        <v>8344</v>
      </c>
      <c r="I1484" s="11" t="s">
        <v>8344</v>
      </c>
      <c r="J1484" s="12" t="str">
        <f t="shared" si="94"/>
        <v>(${Variables:E5_4_2_7_kcat} * E5_4_2_7 * C00620)/(${Variables:E5_4_2_7_km} + (E5_4_2_7 * C00620))</v>
      </c>
      <c r="K1484" s="11" t="str">
        <f t="shared" si="95"/>
        <v>r1483: C00620 -&gt; C00117 | (${Variables:E5_4_2_7_kcat} * E5_4_2_7 * C00620)/(${Variables:E5_4_2_7_km} + (E5_4_2_7 * C00620))</v>
      </c>
    </row>
    <row r="1485" spans="1:11" ht="45" customHeight="1" x14ac:dyDescent="0.25">
      <c r="A1485" t="s">
        <v>5957</v>
      </c>
      <c r="B1485" t="s">
        <v>5958</v>
      </c>
      <c r="C1485" s="5" t="s">
        <v>9805</v>
      </c>
      <c r="D1485">
        <f t="shared" si="92"/>
        <v>1484</v>
      </c>
      <c r="E1485" t="str">
        <f t="shared" si="93"/>
        <v>E5_4_2_7</v>
      </c>
      <c r="F1485" s="11" t="s">
        <v>8376</v>
      </c>
      <c r="G1485" s="11" t="s">
        <v>8376</v>
      </c>
      <c r="H1485" s="11" t="s">
        <v>8297</v>
      </c>
      <c r="I1485" s="11" t="s">
        <v>8297</v>
      </c>
      <c r="J1485" s="12" t="str">
        <f t="shared" si="94"/>
        <v>(${Variables:E5_4_2_7_kcat} * E5_4_2_7 * C00672)/(${Variables:E5_4_2_7_km} + (E5_4_2_7 * C00672))</v>
      </c>
      <c r="K1485" s="11" t="str">
        <f t="shared" si="95"/>
        <v>r1484: C00672 -&gt; C00673 | (${Variables:E5_4_2_7_kcat} * E5_4_2_7 * C00672)/(${Variables:E5_4_2_7_km} + (E5_4_2_7 * C00672))</v>
      </c>
    </row>
    <row r="1486" spans="1:11" ht="45" customHeight="1" x14ac:dyDescent="0.25">
      <c r="A1486" t="s">
        <v>5974</v>
      </c>
      <c r="B1486" t="s">
        <v>5975</v>
      </c>
      <c r="C1486" s="5" t="s">
        <v>9806</v>
      </c>
      <c r="D1486">
        <f t="shared" si="92"/>
        <v>1485</v>
      </c>
      <c r="E1486" t="str">
        <f t="shared" si="93"/>
        <v>E1_3_1_9</v>
      </c>
      <c r="F1486" s="11" t="s">
        <v>14520</v>
      </c>
      <c r="G1486" s="11" t="s">
        <v>15123</v>
      </c>
      <c r="H1486" s="11" t="s">
        <v>15743</v>
      </c>
      <c r="I1486" s="11" t="s">
        <v>16364</v>
      </c>
      <c r="J1486" s="12" t="str">
        <f t="shared" si="94"/>
        <v>(${Variables:E1_3_1_9_kcat} * E1_3_1_9 * C00003 * C00173)/(${Variables:E1_3_1_9_km} + (E1_3_1_9 * C00003 * C00173))</v>
      </c>
      <c r="K1486" s="11" t="str">
        <f t="shared" si="95"/>
        <v>r1485: C00003 + C00173 -&gt; C00004 + C00080 + C00693 | (${Variables:E1_3_1_9_kcat} * E1_3_1_9 * C00003 * C00173)/(${Variables:E1_3_1_9_km} + (E1_3_1_9 * C00003 * C00173))</v>
      </c>
    </row>
    <row r="1487" spans="1:11" ht="45" customHeight="1" x14ac:dyDescent="0.25">
      <c r="A1487" t="s">
        <v>5974</v>
      </c>
      <c r="B1487" t="s">
        <v>5975</v>
      </c>
      <c r="C1487" s="5" t="s">
        <v>9806</v>
      </c>
      <c r="D1487">
        <f t="shared" si="92"/>
        <v>1486</v>
      </c>
      <c r="E1487" t="str">
        <f t="shared" si="93"/>
        <v>E1_3_1_9</v>
      </c>
      <c r="F1487" s="11" t="s">
        <v>14521</v>
      </c>
      <c r="G1487" s="11" t="s">
        <v>15124</v>
      </c>
      <c r="H1487" s="11" t="s">
        <v>15744</v>
      </c>
      <c r="I1487" s="11" t="s">
        <v>16365</v>
      </c>
      <c r="J1487" s="12" t="str">
        <f t="shared" si="94"/>
        <v>(${Variables:E1_3_1_9_kcat} * E1_3_1_9 * C00003 * C05745)/(${Variables:E1_3_1_9_km} + (E1_3_1_9 * C00003 * C05745))</v>
      </c>
      <c r="K1487" s="11" t="str">
        <f t="shared" si="95"/>
        <v>r1486: C00003 + C05745 -&gt; C00004 + C00080 + C04246 | (${Variables:E1_3_1_9_kcat} * E1_3_1_9 * C00003 * C05745)/(${Variables:E1_3_1_9_km} + (E1_3_1_9 * C00003 * C05745))</v>
      </c>
    </row>
    <row r="1488" spans="1:11" ht="45" customHeight="1" x14ac:dyDescent="0.25">
      <c r="A1488" t="s">
        <v>5974</v>
      </c>
      <c r="B1488" t="s">
        <v>5975</v>
      </c>
      <c r="C1488" s="5" t="s">
        <v>9806</v>
      </c>
      <c r="D1488">
        <f t="shared" si="92"/>
        <v>1487</v>
      </c>
      <c r="E1488" t="str">
        <f t="shared" si="93"/>
        <v>E1_3_1_9</v>
      </c>
      <c r="F1488" s="11" t="s">
        <v>14522</v>
      </c>
      <c r="G1488" s="11" t="s">
        <v>15125</v>
      </c>
      <c r="H1488" s="11" t="s">
        <v>15745</v>
      </c>
      <c r="I1488" s="11" t="s">
        <v>16366</v>
      </c>
      <c r="J1488" s="12" t="str">
        <f t="shared" si="94"/>
        <v>(${Variables:E1_3_1_9_kcat} * E1_3_1_9 * C00003 * C05223)/(${Variables:E1_3_1_9_km} + (E1_3_1_9 * C00003 * C05223))</v>
      </c>
      <c r="K1488" s="11" t="str">
        <f t="shared" si="95"/>
        <v>r1487: C00003 + C05223 -&gt; C00004 + C00080 + C05758 | (${Variables:E1_3_1_9_kcat} * E1_3_1_9 * C00003 * C05223)/(${Variables:E1_3_1_9_km} + (E1_3_1_9 * C00003 * C05223))</v>
      </c>
    </row>
    <row r="1489" spans="1:11" ht="45" customHeight="1" x14ac:dyDescent="0.25">
      <c r="A1489" t="s">
        <v>5974</v>
      </c>
      <c r="B1489" t="s">
        <v>5975</v>
      </c>
      <c r="C1489" s="5" t="s">
        <v>9806</v>
      </c>
      <c r="D1489">
        <f t="shared" si="92"/>
        <v>1488</v>
      </c>
      <c r="E1489" t="str">
        <f t="shared" si="93"/>
        <v>E1_3_1_9</v>
      </c>
      <c r="F1489" s="11" t="s">
        <v>14523</v>
      </c>
      <c r="G1489" s="11" t="s">
        <v>15126</v>
      </c>
      <c r="H1489" s="11" t="s">
        <v>15746</v>
      </c>
      <c r="I1489" s="11" t="s">
        <v>16367</v>
      </c>
      <c r="J1489" s="12" t="str">
        <f t="shared" si="94"/>
        <v>(${Variables:E1_3_1_9_kcat} * E1_3_1_9 * C00003 * C05749)/(${Variables:E1_3_1_9_km} + (E1_3_1_9 * C00003 * C05749))</v>
      </c>
      <c r="K1489" s="11" t="str">
        <f t="shared" si="95"/>
        <v>r1488: C00003 + C05749 -&gt; C00004 + C00080 + C05748 | (${Variables:E1_3_1_9_kcat} * E1_3_1_9 * C00003 * C05749)/(${Variables:E1_3_1_9_km} + (E1_3_1_9 * C00003 * C05749))</v>
      </c>
    </row>
    <row r="1490" spans="1:11" ht="45" customHeight="1" x14ac:dyDescent="0.25">
      <c r="A1490" t="s">
        <v>5974</v>
      </c>
      <c r="B1490" t="s">
        <v>5975</v>
      </c>
      <c r="C1490" s="5" t="s">
        <v>9806</v>
      </c>
      <c r="D1490">
        <f t="shared" si="92"/>
        <v>1489</v>
      </c>
      <c r="E1490" t="str">
        <f t="shared" si="93"/>
        <v>E1_3_1_9</v>
      </c>
      <c r="F1490" s="11" t="s">
        <v>14524</v>
      </c>
      <c r="G1490" s="11" t="s">
        <v>15127</v>
      </c>
      <c r="H1490" s="11" t="s">
        <v>15747</v>
      </c>
      <c r="I1490" s="11" t="s">
        <v>16368</v>
      </c>
      <c r="J1490" s="12" t="str">
        <f t="shared" si="94"/>
        <v>(${Variables:E1_3_1_9_kcat} * E1_3_1_9 * C00003 * C05752)/(${Variables:E1_3_1_9_km} + (E1_3_1_9 * C00003 * C05752))</v>
      </c>
      <c r="K1490" s="11" t="str">
        <f t="shared" si="95"/>
        <v>r1489: C00003 + C05752 -&gt; C00004 + C00080 + C05751 | (${Variables:E1_3_1_9_kcat} * E1_3_1_9 * C00003 * C05752)/(${Variables:E1_3_1_9_km} + (E1_3_1_9 * C00003 * C05752))</v>
      </c>
    </row>
    <row r="1491" spans="1:11" ht="45" customHeight="1" x14ac:dyDescent="0.25">
      <c r="A1491" t="s">
        <v>5974</v>
      </c>
      <c r="B1491" t="s">
        <v>5975</v>
      </c>
      <c r="C1491" s="5" t="s">
        <v>9806</v>
      </c>
      <c r="D1491">
        <f t="shared" si="92"/>
        <v>1490</v>
      </c>
      <c r="E1491" t="str">
        <f t="shared" si="93"/>
        <v>E1_3_1_9</v>
      </c>
      <c r="F1491" s="11" t="s">
        <v>14525</v>
      </c>
      <c r="G1491" s="11" t="s">
        <v>15128</v>
      </c>
      <c r="H1491" s="11" t="s">
        <v>15748</v>
      </c>
      <c r="I1491" s="11" t="s">
        <v>16369</v>
      </c>
      <c r="J1491" s="12" t="str">
        <f t="shared" si="94"/>
        <v>(${Variables:E1_3_1_9_kcat} * E1_3_1_9 * C00003 * C05755)/(${Variables:E1_3_1_9_km} + (E1_3_1_9 * C00003 * C05755))</v>
      </c>
      <c r="K1491" s="11" t="str">
        <f t="shared" si="95"/>
        <v>r1490: C00003 + C05755 -&gt; C00004 + C00080 + C05754 | (${Variables:E1_3_1_9_kcat} * E1_3_1_9 * C00003 * C05755)/(${Variables:E1_3_1_9_km} + (E1_3_1_9 * C00003 * C05755))</v>
      </c>
    </row>
    <row r="1492" spans="1:11" ht="45" customHeight="1" x14ac:dyDescent="0.25">
      <c r="A1492" t="s">
        <v>5974</v>
      </c>
      <c r="B1492" t="s">
        <v>5975</v>
      </c>
      <c r="C1492" s="5" t="s">
        <v>9806</v>
      </c>
      <c r="D1492">
        <f t="shared" si="92"/>
        <v>1491</v>
      </c>
      <c r="E1492" t="str">
        <f t="shared" si="93"/>
        <v>E1_3_1_9</v>
      </c>
      <c r="F1492" s="11" t="s">
        <v>14526</v>
      </c>
      <c r="G1492" s="11" t="s">
        <v>15129</v>
      </c>
      <c r="H1492" s="11" t="s">
        <v>15749</v>
      </c>
      <c r="I1492" s="11" t="s">
        <v>16370</v>
      </c>
      <c r="J1492" s="12" t="str">
        <f t="shared" si="94"/>
        <v>(${Variables:E1_3_1_9_kcat} * E1_3_1_9 * C00003 * C05761)/(${Variables:E1_3_1_9_km} + (E1_3_1_9 * C00003 * C05761))</v>
      </c>
      <c r="K1492" s="11" t="str">
        <f t="shared" si="95"/>
        <v>r1491: C00003 + C05761 -&gt; C00004 + C00080 + C05760 | (${Variables:E1_3_1_9_kcat} * E1_3_1_9 * C00003 * C05761)/(${Variables:E1_3_1_9_km} + (E1_3_1_9 * C00003 * C05761))</v>
      </c>
    </row>
    <row r="1493" spans="1:11" ht="45" customHeight="1" x14ac:dyDescent="0.25">
      <c r="A1493" t="s">
        <v>5974</v>
      </c>
      <c r="B1493" t="s">
        <v>5975</v>
      </c>
      <c r="C1493" s="5" t="s">
        <v>9806</v>
      </c>
      <c r="D1493">
        <f t="shared" si="92"/>
        <v>1492</v>
      </c>
      <c r="E1493" t="str">
        <f t="shared" si="93"/>
        <v>E1_3_1_9</v>
      </c>
      <c r="F1493" s="11" t="s">
        <v>14527</v>
      </c>
      <c r="G1493" s="11" t="s">
        <v>15130</v>
      </c>
      <c r="H1493" s="11" t="s">
        <v>15750</v>
      </c>
      <c r="I1493" s="11" t="s">
        <v>16371</v>
      </c>
      <c r="J1493" s="12" t="str">
        <f t="shared" si="94"/>
        <v>(${Variables:E1_3_1_9_kcat} * E1_3_1_9 * C00003 * C05764)/(${Variables:E1_3_1_9_km} + (E1_3_1_9 * C00003 * C05764))</v>
      </c>
      <c r="K1493" s="11" t="str">
        <f t="shared" si="95"/>
        <v>r1492: C00003 + C05764 -&gt; C00004 + C00080 + C05763 | (${Variables:E1_3_1_9_kcat} * E1_3_1_9 * C00003 * C05764)/(${Variables:E1_3_1_9_km} + (E1_3_1_9 * C00003 * C05764))</v>
      </c>
    </row>
    <row r="1494" spans="1:11" ht="45" customHeight="1" x14ac:dyDescent="0.25">
      <c r="A1494" t="s">
        <v>5974</v>
      </c>
      <c r="B1494" t="s">
        <v>5975</v>
      </c>
      <c r="C1494" s="5" t="s">
        <v>9806</v>
      </c>
      <c r="D1494">
        <f t="shared" si="92"/>
        <v>1493</v>
      </c>
      <c r="E1494" t="str">
        <f t="shared" si="93"/>
        <v>E1_3_1_9</v>
      </c>
      <c r="F1494" s="11" t="s">
        <v>14528</v>
      </c>
      <c r="G1494" s="11" t="s">
        <v>15131</v>
      </c>
      <c r="H1494" s="11" t="s">
        <v>15751</v>
      </c>
      <c r="I1494" s="11" t="s">
        <v>16372</v>
      </c>
      <c r="J1494" s="12" t="str">
        <f t="shared" si="94"/>
        <v>(${Variables:E1_3_1_9_kcat} * E1_3_1_9 * C00004 * C00080 * C16221)/(${Variables:E1_3_1_9_km} + (E1_3_1_9 * C00004 * C00080 * C16221))</v>
      </c>
      <c r="K1494" s="11" t="str">
        <f t="shared" si="95"/>
        <v>r1493: C00004 + C00080 + C16221 -&gt; C00003 + C04088 | (${Variables:E1_3_1_9_kcat} * E1_3_1_9 * C00004 * C00080 * C16221)/(${Variables:E1_3_1_9_km} + (E1_3_1_9 * C00004 * C00080 * C16221))</v>
      </c>
    </row>
    <row r="1495" spans="1:11" ht="45" customHeight="1" x14ac:dyDescent="0.25">
      <c r="A1495" t="s">
        <v>5983</v>
      </c>
      <c r="B1495" t="s">
        <v>5984</v>
      </c>
      <c r="C1495" s="5" t="s">
        <v>9807</v>
      </c>
      <c r="D1495">
        <f t="shared" si="92"/>
        <v>1494</v>
      </c>
      <c r="E1495" t="str">
        <f t="shared" si="93"/>
        <v>E1_17_7_1</v>
      </c>
      <c r="F1495" s="11" t="s">
        <v>14529</v>
      </c>
      <c r="G1495" s="11" t="s">
        <v>15132</v>
      </c>
      <c r="H1495" s="11" t="s">
        <v>15752</v>
      </c>
      <c r="I1495" s="11" t="s">
        <v>16373</v>
      </c>
      <c r="J1495" s="12" t="str">
        <f t="shared" si="94"/>
        <v>(${Variables:E1_17_7_1_kcat} * E1_17_7_1 * C00138 * C11453)/(${Variables:E1_17_7_1_km} + (E1_17_7_1 * C00138 * C11453))</v>
      </c>
      <c r="K1495" s="11" t="str">
        <f t="shared" si="95"/>
        <v>r1494: C00138 + C11453 -&gt; C00001 + C00139 + C11811 | (${Variables:E1_17_7_1_kcat} * E1_17_7_1 * C00138 * C11453)/(${Variables:E1_17_7_1_km} + (E1_17_7_1 * C00138 * C11453))</v>
      </c>
    </row>
    <row r="1496" spans="1:11" ht="45" customHeight="1" x14ac:dyDescent="0.25">
      <c r="A1496" t="s">
        <v>5986</v>
      </c>
      <c r="B1496" t="s">
        <v>5987</v>
      </c>
      <c r="C1496" s="5" t="s">
        <v>9808</v>
      </c>
      <c r="D1496">
        <f t="shared" si="92"/>
        <v>1495</v>
      </c>
      <c r="E1496" t="str">
        <f t="shared" si="93"/>
        <v>E2_4_2_29</v>
      </c>
      <c r="F1496" s="11" t="s">
        <v>8809</v>
      </c>
      <c r="G1496" s="11" t="s">
        <v>8975</v>
      </c>
      <c r="H1496" s="11" t="s">
        <v>15753</v>
      </c>
      <c r="I1496" s="11" t="s">
        <v>16374</v>
      </c>
      <c r="J1496" s="12" t="str">
        <f t="shared" si="94"/>
        <v>(${Variables:E2_4_2_29_kcat} * E2_4_2_29 * C01977 * C16675)/(${Variables:E2_4_2_29_km} + (E2_4_2_29 * C01977 * C16675))</v>
      </c>
      <c r="K1496" s="11" t="str">
        <f t="shared" si="95"/>
        <v>r1495: C01977 + C16675 -&gt; C00242 + C20446 | (${Variables:E2_4_2_29_kcat} * E2_4_2_29 * C01977 * C16675)/(${Variables:E2_4_2_29_km} + (E2_4_2_29 * C01977 * C16675))</v>
      </c>
    </row>
    <row r="1497" spans="1:11" ht="45" customHeight="1" x14ac:dyDescent="0.25">
      <c r="A1497" t="s">
        <v>6002</v>
      </c>
      <c r="B1497" t="s">
        <v>6003</v>
      </c>
      <c r="C1497" s="5" t="s">
        <v>9608</v>
      </c>
      <c r="D1497">
        <f t="shared" si="92"/>
        <v>1496</v>
      </c>
      <c r="E1497" t="str">
        <f t="shared" si="93"/>
        <v>E2_6_1_1</v>
      </c>
      <c r="F1497" s="11" t="s">
        <v>14253</v>
      </c>
      <c r="G1497" s="11" t="s">
        <v>14856</v>
      </c>
      <c r="H1497" s="11" t="s">
        <v>15463</v>
      </c>
      <c r="I1497" s="11" t="s">
        <v>16084</v>
      </c>
      <c r="J1497" s="12" t="str">
        <f t="shared" si="94"/>
        <v>(${Variables:E2_6_1_1_kcat} * E2_6_1_1 * C00026 * C00049)/(${Variables:E2_6_1_1_km} + (E2_6_1_1 * C00026 * C00049))</v>
      </c>
      <c r="K1497" s="11" t="str">
        <f t="shared" si="95"/>
        <v>r1496: C00026 + C00049 -&gt; C00025 + C00036 | (${Variables:E2_6_1_1_kcat} * E2_6_1_1 * C00026 * C00049)/(${Variables:E2_6_1_1_km} + (E2_6_1_1 * C00026 * C00049))</v>
      </c>
    </row>
    <row r="1498" spans="1:11" ht="45" customHeight="1" x14ac:dyDescent="0.25">
      <c r="A1498" t="s">
        <v>6002</v>
      </c>
      <c r="B1498" t="s">
        <v>6003</v>
      </c>
      <c r="C1498" s="5" t="s">
        <v>9608</v>
      </c>
      <c r="D1498">
        <f t="shared" si="92"/>
        <v>1497</v>
      </c>
      <c r="E1498" t="str">
        <f t="shared" si="93"/>
        <v>E2_6_1_1</v>
      </c>
      <c r="F1498" s="11" t="s">
        <v>14254</v>
      </c>
      <c r="G1498" s="11" t="s">
        <v>14857</v>
      </c>
      <c r="H1498" s="11" t="s">
        <v>15464</v>
      </c>
      <c r="I1498" s="11" t="s">
        <v>16085</v>
      </c>
      <c r="J1498" s="12" t="str">
        <f t="shared" si="94"/>
        <v>(${Variables:E2_6_1_1_kcat} * E2_6_1_1 * C00026 * C00079)/(${Variables:E2_6_1_1_km} + (E2_6_1_1 * C00026 * C00079))</v>
      </c>
      <c r="K1498" s="11" t="str">
        <f t="shared" si="95"/>
        <v>r1497: C00026 + C00079 -&gt; C00025 + C00166 | (${Variables:E2_6_1_1_kcat} * E2_6_1_1 * C00026 * C00079)/(${Variables:E2_6_1_1_km} + (E2_6_1_1 * C00026 * C00079))</v>
      </c>
    </row>
    <row r="1499" spans="1:11" ht="45" customHeight="1" x14ac:dyDescent="0.25">
      <c r="A1499" t="s">
        <v>6002</v>
      </c>
      <c r="B1499" t="s">
        <v>6003</v>
      </c>
      <c r="C1499" s="5" t="s">
        <v>9608</v>
      </c>
      <c r="D1499">
        <f t="shared" si="92"/>
        <v>1498</v>
      </c>
      <c r="E1499" t="str">
        <f t="shared" si="93"/>
        <v>E2_6_1_1</v>
      </c>
      <c r="F1499" s="11" t="s">
        <v>14255</v>
      </c>
      <c r="G1499" s="11" t="s">
        <v>14858</v>
      </c>
      <c r="H1499" s="11" t="s">
        <v>15465</v>
      </c>
      <c r="I1499" s="11" t="s">
        <v>16086</v>
      </c>
      <c r="J1499" s="12" t="str">
        <f t="shared" si="94"/>
        <v>(${Variables:E2_6_1_1_kcat} * E2_6_1_1 * C00026 * C00082)/(${Variables:E2_6_1_1_km} + (E2_6_1_1 * C00026 * C00082))</v>
      </c>
      <c r="K1499" s="11" t="str">
        <f t="shared" si="95"/>
        <v>r1498: C00026 + C00082 -&gt; C00025 + C01179 | (${Variables:E2_6_1_1_kcat} * E2_6_1_1 * C00026 * C00082)/(${Variables:E2_6_1_1_km} + (E2_6_1_1 * C00026 * C00082))</v>
      </c>
    </row>
    <row r="1500" spans="1:11" ht="45" customHeight="1" x14ac:dyDescent="0.25">
      <c r="A1500" t="s">
        <v>6002</v>
      </c>
      <c r="B1500" t="s">
        <v>6003</v>
      </c>
      <c r="C1500" s="5" t="s">
        <v>9608</v>
      </c>
      <c r="D1500">
        <f t="shared" si="92"/>
        <v>1499</v>
      </c>
      <c r="E1500" t="str">
        <f t="shared" si="93"/>
        <v>E2_6_1_1</v>
      </c>
      <c r="F1500" s="11" t="s">
        <v>14256</v>
      </c>
      <c r="G1500" s="11" t="s">
        <v>14859</v>
      </c>
      <c r="H1500" s="11" t="s">
        <v>15466</v>
      </c>
      <c r="I1500" s="11" t="s">
        <v>16087</v>
      </c>
      <c r="J1500" s="12" t="str">
        <f t="shared" si="94"/>
        <v>(${Variables:E2_6_1_1_kcat} * E2_6_1_1 * C00026 * C00097)/(${Variables:E2_6_1_1_km} + (E2_6_1_1 * C00026 * C00097))</v>
      </c>
      <c r="K1500" s="11" t="str">
        <f t="shared" si="95"/>
        <v>r1499: C00026 + C00097 -&gt; C00025 + C00957 | (${Variables:E2_6_1_1_kcat} * E2_6_1_1 * C00026 * C00097)/(${Variables:E2_6_1_1_km} + (E2_6_1_1 * C00026 * C00097))</v>
      </c>
    </row>
    <row r="1501" spans="1:11" ht="45" customHeight="1" x14ac:dyDescent="0.25">
      <c r="A1501" t="s">
        <v>6002</v>
      </c>
      <c r="B1501" t="s">
        <v>6003</v>
      </c>
      <c r="C1501" s="5" t="s">
        <v>9608</v>
      </c>
      <c r="D1501">
        <f t="shared" si="92"/>
        <v>1500</v>
      </c>
      <c r="E1501" t="str">
        <f t="shared" si="93"/>
        <v>E2_6_1_1</v>
      </c>
      <c r="F1501" s="11" t="s">
        <v>14256</v>
      </c>
      <c r="G1501" s="11" t="s">
        <v>14859</v>
      </c>
      <c r="H1501" s="11" t="s">
        <v>15467</v>
      </c>
      <c r="I1501" s="11" t="s">
        <v>16088</v>
      </c>
      <c r="J1501" s="12" t="str">
        <f t="shared" si="94"/>
        <v>(${Variables:E2_6_1_1_kcat} * E2_6_1_1 * C00026 * C00097)/(${Variables:E2_6_1_1_km} + (E2_6_1_1 * C00026 * C00097))</v>
      </c>
      <c r="K1501" s="11" t="str">
        <f t="shared" si="95"/>
        <v>r1500: C00026 + C00097 -&gt; C00302 + C00957 | (${Variables:E2_6_1_1_kcat} * E2_6_1_1 * C00026 * C00097)/(${Variables:E2_6_1_1_km} + (E2_6_1_1 * C00026 * C00097))</v>
      </c>
    </row>
    <row r="1502" spans="1:11" ht="45" customHeight="1" x14ac:dyDescent="0.25">
      <c r="A1502" t="s">
        <v>6002</v>
      </c>
      <c r="B1502" t="s">
        <v>6003</v>
      </c>
      <c r="C1502" s="5" t="s">
        <v>9608</v>
      </c>
      <c r="D1502">
        <f t="shared" si="92"/>
        <v>1501</v>
      </c>
      <c r="E1502" t="str">
        <f t="shared" si="93"/>
        <v>E2_6_1_1</v>
      </c>
      <c r="F1502" s="11" t="s">
        <v>14257</v>
      </c>
      <c r="G1502" s="11" t="s">
        <v>14860</v>
      </c>
      <c r="H1502" s="11" t="s">
        <v>15468</v>
      </c>
      <c r="I1502" s="11" t="s">
        <v>16089</v>
      </c>
      <c r="J1502" s="12" t="str">
        <f t="shared" si="94"/>
        <v>(${Variables:E2_6_1_1_kcat} * E2_6_1_1 * C00026 * C00506)/(${Variables:E2_6_1_1_km} + (E2_6_1_1 * C00026 * C00506))</v>
      </c>
      <c r="K1502" s="11" t="str">
        <f t="shared" si="95"/>
        <v>r1501: C00026 + C00506 -&gt; C00025 + C05528 | (${Variables:E2_6_1_1_kcat} * E2_6_1_1 * C00026 * C00506)/(${Variables:E2_6_1_1_km} + (E2_6_1_1 * C00026 * C00506))</v>
      </c>
    </row>
    <row r="1503" spans="1:11" ht="45" customHeight="1" x14ac:dyDescent="0.25">
      <c r="A1503" t="s">
        <v>6002</v>
      </c>
      <c r="B1503" t="s">
        <v>6003</v>
      </c>
      <c r="C1503" s="5" t="s">
        <v>9608</v>
      </c>
      <c r="D1503">
        <f t="shared" si="92"/>
        <v>1502</v>
      </c>
      <c r="E1503" t="str">
        <f t="shared" si="93"/>
        <v>E2_6_1_1</v>
      </c>
      <c r="F1503" s="11" t="s">
        <v>14258</v>
      </c>
      <c r="G1503" s="11" t="s">
        <v>14861</v>
      </c>
      <c r="H1503" s="11" t="s">
        <v>15469</v>
      </c>
      <c r="I1503" s="11" t="s">
        <v>16090</v>
      </c>
      <c r="J1503" s="12" t="str">
        <f t="shared" si="94"/>
        <v>(${Variables:E2_6_1_1_kcat} * E2_6_1_1 * C00026 * C00606)/(${Variables:E2_6_1_1_km} + (E2_6_1_1 * C00026 * C00606))</v>
      </c>
      <c r="K1503" s="11" t="str">
        <f t="shared" si="95"/>
        <v>r1502: C00026 + C00606 -&gt; C00025 + C05527 | (${Variables:E2_6_1_1_kcat} * E2_6_1_1 * C00026 * C00606)/(${Variables:E2_6_1_1_km} + (E2_6_1_1 * C00026 * C00606))</v>
      </c>
    </row>
    <row r="1504" spans="1:11" ht="45" customHeight="1" x14ac:dyDescent="0.25">
      <c r="A1504" t="s">
        <v>6002</v>
      </c>
      <c r="B1504" t="s">
        <v>6003</v>
      </c>
      <c r="C1504" s="5" t="s">
        <v>9608</v>
      </c>
      <c r="D1504">
        <f t="shared" si="92"/>
        <v>1503</v>
      </c>
      <c r="E1504" t="str">
        <f t="shared" si="93"/>
        <v>E2_6_1_1</v>
      </c>
      <c r="F1504" s="11" t="s">
        <v>14259</v>
      </c>
      <c r="G1504" s="11" t="s">
        <v>14862</v>
      </c>
      <c r="H1504" s="11" t="s">
        <v>15470</v>
      </c>
      <c r="I1504" s="11" t="s">
        <v>16091</v>
      </c>
      <c r="J1504" s="12" t="str">
        <f t="shared" si="94"/>
        <v>(${Variables:E2_6_1_1_kcat} * E2_6_1_1 * C00026 * C05947)/(${Variables:E2_6_1_1_km} + (E2_6_1_1 * C00026 * C05947))</v>
      </c>
      <c r="K1504" s="11" t="str">
        <f t="shared" si="95"/>
        <v>r1503: C00026 + C05947 -&gt; C00025 + C05946 | (${Variables:E2_6_1_1_kcat} * E2_6_1_1 * C00026 * C05947)/(${Variables:E2_6_1_1_km} + (E2_6_1_1 * C00026 * C05947))</v>
      </c>
    </row>
    <row r="1505" spans="1:11" ht="45" customHeight="1" x14ac:dyDescent="0.25">
      <c r="A1505" t="s">
        <v>6040</v>
      </c>
      <c r="B1505" t="s">
        <v>6041</v>
      </c>
      <c r="C1505" s="5" t="s">
        <v>9402</v>
      </c>
      <c r="D1505">
        <f t="shared" si="92"/>
        <v>1504</v>
      </c>
      <c r="E1505" t="str">
        <f t="shared" si="93"/>
        <v>E1_3_8_1</v>
      </c>
      <c r="F1505" s="11" t="s">
        <v>13971</v>
      </c>
      <c r="G1505" s="11" t="s">
        <v>14574</v>
      </c>
      <c r="H1505" s="11" t="s">
        <v>15163</v>
      </c>
      <c r="I1505" s="11" t="s">
        <v>15784</v>
      </c>
      <c r="J1505" s="12" t="str">
        <f t="shared" si="94"/>
        <v>(${Variables:E1_3_8_1_kcat} * E1_3_8_1 * C04253 * C20675)/(${Variables:E1_3_8_1_km} + (E1_3_8_1 * C04253 * C20675))</v>
      </c>
      <c r="K1505" s="11" t="str">
        <f t="shared" si="95"/>
        <v>r1504: C04253 + C20675 -&gt; C04570 + C20676 | (${Variables:E1_3_8_1_kcat} * E1_3_8_1 * C04253 * C20675)/(${Variables:E1_3_8_1_km} + (E1_3_8_1 * C04253 * C20675))</v>
      </c>
    </row>
    <row r="1506" spans="1:11" ht="45" customHeight="1" x14ac:dyDescent="0.25">
      <c r="A1506" t="s">
        <v>6040</v>
      </c>
      <c r="B1506" t="s">
        <v>6041</v>
      </c>
      <c r="C1506" s="5" t="s">
        <v>9402</v>
      </c>
      <c r="D1506">
        <f t="shared" si="92"/>
        <v>1505</v>
      </c>
      <c r="E1506" t="str">
        <f t="shared" si="93"/>
        <v>E1_3_8_1</v>
      </c>
      <c r="F1506" s="11" t="s">
        <v>13972</v>
      </c>
      <c r="G1506" s="11" t="s">
        <v>14575</v>
      </c>
      <c r="H1506" s="11" t="s">
        <v>15164</v>
      </c>
      <c r="I1506" s="11" t="s">
        <v>15785</v>
      </c>
      <c r="J1506" s="12" t="str">
        <f t="shared" si="94"/>
        <v>(${Variables:E1_3_8_1_kcat} * E1_3_8_1 * C00016 * C00136)/(${Variables:E1_3_8_1_km} + (E1_3_8_1 * C00016 * C00136))</v>
      </c>
      <c r="K1506" s="11" t="str">
        <f t="shared" si="95"/>
        <v>r1505: C00016 + C00136 -&gt; C00877 + C01352 | (${Variables:E1_3_8_1_kcat} * E1_3_8_1 * C00016 * C00136)/(${Variables:E1_3_8_1_km} + (E1_3_8_1 * C00016 * C00136))</v>
      </c>
    </row>
    <row r="1507" spans="1:11" ht="45" customHeight="1" x14ac:dyDescent="0.25">
      <c r="A1507" t="s">
        <v>6040</v>
      </c>
      <c r="B1507" t="s">
        <v>6041</v>
      </c>
      <c r="C1507" s="5" t="s">
        <v>9402</v>
      </c>
      <c r="D1507">
        <f t="shared" si="92"/>
        <v>1506</v>
      </c>
      <c r="E1507" t="str">
        <f t="shared" si="93"/>
        <v>E1_3_8_1</v>
      </c>
      <c r="F1507" s="11" t="s">
        <v>13973</v>
      </c>
      <c r="G1507" s="11" t="s">
        <v>14576</v>
      </c>
      <c r="H1507" s="11" t="s">
        <v>15165</v>
      </c>
      <c r="I1507" s="11" t="s">
        <v>15786</v>
      </c>
      <c r="J1507" s="12" t="str">
        <f t="shared" si="94"/>
        <v>(${Variables:E1_3_8_1_kcat} * E1_3_8_1 * C00016 * C05270)/(${Variables:E1_3_8_1_km} + (E1_3_8_1 * C00016 * C05270))</v>
      </c>
      <c r="K1507" s="11" t="str">
        <f t="shared" si="95"/>
        <v>r1506: C00016 + C05270 -&gt; C01352 + C05271 | (${Variables:E1_3_8_1_kcat} * E1_3_8_1 * C00016 * C05270)/(${Variables:E1_3_8_1_km} + (E1_3_8_1 * C00016 * C05270))</v>
      </c>
    </row>
    <row r="1508" spans="1:11" ht="45" customHeight="1" x14ac:dyDescent="0.25">
      <c r="A1508" t="s">
        <v>6040</v>
      </c>
      <c r="B1508" t="s">
        <v>6041</v>
      </c>
      <c r="C1508" s="5" t="s">
        <v>9402</v>
      </c>
      <c r="D1508">
        <f t="shared" si="92"/>
        <v>1507</v>
      </c>
      <c r="E1508" t="str">
        <f t="shared" si="93"/>
        <v>E1_3_8_1</v>
      </c>
      <c r="F1508" s="11" t="s">
        <v>13974</v>
      </c>
      <c r="G1508" s="11" t="s">
        <v>14577</v>
      </c>
      <c r="H1508" s="11" t="s">
        <v>15166</v>
      </c>
      <c r="I1508" s="11" t="s">
        <v>15787</v>
      </c>
      <c r="J1508" s="12" t="str">
        <f t="shared" si="94"/>
        <v>(${Variables:E1_3_8_1_kcat} * E1_3_8_1 * C00028 * C00630)/(${Variables:E1_3_8_1_km} + (E1_3_8_1 * C00028 * C00630))</v>
      </c>
      <c r="K1508" s="11" t="str">
        <f t="shared" si="95"/>
        <v>r1507: C00028 + C00630 -&gt; C00030 + C03460 | (${Variables:E1_3_8_1_kcat} * E1_3_8_1 * C00028 * C00630)/(${Variables:E1_3_8_1_km} + (E1_3_8_1 * C00028 * C00630))</v>
      </c>
    </row>
    <row r="1509" spans="1:11" ht="45" customHeight="1" x14ac:dyDescent="0.25">
      <c r="A1509" t="s">
        <v>6040</v>
      </c>
      <c r="B1509" t="s">
        <v>6041</v>
      </c>
      <c r="C1509" s="5" t="s">
        <v>9402</v>
      </c>
      <c r="D1509">
        <f t="shared" si="92"/>
        <v>1508</v>
      </c>
      <c r="E1509" t="str">
        <f t="shared" si="93"/>
        <v>E1_3_8_1</v>
      </c>
      <c r="F1509" s="11" t="s">
        <v>13975</v>
      </c>
      <c r="G1509" s="11" t="s">
        <v>14578</v>
      </c>
      <c r="H1509" s="11" t="s">
        <v>15167</v>
      </c>
      <c r="I1509" s="11" t="s">
        <v>15788</v>
      </c>
      <c r="J1509" s="12" t="str">
        <f t="shared" si="94"/>
        <v>(${Variables:E1_3_8_1_kcat} * E1_3_8_1 * C00028 * C15980)/(${Variables:E1_3_8_1_km} + (E1_3_8_1 * C00028 * C15980))</v>
      </c>
      <c r="K1509" s="11" t="str">
        <f t="shared" si="95"/>
        <v>r1508: C00028 + C15980 -&gt; C00030 + C03345 | (${Variables:E1_3_8_1_kcat} * E1_3_8_1 * C00028 * C15980)/(${Variables:E1_3_8_1_km} + (E1_3_8_1 * C00028 * C15980))</v>
      </c>
    </row>
    <row r="1510" spans="1:11" ht="45" customHeight="1" x14ac:dyDescent="0.25">
      <c r="A1510" t="s">
        <v>6040</v>
      </c>
      <c r="B1510" t="s">
        <v>6041</v>
      </c>
      <c r="C1510" s="5" t="s">
        <v>9402</v>
      </c>
      <c r="D1510">
        <f t="shared" si="92"/>
        <v>1509</v>
      </c>
      <c r="E1510" t="str">
        <f t="shared" si="93"/>
        <v>E1_3_8_1</v>
      </c>
      <c r="F1510" s="11" t="s">
        <v>13976</v>
      </c>
      <c r="G1510" s="11" t="s">
        <v>14579</v>
      </c>
      <c r="H1510" s="11" t="s">
        <v>15168</v>
      </c>
      <c r="I1510" s="11" t="s">
        <v>15789</v>
      </c>
      <c r="J1510" s="12" t="str">
        <f t="shared" si="94"/>
        <v>(${Variables:E1_3_8_1_kcat} * E1_3_8_1 * C00100 * C04253)/(${Variables:E1_3_8_1_km} + (E1_3_8_1 * C00100 * C04253))</v>
      </c>
      <c r="K1510" s="11" t="str">
        <f t="shared" si="95"/>
        <v>r1509: C00100 + C04253 -&gt; C00894 + C04570 | (${Variables:E1_3_8_1_kcat} * E1_3_8_1 * C00100 * C04253)/(${Variables:E1_3_8_1_km} + (E1_3_8_1 * C00100 * C04253))</v>
      </c>
    </row>
    <row r="1511" spans="1:11" ht="45" customHeight="1" x14ac:dyDescent="0.25">
      <c r="A1511" t="s">
        <v>6045</v>
      </c>
      <c r="B1511" t="s">
        <v>6046</v>
      </c>
      <c r="C1511" s="5" t="s">
        <v>9809</v>
      </c>
      <c r="D1511">
        <f t="shared" si="92"/>
        <v>1510</v>
      </c>
      <c r="E1511" t="str">
        <f t="shared" si="93"/>
        <v>E6_1_1_4</v>
      </c>
      <c r="F1511" s="11" t="s">
        <v>8810</v>
      </c>
      <c r="G1511" s="11" t="s">
        <v>8976</v>
      </c>
      <c r="H1511" s="11" t="s">
        <v>15754</v>
      </c>
      <c r="I1511" s="11" t="s">
        <v>16375</v>
      </c>
      <c r="J1511" s="12" t="str">
        <f t="shared" si="94"/>
        <v>(${Variables:E6_1_1_4_kcat} * E6_1_1_4 * C00002 * C00123 * C01645)/(${Variables:E6_1_1_4_km} + (E6_1_1_4 * C00002 * C00123 * C01645))</v>
      </c>
      <c r="K1511" s="11" t="str">
        <f t="shared" si="95"/>
        <v>r1510: C00002 + C00123 + C01645 -&gt; C00013 + C00020 + C02047 | (${Variables:E6_1_1_4_kcat} * E6_1_1_4 * C00002 * C00123 * C01645)/(${Variables:E6_1_1_4_km} + (E6_1_1_4 * C00002 * C00123 * C01645))</v>
      </c>
    </row>
    <row r="1512" spans="1:11" ht="45" customHeight="1" x14ac:dyDescent="0.25">
      <c r="A1512" t="s">
        <v>6052</v>
      </c>
      <c r="B1512" t="s">
        <v>6053</v>
      </c>
      <c r="C1512" s="5" t="s">
        <v>9810</v>
      </c>
      <c r="D1512">
        <f t="shared" si="92"/>
        <v>1511</v>
      </c>
      <c r="E1512" t="str">
        <f t="shared" si="93"/>
        <v>E1_2_1_41</v>
      </c>
      <c r="F1512" s="11" t="s">
        <v>14530</v>
      </c>
      <c r="G1512" s="11" t="s">
        <v>15133</v>
      </c>
      <c r="H1512" s="11" t="s">
        <v>15755</v>
      </c>
      <c r="I1512" s="11" t="s">
        <v>16376</v>
      </c>
      <c r="J1512" s="12" t="str">
        <f t="shared" si="94"/>
        <v>(${Variables:E1_2_1_41_kcat} * E1_2_1_41 * C00006 * C00009 * C01165)/(${Variables:E1_2_1_41_km} + (E1_2_1_41 * C00006 * C00009 * C01165))</v>
      </c>
      <c r="K1512" s="11" t="str">
        <f t="shared" si="95"/>
        <v>r1511: C00006 + C00009 + C01165 -&gt; C00005 + C00080 + C03287 | (${Variables:E1_2_1_41_kcat} * E1_2_1_41 * C00006 * C00009 * C01165)/(${Variables:E1_2_1_41_km} + (E1_2_1_41 * C00006 * C00009 * C01165))</v>
      </c>
    </row>
    <row r="1513" spans="1:11" ht="45" customHeight="1" x14ac:dyDescent="0.25">
      <c r="A1513" t="s">
        <v>6055</v>
      </c>
      <c r="B1513" t="s">
        <v>6056</v>
      </c>
      <c r="C1513" s="5" t="s">
        <v>9811</v>
      </c>
      <c r="D1513">
        <f t="shared" si="92"/>
        <v>1512</v>
      </c>
      <c r="E1513" t="str">
        <f t="shared" si="93"/>
        <v>E2_7_2_11</v>
      </c>
      <c r="F1513" s="11" t="s">
        <v>8811</v>
      </c>
      <c r="G1513" s="11" t="s">
        <v>8977</v>
      </c>
      <c r="H1513" s="11" t="s">
        <v>9176</v>
      </c>
      <c r="I1513" s="11" t="s">
        <v>9375</v>
      </c>
      <c r="J1513" s="12" t="str">
        <f t="shared" si="94"/>
        <v>(${Variables:E2_7_2_11_kcat} * E2_7_2_11 * C00002 * C00025)/(${Variables:E2_7_2_11_km} + (E2_7_2_11 * C00002 * C00025))</v>
      </c>
      <c r="K1513" s="11" t="str">
        <f t="shared" si="95"/>
        <v>r1512: C00002 + C00025 -&gt; C00008 + C03287 | (${Variables:E2_7_2_11_kcat} * E2_7_2_11 * C00002 * C00025)/(${Variables:E2_7_2_11_km} + (E2_7_2_11 * C00002 * C00025))</v>
      </c>
    </row>
    <row r="1514" spans="1:11" ht="45" customHeight="1" x14ac:dyDescent="0.25">
      <c r="A1514" t="s">
        <v>6061</v>
      </c>
      <c r="B1514" t="s">
        <v>6062</v>
      </c>
      <c r="C1514" s="5" t="s">
        <v>9560</v>
      </c>
      <c r="D1514">
        <f t="shared" si="92"/>
        <v>1513</v>
      </c>
      <c r="E1514" t="str">
        <f t="shared" si="93"/>
        <v>E2_5_1_17</v>
      </c>
      <c r="F1514" s="11" t="s">
        <v>8720</v>
      </c>
      <c r="G1514" s="11" t="s">
        <v>8886</v>
      </c>
      <c r="H1514" s="11" t="s">
        <v>15381</v>
      </c>
      <c r="I1514" s="11" t="s">
        <v>16002</v>
      </c>
      <c r="J1514" s="12" t="str">
        <f t="shared" si="94"/>
        <v>(${Variables:E2_5_1_17_kcat} * E2_5_1_17 * C00002 * C00541 * C03024)/(${Variables:E2_5_1_17_km} + (E2_5_1_17 * C00002 * C00541 * C03024))</v>
      </c>
      <c r="K1514" s="11" t="str">
        <f t="shared" si="95"/>
        <v>r1513: C00002 + C00541 + C03024 -&gt; C00194 + C00536 + C03161 | (${Variables:E2_5_1_17_kcat} * E2_5_1_17 * C00002 * C00541 * C03024)/(${Variables:E2_5_1_17_km} + (E2_5_1_17 * C00002 * C00541 * C03024))</v>
      </c>
    </row>
    <row r="1515" spans="1:11" ht="45" customHeight="1" x14ac:dyDescent="0.25">
      <c r="A1515" t="s">
        <v>6061</v>
      </c>
      <c r="B1515" t="s">
        <v>6062</v>
      </c>
      <c r="C1515" s="5" t="s">
        <v>9560</v>
      </c>
      <c r="D1515">
        <f t="shared" si="92"/>
        <v>1514</v>
      </c>
      <c r="E1515" t="str">
        <f t="shared" si="93"/>
        <v>E2_5_1_17</v>
      </c>
      <c r="F1515" s="11" t="s">
        <v>14178</v>
      </c>
      <c r="G1515" s="11" t="s">
        <v>14781</v>
      </c>
      <c r="H1515" s="11" t="s">
        <v>15382</v>
      </c>
      <c r="I1515" s="11" t="s">
        <v>16003</v>
      </c>
      <c r="J1515" s="12" t="str">
        <f t="shared" si="94"/>
        <v>(${Variables:E2_5_1_17_kcat} * E2_5_1_17 * C00002 * C03024 * C06504)/(${Variables:E2_5_1_17_km} + (E2_5_1_17 * C00002 * C03024 * C06504))</v>
      </c>
      <c r="K1515" s="11" t="str">
        <f t="shared" si="95"/>
        <v>r1514: C00002 + C03024 + C06504 -&gt; C00536 + C03161 + C06506 | (${Variables:E2_5_1_17_kcat} * E2_5_1_17 * C00002 * C03024 * C06504)/(${Variables:E2_5_1_17_km} + (E2_5_1_17 * C00002 * C03024 * C06504))</v>
      </c>
    </row>
    <row r="1516" spans="1:11" ht="45" customHeight="1" x14ac:dyDescent="0.25">
      <c r="A1516" t="s">
        <v>6061</v>
      </c>
      <c r="B1516" t="s">
        <v>6062</v>
      </c>
      <c r="C1516" s="5" t="s">
        <v>9560</v>
      </c>
      <c r="D1516">
        <f t="shared" si="92"/>
        <v>1515</v>
      </c>
      <c r="E1516" t="str">
        <f t="shared" si="93"/>
        <v>E2_5_1_17</v>
      </c>
      <c r="F1516" s="11" t="s">
        <v>8721</v>
      </c>
      <c r="G1516" s="11" t="s">
        <v>8887</v>
      </c>
      <c r="H1516" s="11" t="s">
        <v>15383</v>
      </c>
      <c r="I1516" s="11" t="s">
        <v>16004</v>
      </c>
      <c r="J1516" s="12" t="str">
        <f t="shared" si="94"/>
        <v>(${Variables:E2_5_1_17_kcat} * E2_5_1_17 * C00002 * C00853)/(${Variables:E2_5_1_17_km} + (E2_5_1_17 * C00002 * C00853))</v>
      </c>
      <c r="K1516" s="11" t="str">
        <f t="shared" si="95"/>
        <v>r1515: C00002 + C00853 -&gt; C00194 + C00536 | (${Variables:E2_5_1_17_kcat} * E2_5_1_17 * C00002 * C00853)/(${Variables:E2_5_1_17_km} + (E2_5_1_17 * C00002 * C00853))</v>
      </c>
    </row>
    <row r="1517" spans="1:11" ht="45" customHeight="1" x14ac:dyDescent="0.25">
      <c r="A1517" t="s">
        <v>6061</v>
      </c>
      <c r="B1517" t="s">
        <v>6062</v>
      </c>
      <c r="C1517" s="5" t="s">
        <v>9560</v>
      </c>
      <c r="D1517">
        <f t="shared" si="92"/>
        <v>1516</v>
      </c>
      <c r="E1517" t="str">
        <f t="shared" si="93"/>
        <v>E2_5_1_17</v>
      </c>
      <c r="F1517" s="11" t="s">
        <v>14179</v>
      </c>
      <c r="G1517" s="11" t="s">
        <v>14782</v>
      </c>
      <c r="H1517" s="11" t="s">
        <v>15384</v>
      </c>
      <c r="I1517" s="11" t="s">
        <v>16005</v>
      </c>
      <c r="J1517" s="12" t="str">
        <f t="shared" si="94"/>
        <v>(${Variables:E2_5_1_17_kcat} * E2_5_1_17 * C00002 * C06505)/(${Variables:E2_5_1_17_km} + (E2_5_1_17 * C00002 * C06505))</v>
      </c>
      <c r="K1517" s="11" t="str">
        <f t="shared" si="95"/>
        <v>r1516: C00002 + C06505 -&gt; C00536 + C06506 | (${Variables:E2_5_1_17_kcat} * E2_5_1_17 * C00002 * C06505)/(${Variables:E2_5_1_17_km} + (E2_5_1_17 * C00002 * C06505))</v>
      </c>
    </row>
    <row r="1518" spans="1:11" ht="45" customHeight="1" x14ac:dyDescent="0.25">
      <c r="A1518" t="s">
        <v>6061</v>
      </c>
      <c r="B1518" t="s">
        <v>6062</v>
      </c>
      <c r="C1518" s="5" t="s">
        <v>9560</v>
      </c>
      <c r="D1518">
        <f t="shared" si="92"/>
        <v>1517</v>
      </c>
      <c r="E1518" t="str">
        <f t="shared" si="93"/>
        <v>E2_5_1_17</v>
      </c>
      <c r="F1518" s="11" t="s">
        <v>8722</v>
      </c>
      <c r="G1518" s="11" t="s">
        <v>8888</v>
      </c>
      <c r="H1518" s="11" t="s">
        <v>9081</v>
      </c>
      <c r="I1518" s="11" t="s">
        <v>9280</v>
      </c>
      <c r="J1518" s="12" t="str">
        <f t="shared" si="94"/>
        <v>(${Variables:E2_5_1_17_kcat} * E2_5_1_17 * C00002 * C05774)/(${Variables:E2_5_1_17_km} + (E2_5_1_17 * C00002 * C05774))</v>
      </c>
      <c r="K1518" s="11" t="str">
        <f t="shared" si="95"/>
        <v>r1517: C00002 + C05774 -&gt; C00536 + C06508 | (${Variables:E2_5_1_17_kcat} * E2_5_1_17 * C00002 * C05774)/(${Variables:E2_5_1_17_km} + (E2_5_1_17 * C00002 * C05774))</v>
      </c>
    </row>
    <row r="1519" spans="1:11" ht="45" customHeight="1" x14ac:dyDescent="0.25">
      <c r="A1519" t="s">
        <v>6089</v>
      </c>
      <c r="B1519" t="s">
        <v>6090</v>
      </c>
      <c r="C1519" s="5" t="s">
        <v>9812</v>
      </c>
      <c r="D1519">
        <f t="shared" si="92"/>
        <v>1518</v>
      </c>
      <c r="E1519" t="str">
        <f t="shared" si="93"/>
        <v>E5_1_1_1</v>
      </c>
      <c r="F1519" s="11" t="s">
        <v>8380</v>
      </c>
      <c r="G1519" s="11" t="s">
        <v>8380</v>
      </c>
      <c r="H1519" s="11" t="s">
        <v>8635</v>
      </c>
      <c r="I1519" s="11" t="s">
        <v>8635</v>
      </c>
      <c r="J1519" s="12" t="str">
        <f t="shared" si="94"/>
        <v>(${Variables:E5_1_1_1_kcat} * E5_1_1_1 * C00041)/(${Variables:E5_1_1_1_km} + (E5_1_1_1 * C00041))</v>
      </c>
      <c r="K1519" s="11" t="str">
        <f t="shared" si="95"/>
        <v>r1518: C00041 -&gt; C00133 | (${Variables:E5_1_1_1_kcat} * E5_1_1_1 * C00041)/(${Variables:E5_1_1_1_km} + (E5_1_1_1 * C00041))</v>
      </c>
    </row>
    <row r="1520" spans="1:11" ht="45" customHeight="1" x14ac:dyDescent="0.25">
      <c r="A1520" t="s">
        <v>6101</v>
      </c>
      <c r="B1520" t="s">
        <v>6102</v>
      </c>
      <c r="C1520" s="5" t="s">
        <v>9813</v>
      </c>
      <c r="D1520">
        <f t="shared" si="92"/>
        <v>1519</v>
      </c>
      <c r="E1520" t="str">
        <f t="shared" si="93"/>
        <v>E6_1_1_20</v>
      </c>
      <c r="F1520" s="11" t="s">
        <v>8812</v>
      </c>
      <c r="G1520" s="11" t="s">
        <v>8978</v>
      </c>
      <c r="H1520" s="11" t="s">
        <v>15756</v>
      </c>
      <c r="I1520" s="11" t="s">
        <v>16377</v>
      </c>
      <c r="J1520" s="12" t="str">
        <f t="shared" si="94"/>
        <v>(${Variables:E6_1_1_20_kcat} * E6_1_1_20 * C00002 * C00079 * C01648)/(${Variables:E6_1_1_20_km} + (E6_1_1_20 * C00002 * C00079 * C01648))</v>
      </c>
      <c r="K1520" s="11" t="str">
        <f t="shared" si="95"/>
        <v>r1519: C00002 + C00079 + C01648 -&gt; C00013 + C00020 + C03511 | (${Variables:E6_1_1_20_kcat} * E6_1_1_20 * C00002 * C00079 * C01648)/(${Variables:E6_1_1_20_km} + (E6_1_1_20 * C00002 * C00079 * C01648))</v>
      </c>
    </row>
    <row r="1521" spans="1:11" ht="45" customHeight="1" x14ac:dyDescent="0.25">
      <c r="A1521" t="s">
        <v>6104</v>
      </c>
      <c r="B1521" t="s">
        <v>6105</v>
      </c>
      <c r="C1521" s="5" t="s">
        <v>9813</v>
      </c>
      <c r="D1521">
        <f t="shared" si="92"/>
        <v>1520</v>
      </c>
      <c r="E1521" t="str">
        <f t="shared" si="93"/>
        <v>E6_1_1_20</v>
      </c>
      <c r="F1521" s="11" t="s">
        <v>8812</v>
      </c>
      <c r="G1521" s="11" t="s">
        <v>8978</v>
      </c>
      <c r="H1521" s="11" t="s">
        <v>15756</v>
      </c>
      <c r="I1521" s="11" t="s">
        <v>16377</v>
      </c>
      <c r="J1521" s="12" t="str">
        <f t="shared" si="94"/>
        <v>(${Variables:E6_1_1_20_kcat} * E6_1_1_20 * C00002 * C00079 * C01648)/(${Variables:E6_1_1_20_km} + (E6_1_1_20 * C00002 * C00079 * C01648))</v>
      </c>
      <c r="K1521" s="11" t="str">
        <f t="shared" si="95"/>
        <v>r1520: C00002 + C00079 + C01648 -&gt; C00013 + C00020 + C03511 | (${Variables:E6_1_1_20_kcat} * E6_1_1_20 * C00002 * C00079 * C01648)/(${Variables:E6_1_1_20_km} + (E6_1_1_20 * C00002 * C00079 * C01648))</v>
      </c>
    </row>
    <row r="1522" spans="1:11" ht="45" customHeight="1" x14ac:dyDescent="0.25">
      <c r="A1522" t="s">
        <v>6109</v>
      </c>
      <c r="B1522" t="s">
        <v>6110</v>
      </c>
      <c r="C1522" s="5" t="s">
        <v>9814</v>
      </c>
      <c r="D1522">
        <f t="shared" si="92"/>
        <v>1521</v>
      </c>
      <c r="E1522" t="str">
        <f t="shared" si="93"/>
        <v>E2_7_1_11</v>
      </c>
      <c r="F1522" s="11" t="s">
        <v>8813</v>
      </c>
      <c r="G1522" s="11" t="s">
        <v>8979</v>
      </c>
      <c r="H1522" s="11" t="s">
        <v>9177</v>
      </c>
      <c r="I1522" s="11" t="s">
        <v>9376</v>
      </c>
      <c r="J1522" s="12" t="str">
        <f t="shared" si="94"/>
        <v>(${Variables:E2_7_1_11_kcat} * E2_7_1_11 * C00002 * C05345)/(${Variables:E2_7_1_11_km} + (E2_7_1_11 * C00002 * C05345))</v>
      </c>
      <c r="K1522" s="11" t="str">
        <f t="shared" si="95"/>
        <v>r1521: C00002 + C05345 -&gt; C00008 + C05378 | (${Variables:E2_7_1_11_kcat} * E2_7_1_11 * C00002 * C05345)/(${Variables:E2_7_1_11_km} + (E2_7_1_11 * C00002 * C05345))</v>
      </c>
    </row>
    <row r="1523" spans="1:11" ht="45" customHeight="1" x14ac:dyDescent="0.25">
      <c r="A1523" t="s">
        <v>6109</v>
      </c>
      <c r="B1523" t="s">
        <v>6110</v>
      </c>
      <c r="C1523" s="5" t="s">
        <v>9814</v>
      </c>
      <c r="D1523">
        <f t="shared" si="92"/>
        <v>1522</v>
      </c>
      <c r="E1523" t="str">
        <f t="shared" si="93"/>
        <v>E2_7_1_11</v>
      </c>
      <c r="F1523" s="11" t="s">
        <v>8814</v>
      </c>
      <c r="G1523" s="11" t="s">
        <v>8980</v>
      </c>
      <c r="H1523" s="11" t="s">
        <v>9178</v>
      </c>
      <c r="I1523" s="11" t="s">
        <v>9377</v>
      </c>
      <c r="J1523" s="12" t="str">
        <f t="shared" si="94"/>
        <v>(${Variables:E2_7_1_11_kcat} * E2_7_1_11 * C00002 * C00085)/(${Variables:E2_7_1_11_km} + (E2_7_1_11 * C00002 * C00085))</v>
      </c>
      <c r="K1523" s="11" t="str">
        <f t="shared" si="95"/>
        <v>r1522: C00002 + C00085 -&gt; C00008 + C00354 | (${Variables:E2_7_1_11_kcat} * E2_7_1_11 * C00002 * C00085)/(${Variables:E2_7_1_11_km} + (E2_7_1_11 * C00002 * C00085))</v>
      </c>
    </row>
    <row r="1524" spans="1:11" ht="45" customHeight="1" x14ac:dyDescent="0.25">
      <c r="A1524" t="s">
        <v>6109</v>
      </c>
      <c r="B1524" t="s">
        <v>6110</v>
      </c>
      <c r="C1524" s="5" t="s">
        <v>9814</v>
      </c>
      <c r="D1524">
        <f t="shared" si="92"/>
        <v>1523</v>
      </c>
      <c r="E1524" t="str">
        <f t="shared" si="93"/>
        <v>E2_7_1_11</v>
      </c>
      <c r="F1524" s="11" t="s">
        <v>8815</v>
      </c>
      <c r="G1524" s="11" t="s">
        <v>8981</v>
      </c>
      <c r="H1524" s="11" t="s">
        <v>9179</v>
      </c>
      <c r="I1524" s="11" t="s">
        <v>9378</v>
      </c>
      <c r="J1524" s="12" t="str">
        <f t="shared" si="94"/>
        <v>(${Variables:E2_7_1_11_kcat} * E2_7_1_11 * C00063 * C00085)/(${Variables:E2_7_1_11_km} + (E2_7_1_11 * C00063 * C00085))</v>
      </c>
      <c r="K1524" s="11" t="str">
        <f t="shared" si="95"/>
        <v>r1523: C00063 + C00085 -&gt; C00112 + C00354 | (${Variables:E2_7_1_11_kcat} * E2_7_1_11 * C00063 * C00085)/(${Variables:E2_7_1_11_km} + (E2_7_1_11 * C00063 * C00085))</v>
      </c>
    </row>
    <row r="1525" spans="1:11" ht="45" customHeight="1" x14ac:dyDescent="0.25">
      <c r="A1525" t="s">
        <v>6109</v>
      </c>
      <c r="B1525" t="s">
        <v>6110</v>
      </c>
      <c r="C1525" s="5" t="s">
        <v>9814</v>
      </c>
      <c r="D1525">
        <f t="shared" si="92"/>
        <v>1524</v>
      </c>
      <c r="E1525" t="str">
        <f t="shared" si="93"/>
        <v>E2_7_1_11</v>
      </c>
      <c r="F1525" s="11" t="s">
        <v>8816</v>
      </c>
      <c r="G1525" s="11" t="s">
        <v>8982</v>
      </c>
      <c r="H1525" s="11" t="s">
        <v>9180</v>
      </c>
      <c r="I1525" s="11" t="s">
        <v>9379</v>
      </c>
      <c r="J1525" s="12" t="str">
        <f t="shared" si="94"/>
        <v>(${Variables:E2_7_1_11_kcat} * E2_7_1_11 * C00075 * C00085)/(${Variables:E2_7_1_11_km} + (E2_7_1_11 * C00075 * C00085))</v>
      </c>
      <c r="K1525" s="11" t="str">
        <f t="shared" si="95"/>
        <v>r1524: C00075 + C00085 -&gt; C00015 + C00354 | (${Variables:E2_7_1_11_kcat} * E2_7_1_11 * C00075 * C00085)/(${Variables:E2_7_1_11_km} + (E2_7_1_11 * C00075 * C00085))</v>
      </c>
    </row>
    <row r="1526" spans="1:11" ht="45" customHeight="1" x14ac:dyDescent="0.25">
      <c r="A1526" t="s">
        <v>6109</v>
      </c>
      <c r="B1526" t="s">
        <v>6110</v>
      </c>
      <c r="C1526" s="5" t="s">
        <v>9814</v>
      </c>
      <c r="D1526">
        <f t="shared" si="92"/>
        <v>1525</v>
      </c>
      <c r="E1526" t="str">
        <f t="shared" si="93"/>
        <v>E2_7_1_11</v>
      </c>
      <c r="F1526" s="11" t="s">
        <v>8817</v>
      </c>
      <c r="G1526" s="11" t="s">
        <v>8983</v>
      </c>
      <c r="H1526" s="11" t="s">
        <v>9181</v>
      </c>
      <c r="I1526" s="11" t="s">
        <v>9380</v>
      </c>
      <c r="J1526" s="12" t="str">
        <f t="shared" si="94"/>
        <v>(${Variables:E2_7_1_11_kcat} * E2_7_1_11 * C00081 * C00085)/(${Variables:E2_7_1_11_km} + (E2_7_1_11 * C00081 * C00085))</v>
      </c>
      <c r="K1526" s="11" t="str">
        <f t="shared" si="95"/>
        <v>r1525: C00081 + C00085 -&gt; C00104 + C00354 | (${Variables:E2_7_1_11_kcat} * E2_7_1_11 * C00081 * C00085)/(${Variables:E2_7_1_11_km} + (E2_7_1_11 * C00081 * C00085))</v>
      </c>
    </row>
    <row r="1527" spans="1:11" ht="45" customHeight="1" x14ac:dyDescent="0.25">
      <c r="A1527" t="s">
        <v>6109</v>
      </c>
      <c r="B1527" t="s">
        <v>6110</v>
      </c>
      <c r="C1527" s="5" t="s">
        <v>9814</v>
      </c>
      <c r="D1527">
        <f t="shared" si="92"/>
        <v>1526</v>
      </c>
      <c r="E1527" t="str">
        <f t="shared" si="93"/>
        <v>E2_7_1_11</v>
      </c>
      <c r="F1527" s="11" t="s">
        <v>8818</v>
      </c>
      <c r="G1527" s="11" t="s">
        <v>8984</v>
      </c>
      <c r="H1527" s="11" t="s">
        <v>9182</v>
      </c>
      <c r="I1527" s="11" t="s">
        <v>9381</v>
      </c>
      <c r="J1527" s="12" t="str">
        <f t="shared" si="94"/>
        <v>(${Variables:E2_7_1_11_kcat} * E2_7_1_11 * C00002 * C05382)/(${Variables:E2_7_1_11_km} + (E2_7_1_11 * C00002 * C05382))</v>
      </c>
      <c r="K1527" s="11" t="str">
        <f t="shared" si="95"/>
        <v>r1526: C00002 + C05382 -&gt; C00008 + C00447 | (${Variables:E2_7_1_11_kcat} * E2_7_1_11 * C00002 * C05382)/(${Variables:E2_7_1_11_km} + (E2_7_1_11 * C00002 * C05382))</v>
      </c>
    </row>
    <row r="1528" spans="1:11" ht="45" customHeight="1" x14ac:dyDescent="0.25">
      <c r="A1528" t="s">
        <v>6109</v>
      </c>
      <c r="B1528" t="s">
        <v>6110</v>
      </c>
      <c r="C1528" s="5" t="s">
        <v>9814</v>
      </c>
      <c r="D1528">
        <f t="shared" si="92"/>
        <v>1527</v>
      </c>
      <c r="E1528" t="str">
        <f t="shared" si="93"/>
        <v>E2_7_1_11</v>
      </c>
      <c r="F1528" s="11" t="s">
        <v>14531</v>
      </c>
      <c r="G1528" s="11" t="s">
        <v>15134</v>
      </c>
      <c r="H1528" s="11" t="s">
        <v>15757</v>
      </c>
      <c r="I1528" s="11" t="s">
        <v>16378</v>
      </c>
      <c r="J1528" s="12" t="str">
        <f t="shared" si="94"/>
        <v>(${Variables:E2_7_1_11_kcat} * E2_7_1_11 * C00002 * C01097)/(${Variables:E2_7_1_11_km} + (E2_7_1_11 * C00002 * C01097))</v>
      </c>
      <c r="K1528" s="11" t="str">
        <f t="shared" si="95"/>
        <v>r1527: C00002 + C01097 -&gt; C00008 + C03785 | (${Variables:E2_7_1_11_kcat} * E2_7_1_11 * C00002 * C01097)/(${Variables:E2_7_1_11_km} + (E2_7_1_11 * C00002 * C01097))</v>
      </c>
    </row>
    <row r="1529" spans="1:11" ht="45" customHeight="1" x14ac:dyDescent="0.25">
      <c r="A1529" t="s">
        <v>6109</v>
      </c>
      <c r="B1529" t="s">
        <v>6110</v>
      </c>
      <c r="C1529" s="5" t="s">
        <v>9814</v>
      </c>
      <c r="D1529">
        <f t="shared" si="92"/>
        <v>1528</v>
      </c>
      <c r="E1529" t="str">
        <f t="shared" si="93"/>
        <v>E2_7_1_11</v>
      </c>
      <c r="F1529" s="11" t="s">
        <v>8819</v>
      </c>
      <c r="G1529" s="11" t="s">
        <v>8985</v>
      </c>
      <c r="H1529" s="11" t="s">
        <v>9183</v>
      </c>
      <c r="I1529" s="11" t="s">
        <v>9382</v>
      </c>
      <c r="J1529" s="12" t="str">
        <f t="shared" si="94"/>
        <v>(${Variables:E2_7_1_11_kcat} * E2_7_1_11 * C00063 * C01097)/(${Variables:E2_7_1_11_km} + (E2_7_1_11 * C00063 * C01097))</v>
      </c>
      <c r="K1529" s="11" t="str">
        <f t="shared" si="95"/>
        <v>r1528: C00063 + C01097 -&gt; C00112 + C03785 | (${Variables:E2_7_1_11_kcat} * E2_7_1_11 * C00063 * C01097)/(${Variables:E2_7_1_11_km} + (E2_7_1_11 * C00063 * C01097))</v>
      </c>
    </row>
    <row r="1530" spans="1:11" ht="45" customHeight="1" x14ac:dyDescent="0.25">
      <c r="A1530" t="s">
        <v>6109</v>
      </c>
      <c r="B1530" t="s">
        <v>6110</v>
      </c>
      <c r="C1530" s="5" t="s">
        <v>9814</v>
      </c>
      <c r="D1530">
        <f t="shared" si="92"/>
        <v>1529</v>
      </c>
      <c r="E1530" t="str">
        <f t="shared" si="93"/>
        <v>E2_7_1_11</v>
      </c>
      <c r="F1530" s="11" t="s">
        <v>8820</v>
      </c>
      <c r="G1530" s="11" t="s">
        <v>8986</v>
      </c>
      <c r="H1530" s="11" t="s">
        <v>9184</v>
      </c>
      <c r="I1530" s="11" t="s">
        <v>9383</v>
      </c>
      <c r="J1530" s="12" t="str">
        <f t="shared" si="94"/>
        <v>(${Variables:E2_7_1_11_kcat} * E2_7_1_11 * C00075 * C01097)/(${Variables:E2_7_1_11_km} + (E2_7_1_11 * C00075 * C01097))</v>
      </c>
      <c r="K1530" s="11" t="str">
        <f t="shared" si="95"/>
        <v>r1529: C00075 + C01097 -&gt; C00015 + C03785 | (${Variables:E2_7_1_11_kcat} * E2_7_1_11 * C00075 * C01097)/(${Variables:E2_7_1_11_km} + (E2_7_1_11 * C00075 * C01097))</v>
      </c>
    </row>
    <row r="1531" spans="1:11" ht="45" customHeight="1" x14ac:dyDescent="0.25">
      <c r="A1531" t="s">
        <v>6109</v>
      </c>
      <c r="B1531" t="s">
        <v>6110</v>
      </c>
      <c r="C1531" s="5" t="s">
        <v>9814</v>
      </c>
      <c r="D1531">
        <f t="shared" si="92"/>
        <v>1530</v>
      </c>
      <c r="E1531" t="str">
        <f t="shared" si="93"/>
        <v>E2_7_1_11</v>
      </c>
      <c r="F1531" s="11" t="s">
        <v>8821</v>
      </c>
      <c r="G1531" s="11" t="s">
        <v>8987</v>
      </c>
      <c r="H1531" s="11" t="s">
        <v>9185</v>
      </c>
      <c r="I1531" s="11" t="s">
        <v>9384</v>
      </c>
      <c r="J1531" s="12" t="str">
        <f t="shared" si="94"/>
        <v>(${Variables:E2_7_1_11_kcat} * E2_7_1_11 * C00081 * C01097)/(${Variables:E2_7_1_11_km} + (E2_7_1_11 * C00081 * C01097))</v>
      </c>
      <c r="K1531" s="11" t="str">
        <f t="shared" si="95"/>
        <v>r1530: C00081 + C01097 -&gt; C00104 + C03785 | (${Variables:E2_7_1_11_kcat} * E2_7_1_11 * C00081 * C01097)/(${Variables:E2_7_1_11_km} + (E2_7_1_11 * C00081 * C01097))</v>
      </c>
    </row>
    <row r="1532" spans="1:11" ht="45" customHeight="1" x14ac:dyDescent="0.25">
      <c r="A1532" t="s">
        <v>6117</v>
      </c>
      <c r="B1532" t="s">
        <v>6118</v>
      </c>
      <c r="C1532" s="5" t="s">
        <v>9815</v>
      </c>
      <c r="D1532">
        <f t="shared" si="92"/>
        <v>1531</v>
      </c>
      <c r="E1532" t="str">
        <f t="shared" si="93"/>
        <v>E3_6_1_1</v>
      </c>
      <c r="F1532" s="11" t="s">
        <v>14532</v>
      </c>
      <c r="G1532" s="11" t="s">
        <v>15135</v>
      </c>
      <c r="H1532" s="11" t="s">
        <v>8296</v>
      </c>
      <c r="I1532" s="11" t="s">
        <v>8296</v>
      </c>
      <c r="J1532" s="12" t="str">
        <f t="shared" si="94"/>
        <v>(${Variables:E3_6_1_1_kcat} * E3_6_1_1 * C00001 * C00013)/(${Variables:E3_6_1_1_km} + (E3_6_1_1 * C00001 * C00013))</v>
      </c>
      <c r="K1532" s="11" t="str">
        <f t="shared" si="95"/>
        <v>r1531: C00001 + C00013 -&gt; C00009 | (${Variables:E3_6_1_1_kcat} * E3_6_1_1 * C00001 * C00013)/(${Variables:E3_6_1_1_km} + (E3_6_1_1 * C00001 * C00013))</v>
      </c>
    </row>
    <row r="1533" spans="1:11" ht="45" customHeight="1" x14ac:dyDescent="0.25">
      <c r="A1533" t="s">
        <v>6120</v>
      </c>
      <c r="B1533" t="s">
        <v>6121</v>
      </c>
      <c r="C1533" s="5" t="s">
        <v>9816</v>
      </c>
      <c r="D1533">
        <f t="shared" si="92"/>
        <v>1532</v>
      </c>
      <c r="E1533" t="str">
        <f t="shared" si="93"/>
        <v>E3_1_4_46</v>
      </c>
      <c r="F1533" s="11" t="s">
        <v>14533</v>
      </c>
      <c r="G1533" s="11" t="s">
        <v>15136</v>
      </c>
      <c r="H1533" s="11" t="s">
        <v>9186</v>
      </c>
      <c r="I1533" s="11" t="s">
        <v>9385</v>
      </c>
      <c r="J1533" s="12" t="str">
        <f t="shared" si="94"/>
        <v>(${Variables:E3_1_4_46_kcat} * E3_1_4_46 * C00001 * C03120)/(${Variables:E3_1_4_46_km} + (E3_1_4_46 * C00001 * C03120))</v>
      </c>
      <c r="K1533" s="11" t="str">
        <f t="shared" si="95"/>
        <v>r1532: C00001 + C03120 -&gt; C00069 + C00093 | (${Variables:E3_1_4_46_kcat} * E3_1_4_46 * C00001 * C03120)/(${Variables:E3_1_4_46_km} + (E3_1_4_46 * C00001 * C03120))</v>
      </c>
    </row>
    <row r="1534" spans="1:11" ht="45" customHeight="1" x14ac:dyDescent="0.25">
      <c r="A1534" t="s">
        <v>6120</v>
      </c>
      <c r="B1534" t="s">
        <v>6121</v>
      </c>
      <c r="C1534" s="5" t="s">
        <v>9816</v>
      </c>
      <c r="D1534">
        <f t="shared" si="92"/>
        <v>1533</v>
      </c>
      <c r="E1534" t="str">
        <f t="shared" si="93"/>
        <v>E3_1_4_46</v>
      </c>
      <c r="F1534" s="11" t="s">
        <v>14534</v>
      </c>
      <c r="G1534" s="11" t="s">
        <v>15137</v>
      </c>
      <c r="H1534" s="11" t="s">
        <v>15758</v>
      </c>
      <c r="I1534" s="11" t="s">
        <v>16379</v>
      </c>
      <c r="J1534" s="12" t="str">
        <f t="shared" si="94"/>
        <v>(${Variables:E3_1_4_46_kcat} * E3_1_4_46 * C00001 * C00670)/(${Variables:E3_1_4_46_km} + (E3_1_4_46 * C00001 * C00670))</v>
      </c>
      <c r="K1534" s="11" t="str">
        <f t="shared" si="95"/>
        <v>r1533: C00001 + C00670 -&gt; C00093 + C00114 | (${Variables:E3_1_4_46_kcat} * E3_1_4_46 * C00001 * C00670)/(${Variables:E3_1_4_46_km} + (E3_1_4_46 * C00001 * C00670))</v>
      </c>
    </row>
    <row r="1535" spans="1:11" ht="45" customHeight="1" x14ac:dyDescent="0.25">
      <c r="A1535" t="s">
        <v>6120</v>
      </c>
      <c r="B1535" t="s">
        <v>6121</v>
      </c>
      <c r="C1535" s="5" t="s">
        <v>9816</v>
      </c>
      <c r="D1535">
        <f t="shared" si="92"/>
        <v>1534</v>
      </c>
      <c r="E1535" t="str">
        <f t="shared" si="93"/>
        <v>E3_1_4_46</v>
      </c>
      <c r="F1535" s="11" t="s">
        <v>14535</v>
      </c>
      <c r="G1535" s="11" t="s">
        <v>15138</v>
      </c>
      <c r="H1535" s="11" t="s">
        <v>15759</v>
      </c>
      <c r="I1535" s="11" t="s">
        <v>16380</v>
      </c>
      <c r="J1535" s="12" t="str">
        <f t="shared" si="94"/>
        <v>(${Variables:E3_1_4_46_kcat} * E3_1_4_46 * C00001 * C01233)/(${Variables:E3_1_4_46_km} + (E3_1_4_46 * C00001 * C01233))</v>
      </c>
      <c r="K1535" s="11" t="str">
        <f t="shared" si="95"/>
        <v>r1534: C00001 + C01233 -&gt; C00093 + C00189 | (${Variables:E3_1_4_46_kcat} * E3_1_4_46 * C00001 * C01233)/(${Variables:E3_1_4_46_km} + (E3_1_4_46 * C00001 * C01233))</v>
      </c>
    </row>
    <row r="1536" spans="1:11" ht="45" customHeight="1" x14ac:dyDescent="0.25">
      <c r="A1536" t="s">
        <v>6332</v>
      </c>
      <c r="B1536" t="s">
        <v>6333</v>
      </c>
      <c r="C1536" s="5" t="s">
        <v>9536</v>
      </c>
      <c r="D1536">
        <f t="shared" si="92"/>
        <v>1535</v>
      </c>
      <c r="E1536" t="str">
        <f t="shared" si="93"/>
        <v>E2_1_1_72</v>
      </c>
      <c r="F1536" s="11" t="s">
        <v>8715</v>
      </c>
      <c r="G1536" s="11" t="s">
        <v>8881</v>
      </c>
      <c r="H1536" s="11" t="s">
        <v>9074</v>
      </c>
      <c r="I1536" s="11" t="s">
        <v>9273</v>
      </c>
      <c r="J1536" s="12" t="str">
        <f t="shared" si="94"/>
        <v>(${Variables:E2_1_1_72_kcat} * E2_1_1_72 * C00019 * C00821)/(${Variables:E2_1_1_72_km} + (E2_1_1_72 * C00019 * C00821))</v>
      </c>
      <c r="K1536" s="11" t="str">
        <f t="shared" si="95"/>
        <v>r1535: C00019 + C00821 -&gt; C00021 + C03391 | (${Variables:E2_1_1_72_kcat} * E2_1_1_72 * C00019 * C00821)/(${Variables:E2_1_1_72_km} + (E2_1_1_72 * C00019 * C00821))</v>
      </c>
    </row>
    <row r="1537" spans="1:11" ht="45" customHeight="1" x14ac:dyDescent="0.25">
      <c r="A1537" t="s">
        <v>6512</v>
      </c>
      <c r="B1537" t="s">
        <v>6513</v>
      </c>
      <c r="C1537" s="5" t="s">
        <v>9451</v>
      </c>
      <c r="D1537">
        <f t="shared" si="92"/>
        <v>1536</v>
      </c>
      <c r="E1537" t="str">
        <f t="shared" si="93"/>
        <v>E3_1_2_20</v>
      </c>
      <c r="F1537" s="11" t="s">
        <v>14034</v>
      </c>
      <c r="G1537" s="11" t="s">
        <v>14637</v>
      </c>
      <c r="H1537" s="11" t="s">
        <v>9028</v>
      </c>
      <c r="I1537" s="11" t="s">
        <v>9227</v>
      </c>
      <c r="J1537" s="12" t="str">
        <f t="shared" si="94"/>
        <v>(${Variables:E3_1_2_20_kcat} * E3_1_2_20 * C00001 * C00040)/(${Variables:E3_1_2_20_km} + (E3_1_2_20 * C00001 * C00040))</v>
      </c>
      <c r="K1537" s="11" t="str">
        <f t="shared" si="95"/>
        <v>r1536: C00001 + C00040 -&gt; C00010 + C00060 | (${Variables:E3_1_2_20_kcat} * E3_1_2_20 * C00001 * C00040)/(${Variables:E3_1_2_20_km} + (E3_1_2_20 * C00001 * C00040))</v>
      </c>
    </row>
    <row r="1538" spans="1:11" ht="45" customHeight="1" x14ac:dyDescent="0.25">
      <c r="A1538" t="s">
        <v>6515</v>
      </c>
      <c r="B1538" t="s">
        <v>6516</v>
      </c>
      <c r="C1538" s="5" t="s">
        <v>9478</v>
      </c>
      <c r="D1538">
        <f t="shared" si="92"/>
        <v>1537</v>
      </c>
      <c r="E1538" t="str">
        <f t="shared" si="93"/>
        <v>E1_17_4_1</v>
      </c>
      <c r="F1538" s="11" t="s">
        <v>14066</v>
      </c>
      <c r="G1538" s="11" t="s">
        <v>14669</v>
      </c>
      <c r="H1538" s="11" t="s">
        <v>15279</v>
      </c>
      <c r="I1538" s="11" t="s">
        <v>15900</v>
      </c>
      <c r="J1538" s="12" t="str">
        <f t="shared" si="94"/>
        <v>(${Variables:E1_17_4_1_kcat} * E1_17_4_1 * C00001 * C00343 * C04232)/(${Variables:E1_17_4_1_km} + (E1_17_4_1 * C00001 * C00343 * C04232))</v>
      </c>
      <c r="K1538" s="11" t="str">
        <f t="shared" si="95"/>
        <v>r1537: C00001 + C00343 + C04232 -&gt; C00342 + C03723 | (${Variables:E1_17_4_1_kcat} * E1_17_4_1 * C00001 * C00343 * C04232)/(${Variables:E1_17_4_1_km} + (E1_17_4_1 * C00001 * C00343 * C04232))</v>
      </c>
    </row>
    <row r="1539" spans="1:11" ht="45" customHeight="1" x14ac:dyDescent="0.25">
      <c r="A1539" t="s">
        <v>6515</v>
      </c>
      <c r="B1539" t="s">
        <v>6516</v>
      </c>
      <c r="C1539" s="5" t="s">
        <v>9478</v>
      </c>
      <c r="D1539">
        <f t="shared" ref="D1539:D1602" si="96">ROW()-1</f>
        <v>1538</v>
      </c>
      <c r="E1539" t="str">
        <f t="shared" ref="E1539:E1602" si="97">_xlfn.CONCAT("E", C1539)</f>
        <v>E1_17_4_1</v>
      </c>
      <c r="F1539" s="11" t="s">
        <v>14067</v>
      </c>
      <c r="G1539" s="11" t="s">
        <v>14670</v>
      </c>
      <c r="H1539" s="11" t="s">
        <v>15280</v>
      </c>
      <c r="I1539" s="11" t="s">
        <v>15901</v>
      </c>
      <c r="J1539" s="12" t="str">
        <f t="shared" ref="J1539:J1602" si="98">CONCATENATE("(${Variables:",E1539,"_kcat","} * ",E1539," * ",G1539,")","/(${Variables:",E1539,"_km","} + (",E1539," * ",G1539,"))")</f>
        <v>(${Variables:E1_17_4_1_kcat} * E1_17_4_1 * C00001 * C00206 * C00343)/(${Variables:E1_17_4_1_km} + (E1_17_4_1 * C00001 * C00206 * C00343))</v>
      </c>
      <c r="K1539" s="11" t="str">
        <f t="shared" ref="K1539:K1602" si="99">CONCATENATE("r",D1539,": ",F1539," -&gt; ",H1539," | ",J1539)</f>
        <v>r1538: C00001 + C00206 + C00343 -&gt; C00008 + C00342 | (${Variables:E1_17_4_1_kcat} * E1_17_4_1 * C00001 * C00206 * C00343)/(${Variables:E1_17_4_1_km} + (E1_17_4_1 * C00001 * C00206 * C00343))</v>
      </c>
    </row>
    <row r="1540" spans="1:11" ht="45" customHeight="1" x14ac:dyDescent="0.25">
      <c r="A1540" t="s">
        <v>6515</v>
      </c>
      <c r="B1540" t="s">
        <v>6516</v>
      </c>
      <c r="C1540" s="5" t="s">
        <v>9478</v>
      </c>
      <c r="D1540">
        <f t="shared" si="96"/>
        <v>1539</v>
      </c>
      <c r="E1540" t="str">
        <f t="shared" si="97"/>
        <v>E1_17_4_1</v>
      </c>
      <c r="F1540" s="11" t="s">
        <v>14068</v>
      </c>
      <c r="G1540" s="11" t="s">
        <v>14671</v>
      </c>
      <c r="H1540" s="11" t="s">
        <v>15281</v>
      </c>
      <c r="I1540" s="11" t="s">
        <v>15902</v>
      </c>
      <c r="J1540" s="12" t="str">
        <f t="shared" si="98"/>
        <v>(${Variables:E1_17_4_1_kcat} * E1_17_4_1 * C00001 * C00343 * C01346)/(${Variables:E1_17_4_1_km} + (E1_17_4_1 * C00001 * C00343 * C01346))</v>
      </c>
      <c r="K1540" s="11" t="str">
        <f t="shared" si="99"/>
        <v>r1539: C00001 + C00343 + C01346 -&gt; C00015 + C00342 | (${Variables:E1_17_4_1_kcat} * E1_17_4_1 * C00001 * C00343 * C01346)/(${Variables:E1_17_4_1_km} + (E1_17_4_1 * C00001 * C00343 * C01346))</v>
      </c>
    </row>
    <row r="1541" spans="1:11" ht="45" customHeight="1" x14ac:dyDescent="0.25">
      <c r="A1541" t="s">
        <v>6515</v>
      </c>
      <c r="B1541" t="s">
        <v>6516</v>
      </c>
      <c r="C1541" s="5" t="s">
        <v>9478</v>
      </c>
      <c r="D1541">
        <f t="shared" si="96"/>
        <v>1540</v>
      </c>
      <c r="E1541" t="str">
        <f t="shared" si="97"/>
        <v>E1_17_4_1</v>
      </c>
      <c r="F1541" s="11" t="s">
        <v>14069</v>
      </c>
      <c r="G1541" s="11" t="s">
        <v>14672</v>
      </c>
      <c r="H1541" s="11" t="s">
        <v>9039</v>
      </c>
      <c r="I1541" s="11" t="s">
        <v>9238</v>
      </c>
      <c r="J1541" s="12" t="str">
        <f t="shared" si="98"/>
        <v>(${Variables:E1_17_4_1_kcat} * E1_17_4_1 * C00001 * C00343 * C00361)/(${Variables:E1_17_4_1_km} + (E1_17_4_1 * C00001 * C00343 * C00361))</v>
      </c>
      <c r="K1541" s="11" t="str">
        <f t="shared" si="99"/>
        <v>r1540: C00001 + C00343 + C00361 -&gt; C00035 + C00342 | (${Variables:E1_17_4_1_kcat} * E1_17_4_1 * C00001 * C00343 * C00361)/(${Variables:E1_17_4_1_km} + (E1_17_4_1 * C00001 * C00343 * C00361))</v>
      </c>
    </row>
    <row r="1542" spans="1:11" ht="45" customHeight="1" x14ac:dyDescent="0.25">
      <c r="A1542" t="s">
        <v>6515</v>
      </c>
      <c r="B1542" t="s">
        <v>6516</v>
      </c>
      <c r="C1542" s="5" t="s">
        <v>9478</v>
      </c>
      <c r="D1542">
        <f t="shared" si="96"/>
        <v>1541</v>
      </c>
      <c r="E1542" t="str">
        <f t="shared" si="97"/>
        <v>E1_17_4_1</v>
      </c>
      <c r="F1542" s="11" t="s">
        <v>14070</v>
      </c>
      <c r="G1542" s="11" t="s">
        <v>14673</v>
      </c>
      <c r="H1542" s="11" t="s">
        <v>15282</v>
      </c>
      <c r="I1542" s="11" t="s">
        <v>15903</v>
      </c>
      <c r="J1542" s="12" t="str">
        <f t="shared" si="98"/>
        <v>(${Variables:E1_17_4_1_kcat} * E1_17_4_1 * C00001 * C00343 * C00705)/(${Variables:E1_17_4_1_km} + (E1_17_4_1 * C00001 * C00343 * C00705))</v>
      </c>
      <c r="K1542" s="11" t="str">
        <f t="shared" si="99"/>
        <v>r1541: C00001 + C00343 + C00705 -&gt; C00112 + C00342 | (${Variables:E1_17_4_1_kcat} * E1_17_4_1 * C00001 * C00343 * C00705)/(${Variables:E1_17_4_1_km} + (E1_17_4_1 * C00001 * C00343 * C00705))</v>
      </c>
    </row>
    <row r="1543" spans="1:11" ht="45" customHeight="1" x14ac:dyDescent="0.25">
      <c r="A1543" t="s">
        <v>6515</v>
      </c>
      <c r="B1543" t="s">
        <v>6516</v>
      </c>
      <c r="C1543" s="5" t="s">
        <v>9478</v>
      </c>
      <c r="D1543">
        <f t="shared" si="96"/>
        <v>1542</v>
      </c>
      <c r="E1543" t="str">
        <f t="shared" si="97"/>
        <v>E1_17_4_1</v>
      </c>
      <c r="F1543" s="11" t="s">
        <v>14071</v>
      </c>
      <c r="G1543" s="11" t="s">
        <v>14674</v>
      </c>
      <c r="H1543" s="11" t="s">
        <v>9040</v>
      </c>
      <c r="I1543" s="11" t="s">
        <v>9239</v>
      </c>
      <c r="J1543" s="12" t="str">
        <f t="shared" si="98"/>
        <v>(${Variables:E1_17_4_1_kcat} * E1_17_4_1 * C00001 * C04232 * C16664)/(${Variables:E1_17_4_1_km} + (E1_17_4_1 * C00001 * C04232 * C16664))</v>
      </c>
      <c r="K1543" s="11" t="str">
        <f t="shared" si="99"/>
        <v>r1542: C00001 + C04232 + C16664 -&gt; C03723 + C16663 | (${Variables:E1_17_4_1_kcat} * E1_17_4_1 * C00001 * C04232 * C16664)/(${Variables:E1_17_4_1_km} + (E1_17_4_1 * C00001 * C04232 * C16664))</v>
      </c>
    </row>
    <row r="1544" spans="1:11" ht="45" customHeight="1" x14ac:dyDescent="0.25">
      <c r="A1544" t="s">
        <v>6515</v>
      </c>
      <c r="B1544" t="s">
        <v>6516</v>
      </c>
      <c r="C1544" s="5" t="s">
        <v>9478</v>
      </c>
      <c r="D1544">
        <f t="shared" si="96"/>
        <v>1543</v>
      </c>
      <c r="E1544" t="str">
        <f t="shared" si="97"/>
        <v>E1_17_4_1</v>
      </c>
      <c r="F1544" s="11" t="s">
        <v>14072</v>
      </c>
      <c r="G1544" s="11" t="s">
        <v>14675</v>
      </c>
      <c r="H1544" s="11" t="s">
        <v>15283</v>
      </c>
      <c r="I1544" s="11" t="s">
        <v>15904</v>
      </c>
      <c r="J1544" s="12" t="str">
        <f t="shared" si="98"/>
        <v>(${Variables:E1_17_4_1_kcat} * E1_17_4_1 * C00001 * C03170 * C04232)/(${Variables:E1_17_4_1_km} + (E1_17_4_1 * C00001 * C03170 * C04232))</v>
      </c>
      <c r="K1544" s="11" t="str">
        <f t="shared" si="99"/>
        <v>r1543: C00001 + C03170 + C04232 -&gt; C02090 + C03723 | (${Variables:E1_17_4_1_kcat} * E1_17_4_1 * C00001 * C03170 * C04232)/(${Variables:E1_17_4_1_km} + (E1_17_4_1 * C00001 * C03170 * C04232))</v>
      </c>
    </row>
    <row r="1545" spans="1:11" ht="45" customHeight="1" x14ac:dyDescent="0.25">
      <c r="A1545" t="s">
        <v>6515</v>
      </c>
      <c r="B1545" t="s">
        <v>6516</v>
      </c>
      <c r="C1545" s="5" t="s">
        <v>9478</v>
      </c>
      <c r="D1545">
        <f t="shared" si="96"/>
        <v>1544</v>
      </c>
      <c r="E1545" t="str">
        <f t="shared" si="97"/>
        <v>E1_17_4_1</v>
      </c>
      <c r="F1545" s="11" t="s">
        <v>14073</v>
      </c>
      <c r="G1545" s="11" t="s">
        <v>14676</v>
      </c>
      <c r="H1545" s="11" t="s">
        <v>15284</v>
      </c>
      <c r="I1545" s="11" t="s">
        <v>15905</v>
      </c>
      <c r="J1545" s="12" t="str">
        <f t="shared" si="98"/>
        <v>(${Variables:E1_17_4_1_kcat} * E1_17_4_1 * C00001 * C00343 * C21750)/(${Variables:E1_17_4_1_km} + (E1_17_4_1 * C00001 * C00343 * C21750))</v>
      </c>
      <c r="K1545" s="11" t="str">
        <f t="shared" si="99"/>
        <v>r1544: C00001 + C00343 + C21750 -&gt; C00342 + C21748 | (${Variables:E1_17_4_1_kcat} * E1_17_4_1 * C00001 * C00343 * C21750)/(${Variables:E1_17_4_1_km} + (E1_17_4_1 * C00001 * C00343 * C21750))</v>
      </c>
    </row>
    <row r="1546" spans="1:11" ht="45" customHeight="1" x14ac:dyDescent="0.25">
      <c r="A1546" t="s">
        <v>6518</v>
      </c>
      <c r="B1546" t="s">
        <v>6519</v>
      </c>
      <c r="C1546" s="5" t="s">
        <v>9478</v>
      </c>
      <c r="D1546">
        <f t="shared" si="96"/>
        <v>1545</v>
      </c>
      <c r="E1546" t="str">
        <f t="shared" si="97"/>
        <v>E1_17_4_1</v>
      </c>
      <c r="F1546" s="11" t="s">
        <v>14066</v>
      </c>
      <c r="G1546" s="11" t="s">
        <v>14669</v>
      </c>
      <c r="H1546" s="11" t="s">
        <v>15279</v>
      </c>
      <c r="I1546" s="11" t="s">
        <v>15900</v>
      </c>
      <c r="J1546" s="12" t="str">
        <f t="shared" si="98"/>
        <v>(${Variables:E1_17_4_1_kcat} * E1_17_4_1 * C00001 * C00343 * C04232)/(${Variables:E1_17_4_1_km} + (E1_17_4_1 * C00001 * C00343 * C04232))</v>
      </c>
      <c r="K1546" s="11" t="str">
        <f t="shared" si="99"/>
        <v>r1545: C00001 + C00343 + C04232 -&gt; C00342 + C03723 | (${Variables:E1_17_4_1_kcat} * E1_17_4_1 * C00001 * C00343 * C04232)/(${Variables:E1_17_4_1_km} + (E1_17_4_1 * C00001 * C00343 * C04232))</v>
      </c>
    </row>
    <row r="1547" spans="1:11" ht="45" customHeight="1" x14ac:dyDescent="0.25">
      <c r="A1547" t="s">
        <v>6518</v>
      </c>
      <c r="B1547" t="s">
        <v>6519</v>
      </c>
      <c r="C1547" s="5" t="s">
        <v>9478</v>
      </c>
      <c r="D1547">
        <f t="shared" si="96"/>
        <v>1546</v>
      </c>
      <c r="E1547" t="str">
        <f t="shared" si="97"/>
        <v>E1_17_4_1</v>
      </c>
      <c r="F1547" s="11" t="s">
        <v>14067</v>
      </c>
      <c r="G1547" s="11" t="s">
        <v>14670</v>
      </c>
      <c r="H1547" s="11" t="s">
        <v>15280</v>
      </c>
      <c r="I1547" s="11" t="s">
        <v>15901</v>
      </c>
      <c r="J1547" s="12" t="str">
        <f t="shared" si="98"/>
        <v>(${Variables:E1_17_4_1_kcat} * E1_17_4_1 * C00001 * C00206 * C00343)/(${Variables:E1_17_4_1_km} + (E1_17_4_1 * C00001 * C00206 * C00343))</v>
      </c>
      <c r="K1547" s="11" t="str">
        <f t="shared" si="99"/>
        <v>r1546: C00001 + C00206 + C00343 -&gt; C00008 + C00342 | (${Variables:E1_17_4_1_kcat} * E1_17_4_1 * C00001 * C00206 * C00343)/(${Variables:E1_17_4_1_km} + (E1_17_4_1 * C00001 * C00206 * C00343))</v>
      </c>
    </row>
    <row r="1548" spans="1:11" ht="45" customHeight="1" x14ac:dyDescent="0.25">
      <c r="A1548" t="s">
        <v>6518</v>
      </c>
      <c r="B1548" t="s">
        <v>6519</v>
      </c>
      <c r="C1548" s="5" t="s">
        <v>9478</v>
      </c>
      <c r="D1548">
        <f t="shared" si="96"/>
        <v>1547</v>
      </c>
      <c r="E1548" t="str">
        <f t="shared" si="97"/>
        <v>E1_17_4_1</v>
      </c>
      <c r="F1548" s="11" t="s">
        <v>14068</v>
      </c>
      <c r="G1548" s="11" t="s">
        <v>14671</v>
      </c>
      <c r="H1548" s="11" t="s">
        <v>15281</v>
      </c>
      <c r="I1548" s="11" t="s">
        <v>15902</v>
      </c>
      <c r="J1548" s="12" t="str">
        <f t="shared" si="98"/>
        <v>(${Variables:E1_17_4_1_kcat} * E1_17_4_1 * C00001 * C00343 * C01346)/(${Variables:E1_17_4_1_km} + (E1_17_4_1 * C00001 * C00343 * C01346))</v>
      </c>
      <c r="K1548" s="11" t="str">
        <f t="shared" si="99"/>
        <v>r1547: C00001 + C00343 + C01346 -&gt; C00015 + C00342 | (${Variables:E1_17_4_1_kcat} * E1_17_4_1 * C00001 * C00343 * C01346)/(${Variables:E1_17_4_1_km} + (E1_17_4_1 * C00001 * C00343 * C01346))</v>
      </c>
    </row>
    <row r="1549" spans="1:11" ht="45" customHeight="1" x14ac:dyDescent="0.25">
      <c r="A1549" t="s">
        <v>6518</v>
      </c>
      <c r="B1549" t="s">
        <v>6519</v>
      </c>
      <c r="C1549" s="5" t="s">
        <v>9478</v>
      </c>
      <c r="D1549">
        <f t="shared" si="96"/>
        <v>1548</v>
      </c>
      <c r="E1549" t="str">
        <f t="shared" si="97"/>
        <v>E1_17_4_1</v>
      </c>
      <c r="F1549" s="11" t="s">
        <v>14069</v>
      </c>
      <c r="G1549" s="11" t="s">
        <v>14672</v>
      </c>
      <c r="H1549" s="11" t="s">
        <v>9039</v>
      </c>
      <c r="I1549" s="11" t="s">
        <v>9238</v>
      </c>
      <c r="J1549" s="12" t="str">
        <f t="shared" si="98"/>
        <v>(${Variables:E1_17_4_1_kcat} * E1_17_4_1 * C00001 * C00343 * C00361)/(${Variables:E1_17_4_1_km} + (E1_17_4_1 * C00001 * C00343 * C00361))</v>
      </c>
      <c r="K1549" s="11" t="str">
        <f t="shared" si="99"/>
        <v>r1548: C00001 + C00343 + C00361 -&gt; C00035 + C00342 | (${Variables:E1_17_4_1_kcat} * E1_17_4_1 * C00001 * C00343 * C00361)/(${Variables:E1_17_4_1_km} + (E1_17_4_1 * C00001 * C00343 * C00361))</v>
      </c>
    </row>
    <row r="1550" spans="1:11" ht="45" customHeight="1" x14ac:dyDescent="0.25">
      <c r="A1550" t="s">
        <v>6518</v>
      </c>
      <c r="B1550" t="s">
        <v>6519</v>
      </c>
      <c r="C1550" s="5" t="s">
        <v>9478</v>
      </c>
      <c r="D1550">
        <f t="shared" si="96"/>
        <v>1549</v>
      </c>
      <c r="E1550" t="str">
        <f t="shared" si="97"/>
        <v>E1_17_4_1</v>
      </c>
      <c r="F1550" s="11" t="s">
        <v>14070</v>
      </c>
      <c r="G1550" s="11" t="s">
        <v>14673</v>
      </c>
      <c r="H1550" s="11" t="s">
        <v>15282</v>
      </c>
      <c r="I1550" s="11" t="s">
        <v>15903</v>
      </c>
      <c r="J1550" s="12" t="str">
        <f t="shared" si="98"/>
        <v>(${Variables:E1_17_4_1_kcat} * E1_17_4_1 * C00001 * C00343 * C00705)/(${Variables:E1_17_4_1_km} + (E1_17_4_1 * C00001 * C00343 * C00705))</v>
      </c>
      <c r="K1550" s="11" t="str">
        <f t="shared" si="99"/>
        <v>r1549: C00001 + C00343 + C00705 -&gt; C00112 + C00342 | (${Variables:E1_17_4_1_kcat} * E1_17_4_1 * C00001 * C00343 * C00705)/(${Variables:E1_17_4_1_km} + (E1_17_4_1 * C00001 * C00343 * C00705))</v>
      </c>
    </row>
    <row r="1551" spans="1:11" ht="45" customHeight="1" x14ac:dyDescent="0.25">
      <c r="A1551" t="s">
        <v>6518</v>
      </c>
      <c r="B1551" t="s">
        <v>6519</v>
      </c>
      <c r="C1551" s="5" t="s">
        <v>9478</v>
      </c>
      <c r="D1551">
        <f t="shared" si="96"/>
        <v>1550</v>
      </c>
      <c r="E1551" t="str">
        <f t="shared" si="97"/>
        <v>E1_17_4_1</v>
      </c>
      <c r="F1551" s="11" t="s">
        <v>14071</v>
      </c>
      <c r="G1551" s="11" t="s">
        <v>14674</v>
      </c>
      <c r="H1551" s="11" t="s">
        <v>9040</v>
      </c>
      <c r="I1551" s="11" t="s">
        <v>9239</v>
      </c>
      <c r="J1551" s="12" t="str">
        <f t="shared" si="98"/>
        <v>(${Variables:E1_17_4_1_kcat} * E1_17_4_1 * C00001 * C04232 * C16664)/(${Variables:E1_17_4_1_km} + (E1_17_4_1 * C00001 * C04232 * C16664))</v>
      </c>
      <c r="K1551" s="11" t="str">
        <f t="shared" si="99"/>
        <v>r1550: C00001 + C04232 + C16664 -&gt; C03723 + C16663 | (${Variables:E1_17_4_1_kcat} * E1_17_4_1 * C00001 * C04232 * C16664)/(${Variables:E1_17_4_1_km} + (E1_17_4_1 * C00001 * C04232 * C16664))</v>
      </c>
    </row>
    <row r="1552" spans="1:11" ht="45" customHeight="1" x14ac:dyDescent="0.25">
      <c r="A1552" t="s">
        <v>6518</v>
      </c>
      <c r="B1552" t="s">
        <v>6519</v>
      </c>
      <c r="C1552" s="5" t="s">
        <v>9478</v>
      </c>
      <c r="D1552">
        <f t="shared" si="96"/>
        <v>1551</v>
      </c>
      <c r="E1552" t="str">
        <f t="shared" si="97"/>
        <v>E1_17_4_1</v>
      </c>
      <c r="F1552" s="11" t="s">
        <v>14072</v>
      </c>
      <c r="G1552" s="11" t="s">
        <v>14675</v>
      </c>
      <c r="H1552" s="11" t="s">
        <v>15283</v>
      </c>
      <c r="I1552" s="11" t="s">
        <v>15904</v>
      </c>
      <c r="J1552" s="12" t="str">
        <f t="shared" si="98"/>
        <v>(${Variables:E1_17_4_1_kcat} * E1_17_4_1 * C00001 * C03170 * C04232)/(${Variables:E1_17_4_1_km} + (E1_17_4_1 * C00001 * C03170 * C04232))</v>
      </c>
      <c r="K1552" s="11" t="str">
        <f t="shared" si="99"/>
        <v>r1551: C00001 + C03170 + C04232 -&gt; C02090 + C03723 | (${Variables:E1_17_4_1_kcat} * E1_17_4_1 * C00001 * C03170 * C04232)/(${Variables:E1_17_4_1_km} + (E1_17_4_1 * C00001 * C03170 * C04232))</v>
      </c>
    </row>
    <row r="1553" spans="1:11" ht="45" customHeight="1" x14ac:dyDescent="0.25">
      <c r="A1553" t="s">
        <v>6518</v>
      </c>
      <c r="B1553" t="s">
        <v>6519</v>
      </c>
      <c r="C1553" s="5" t="s">
        <v>9478</v>
      </c>
      <c r="D1553">
        <f t="shared" si="96"/>
        <v>1552</v>
      </c>
      <c r="E1553" t="str">
        <f t="shared" si="97"/>
        <v>E1_17_4_1</v>
      </c>
      <c r="F1553" s="11" t="s">
        <v>14073</v>
      </c>
      <c r="G1553" s="11" t="s">
        <v>14676</v>
      </c>
      <c r="H1553" s="11" t="s">
        <v>15284</v>
      </c>
      <c r="I1553" s="11" t="s">
        <v>15905</v>
      </c>
      <c r="J1553" s="12" t="str">
        <f t="shared" si="98"/>
        <v>(${Variables:E1_17_4_1_kcat} * E1_17_4_1 * C00001 * C00343 * C21750)/(${Variables:E1_17_4_1_km} + (E1_17_4_1 * C00001 * C00343 * C21750))</v>
      </c>
      <c r="K1553" s="11" t="str">
        <f t="shared" si="99"/>
        <v>r1552: C00001 + C00343 + C21750 -&gt; C00342 + C21748 | (${Variables:E1_17_4_1_kcat} * E1_17_4_1 * C00001 * C00343 * C21750)/(${Variables:E1_17_4_1_km} + (E1_17_4_1 * C00001 * C00343 * C21750))</v>
      </c>
    </row>
    <row r="1554" spans="1:11" ht="45" customHeight="1" x14ac:dyDescent="0.25">
      <c r="C1554" s="5"/>
      <c r="J1554" s="12"/>
      <c r="K1554" s="11"/>
    </row>
    <row r="1555" spans="1:11" ht="45" customHeight="1" x14ac:dyDescent="0.25">
      <c r="C1555" s="5"/>
      <c r="J1555" s="12"/>
      <c r="K1555" s="11"/>
    </row>
    <row r="1556" spans="1:11" ht="45" customHeight="1" x14ac:dyDescent="0.25">
      <c r="C1556" s="5"/>
      <c r="J1556" s="12"/>
      <c r="K1556" s="11"/>
    </row>
    <row r="1557" spans="1:11" ht="45" customHeight="1" x14ac:dyDescent="0.25">
      <c r="C1557" s="5"/>
      <c r="J1557" s="12"/>
      <c r="K1557" s="11"/>
    </row>
    <row r="1558" spans="1:11" ht="45" customHeight="1" x14ac:dyDescent="0.25">
      <c r="C1558" s="5"/>
      <c r="J1558" s="12"/>
      <c r="K1558" s="11"/>
    </row>
    <row r="1559" spans="1:11" ht="45" customHeight="1" x14ac:dyDescent="0.25">
      <c r="C1559" s="5"/>
      <c r="J1559" s="12"/>
      <c r="K1559" s="11"/>
    </row>
    <row r="1560" spans="1:11" ht="45" customHeight="1" x14ac:dyDescent="0.25">
      <c r="C1560" s="5"/>
      <c r="J1560" s="12"/>
      <c r="K1560" s="11"/>
    </row>
    <row r="1561" spans="1:11" ht="45" customHeight="1" x14ac:dyDescent="0.25">
      <c r="C1561" s="5"/>
      <c r="J1561" s="12"/>
      <c r="K1561" s="11"/>
    </row>
    <row r="1562" spans="1:11" ht="45" customHeight="1" x14ac:dyDescent="0.25">
      <c r="C1562" s="5"/>
      <c r="J1562" s="12"/>
      <c r="K1562" s="11"/>
    </row>
    <row r="1563" spans="1:11" ht="45" customHeight="1" x14ac:dyDescent="0.25">
      <c r="C1563" s="5"/>
      <c r="J1563" s="12"/>
      <c r="K1563" s="11"/>
    </row>
    <row r="1564" spans="1:11" ht="45" customHeight="1" x14ac:dyDescent="0.25">
      <c r="C1564" s="5"/>
      <c r="J1564" s="12"/>
      <c r="K1564" s="11"/>
    </row>
    <row r="1565" spans="1:11" ht="45" customHeight="1" x14ac:dyDescent="0.25">
      <c r="C1565" s="5"/>
      <c r="J1565" s="12"/>
      <c r="K1565" s="11"/>
    </row>
    <row r="1566" spans="1:11" ht="45" customHeight="1" x14ac:dyDescent="0.25">
      <c r="C1566" s="5"/>
      <c r="J1566" s="12"/>
      <c r="K1566" s="11"/>
    </row>
    <row r="1567" spans="1:11" ht="45" customHeight="1" x14ac:dyDescent="0.25">
      <c r="C1567" s="5"/>
      <c r="J1567" s="12"/>
      <c r="K1567" s="11"/>
    </row>
    <row r="1568" spans="1:11" ht="45" customHeight="1" x14ac:dyDescent="0.25">
      <c r="C1568" s="5"/>
      <c r="J1568" s="12"/>
      <c r="K1568" s="11"/>
    </row>
    <row r="1569" spans="3:11" ht="45" customHeight="1" x14ac:dyDescent="0.25">
      <c r="C1569" s="5"/>
      <c r="J1569" s="12"/>
      <c r="K1569" s="11"/>
    </row>
    <row r="1570" spans="3:11" ht="45" customHeight="1" x14ac:dyDescent="0.25">
      <c r="C1570" s="5"/>
      <c r="J1570" s="12"/>
      <c r="K1570" s="11"/>
    </row>
    <row r="1571" spans="3:11" ht="45" customHeight="1" x14ac:dyDescent="0.25">
      <c r="C1571" s="5"/>
      <c r="J1571" s="12"/>
      <c r="K1571" s="11"/>
    </row>
    <row r="1572" spans="3:11" ht="45" customHeight="1" x14ac:dyDescent="0.25">
      <c r="C1572" s="5"/>
      <c r="J1572" s="12"/>
      <c r="K1572" s="11"/>
    </row>
    <row r="1573" spans="3:11" ht="45" customHeight="1" x14ac:dyDescent="0.25">
      <c r="C1573" s="5"/>
      <c r="J1573" s="12"/>
      <c r="K1573" s="11"/>
    </row>
    <row r="1574" spans="3:11" ht="45" customHeight="1" x14ac:dyDescent="0.25">
      <c r="C1574" s="5"/>
      <c r="J1574" s="12"/>
      <c r="K1574" s="11"/>
    </row>
    <row r="1575" spans="3:11" ht="45" customHeight="1" x14ac:dyDescent="0.25">
      <c r="C1575" s="5"/>
      <c r="J1575" s="12"/>
      <c r="K1575" s="11"/>
    </row>
    <row r="1576" spans="3:11" ht="45" customHeight="1" x14ac:dyDescent="0.25">
      <c r="C1576" s="5"/>
      <c r="J1576" s="12"/>
      <c r="K1576" s="11"/>
    </row>
    <row r="1577" spans="3:11" ht="45" customHeight="1" x14ac:dyDescent="0.25">
      <c r="C1577" s="5"/>
      <c r="J1577" s="12"/>
      <c r="K1577" s="11"/>
    </row>
    <row r="1578" spans="3:11" ht="45" customHeight="1" x14ac:dyDescent="0.25">
      <c r="C1578" s="5"/>
      <c r="J1578" s="12"/>
      <c r="K1578" s="11"/>
    </row>
    <row r="1579" spans="3:11" ht="45" customHeight="1" x14ac:dyDescent="0.25">
      <c r="C1579" s="5"/>
      <c r="J1579" s="12"/>
      <c r="K1579" s="11"/>
    </row>
    <row r="1580" spans="3:11" ht="45" customHeight="1" x14ac:dyDescent="0.25">
      <c r="C1580" s="5"/>
      <c r="J1580" s="12"/>
      <c r="K1580" s="11"/>
    </row>
    <row r="1581" spans="3:11" ht="45" customHeight="1" x14ac:dyDescent="0.25">
      <c r="C1581" s="5"/>
      <c r="J1581" s="12"/>
      <c r="K1581" s="11"/>
    </row>
    <row r="1582" spans="3:11" ht="45" customHeight="1" x14ac:dyDescent="0.25">
      <c r="C1582" s="5"/>
      <c r="J1582" s="12"/>
      <c r="K1582" s="11"/>
    </row>
    <row r="1583" spans="3:11" ht="45" customHeight="1" x14ac:dyDescent="0.25">
      <c r="C1583" s="5"/>
      <c r="J1583" s="12"/>
      <c r="K1583" s="11"/>
    </row>
    <row r="1584" spans="3:11" ht="45" customHeight="1" x14ac:dyDescent="0.25">
      <c r="C1584" s="5"/>
      <c r="J1584" s="12"/>
      <c r="K1584" s="11"/>
    </row>
    <row r="1585" spans="3:11" ht="45" customHeight="1" x14ac:dyDescent="0.25">
      <c r="C1585" s="5"/>
      <c r="J1585" s="12"/>
      <c r="K1585" s="11"/>
    </row>
    <row r="1586" spans="3:11" ht="45" customHeight="1" x14ac:dyDescent="0.25">
      <c r="C1586" s="5"/>
      <c r="J1586" s="12"/>
      <c r="K1586" s="11"/>
    </row>
    <row r="1587" spans="3:11" ht="45" customHeight="1" x14ac:dyDescent="0.25">
      <c r="C1587" s="5"/>
      <c r="J1587" s="12"/>
      <c r="K1587" s="11"/>
    </row>
    <row r="1588" spans="3:11" ht="45" customHeight="1" x14ac:dyDescent="0.25">
      <c r="C1588" s="5"/>
      <c r="J1588" s="12"/>
      <c r="K1588" s="11"/>
    </row>
    <row r="1589" spans="3:11" ht="45" customHeight="1" x14ac:dyDescent="0.25">
      <c r="C1589" s="5"/>
      <c r="J1589" s="12"/>
      <c r="K1589" s="11"/>
    </row>
    <row r="1590" spans="3:11" ht="45" customHeight="1" x14ac:dyDescent="0.25">
      <c r="C1590" s="5"/>
      <c r="J1590" s="12"/>
      <c r="K1590" s="11"/>
    </row>
    <row r="1591" spans="3:11" ht="45" customHeight="1" x14ac:dyDescent="0.25">
      <c r="C1591" s="5"/>
      <c r="J1591" s="12"/>
      <c r="K1591" s="11"/>
    </row>
    <row r="1592" spans="3:11" ht="45" customHeight="1" x14ac:dyDescent="0.25">
      <c r="C1592" s="5"/>
      <c r="J1592" s="12"/>
      <c r="K1592" s="11"/>
    </row>
    <row r="1593" spans="3:11" ht="45" customHeight="1" x14ac:dyDescent="0.25">
      <c r="C1593" s="5"/>
      <c r="J1593" s="12"/>
      <c r="K1593" s="11"/>
    </row>
    <row r="1594" spans="3:11" ht="45" customHeight="1" x14ac:dyDescent="0.25">
      <c r="C1594" s="5"/>
      <c r="J1594" s="12"/>
      <c r="K1594" s="11"/>
    </row>
    <row r="1595" spans="3:11" ht="45" customHeight="1" x14ac:dyDescent="0.25">
      <c r="C1595" s="5"/>
      <c r="J1595" s="12"/>
      <c r="K1595" s="11"/>
    </row>
    <row r="1596" spans="3:11" ht="45" customHeight="1" x14ac:dyDescent="0.25">
      <c r="C1596" s="5"/>
      <c r="J1596" s="12"/>
      <c r="K1596" s="11"/>
    </row>
    <row r="1597" spans="3:11" ht="45" customHeight="1" x14ac:dyDescent="0.25">
      <c r="C1597" s="5"/>
      <c r="J1597" s="12"/>
      <c r="K1597" s="11"/>
    </row>
    <row r="1598" spans="3:11" ht="45" customHeight="1" x14ac:dyDescent="0.25">
      <c r="C1598" s="5"/>
      <c r="J1598" s="12"/>
      <c r="K1598" s="11"/>
    </row>
    <row r="1599" spans="3:11" ht="45" customHeight="1" x14ac:dyDescent="0.25">
      <c r="C1599" s="5"/>
      <c r="J1599" s="12"/>
      <c r="K1599" s="11"/>
    </row>
    <row r="1600" spans="3:11" ht="45" customHeight="1" x14ac:dyDescent="0.25">
      <c r="C1600" s="5"/>
      <c r="J1600" s="12"/>
      <c r="K1600" s="11"/>
    </row>
    <row r="1601" spans="3:11" ht="45" customHeight="1" x14ac:dyDescent="0.25">
      <c r="C1601" s="5"/>
      <c r="J1601" s="12"/>
      <c r="K1601" s="11"/>
    </row>
    <row r="1602" spans="3:11" ht="45" customHeight="1" x14ac:dyDescent="0.25">
      <c r="C1602" s="5"/>
      <c r="J1602" s="12"/>
      <c r="K1602" s="11"/>
    </row>
    <row r="1603" spans="3:11" ht="45" customHeight="1" x14ac:dyDescent="0.25">
      <c r="C1603" s="5"/>
      <c r="J1603" s="12"/>
      <c r="K1603" s="11"/>
    </row>
    <row r="1604" spans="3:11" ht="45" customHeight="1" x14ac:dyDescent="0.25">
      <c r="C1604" s="5"/>
      <c r="J1604" s="12"/>
      <c r="K1604" s="11"/>
    </row>
    <row r="1605" spans="3:11" ht="45" customHeight="1" x14ac:dyDescent="0.25">
      <c r="C1605" s="5"/>
      <c r="J1605" s="12"/>
      <c r="K1605" s="11"/>
    </row>
    <row r="1606" spans="3:11" ht="45" customHeight="1" x14ac:dyDescent="0.25">
      <c r="C1606" s="5"/>
      <c r="J1606" s="12"/>
      <c r="K1606" s="11"/>
    </row>
    <row r="1607" spans="3:11" ht="45" customHeight="1" x14ac:dyDescent="0.25">
      <c r="C1607" s="5"/>
      <c r="J1607" s="12"/>
      <c r="K1607" s="11"/>
    </row>
    <row r="1608" spans="3:11" ht="45" customHeight="1" x14ac:dyDescent="0.25">
      <c r="C1608" s="5"/>
      <c r="J1608" s="12"/>
      <c r="K1608" s="11"/>
    </row>
    <row r="1609" spans="3:11" ht="45" customHeight="1" x14ac:dyDescent="0.25">
      <c r="C1609" s="5"/>
      <c r="J1609" s="12"/>
      <c r="K1609" s="11"/>
    </row>
    <row r="1610" spans="3:11" ht="45" customHeight="1" x14ac:dyDescent="0.25">
      <c r="C1610" s="5"/>
      <c r="J1610" s="12"/>
      <c r="K1610" s="11"/>
    </row>
    <row r="1611" spans="3:11" ht="45" customHeight="1" x14ac:dyDescent="0.25">
      <c r="C1611" s="5"/>
      <c r="J1611" s="12"/>
      <c r="K1611" s="11"/>
    </row>
    <row r="1612" spans="3:11" ht="45" customHeight="1" x14ac:dyDescent="0.25">
      <c r="C1612" s="5"/>
      <c r="J1612" s="12"/>
      <c r="K1612" s="11"/>
    </row>
    <row r="1613" spans="3:11" ht="45" customHeight="1" x14ac:dyDescent="0.25">
      <c r="C1613" s="5"/>
      <c r="J1613" s="12"/>
      <c r="K1613" s="11"/>
    </row>
    <row r="1614" spans="3:11" ht="45" customHeight="1" x14ac:dyDescent="0.25">
      <c r="C1614" s="5"/>
      <c r="J1614" s="12"/>
      <c r="K1614" s="11"/>
    </row>
    <row r="1615" spans="3:11" ht="45" customHeight="1" x14ac:dyDescent="0.25">
      <c r="C1615" s="5"/>
      <c r="J1615" s="12"/>
      <c r="K1615" s="11"/>
    </row>
    <row r="1616" spans="3:11" ht="45" customHeight="1" x14ac:dyDescent="0.25">
      <c r="C1616" s="5"/>
      <c r="J1616" s="12"/>
      <c r="K1616" s="11"/>
    </row>
    <row r="1617" spans="3:11" ht="45" customHeight="1" x14ac:dyDescent="0.25">
      <c r="C1617" s="5"/>
      <c r="J1617" s="12"/>
      <c r="K1617" s="11"/>
    </row>
    <row r="1618" spans="3:11" ht="45" customHeight="1" x14ac:dyDescent="0.25">
      <c r="C1618" s="5"/>
      <c r="J1618" s="12"/>
      <c r="K1618" s="11"/>
    </row>
    <row r="1619" spans="3:11" ht="45" customHeight="1" x14ac:dyDescent="0.25">
      <c r="C1619" s="5"/>
      <c r="J1619" s="12"/>
      <c r="K1619" s="11"/>
    </row>
    <row r="1620" spans="3:11" ht="45" customHeight="1" x14ac:dyDescent="0.25">
      <c r="C1620" s="5"/>
      <c r="J1620" s="12"/>
      <c r="K1620" s="11"/>
    </row>
    <row r="1621" spans="3:11" ht="45" customHeight="1" x14ac:dyDescent="0.25">
      <c r="C1621" s="5"/>
      <c r="J1621" s="12"/>
      <c r="K1621" s="11"/>
    </row>
    <row r="1622" spans="3:11" ht="45" customHeight="1" x14ac:dyDescent="0.25">
      <c r="C1622" s="5"/>
      <c r="J1622" s="12"/>
      <c r="K1622" s="11"/>
    </row>
    <row r="1623" spans="3:11" ht="45" customHeight="1" x14ac:dyDescent="0.25">
      <c r="C1623" s="5"/>
      <c r="J1623" s="12"/>
      <c r="K1623" s="11"/>
    </row>
    <row r="1624" spans="3:11" ht="45" customHeight="1" x14ac:dyDescent="0.25">
      <c r="C1624" s="5"/>
      <c r="J1624" s="12"/>
      <c r="K1624" s="11"/>
    </row>
  </sheetData>
  <autoFilter ref="A1:K1621" xr:uid="{1D8813DB-83DD-49F9-B26A-2357CFEF54B2}"/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</vt:lpstr>
      <vt:lpstr>Metabolites</vt:lpstr>
      <vt:lpstr>Enzymes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Tristan Tay</cp:lastModifiedBy>
  <dcterms:created xsi:type="dcterms:W3CDTF">2025-06-13T12:13:27Z</dcterms:created>
  <dcterms:modified xsi:type="dcterms:W3CDTF">2025-10-30T15:11:23Z</dcterms:modified>
</cp:coreProperties>
</file>